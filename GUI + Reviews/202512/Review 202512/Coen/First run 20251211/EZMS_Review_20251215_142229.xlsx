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Coen/"/>
    </mc:Choice>
  </mc:AlternateContent>
  <xr:revisionPtr revIDLastSave="11" documentId="11_CBBE7713EC4CE96E1BBC4284F53F667904D42003" xr6:coauthVersionLast="47" xr6:coauthVersionMax="47" xr10:uidLastSave="{019D4DFF-8C70-4AFA-B7EF-F85F0D2DC17A}"/>
  <bookViews>
    <workbookView xWindow="-120" yWindow="-120" windowWidth="29040" windowHeight="15720" xr2:uid="{00000000-000D-0000-FFFF-FFFF00000000}"/>
  </bookViews>
  <sheets>
    <sheet name="EZMS Composition" sheetId="1" r:id="rId1"/>
    <sheet name="EZMS Inclusions" sheetId="2" r:id="rId2"/>
    <sheet name="EZMS Exclusions" sheetId="3" r:id="rId3"/>
    <sheet name="Full Universe" sheetId="4" r:id="rId4"/>
  </sheets>
  <externalReferences>
    <externalReference r:id="rId5"/>
  </externalReferences>
  <definedNames>
    <definedName name="_xlnm._FilterDatabase" localSheetId="0" hidden="1">'EZMS Composition'!$A$1:$J$427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23" i="1" l="1"/>
  <c r="J422" i="1"/>
  <c r="J421" i="1"/>
  <c r="J414" i="1"/>
  <c r="J413" i="1"/>
  <c r="J412" i="1"/>
  <c r="J411" i="1"/>
  <c r="J410" i="1"/>
  <c r="J409" i="1"/>
  <c r="J403" i="1"/>
  <c r="J402" i="1"/>
  <c r="J401" i="1"/>
  <c r="J399" i="1"/>
  <c r="J398" i="1"/>
  <c r="J394" i="1"/>
  <c r="J393" i="1"/>
  <c r="J392" i="1"/>
  <c r="J391" i="1"/>
  <c r="J390" i="1"/>
  <c r="J389" i="1"/>
  <c r="J383" i="1"/>
  <c r="J382" i="1"/>
  <c r="J374" i="1"/>
  <c r="J373" i="1"/>
  <c r="J372" i="1"/>
  <c r="J371" i="1"/>
  <c r="J370" i="1"/>
  <c r="J369" i="1"/>
  <c r="J363" i="1"/>
  <c r="J362" i="1"/>
  <c r="J361" i="1"/>
  <c r="J359" i="1"/>
  <c r="J358" i="1"/>
  <c r="J354" i="1"/>
  <c r="J353" i="1"/>
  <c r="J352" i="1"/>
  <c r="J351" i="1"/>
  <c r="J350" i="1"/>
  <c r="J349" i="1"/>
  <c r="J343" i="1"/>
  <c r="J342" i="1"/>
  <c r="J341" i="1"/>
  <c r="J334" i="1"/>
  <c r="J333" i="1"/>
  <c r="J332" i="1"/>
  <c r="J331" i="1"/>
  <c r="J330" i="1"/>
  <c r="J329" i="1"/>
  <c r="J323" i="1"/>
  <c r="J322" i="1"/>
  <c r="J321" i="1"/>
  <c r="J318" i="1"/>
  <c r="J314" i="1"/>
  <c r="J313" i="1"/>
  <c r="J312" i="1"/>
  <c r="J311" i="1"/>
  <c r="J310" i="1"/>
  <c r="J309" i="1"/>
  <c r="J303" i="1"/>
  <c r="J302" i="1"/>
  <c r="J294" i="1"/>
  <c r="J293" i="1"/>
  <c r="J292" i="1"/>
  <c r="J291" i="1"/>
  <c r="J290" i="1"/>
  <c r="J289" i="1"/>
  <c r="J283" i="1"/>
  <c r="J282" i="1"/>
  <c r="J274" i="1"/>
  <c r="J273" i="1"/>
  <c r="J272" i="1"/>
  <c r="J271" i="1"/>
  <c r="J270" i="1"/>
  <c r="J269" i="1"/>
  <c r="J263" i="1"/>
  <c r="J262" i="1"/>
  <c r="J254" i="1"/>
  <c r="J253" i="1"/>
  <c r="J252" i="1"/>
  <c r="J251" i="1"/>
  <c r="J250" i="1"/>
  <c r="J249" i="1"/>
  <c r="J243" i="1"/>
  <c r="J242" i="1"/>
  <c r="J234" i="1"/>
  <c r="J233" i="1"/>
  <c r="J232" i="1"/>
  <c r="J231" i="1"/>
  <c r="J230" i="1"/>
  <c r="J229" i="1"/>
  <c r="J223" i="1"/>
  <c r="J222" i="1"/>
  <c r="J214" i="1"/>
  <c r="J213" i="1"/>
  <c r="J212" i="1"/>
  <c r="J211" i="1"/>
  <c r="J210" i="1"/>
  <c r="J209" i="1"/>
  <c r="J203" i="1"/>
  <c r="J202" i="1"/>
  <c r="J194" i="1"/>
  <c r="J193" i="1"/>
  <c r="J192" i="1"/>
  <c r="J191" i="1"/>
  <c r="J190" i="1"/>
  <c r="J189" i="1"/>
  <c r="J183" i="1"/>
  <c r="J182" i="1"/>
  <c r="J174" i="1"/>
  <c r="J173" i="1"/>
  <c r="J172" i="1"/>
  <c r="J171" i="1"/>
  <c r="J170" i="1"/>
  <c r="J169" i="1"/>
  <c r="J163" i="1"/>
  <c r="J162" i="1"/>
  <c r="J154" i="1"/>
  <c r="J153" i="1"/>
  <c r="J152" i="1"/>
  <c r="J151" i="1"/>
  <c r="J150" i="1"/>
  <c r="J149" i="1"/>
  <c r="J143" i="1"/>
  <c r="J142" i="1"/>
  <c r="J134" i="1"/>
  <c r="J133" i="1"/>
  <c r="J132" i="1"/>
  <c r="J131" i="1"/>
  <c r="J130" i="1"/>
  <c r="J129" i="1"/>
  <c r="J123" i="1"/>
  <c r="J114" i="1"/>
  <c r="J113" i="1"/>
  <c r="J112" i="1"/>
  <c r="J111" i="1"/>
  <c r="J110" i="1"/>
  <c r="J109" i="1"/>
  <c r="J103" i="1"/>
  <c r="J99" i="1"/>
  <c r="J94" i="1"/>
  <c r="J93" i="1"/>
  <c r="J92" i="1"/>
  <c r="J91" i="1"/>
  <c r="J90" i="1"/>
  <c r="J89" i="1"/>
  <c r="J83" i="1"/>
  <c r="J74" i="1"/>
  <c r="J73" i="1"/>
  <c r="J72" i="1"/>
  <c r="J71" i="1"/>
  <c r="J70" i="1"/>
  <c r="J69" i="1"/>
  <c r="J63" i="1"/>
  <c r="J59" i="1"/>
  <c r="J58" i="1"/>
  <c r="J54" i="1"/>
  <c r="J53" i="1"/>
  <c r="J52" i="1"/>
  <c r="J51" i="1"/>
  <c r="J50" i="1"/>
  <c r="J49" i="1"/>
  <c r="J43" i="1"/>
  <c r="J34" i="1"/>
  <c r="J33" i="1"/>
  <c r="J32" i="1"/>
  <c r="J31" i="1"/>
  <c r="J30" i="1"/>
  <c r="J29" i="1"/>
  <c r="J23" i="1"/>
  <c r="J19" i="1"/>
  <c r="J18" i="1"/>
  <c r="J14" i="1"/>
  <c r="J13" i="1"/>
  <c r="J12" i="1"/>
  <c r="J11" i="1"/>
  <c r="J10" i="1"/>
  <c r="J9" i="1"/>
  <c r="J3" i="1"/>
  <c r="I427" i="1"/>
  <c r="J427" i="1" s="1"/>
  <c r="I426" i="1"/>
  <c r="J426" i="1" s="1"/>
  <c r="I425" i="1"/>
  <c r="J425" i="1" s="1"/>
  <c r="I424" i="1"/>
  <c r="J424" i="1" s="1"/>
  <c r="I423" i="1"/>
  <c r="I422" i="1"/>
  <c r="I421" i="1"/>
  <c r="I420" i="1"/>
  <c r="J420" i="1" s="1"/>
  <c r="I419" i="1"/>
  <c r="J419" i="1" s="1"/>
  <c r="I418" i="1"/>
  <c r="J418" i="1" s="1"/>
  <c r="I417" i="1"/>
  <c r="J417" i="1" s="1"/>
  <c r="I416" i="1"/>
  <c r="J416" i="1" s="1"/>
  <c r="I415" i="1"/>
  <c r="J415" i="1" s="1"/>
  <c r="I414" i="1"/>
  <c r="I413" i="1"/>
  <c r="I412" i="1"/>
  <c r="I411" i="1"/>
  <c r="I410" i="1"/>
  <c r="I409" i="1"/>
  <c r="I408" i="1"/>
  <c r="J408" i="1" s="1"/>
  <c r="I407" i="1"/>
  <c r="J407" i="1" s="1"/>
  <c r="I406" i="1"/>
  <c r="J406" i="1" s="1"/>
  <c r="I405" i="1"/>
  <c r="J405" i="1" s="1"/>
  <c r="I404" i="1"/>
  <c r="J404" i="1" s="1"/>
  <c r="I403" i="1"/>
  <c r="I402" i="1"/>
  <c r="I401" i="1"/>
  <c r="I400" i="1"/>
  <c r="J400" i="1" s="1"/>
  <c r="I399" i="1"/>
  <c r="I398" i="1"/>
  <c r="I397" i="1"/>
  <c r="J397" i="1" s="1"/>
  <c r="I396" i="1"/>
  <c r="J396" i="1" s="1"/>
  <c r="I395" i="1"/>
  <c r="J395" i="1" s="1"/>
  <c r="I394" i="1"/>
  <c r="I393" i="1"/>
  <c r="I392" i="1"/>
  <c r="I391" i="1"/>
  <c r="I390" i="1"/>
  <c r="I389" i="1"/>
  <c r="I388" i="1"/>
  <c r="J388" i="1" s="1"/>
  <c r="I387" i="1"/>
  <c r="J387" i="1" s="1"/>
  <c r="I386" i="1"/>
  <c r="J386" i="1" s="1"/>
  <c r="I385" i="1"/>
  <c r="J385" i="1" s="1"/>
  <c r="I384" i="1"/>
  <c r="J384" i="1" s="1"/>
  <c r="I383" i="1"/>
  <c r="I382" i="1"/>
  <c r="I381" i="1"/>
  <c r="J381" i="1" s="1"/>
  <c r="I380" i="1"/>
  <c r="J380" i="1" s="1"/>
  <c r="I379" i="1"/>
  <c r="J379" i="1" s="1"/>
  <c r="I378" i="1"/>
  <c r="J378" i="1" s="1"/>
  <c r="I377" i="1"/>
  <c r="J377" i="1" s="1"/>
  <c r="I376" i="1"/>
  <c r="J376" i="1" s="1"/>
  <c r="I375" i="1"/>
  <c r="J375" i="1" s="1"/>
  <c r="I374" i="1"/>
  <c r="I373" i="1"/>
  <c r="I372" i="1"/>
  <c r="I371" i="1"/>
  <c r="I370" i="1"/>
  <c r="I369" i="1"/>
  <c r="I368" i="1"/>
  <c r="J368" i="1" s="1"/>
  <c r="I367" i="1"/>
  <c r="J367" i="1" s="1"/>
  <c r="I366" i="1"/>
  <c r="J366" i="1" s="1"/>
  <c r="I365" i="1"/>
  <c r="J365" i="1" s="1"/>
  <c r="I364" i="1"/>
  <c r="J364" i="1" s="1"/>
  <c r="I363" i="1"/>
  <c r="I362" i="1"/>
  <c r="I361" i="1"/>
  <c r="I360" i="1"/>
  <c r="J360" i="1" s="1"/>
  <c r="I359" i="1"/>
  <c r="I358" i="1"/>
  <c r="I357" i="1"/>
  <c r="J357" i="1" s="1"/>
  <c r="I356" i="1"/>
  <c r="J356" i="1" s="1"/>
  <c r="I355" i="1"/>
  <c r="J355" i="1" s="1"/>
  <c r="I354" i="1"/>
  <c r="I353" i="1"/>
  <c r="I352" i="1"/>
  <c r="I351" i="1"/>
  <c r="I350" i="1"/>
  <c r="I349" i="1"/>
  <c r="I348" i="1"/>
  <c r="J348" i="1" s="1"/>
  <c r="I347" i="1"/>
  <c r="J347" i="1" s="1"/>
  <c r="I346" i="1"/>
  <c r="J346" i="1" s="1"/>
  <c r="I345" i="1"/>
  <c r="J345" i="1" s="1"/>
  <c r="I344" i="1"/>
  <c r="J344" i="1" s="1"/>
  <c r="I343" i="1"/>
  <c r="I342" i="1"/>
  <c r="I341" i="1"/>
  <c r="I340" i="1"/>
  <c r="J340" i="1" s="1"/>
  <c r="I339" i="1"/>
  <c r="J339" i="1" s="1"/>
  <c r="I338" i="1"/>
  <c r="J338" i="1" s="1"/>
  <c r="I337" i="1"/>
  <c r="J337" i="1" s="1"/>
  <c r="I336" i="1"/>
  <c r="J336" i="1" s="1"/>
  <c r="I335" i="1"/>
  <c r="J335" i="1" s="1"/>
  <c r="I334" i="1"/>
  <c r="I333" i="1"/>
  <c r="I332" i="1"/>
  <c r="I331" i="1"/>
  <c r="I330" i="1"/>
  <c r="I329" i="1"/>
  <c r="I328" i="1"/>
  <c r="J328" i="1" s="1"/>
  <c r="I327" i="1"/>
  <c r="J327" i="1" s="1"/>
  <c r="I326" i="1"/>
  <c r="J326" i="1" s="1"/>
  <c r="I325" i="1"/>
  <c r="J325" i="1" s="1"/>
  <c r="I324" i="1"/>
  <c r="J324" i="1" s="1"/>
  <c r="I323" i="1"/>
  <c r="I322" i="1"/>
  <c r="I321" i="1"/>
  <c r="I320" i="1"/>
  <c r="J320" i="1" s="1"/>
  <c r="I319" i="1"/>
  <c r="J319" i="1" s="1"/>
  <c r="I318" i="1"/>
  <c r="I317" i="1"/>
  <c r="J317" i="1" s="1"/>
  <c r="I316" i="1"/>
  <c r="J316" i="1" s="1"/>
  <c r="I315" i="1"/>
  <c r="J315" i="1" s="1"/>
  <c r="I314" i="1"/>
  <c r="I313" i="1"/>
  <c r="I312" i="1"/>
  <c r="I311" i="1"/>
  <c r="I310" i="1"/>
  <c r="I309" i="1"/>
  <c r="I308" i="1"/>
  <c r="J308" i="1" s="1"/>
  <c r="I307" i="1"/>
  <c r="J307" i="1" s="1"/>
  <c r="I306" i="1"/>
  <c r="J306" i="1" s="1"/>
  <c r="I305" i="1"/>
  <c r="J305" i="1" s="1"/>
  <c r="I304" i="1"/>
  <c r="J304" i="1" s="1"/>
  <c r="I303" i="1"/>
  <c r="I302" i="1"/>
  <c r="I301" i="1"/>
  <c r="J301" i="1" s="1"/>
  <c r="I300" i="1"/>
  <c r="J300" i="1" s="1"/>
  <c r="I299" i="1"/>
  <c r="J299" i="1" s="1"/>
  <c r="I298" i="1"/>
  <c r="J298" i="1" s="1"/>
  <c r="I297" i="1"/>
  <c r="J297" i="1" s="1"/>
  <c r="I296" i="1"/>
  <c r="J296" i="1" s="1"/>
  <c r="I295" i="1"/>
  <c r="J295" i="1" s="1"/>
  <c r="I294" i="1"/>
  <c r="I293" i="1"/>
  <c r="I292" i="1"/>
  <c r="I291" i="1"/>
  <c r="I290" i="1"/>
  <c r="I289" i="1"/>
  <c r="I288" i="1"/>
  <c r="J288" i="1" s="1"/>
  <c r="I287" i="1"/>
  <c r="J287" i="1" s="1"/>
  <c r="I286" i="1"/>
  <c r="J286" i="1" s="1"/>
  <c r="I285" i="1"/>
  <c r="J285" i="1" s="1"/>
  <c r="I284" i="1"/>
  <c r="J284" i="1" s="1"/>
  <c r="I283" i="1"/>
  <c r="I282" i="1"/>
  <c r="I281" i="1"/>
  <c r="J281" i="1" s="1"/>
  <c r="I280" i="1"/>
  <c r="J280" i="1" s="1"/>
  <c r="I279" i="1"/>
  <c r="J279" i="1" s="1"/>
  <c r="I278" i="1"/>
  <c r="J278" i="1" s="1"/>
  <c r="I277" i="1"/>
  <c r="J277" i="1" s="1"/>
  <c r="I276" i="1"/>
  <c r="J276" i="1" s="1"/>
  <c r="I275" i="1"/>
  <c r="J275" i="1" s="1"/>
  <c r="I274" i="1"/>
  <c r="I273" i="1"/>
  <c r="I272" i="1"/>
  <c r="I271" i="1"/>
  <c r="I270" i="1"/>
  <c r="I269" i="1"/>
  <c r="I268" i="1"/>
  <c r="J268" i="1" s="1"/>
  <c r="I267" i="1"/>
  <c r="J267" i="1" s="1"/>
  <c r="I266" i="1"/>
  <c r="J266" i="1" s="1"/>
  <c r="I265" i="1"/>
  <c r="J265" i="1" s="1"/>
  <c r="I264" i="1"/>
  <c r="J264" i="1" s="1"/>
  <c r="I263" i="1"/>
  <c r="I262" i="1"/>
  <c r="I261" i="1"/>
  <c r="J261" i="1" s="1"/>
  <c r="I260" i="1"/>
  <c r="J260" i="1" s="1"/>
  <c r="I259" i="1"/>
  <c r="J259" i="1" s="1"/>
  <c r="I258" i="1"/>
  <c r="J258" i="1" s="1"/>
  <c r="I257" i="1"/>
  <c r="J257" i="1" s="1"/>
  <c r="I256" i="1"/>
  <c r="J256" i="1" s="1"/>
  <c r="I255" i="1"/>
  <c r="J255" i="1" s="1"/>
  <c r="I254" i="1"/>
  <c r="I253" i="1"/>
  <c r="I252" i="1"/>
  <c r="I251" i="1"/>
  <c r="I250" i="1"/>
  <c r="I249" i="1"/>
  <c r="I248" i="1"/>
  <c r="J248" i="1" s="1"/>
  <c r="I247" i="1"/>
  <c r="J247" i="1" s="1"/>
  <c r="I246" i="1"/>
  <c r="J246" i="1" s="1"/>
  <c r="I245" i="1"/>
  <c r="J245" i="1" s="1"/>
  <c r="I244" i="1"/>
  <c r="J244" i="1" s="1"/>
  <c r="I243" i="1"/>
  <c r="I242" i="1"/>
  <c r="I241" i="1"/>
  <c r="J241" i="1" s="1"/>
  <c r="I240" i="1"/>
  <c r="J240" i="1" s="1"/>
  <c r="I239" i="1"/>
  <c r="J239" i="1" s="1"/>
  <c r="I238" i="1"/>
  <c r="J238" i="1" s="1"/>
  <c r="I237" i="1"/>
  <c r="J237" i="1" s="1"/>
  <c r="I236" i="1"/>
  <c r="J236" i="1" s="1"/>
  <c r="I235" i="1"/>
  <c r="J235" i="1" s="1"/>
  <c r="I234" i="1"/>
  <c r="I233" i="1"/>
  <c r="I232" i="1"/>
  <c r="I231" i="1"/>
  <c r="I230" i="1"/>
  <c r="I229" i="1"/>
  <c r="I228" i="1"/>
  <c r="J228" i="1" s="1"/>
  <c r="I227" i="1"/>
  <c r="J227" i="1" s="1"/>
  <c r="I226" i="1"/>
  <c r="J226" i="1" s="1"/>
  <c r="I225" i="1"/>
  <c r="J225" i="1" s="1"/>
  <c r="I224" i="1"/>
  <c r="J224" i="1" s="1"/>
  <c r="I223" i="1"/>
  <c r="I222" i="1"/>
  <c r="I221" i="1"/>
  <c r="J221" i="1" s="1"/>
  <c r="I220" i="1"/>
  <c r="J220" i="1" s="1"/>
  <c r="I219" i="1"/>
  <c r="J219" i="1" s="1"/>
  <c r="I218" i="1"/>
  <c r="J218" i="1" s="1"/>
  <c r="I217" i="1"/>
  <c r="J217" i="1" s="1"/>
  <c r="I216" i="1"/>
  <c r="J216" i="1" s="1"/>
  <c r="I215" i="1"/>
  <c r="J215" i="1" s="1"/>
  <c r="I214" i="1"/>
  <c r="I213" i="1"/>
  <c r="I212" i="1"/>
  <c r="I211" i="1"/>
  <c r="I210" i="1"/>
  <c r="I209" i="1"/>
  <c r="I208" i="1"/>
  <c r="J208" i="1" s="1"/>
  <c r="I207" i="1"/>
  <c r="J207" i="1" s="1"/>
  <c r="I206" i="1"/>
  <c r="J206" i="1" s="1"/>
  <c r="I205" i="1"/>
  <c r="J205" i="1" s="1"/>
  <c r="I204" i="1"/>
  <c r="J204" i="1" s="1"/>
  <c r="I203" i="1"/>
  <c r="I202" i="1"/>
  <c r="I201" i="1"/>
  <c r="J201" i="1" s="1"/>
  <c r="I200" i="1"/>
  <c r="J200" i="1" s="1"/>
  <c r="I199" i="1"/>
  <c r="J199" i="1" s="1"/>
  <c r="I198" i="1"/>
  <c r="J198" i="1" s="1"/>
  <c r="I197" i="1"/>
  <c r="J197" i="1" s="1"/>
  <c r="I196" i="1"/>
  <c r="J196" i="1" s="1"/>
  <c r="I195" i="1"/>
  <c r="J195" i="1" s="1"/>
  <c r="I194" i="1"/>
  <c r="I193" i="1"/>
  <c r="I192" i="1"/>
  <c r="I191" i="1"/>
  <c r="I190" i="1"/>
  <c r="I189" i="1"/>
  <c r="I188" i="1"/>
  <c r="J188" i="1" s="1"/>
  <c r="I187" i="1"/>
  <c r="J187" i="1" s="1"/>
  <c r="I186" i="1"/>
  <c r="J186" i="1" s="1"/>
  <c r="I185" i="1"/>
  <c r="J185" i="1" s="1"/>
  <c r="I184" i="1"/>
  <c r="J184" i="1" s="1"/>
  <c r="I183" i="1"/>
  <c r="I182" i="1"/>
  <c r="I181" i="1"/>
  <c r="J181" i="1" s="1"/>
  <c r="I180" i="1"/>
  <c r="J180" i="1" s="1"/>
  <c r="I179" i="1"/>
  <c r="J179" i="1" s="1"/>
  <c r="I178" i="1"/>
  <c r="J178" i="1" s="1"/>
  <c r="I177" i="1"/>
  <c r="J177" i="1" s="1"/>
  <c r="I176" i="1"/>
  <c r="J176" i="1" s="1"/>
  <c r="I175" i="1"/>
  <c r="J175" i="1" s="1"/>
  <c r="I174" i="1"/>
  <c r="I173" i="1"/>
  <c r="I172" i="1"/>
  <c r="I171" i="1"/>
  <c r="I170" i="1"/>
  <c r="I169" i="1"/>
  <c r="I168" i="1"/>
  <c r="J168" i="1" s="1"/>
  <c r="I167" i="1"/>
  <c r="J167" i="1" s="1"/>
  <c r="I166" i="1"/>
  <c r="J166" i="1" s="1"/>
  <c r="I165" i="1"/>
  <c r="J165" i="1" s="1"/>
  <c r="I164" i="1"/>
  <c r="J164" i="1" s="1"/>
  <c r="I163" i="1"/>
  <c r="I162" i="1"/>
  <c r="I161" i="1"/>
  <c r="J161" i="1" s="1"/>
  <c r="I160" i="1"/>
  <c r="J160" i="1" s="1"/>
  <c r="I159" i="1"/>
  <c r="J159" i="1" s="1"/>
  <c r="I158" i="1"/>
  <c r="J158" i="1" s="1"/>
  <c r="I157" i="1"/>
  <c r="J157" i="1" s="1"/>
  <c r="I156" i="1"/>
  <c r="J156" i="1" s="1"/>
  <c r="I155" i="1"/>
  <c r="J155" i="1" s="1"/>
  <c r="I154" i="1"/>
  <c r="I153" i="1"/>
  <c r="I152" i="1"/>
  <c r="I151" i="1"/>
  <c r="I150" i="1"/>
  <c r="I149" i="1"/>
  <c r="I148" i="1"/>
  <c r="J148" i="1" s="1"/>
  <c r="I147" i="1"/>
  <c r="J147" i="1" s="1"/>
  <c r="I146" i="1"/>
  <c r="J146" i="1" s="1"/>
  <c r="I145" i="1"/>
  <c r="J145" i="1" s="1"/>
  <c r="I144" i="1"/>
  <c r="J144" i="1" s="1"/>
  <c r="I143" i="1"/>
  <c r="I142" i="1"/>
  <c r="I141" i="1"/>
  <c r="J141" i="1" s="1"/>
  <c r="I140" i="1"/>
  <c r="J140" i="1" s="1"/>
  <c r="I139" i="1"/>
  <c r="J139" i="1" s="1"/>
  <c r="I138" i="1"/>
  <c r="J138" i="1" s="1"/>
  <c r="I137" i="1"/>
  <c r="J137" i="1" s="1"/>
  <c r="I136" i="1"/>
  <c r="J136" i="1" s="1"/>
  <c r="I135" i="1"/>
  <c r="J135" i="1" s="1"/>
  <c r="I134" i="1"/>
  <c r="I133" i="1"/>
  <c r="I132" i="1"/>
  <c r="I131" i="1"/>
  <c r="I130" i="1"/>
  <c r="I129" i="1"/>
  <c r="I128" i="1"/>
  <c r="J128" i="1" s="1"/>
  <c r="I127" i="1"/>
  <c r="J127" i="1" s="1"/>
  <c r="I126" i="1"/>
  <c r="J126" i="1" s="1"/>
  <c r="I125" i="1"/>
  <c r="J125" i="1" s="1"/>
  <c r="I124" i="1"/>
  <c r="J124" i="1" s="1"/>
  <c r="I123" i="1"/>
  <c r="I122" i="1"/>
  <c r="J122" i="1" s="1"/>
  <c r="I121" i="1"/>
  <c r="J121" i="1" s="1"/>
  <c r="I120" i="1"/>
  <c r="J120" i="1" s="1"/>
  <c r="I119" i="1"/>
  <c r="J119" i="1" s="1"/>
  <c r="I118" i="1"/>
  <c r="J118" i="1" s="1"/>
  <c r="I117" i="1"/>
  <c r="J117" i="1" s="1"/>
  <c r="I116" i="1"/>
  <c r="J116" i="1" s="1"/>
  <c r="I115" i="1"/>
  <c r="J115" i="1" s="1"/>
  <c r="I114" i="1"/>
  <c r="I113" i="1"/>
  <c r="I112" i="1"/>
  <c r="I111" i="1"/>
  <c r="I110" i="1"/>
  <c r="I109" i="1"/>
  <c r="I108" i="1"/>
  <c r="J108" i="1" s="1"/>
  <c r="I107" i="1"/>
  <c r="J107" i="1" s="1"/>
  <c r="I106" i="1"/>
  <c r="J106" i="1" s="1"/>
  <c r="I105" i="1"/>
  <c r="J105" i="1" s="1"/>
  <c r="I104" i="1"/>
  <c r="J104" i="1" s="1"/>
  <c r="I103" i="1"/>
  <c r="I102" i="1"/>
  <c r="J102" i="1" s="1"/>
  <c r="I101" i="1"/>
  <c r="J101" i="1" s="1"/>
  <c r="I100" i="1"/>
  <c r="J100" i="1" s="1"/>
  <c r="I99" i="1"/>
  <c r="I98" i="1"/>
  <c r="J98" i="1" s="1"/>
  <c r="I97" i="1"/>
  <c r="J97" i="1" s="1"/>
  <c r="I96" i="1"/>
  <c r="J96" i="1" s="1"/>
  <c r="I95" i="1"/>
  <c r="J95" i="1" s="1"/>
  <c r="I94" i="1"/>
  <c r="I93" i="1"/>
  <c r="I92" i="1"/>
  <c r="I91" i="1"/>
  <c r="I90" i="1"/>
  <c r="I89" i="1"/>
  <c r="I88" i="1"/>
  <c r="J88" i="1" s="1"/>
  <c r="I87" i="1"/>
  <c r="J87" i="1" s="1"/>
  <c r="I86" i="1"/>
  <c r="J86" i="1" s="1"/>
  <c r="I85" i="1"/>
  <c r="J85" i="1" s="1"/>
  <c r="I84" i="1"/>
  <c r="J84" i="1" s="1"/>
  <c r="I83" i="1"/>
  <c r="I82" i="1"/>
  <c r="J82" i="1" s="1"/>
  <c r="I81" i="1"/>
  <c r="J81" i="1" s="1"/>
  <c r="I80" i="1"/>
  <c r="J80" i="1" s="1"/>
  <c r="I79" i="1"/>
  <c r="J79" i="1" s="1"/>
  <c r="I78" i="1"/>
  <c r="J78" i="1" s="1"/>
  <c r="I77" i="1"/>
  <c r="J77" i="1" s="1"/>
  <c r="I76" i="1"/>
  <c r="J76" i="1" s="1"/>
  <c r="I75" i="1"/>
  <c r="J75" i="1" s="1"/>
  <c r="I74" i="1"/>
  <c r="I73" i="1"/>
  <c r="I72" i="1"/>
  <c r="I71" i="1"/>
  <c r="I70" i="1"/>
  <c r="I69" i="1"/>
  <c r="I68" i="1"/>
  <c r="J68" i="1" s="1"/>
  <c r="I67" i="1"/>
  <c r="J67" i="1" s="1"/>
  <c r="I66" i="1"/>
  <c r="J66" i="1" s="1"/>
  <c r="I65" i="1"/>
  <c r="J65" i="1" s="1"/>
  <c r="I64" i="1"/>
  <c r="J64" i="1" s="1"/>
  <c r="I63" i="1"/>
  <c r="I62" i="1"/>
  <c r="J62" i="1" s="1"/>
  <c r="I61" i="1"/>
  <c r="J61" i="1" s="1"/>
  <c r="I60" i="1"/>
  <c r="J60" i="1" s="1"/>
  <c r="I59" i="1"/>
  <c r="I58" i="1"/>
  <c r="I57" i="1"/>
  <c r="J57" i="1" s="1"/>
  <c r="I56" i="1"/>
  <c r="J56" i="1" s="1"/>
  <c r="I55" i="1"/>
  <c r="J55" i="1" s="1"/>
  <c r="I54" i="1"/>
  <c r="I53" i="1"/>
  <c r="I52" i="1"/>
  <c r="I51" i="1"/>
  <c r="I50" i="1"/>
  <c r="I49" i="1"/>
  <c r="I48" i="1"/>
  <c r="J48" i="1" s="1"/>
  <c r="I47" i="1"/>
  <c r="J47" i="1" s="1"/>
  <c r="I46" i="1"/>
  <c r="J46" i="1" s="1"/>
  <c r="I45" i="1"/>
  <c r="J45" i="1" s="1"/>
  <c r="I44" i="1"/>
  <c r="J44" i="1" s="1"/>
  <c r="I43" i="1"/>
  <c r="I42" i="1"/>
  <c r="J42" i="1" s="1"/>
  <c r="I41" i="1"/>
  <c r="J41" i="1" s="1"/>
  <c r="I40" i="1"/>
  <c r="J40" i="1" s="1"/>
  <c r="I39" i="1"/>
  <c r="J39" i="1" s="1"/>
  <c r="I38" i="1"/>
  <c r="J38" i="1" s="1"/>
  <c r="I37" i="1"/>
  <c r="J37" i="1" s="1"/>
  <c r="I36" i="1"/>
  <c r="J36" i="1" s="1"/>
  <c r="I35" i="1"/>
  <c r="J35" i="1" s="1"/>
  <c r="I34" i="1"/>
  <c r="I33" i="1"/>
  <c r="I32" i="1"/>
  <c r="I31" i="1"/>
  <c r="I30" i="1"/>
  <c r="I29" i="1"/>
  <c r="I28" i="1"/>
  <c r="J28" i="1" s="1"/>
  <c r="I27" i="1"/>
  <c r="J27" i="1" s="1"/>
  <c r="I26" i="1"/>
  <c r="J26" i="1" s="1"/>
  <c r="I25" i="1"/>
  <c r="J25" i="1" s="1"/>
  <c r="I24" i="1"/>
  <c r="J24" i="1" s="1"/>
  <c r="I23" i="1"/>
  <c r="I22" i="1"/>
  <c r="J22" i="1" s="1"/>
  <c r="I21" i="1"/>
  <c r="J21" i="1" s="1"/>
  <c r="I20" i="1"/>
  <c r="J20" i="1" s="1"/>
  <c r="I19" i="1"/>
  <c r="I18" i="1"/>
  <c r="I17" i="1"/>
  <c r="J17" i="1" s="1"/>
  <c r="I16" i="1"/>
  <c r="J16" i="1" s="1"/>
  <c r="I15" i="1"/>
  <c r="J15" i="1" s="1"/>
  <c r="I14" i="1"/>
  <c r="I13" i="1"/>
  <c r="I12" i="1"/>
  <c r="I11" i="1"/>
  <c r="I10" i="1"/>
  <c r="I9" i="1"/>
  <c r="I8" i="1"/>
  <c r="J8" i="1" s="1"/>
  <c r="I7" i="1"/>
  <c r="J7" i="1" s="1"/>
  <c r="I6" i="1"/>
  <c r="J6" i="1" s="1"/>
  <c r="I5" i="1"/>
  <c r="J5" i="1" s="1"/>
  <c r="I4" i="1"/>
  <c r="J4" i="1" s="1"/>
  <c r="I3" i="1"/>
  <c r="I2" i="1"/>
  <c r="J2" i="1" s="1"/>
</calcChain>
</file>

<file path=xl/sharedStrings.xml><?xml version="1.0" encoding="utf-8"?>
<sst xmlns="http://schemas.openxmlformats.org/spreadsheetml/2006/main" count="5907" uniqueCount="1597">
  <si>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</si>
  <si>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</si>
  <si>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</si>
  <si>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</si>
  <si>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</si>
  <si>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</si>
  <si>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</si>
  <si>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</si>
  <si>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</si>
  <si>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A2A</t>
  </si>
  <si>
    <t>AALBERTS NV</t>
  </si>
  <si>
    <t>ABIVAX</t>
  </si>
  <si>
    <t>ABN AMRO BANK N.V.</t>
  </si>
  <si>
    <t>ACCIONA</t>
  </si>
  <si>
    <t>ACCOR</t>
  </si>
  <si>
    <t>ACEA</t>
  </si>
  <si>
    <t>ACERINOX SA</t>
  </si>
  <si>
    <t>ACKERMANS V.HAAREN</t>
  </si>
  <si>
    <t>ACS ACTIVIDADES CONS</t>
  </si>
  <si>
    <t>ADIDAS AG</t>
  </si>
  <si>
    <t>ADMICOM OYJ</t>
  </si>
  <si>
    <t>ADP</t>
  </si>
  <si>
    <t>ADYEN</t>
  </si>
  <si>
    <t>AEDIFICA</t>
  </si>
  <si>
    <t>AEGON</t>
  </si>
  <si>
    <t>AENA SME</t>
  </si>
  <si>
    <t>AHOLD DEL</t>
  </si>
  <si>
    <t>AIR FRANCE -KLM</t>
  </si>
  <si>
    <t>AIXTRON</t>
  </si>
  <si>
    <t>AKTIA BANK PLC A</t>
  </si>
  <si>
    <t>AKZO NOBEL</t>
  </si>
  <si>
    <t>ALLFUNDS GROUP</t>
  </si>
  <si>
    <t>ALMIRALL SA</t>
  </si>
  <si>
    <t>ALSTOM</t>
  </si>
  <si>
    <t>ALTEN</t>
  </si>
  <si>
    <t>AMG</t>
  </si>
  <si>
    <t>AMPLIFON</t>
  </si>
  <si>
    <t>AMUNDI</t>
  </si>
  <si>
    <t>ANDRITZ AG</t>
  </si>
  <si>
    <t>APERAM</t>
  </si>
  <si>
    <t>ARCADIS</t>
  </si>
  <si>
    <t>ARCELORMITTAL SA</t>
  </si>
  <si>
    <t>ARGAN</t>
  </si>
  <si>
    <t>ARKEMA</t>
  </si>
  <si>
    <t>AROUNDTOWN SA</t>
  </si>
  <si>
    <t>ASM INTERNATIONAL</t>
  </si>
  <si>
    <t>ASR NEDERLAND</t>
  </si>
  <si>
    <t>AT &amp; S AUSTRIA TECH &amp; SYSTEM</t>
  </si>
  <si>
    <t>ATOSS SOFTWARE AG</t>
  </si>
  <si>
    <t>AUMOVIO</t>
  </si>
  <si>
    <t>AURUBIS AG</t>
  </si>
  <si>
    <t>AUTO1 GROUP SE</t>
  </si>
  <si>
    <t>AVIO</t>
  </si>
  <si>
    <t>AYVENS</t>
  </si>
  <si>
    <t>AZELIS GROUP</t>
  </si>
  <si>
    <t>AZIMUT</t>
  </si>
  <si>
    <t>BAM GROEP KON</t>
  </si>
  <si>
    <t>BANCA GENERALI</t>
  </si>
  <si>
    <t>BANCA IFIS</t>
  </si>
  <si>
    <t>BANCA MEDIOLANUM</t>
  </si>
  <si>
    <t>BANCO BPM</t>
  </si>
  <si>
    <t>BANCO DE SABADELL</t>
  </si>
  <si>
    <t>BANCO DI DESIO E DEL</t>
  </si>
  <si>
    <t>BANKINTER SA</t>
  </si>
  <si>
    <t>BARCO</t>
  </si>
  <si>
    <t>BASIC-FIT</t>
  </si>
  <si>
    <t>BAYER AG</t>
  </si>
  <si>
    <t>BCA POP SONDRIO</t>
  </si>
  <si>
    <t>BE SEMICONDUCTOR</t>
  </si>
  <si>
    <t>BECHTLE AG</t>
  </si>
  <si>
    <t>BEFESA SA</t>
  </si>
  <si>
    <t>BEIERSDORF AG</t>
  </si>
  <si>
    <t>BEKAERT</t>
  </si>
  <si>
    <t>BFF BANK</t>
  </si>
  <si>
    <t>BILFINGER SE</t>
  </si>
  <si>
    <t>BIOMERIEUX</t>
  </si>
  <si>
    <t>BITTIUM CORPORATION</t>
  </si>
  <si>
    <t>BMW</t>
  </si>
  <si>
    <t>BMW AG PREF</t>
  </si>
  <si>
    <t>BOUYGUES</t>
  </si>
  <si>
    <t>BPER BANCA</t>
  </si>
  <si>
    <t>BREMBO</t>
  </si>
  <si>
    <t>BRENNTAG SE</t>
  </si>
  <si>
    <t>BRUNELLO CUCINELLI</t>
  </si>
  <si>
    <t>BUREAU VERITAS</t>
  </si>
  <si>
    <t>BUZZI</t>
  </si>
  <si>
    <t>CA IMMOBILIEN ANLGN</t>
  </si>
  <si>
    <t>CAF</t>
  </si>
  <si>
    <t>CAMPARI</t>
  </si>
  <si>
    <t>CAPGEMINI</t>
  </si>
  <si>
    <t>CAPMAN OYJ B</t>
  </si>
  <si>
    <t>CAREL INDUSTRIES</t>
  </si>
  <si>
    <t>CARL ZEISS MEDITEC</t>
  </si>
  <si>
    <t>CARMILA</t>
  </si>
  <si>
    <t>CARREFOUR</t>
  </si>
  <si>
    <t>CECONOMY TENDERED</t>
  </si>
  <si>
    <t>CELLNEX TELECOM</t>
  </si>
  <si>
    <t>CEMBRE</t>
  </si>
  <si>
    <t>CEMENTIR HOLDING</t>
  </si>
  <si>
    <t>CIE AUTOMOTIVE S.A.</t>
  </si>
  <si>
    <t>CIR</t>
  </si>
  <si>
    <t>CITYCON OYJ</t>
  </si>
  <si>
    <t>CMB.TECH</t>
  </si>
  <si>
    <t>COFACE</t>
  </si>
  <si>
    <t>COFINIMMO</t>
  </si>
  <si>
    <t>COLONIAL SFL ORD</t>
  </si>
  <si>
    <t>COLRUYT</t>
  </si>
  <si>
    <t>COMMERZBANK AG</t>
  </si>
  <si>
    <t>CONTINENTAL AG</t>
  </si>
  <si>
    <t>CORBION</t>
  </si>
  <si>
    <t>CORP ACC ENERGIAS</t>
  </si>
  <si>
    <t>CORPORACION MAPFRE</t>
  </si>
  <si>
    <t>CORTICEIRA AMORIM</t>
  </si>
  <si>
    <t>COVESTRO AG</t>
  </si>
  <si>
    <t>COVIVIO</t>
  </si>
  <si>
    <t>CREDEM</t>
  </si>
  <si>
    <t>CREDIT AGRICOLE</t>
  </si>
  <si>
    <t>CTS EVENTIM AG</t>
  </si>
  <si>
    <t>CTT CORREIOS PORT</t>
  </si>
  <si>
    <t>CVC CAPITAL</t>
  </si>
  <si>
    <t>D'IETEREN GROUP</t>
  </si>
  <si>
    <t>DAIMLER TRUCK HLDNG</t>
  </si>
  <si>
    <t>DANIELI &amp; C</t>
  </si>
  <si>
    <t>DANIELI &amp; C RISP</t>
  </si>
  <si>
    <t>DASSAULT AVIATION</t>
  </si>
  <si>
    <t>DASSAULT SYSTEMES</t>
  </si>
  <si>
    <t>DE'LONGHI</t>
  </si>
  <si>
    <t>DELIVERY HERO SE</t>
  </si>
  <si>
    <t>DEME GROUP</t>
  </si>
  <si>
    <t>DEUTSCHE WOHNEN SE</t>
  </si>
  <si>
    <t>DEUTZ AG</t>
  </si>
  <si>
    <t>DIASORIN</t>
  </si>
  <si>
    <t>DO &amp; CO AKTIENGESELLSCHAFT</t>
  </si>
  <si>
    <t>DSM FIRMENICH AG</t>
  </si>
  <si>
    <t>DURR</t>
  </si>
  <si>
    <t>DWS GROUP GMBH &amp; CO</t>
  </si>
  <si>
    <t>EDENRED</t>
  </si>
  <si>
    <t>EDP RENOVAVEIS</t>
  </si>
  <si>
    <t>EIFFAGE</t>
  </si>
  <si>
    <t>EL.EN.</t>
  </si>
  <si>
    <t>ELECNOR SA</t>
  </si>
  <si>
    <t>ELIA GROUP</t>
  </si>
  <si>
    <t>ELIS</t>
  </si>
  <si>
    <t>ELISA OYJ</t>
  </si>
  <si>
    <t>EMEIS</t>
  </si>
  <si>
    <t>ENAGAS</t>
  </si>
  <si>
    <t>ENAV</t>
  </si>
  <si>
    <t>ENDESA</t>
  </si>
  <si>
    <t>ENDOMINES FINLAND OY</t>
  </si>
  <si>
    <t>ENENTO GROUP OYJ</t>
  </si>
  <si>
    <t>ENGIE</t>
  </si>
  <si>
    <t>ERG</t>
  </si>
  <si>
    <t>EURAZEO</t>
  </si>
  <si>
    <t>EUROCOMMERCIAL</t>
  </si>
  <si>
    <t>EUROFINS SCIENT.</t>
  </si>
  <si>
    <t>EURONEXT</t>
  </si>
  <si>
    <t>EVONIK INDUSTRIES AG</t>
  </si>
  <si>
    <t>EVOTEC SE</t>
  </si>
  <si>
    <t>EXOR NV</t>
  </si>
  <si>
    <t>EXOSENS</t>
  </si>
  <si>
    <t>FAES FARMA SA</t>
  </si>
  <si>
    <t>FAGRON</t>
  </si>
  <si>
    <t>FARON PHARMA</t>
  </si>
  <si>
    <t>FDJ UNITED</t>
  </si>
  <si>
    <t>FERRETTI S.P.A.</t>
  </si>
  <si>
    <t>FERROVIAL</t>
  </si>
  <si>
    <t>FIELMANN GROUP AG</t>
  </si>
  <si>
    <t>FINCANTIERI</t>
  </si>
  <si>
    <t>FINECOBANK</t>
  </si>
  <si>
    <t>FINNAIR OYJ</t>
  </si>
  <si>
    <t>FLATEXDEGIRO AG</t>
  </si>
  <si>
    <t>FLOW TRADERS</t>
  </si>
  <si>
    <t>FLUIDRA</t>
  </si>
  <si>
    <t>FORTUM OYJ</t>
  </si>
  <si>
    <t>FORVIA</t>
  </si>
  <si>
    <t>FRAPORT</t>
  </si>
  <si>
    <t>FREENET AG</t>
  </si>
  <si>
    <t>FRESENIUS MEDICAL</t>
  </si>
  <si>
    <t>FRESENIUS SE &amp; CO</t>
  </si>
  <si>
    <t>FUCHS SE PREF</t>
  </si>
  <si>
    <t>GALAPAGOS</t>
  </si>
  <si>
    <t>GAS PLUS S.P.A.</t>
  </si>
  <si>
    <t>GBL</t>
  </si>
  <si>
    <t>GEA GROUP AG</t>
  </si>
  <si>
    <t>GECINA</t>
  </si>
  <si>
    <t>GETLINK SE</t>
  </si>
  <si>
    <t>GIMV</t>
  </si>
  <si>
    <t>GRAND CITY PROPERTIE</t>
  </si>
  <si>
    <t>GREENCOAT REN.</t>
  </si>
  <si>
    <t>GRENERGY RENOVABLES</t>
  </si>
  <si>
    <t>GRIFOLS S.A. PREF B</t>
  </si>
  <si>
    <t>GRIFOLS SA</t>
  </si>
  <si>
    <t>GRK INFRA PLC</t>
  </si>
  <si>
    <t>GTT</t>
  </si>
  <si>
    <t>GVS</t>
  </si>
  <si>
    <t>HANNOVER RUECK SE</t>
  </si>
  <si>
    <t>HARVIA OYJ</t>
  </si>
  <si>
    <t>HAVAS</t>
  </si>
  <si>
    <t>HBX GROUP INTERN</t>
  </si>
  <si>
    <t>HEIDELBERG MAT</t>
  </si>
  <si>
    <t>HEIJMANS KON</t>
  </si>
  <si>
    <t>HEINEKEN</t>
  </si>
  <si>
    <t>HEINEKEN HOLDING</t>
  </si>
  <si>
    <t>HENKEL AG &amp; CO PREF</t>
  </si>
  <si>
    <t>HENKEL AG &amp; CO. KGAA</t>
  </si>
  <si>
    <t>HENSOLDT AG</t>
  </si>
  <si>
    <t>HERA</t>
  </si>
  <si>
    <t>HIAB CORPORATION B</t>
  </si>
  <si>
    <t>HOCHTIEF</t>
  </si>
  <si>
    <t>HUGO BOSS AG</t>
  </si>
  <si>
    <t>HUHTAMAKI OYJ</t>
  </si>
  <si>
    <t>ID LOGISTICS GROUP</t>
  </si>
  <si>
    <t>IMCD</t>
  </si>
  <si>
    <t>INDRA SISTEMAS SA</t>
  </si>
  <si>
    <t>INPOST</t>
  </si>
  <si>
    <t>INTERCOS</t>
  </si>
  <si>
    <t>INTERPUMP GROUP</t>
  </si>
  <si>
    <t>INWIT</t>
  </si>
  <si>
    <t>IONOS GROUP SE</t>
  </si>
  <si>
    <t>IPSEN</t>
  </si>
  <si>
    <t>IPSOS</t>
  </si>
  <si>
    <t>IREN</t>
  </si>
  <si>
    <t>ITALGAS</t>
  </si>
  <si>
    <t>ITALMOBILIARE</t>
  </si>
  <si>
    <t>IVECO GROUP</t>
  </si>
  <si>
    <t>J.MARTINS,SGPS</t>
  </si>
  <si>
    <t>JCDECAUX</t>
  </si>
  <si>
    <t>JDE PEET'S</t>
  </si>
  <si>
    <t>JENOPTIK AG</t>
  </si>
  <si>
    <t>JUNGHEINRICH AG PREF</t>
  </si>
  <si>
    <t>K S AG</t>
  </si>
  <si>
    <t>KALMAR</t>
  </si>
  <si>
    <t>KBC ANCORA</t>
  </si>
  <si>
    <t>KEMIRA OYJ</t>
  </si>
  <si>
    <t>KEMPOWER OY</t>
  </si>
  <si>
    <t>KERING</t>
  </si>
  <si>
    <t>KESKO B</t>
  </si>
  <si>
    <t>KION GROUP AG</t>
  </si>
  <si>
    <t>KLEPIERRE</t>
  </si>
  <si>
    <t>KNORR-BREMSE AG</t>
  </si>
  <si>
    <t>KOJAMO OYJ</t>
  </si>
  <si>
    <t>KONECRANES ABP</t>
  </si>
  <si>
    <t>KONTRON AG</t>
  </si>
  <si>
    <t>KPN KON</t>
  </si>
  <si>
    <t>KRONES AG</t>
  </si>
  <si>
    <t>KSB SE &amp; CO. KGAA VO</t>
  </si>
  <si>
    <t>LABORATORIOS FARMACEUTICOS ROVI SA</t>
  </si>
  <si>
    <t>LANXESS AG</t>
  </si>
  <si>
    <t>LASSILA &amp; TIKANOJA OYJ</t>
  </si>
  <si>
    <t>LEG IMMOBILIEN SE</t>
  </si>
  <si>
    <t>LEGRAND</t>
  </si>
  <si>
    <t>LENZING AG</t>
  </si>
  <si>
    <t>LISI</t>
  </si>
  <si>
    <t>LOGISTA INTEGRAL SA</t>
  </si>
  <si>
    <t>LOTTOMATICA GROUP</t>
  </si>
  <si>
    <t>LOTUS BAKERIES</t>
  </si>
  <si>
    <t>LOUIS HACHETTE</t>
  </si>
  <si>
    <t>LU-VE S.P.A.</t>
  </si>
  <si>
    <t>LUFTHANSA</t>
  </si>
  <si>
    <t>MAGNUM</t>
  </si>
  <si>
    <t>MAIRE</t>
  </si>
  <si>
    <t>MANDATUM</t>
  </si>
  <si>
    <t>MARIMEKKO OYJ</t>
  </si>
  <si>
    <t>MAYR-MELNHOF KARTON</t>
  </si>
  <si>
    <t>MEDINCELL</t>
  </si>
  <si>
    <t>MEDIOBANCA</t>
  </si>
  <si>
    <t>MELEXIS</t>
  </si>
  <si>
    <t>MERCIALYS</t>
  </si>
  <si>
    <t>MERCK KGA</t>
  </si>
  <si>
    <t>MERLIN PROPERTIES</t>
  </si>
  <si>
    <t>METSA BOARD OYJ B</t>
  </si>
  <si>
    <t>MFE A</t>
  </si>
  <si>
    <t>MICHELIN</t>
  </si>
  <si>
    <t>MOLTIPLY GROUP</t>
  </si>
  <si>
    <t>MONCLER</t>
  </si>
  <si>
    <t>MONTEA</t>
  </si>
  <si>
    <t>MOTA ENGIL</t>
  </si>
  <si>
    <t>MTU AERO ENGINES AG</t>
  </si>
  <si>
    <t>NATURGY ENERGY GROUP</t>
  </si>
  <si>
    <t>NEMETSCHEK SE</t>
  </si>
  <si>
    <t>NESTE OIL OYJ</t>
  </si>
  <si>
    <t>NEWPRINCES S.P.A.</t>
  </si>
  <si>
    <t>NEXANS</t>
  </si>
  <si>
    <t>NEXI</t>
  </si>
  <si>
    <t>NN GROUP</t>
  </si>
  <si>
    <t>NOKIAN TYRES OYJ</t>
  </si>
  <si>
    <t>NORDEX SE</t>
  </si>
  <si>
    <t>NOS, SGPS</t>
  </si>
  <si>
    <t>OLVI OYJ A</t>
  </si>
  <si>
    <t>OPMOBILITY</t>
  </si>
  <si>
    <t>ORANGE</t>
  </si>
  <si>
    <t>ORIGIN ENT. PLC</t>
  </si>
  <si>
    <t>ORION OYJ CLASS B</t>
  </si>
  <si>
    <t>OSTERREICHISCHE POST AG</t>
  </si>
  <si>
    <t>OUTOKUMPU</t>
  </si>
  <si>
    <t>OVS</t>
  </si>
  <si>
    <t>PALFINGER AG</t>
  </si>
  <si>
    <t>PERNOD RICARD</t>
  </si>
  <si>
    <t>PHARMA MAR SA</t>
  </si>
  <si>
    <t>PHARMING GROUP</t>
  </si>
  <si>
    <t>PHILIPS KON</t>
  </si>
  <si>
    <t>PIHLAJALINNA PLC</t>
  </si>
  <si>
    <t>PIRELLI &amp; C</t>
  </si>
  <si>
    <t>PLUXEE</t>
  </si>
  <si>
    <t>PORR AG</t>
  </si>
  <si>
    <t>PORSCHE AG</t>
  </si>
  <si>
    <t>PORSCHE PREF</t>
  </si>
  <si>
    <t>POSTE ITALIANE</t>
  </si>
  <si>
    <t>PROXIMUS</t>
  </si>
  <si>
    <t>PUBLICIS GROUPE SA</t>
  </si>
  <si>
    <t>PUIG BRANDS S.A.</t>
  </si>
  <si>
    <t>PUMA</t>
  </si>
  <si>
    <t>PUUILO OYJ</t>
  </si>
  <si>
    <t>QIAGEN NV</t>
  </si>
  <si>
    <t>QT GROUP PLC</t>
  </si>
  <si>
    <t>RAI WAY</t>
  </si>
  <si>
    <t>RAIFFEISEN BANK INTL</t>
  </si>
  <si>
    <t>RAISIO PLC V</t>
  </si>
  <si>
    <t>RANDSTAD NV</t>
  </si>
  <si>
    <t>RATIONAL AG</t>
  </si>
  <si>
    <t>RECORDATI ORD</t>
  </si>
  <si>
    <t>REDCARE PHARMACY</t>
  </si>
  <si>
    <t>REDEIA CORP</t>
  </si>
  <si>
    <t>REMY COINTREAU</t>
  </si>
  <si>
    <t>REN</t>
  </si>
  <si>
    <t>RENAULT</t>
  </si>
  <si>
    <t>RENK GROUP</t>
  </si>
  <si>
    <t>REPLY</t>
  </si>
  <si>
    <t>REPSOL</t>
  </si>
  <si>
    <t>RETAIL ESTATES</t>
  </si>
  <si>
    <t>REVENIO GROUP OYJ</t>
  </si>
  <si>
    <t>REVO INSURANCE</t>
  </si>
  <si>
    <t>REXEL</t>
  </si>
  <si>
    <t>RTL GROUP SA</t>
  </si>
  <si>
    <t>RUBIS</t>
  </si>
  <si>
    <t>RWE AG</t>
  </si>
  <si>
    <t>S.E.B.</t>
  </si>
  <si>
    <t>SACYR SA</t>
  </si>
  <si>
    <t>SAFILO GROUP S.P.A.</t>
  </si>
  <si>
    <t>SAINT GOBAIN</t>
  </si>
  <si>
    <t>SAIPEM</t>
  </si>
  <si>
    <t>SALV FERRAGAMO</t>
  </si>
  <si>
    <t>SANLORENZO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</si>
  <si>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</si>
  <si>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</si>
  <si>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</si>
  <si>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</si>
  <si>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</si>
  <si>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</si>
  <si>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</si>
  <si>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SESA</t>
  </si>
  <si>
    <t>SHURGARD</t>
  </si>
  <si>
    <t>SIEMENS HEALTHINEERS</t>
  </si>
  <si>
    <t>SIGNIFY NV</t>
  </si>
  <si>
    <t>SIXT SE</t>
  </si>
  <si>
    <t>SIXT SE PREF</t>
  </si>
  <si>
    <t>SMA SOLAR TECHNOLOGY</t>
  </si>
  <si>
    <t>SNAM</t>
  </si>
  <si>
    <t>SOCIETE GENERALE</t>
  </si>
  <si>
    <t>SODEXO</t>
  </si>
  <si>
    <t>SOFINA</t>
  </si>
  <si>
    <t>SOL S.P.A.</t>
  </si>
  <si>
    <t>SOLVAY</t>
  </si>
  <si>
    <t>SONAE</t>
  </si>
  <si>
    <t>SOPRA STERIA GROUP</t>
  </si>
  <si>
    <t>SPIE</t>
  </si>
  <si>
    <t>STMICROELECTRONICS</t>
  </si>
  <si>
    <t>STOCKMANN OYJ ABP B</t>
  </si>
  <si>
    <t>STORA ENSO OYJ</t>
  </si>
  <si>
    <t>STROEER SE &amp; CO</t>
  </si>
  <si>
    <t>SYENSQO</t>
  </si>
  <si>
    <t>SYMRISE AG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</si>
  <si>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</si>
  <si>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</si>
  <si>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</si>
  <si>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</si>
  <si>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</si>
  <si>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</si>
  <si>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</si>
  <si>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</si>
  <si>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</t>
  </si>
  <si>
    <t>TELECOM ITALIA R</t>
  </si>
  <si>
    <t>TELEFONICA</t>
  </si>
  <si>
    <t>TELEPERFORMANCE</t>
  </si>
  <si>
    <t>TENARIS</t>
  </si>
  <si>
    <t>TERNA</t>
  </si>
  <si>
    <t>TERVEYSTALO OY A</t>
  </si>
  <si>
    <t>TESSENDERLO</t>
  </si>
  <si>
    <t>TF1</t>
  </si>
  <si>
    <t>THALES</t>
  </si>
  <si>
    <t>THE NAVIGATOR COMP</t>
  </si>
  <si>
    <t>THYSSENKRUPP AG</t>
  </si>
  <si>
    <t>TIETOEVRY</t>
  </si>
  <si>
    <t>TKH GROUP</t>
  </si>
  <si>
    <t>TOKMANNI GROUP OYJ</t>
  </si>
  <si>
    <t>TRATON SE</t>
  </si>
  <si>
    <t>TRIGANO</t>
  </si>
  <si>
    <t>TUBIZE-FIN</t>
  </si>
  <si>
    <t>TUI AG</t>
  </si>
  <si>
    <t>UMG</t>
  </si>
  <si>
    <t>UMICORE</t>
  </si>
  <si>
    <t>UNIBAIL-RODAMCO-WE</t>
  </si>
  <si>
    <t>UNICAJA BANCO SA</t>
  </si>
  <si>
    <t>UNIPOL</t>
  </si>
  <si>
    <t>UNIQA INSURANCE GROUP AG</t>
  </si>
  <si>
    <t>UNITED INTERNET</t>
  </si>
  <si>
    <t>V LANSCHOT KEMPEN</t>
  </si>
  <si>
    <t>VAISALA OYJ A</t>
  </si>
  <si>
    <t>VALEO</t>
  </si>
  <si>
    <t>VALLOUREC</t>
  </si>
  <si>
    <t>VALMET</t>
  </si>
  <si>
    <t>VEOLIA ENVIRON.</t>
  </si>
  <si>
    <t>VERBUND AG</t>
  </si>
  <si>
    <t>VGP</t>
  </si>
  <si>
    <t>VICAT</t>
  </si>
  <si>
    <t>VIDRALA SA</t>
  </si>
  <si>
    <t>VIRBAC</t>
  </si>
  <si>
    <t>VISCOFAN SA</t>
  </si>
  <si>
    <t>VIVENDI SE</t>
  </si>
  <si>
    <t>VOESTALPINE AG</t>
  </si>
  <si>
    <t>VOLKSWAGEN PREF</t>
  </si>
  <si>
    <t>VONOVIA SE</t>
  </si>
  <si>
    <t>VOPAK</t>
  </si>
  <si>
    <t>VUSIONGROUP</t>
  </si>
  <si>
    <t>WACKER CHEMIE</t>
  </si>
  <si>
    <t>WDP</t>
  </si>
  <si>
    <t>WEBUILD</t>
  </si>
  <si>
    <t>WENDEL</t>
  </si>
  <si>
    <t>WIENERBERGER AG</t>
  </si>
  <si>
    <t>WITHSECURE CORP</t>
  </si>
  <si>
    <t>WOLTERS KLUWER</t>
  </si>
  <si>
    <t>XIOR</t>
  </si>
  <si>
    <t>YIT OYJ</t>
  </si>
  <si>
    <t>ZALANDO SE</t>
  </si>
  <si>
    <t>DE0005545503</t>
  </si>
  <si>
    <t>IT0001233417</t>
  </si>
  <si>
    <t>NL0000852564</t>
  </si>
  <si>
    <t>FR0012333284</t>
  </si>
  <si>
    <t>NL0011540547</t>
  </si>
  <si>
    <t>ES0125220311</t>
  </si>
  <si>
    <t>FR0000120404</t>
  </si>
  <si>
    <t>IT0001207098</t>
  </si>
  <si>
    <t>ES0132105018</t>
  </si>
  <si>
    <t>BE0003764785</t>
  </si>
  <si>
    <t>ES0167050915</t>
  </si>
  <si>
    <t>DE000A1EWWW0</t>
  </si>
  <si>
    <t>FI4000251830</t>
  </si>
  <si>
    <t>FR0010340141</t>
  </si>
  <si>
    <t>NL0012969182</t>
  </si>
  <si>
    <t>BE0003851681</t>
  </si>
  <si>
    <t>BMG0112X1056</t>
  </si>
  <si>
    <t>ES0105046017</t>
  </si>
  <si>
    <t>NL0011794037</t>
  </si>
  <si>
    <t>FR001400J770</t>
  </si>
  <si>
    <t>DE000A0WMPJ6</t>
  </si>
  <si>
    <t>FI4000058870</t>
  </si>
  <si>
    <t>NL0013267909</t>
  </si>
  <si>
    <t>GB00BNTJ3546</t>
  </si>
  <si>
    <t>ES0157097017</t>
  </si>
  <si>
    <t>FR0010220475</t>
  </si>
  <si>
    <t>FR0000071946</t>
  </si>
  <si>
    <t>NL0000888691</t>
  </si>
  <si>
    <t>IT0004056880</t>
  </si>
  <si>
    <t>FR0004125920</t>
  </si>
  <si>
    <t>AT0000730007</t>
  </si>
  <si>
    <t>LU0569974404</t>
  </si>
  <si>
    <t>NL0006237562</t>
  </si>
  <si>
    <t>LU1598757687</t>
  </si>
  <si>
    <t>FR0010481960</t>
  </si>
  <si>
    <t>FR0010313833</t>
  </si>
  <si>
    <t>LU1673108939</t>
  </si>
  <si>
    <t>NL0000334118</t>
  </si>
  <si>
    <t>NL0011872643</t>
  </si>
  <si>
    <t>AT0000969985</t>
  </si>
  <si>
    <t>DE0005104400</t>
  </si>
  <si>
    <t>DE000AUM0V10</t>
  </si>
  <si>
    <t>DE0006766504</t>
  </si>
  <si>
    <t>DE000A2LQ884</t>
  </si>
  <si>
    <t>IT0005119810</t>
  </si>
  <si>
    <t>FR0013258662</t>
  </si>
  <si>
    <t>BE0974400328</t>
  </si>
  <si>
    <t>IT0003261697</t>
  </si>
  <si>
    <t>NL0000337319</t>
  </si>
  <si>
    <t>IT0001031084</t>
  </si>
  <si>
    <t>IT0003188064</t>
  </si>
  <si>
    <t>IT0004776628</t>
  </si>
  <si>
    <t>IT0005218380</t>
  </si>
  <si>
    <t>ES0113860A34</t>
  </si>
  <si>
    <t>IT0001041000</t>
  </si>
  <si>
    <t>ES0113679I37</t>
  </si>
  <si>
    <t>BE0974362940</t>
  </si>
  <si>
    <t>NL0011872650</t>
  </si>
  <si>
    <t>DE000BAY0017</t>
  </si>
  <si>
    <t>IT0000784196</t>
  </si>
  <si>
    <t>NL0012866412</t>
  </si>
  <si>
    <t>DE0005158703</t>
  </si>
  <si>
    <t>LU1704650164</t>
  </si>
  <si>
    <t>DE0005200000</t>
  </si>
  <si>
    <t>BE0974258874</t>
  </si>
  <si>
    <t>IT0005244402</t>
  </si>
  <si>
    <t>DE0005909006</t>
  </si>
  <si>
    <t>FR0013280286</t>
  </si>
  <si>
    <t>FI0009007264</t>
  </si>
  <si>
    <t>DE0005190003</t>
  </si>
  <si>
    <t>DE0005190037</t>
  </si>
  <si>
    <t>FR0000120503</t>
  </si>
  <si>
    <t>IT0000066123</t>
  </si>
  <si>
    <t>NL0015001KT6</t>
  </si>
  <si>
    <t>DE000A1DAHH0</t>
  </si>
  <si>
    <t>IT0004764699</t>
  </si>
  <si>
    <t>FR0006174348</t>
  </si>
  <si>
    <t>IT0001347308</t>
  </si>
  <si>
    <t>AT0000641352</t>
  </si>
  <si>
    <t>ES0121975009</t>
  </si>
  <si>
    <t>NL0015435975</t>
  </si>
  <si>
    <t>FR0000125338</t>
  </si>
  <si>
    <t>FI0009009377</t>
  </si>
  <si>
    <t>IT0005331019</t>
  </si>
  <si>
    <t>DE0005313704</t>
  </si>
  <si>
    <t>FR0010828137</t>
  </si>
  <si>
    <t>FR0000120172</t>
  </si>
  <si>
    <t>DE000A40ZVV0</t>
  </si>
  <si>
    <t>ES0105066007</t>
  </si>
  <si>
    <t>IT0001128047</t>
  </si>
  <si>
    <t>NL0013995087</t>
  </si>
  <si>
    <t>ES0105630315</t>
  </si>
  <si>
    <t>IT0000070786</t>
  </si>
  <si>
    <t>FI4000369947</t>
  </si>
  <si>
    <t>BE0003816338</t>
  </si>
  <si>
    <t>FR0010667147</t>
  </si>
  <si>
    <t>BE0003593044</t>
  </si>
  <si>
    <t>ES0139140174</t>
  </si>
  <si>
    <t>BE0974256852</t>
  </si>
  <si>
    <t>DE000CBK1001</t>
  </si>
  <si>
    <t>DE0005439004</t>
  </si>
  <si>
    <t>NL0010583399</t>
  </si>
  <si>
    <t>ES0105563003</t>
  </si>
  <si>
    <t>ES0124244E34</t>
  </si>
  <si>
    <t>PTCOR0AE0006</t>
  </si>
  <si>
    <t>DE0006062144</t>
  </si>
  <si>
    <t>FR0000064578</t>
  </si>
  <si>
    <t>IT0003121677</t>
  </si>
  <si>
    <t>FR0000045072</t>
  </si>
  <si>
    <t>DE0005470306</t>
  </si>
  <si>
    <t>PTCTT0AM0001</t>
  </si>
  <si>
    <t>JE00BRX98089</t>
  </si>
  <si>
    <t>BE0974259880</t>
  </si>
  <si>
    <t>DE000DTR0CK8</t>
  </si>
  <si>
    <t>IT0000076502</t>
  </si>
  <si>
    <t>IT0000076486</t>
  </si>
  <si>
    <t>FR0014004L86</t>
  </si>
  <si>
    <t>FR0014003TT8</t>
  </si>
  <si>
    <t>IT0003115950</t>
  </si>
  <si>
    <t>DE000A2E4K43</t>
  </si>
  <si>
    <t>BE0974413453</t>
  </si>
  <si>
    <t>DE000A0HN5C6</t>
  </si>
  <si>
    <t>DE0006305006</t>
  </si>
  <si>
    <t>IT0003492391</t>
  </si>
  <si>
    <t>AT0000818802</t>
  </si>
  <si>
    <t>CH1216478797</t>
  </si>
  <si>
    <t>DE0005565204</t>
  </si>
  <si>
    <t>DE000DWS1007</t>
  </si>
  <si>
    <t>FR0010908533</t>
  </si>
  <si>
    <t>ES0127797019</t>
  </si>
  <si>
    <t>FR0000130452</t>
  </si>
  <si>
    <t>IT0005453250</t>
  </si>
  <si>
    <t>ES0129743318</t>
  </si>
  <si>
    <t>BE0003822393</t>
  </si>
  <si>
    <t>FR0012435121</t>
  </si>
  <si>
    <t>FI0009007884</t>
  </si>
  <si>
    <t>FR001400NLM4</t>
  </si>
  <si>
    <t>ES0130960018</t>
  </si>
  <si>
    <t>IT0005176406</t>
  </si>
  <si>
    <t>ES0130670112</t>
  </si>
  <si>
    <t>FI4000508023</t>
  </si>
  <si>
    <t>FI4000123195</t>
  </si>
  <si>
    <t>FR0010208488</t>
  </si>
  <si>
    <t>IT0001157020</t>
  </si>
  <si>
    <t>FR0000121121</t>
  </si>
  <si>
    <t>NL0015000K93</t>
  </si>
  <si>
    <t>FR0014000MR3</t>
  </si>
  <si>
    <t>NL0006294274</t>
  </si>
  <si>
    <t>DE000EVNK013</t>
  </si>
  <si>
    <t>DE0005664809</t>
  </si>
  <si>
    <t>NL0012059018</t>
  </si>
  <si>
    <t>FR001400Q9V2</t>
  </si>
  <si>
    <t>ES0134950F36</t>
  </si>
  <si>
    <t>BE0003874915</t>
  </si>
  <si>
    <t>FI4000153309</t>
  </si>
  <si>
    <t>FR0013451333</t>
  </si>
  <si>
    <t>IT0005383291</t>
  </si>
  <si>
    <t>NL0015001FS8</t>
  </si>
  <si>
    <t>DE0005772206</t>
  </si>
  <si>
    <t>IT0005599938</t>
  </si>
  <si>
    <t>IT0000072170</t>
  </si>
  <si>
    <t>FI4000567029</t>
  </si>
  <si>
    <t>DE000FTG1111</t>
  </si>
  <si>
    <t>BMG3602E1084</t>
  </si>
  <si>
    <t>ES0137650018</t>
  </si>
  <si>
    <t>FI0009007132</t>
  </si>
  <si>
    <t>FR0000121147</t>
  </si>
  <si>
    <t>DE0005773303</t>
  </si>
  <si>
    <t>DE000A0Z2ZZ5</t>
  </si>
  <si>
    <t>DE0005785802</t>
  </si>
  <si>
    <t>DE0005785604</t>
  </si>
  <si>
    <t>DE000A3E5D64</t>
  </si>
  <si>
    <t>BE0003818359</t>
  </si>
  <si>
    <t>IT0004098510</t>
  </si>
  <si>
    <t>BE0003797140</t>
  </si>
  <si>
    <t>DE0006602006</t>
  </si>
  <si>
    <t>FR0010040865</t>
  </si>
  <si>
    <t>FR0010533075</t>
  </si>
  <si>
    <t>BE0003699130</t>
  </si>
  <si>
    <t>LU0775917882</t>
  </si>
  <si>
    <t>IE00BF2NR112</t>
  </si>
  <si>
    <t>ES0105079000</t>
  </si>
  <si>
    <t>ES0171996095</t>
  </si>
  <si>
    <t>ES0171996087</t>
  </si>
  <si>
    <t>FI4000517966</t>
  </si>
  <si>
    <t>FR0011726835</t>
  </si>
  <si>
    <t>IT0005411209</t>
  </si>
  <si>
    <t>DE0008402215</t>
  </si>
  <si>
    <t>FI4000306873</t>
  </si>
  <si>
    <t>NL0015002K83</t>
  </si>
  <si>
    <t>GB00BNXJB679</t>
  </si>
  <si>
    <t>DE0006047004</t>
  </si>
  <si>
    <t>NL0009269109</t>
  </si>
  <si>
    <t>NL0000009165</t>
  </si>
  <si>
    <t>NL0000008977</t>
  </si>
  <si>
    <t>DE0006048432</t>
  </si>
  <si>
    <t>DE0006048408</t>
  </si>
  <si>
    <t>DE000HAG0005</t>
  </si>
  <si>
    <t>IT0001250932</t>
  </si>
  <si>
    <t>FI4000571013</t>
  </si>
  <si>
    <t>DE0006070006</t>
  </si>
  <si>
    <t>DE000A1PHFF7</t>
  </si>
  <si>
    <t>FI0009000459</t>
  </si>
  <si>
    <t>FR0010929125</t>
  </si>
  <si>
    <t>NL0010801007</t>
  </si>
  <si>
    <t>ES0118594417</t>
  </si>
  <si>
    <t>LU2290522684</t>
  </si>
  <si>
    <t>IT0005455875</t>
  </si>
  <si>
    <t>IT0001078911</t>
  </si>
  <si>
    <t>IT0005090300</t>
  </si>
  <si>
    <t>DE000A3E00M1</t>
  </si>
  <si>
    <t>FR0010259150</t>
  </si>
  <si>
    <t>FR0000073298</t>
  </si>
  <si>
    <t>IT0003027817</t>
  </si>
  <si>
    <t>IT0005211237</t>
  </si>
  <si>
    <t>IT0005253205</t>
  </si>
  <si>
    <t>NL0015000LU4</t>
  </si>
  <si>
    <t>PTJMT0AE0001</t>
  </si>
  <si>
    <t>FR0000077919</t>
  </si>
  <si>
    <t>NL0014332678</t>
  </si>
  <si>
    <t>DE000A2NB601</t>
  </si>
  <si>
    <t>DE0006219934</t>
  </si>
  <si>
    <t>DE000KSAG888</t>
  </si>
  <si>
    <t>FI4000571054</t>
  </si>
  <si>
    <t>BE0003867844</t>
  </si>
  <si>
    <t>FI0009004824</t>
  </si>
  <si>
    <t>FI4000513593</t>
  </si>
  <si>
    <t>FR0000121485</t>
  </si>
  <si>
    <t>FI0009000202</t>
  </si>
  <si>
    <t>DE000KGX8881</t>
  </si>
  <si>
    <t>FR0000121964</t>
  </si>
  <si>
    <t>DE000KBX1006</t>
  </si>
  <si>
    <t>FI4000312251</t>
  </si>
  <si>
    <t>FI0009005870</t>
  </si>
  <si>
    <t>AT0000A0E9W5</t>
  </si>
  <si>
    <t>NL0000009082</t>
  </si>
  <si>
    <t>DE0006335003</t>
  </si>
  <si>
    <t>DE0006292030</t>
  </si>
  <si>
    <t>ES0157261019</t>
  </si>
  <si>
    <t>DE0005470405</t>
  </si>
  <si>
    <t>FI0009010854</t>
  </si>
  <si>
    <t>DE000LEG1110</t>
  </si>
  <si>
    <t>FR0010307819</t>
  </si>
  <si>
    <t>AT0000644505</t>
  </si>
  <si>
    <t>FR0000050353</t>
  </si>
  <si>
    <t>ES0105027009</t>
  </si>
  <si>
    <t>IT0005541336</t>
  </si>
  <si>
    <t>BE0003604155</t>
  </si>
  <si>
    <t>FR001400TL40</t>
  </si>
  <si>
    <t>IT0005107492</t>
  </si>
  <si>
    <t>DE0008232125</t>
  </si>
  <si>
    <t>NL0015002MS2</t>
  </si>
  <si>
    <t>IT0004931058</t>
  </si>
  <si>
    <t>FI4000552526</t>
  </si>
  <si>
    <t>FI0009007660</t>
  </si>
  <si>
    <t>AT0000938204</t>
  </si>
  <si>
    <t>FR0004065605</t>
  </si>
  <si>
    <t>IT0000062957</t>
  </si>
  <si>
    <t>BE0165385973</t>
  </si>
  <si>
    <t>FR0010241638</t>
  </si>
  <si>
    <t>DE0006599905</t>
  </si>
  <si>
    <t>ES0105025003</t>
  </si>
  <si>
    <t>FI0009000665</t>
  </si>
  <si>
    <t>NL0015001OI1</t>
  </si>
  <si>
    <t>FR001400AJ45</t>
  </si>
  <si>
    <t>IT0004195308</t>
  </si>
  <si>
    <t>IT0004965148</t>
  </si>
  <si>
    <t>BE0003853703</t>
  </si>
  <si>
    <t>PTMEN0AE0005</t>
  </si>
  <si>
    <t>DE000A0D9PT0</t>
  </si>
  <si>
    <t>ES0116870314</t>
  </si>
  <si>
    <t>DE0006452907</t>
  </si>
  <si>
    <t>FI0009013296</t>
  </si>
  <si>
    <t>IT0005385213</t>
  </si>
  <si>
    <t>FR0000044448</t>
  </si>
  <si>
    <t>IT0005366767</t>
  </si>
  <si>
    <t>NL0010773842</t>
  </si>
  <si>
    <t>FI0009005318</t>
  </si>
  <si>
    <t>DE000A0D6554</t>
  </si>
  <si>
    <t>PTZON0AM0006</t>
  </si>
  <si>
    <t>FI0009900401</t>
  </si>
  <si>
    <t>FR0000124570</t>
  </si>
  <si>
    <t>FR0000133308</t>
  </si>
  <si>
    <t>IE00B1WV4493</t>
  </si>
  <si>
    <t>FI0009014377</t>
  </si>
  <si>
    <t>AT0000APOST4</t>
  </si>
  <si>
    <t>FI0009002422</t>
  </si>
  <si>
    <t>IT0005043507</t>
  </si>
  <si>
    <t>AT0000758305</t>
  </si>
  <si>
    <t>FR0000120693</t>
  </si>
  <si>
    <t>ES0169501022</t>
  </si>
  <si>
    <t>NL0010391025</t>
  </si>
  <si>
    <t>NL0000009538</t>
  </si>
  <si>
    <t>FI4000092556</t>
  </si>
  <si>
    <t>IT0005278236</t>
  </si>
  <si>
    <t>NL0015001W49</t>
  </si>
  <si>
    <t>AT0000609607</t>
  </si>
  <si>
    <t>DE000PAG9113</t>
  </si>
  <si>
    <t>DE000PAH0038</t>
  </si>
  <si>
    <t>IT0003796171</t>
  </si>
  <si>
    <t>BE0003810273</t>
  </si>
  <si>
    <t>FR0000130577</t>
  </si>
  <si>
    <t>ES0105777017</t>
  </si>
  <si>
    <t>DE0006969603</t>
  </si>
  <si>
    <t>FI4000507124</t>
  </si>
  <si>
    <t>NL0015002CX3</t>
  </si>
  <si>
    <t>FI4000198031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</si>
  <si>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</si>
  <si>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</si>
  <si>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</si>
  <si>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</si>
  <si>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</si>
  <si>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</si>
  <si>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</si>
  <si>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</si>
  <si>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FR0000130395</t>
  </si>
  <si>
    <t>PTREL0AM0008</t>
  </si>
  <si>
    <t>FR0000131906</t>
  </si>
  <si>
    <t>DE000RENK730</t>
  </si>
  <si>
    <t>IT0005282865</t>
  </si>
  <si>
    <t>ES0173516115</t>
  </si>
  <si>
    <t>BE0003720340</t>
  </si>
  <si>
    <t>FI0009010912</t>
  </si>
  <si>
    <t>IT0005513202</t>
  </si>
  <si>
    <t>FR0010451203</t>
  </si>
  <si>
    <t>LU0061462528</t>
  </si>
  <si>
    <t>FR0013269123</t>
  </si>
  <si>
    <t>DE0007037129</t>
  </si>
  <si>
    <t>FR0000121709</t>
  </si>
  <si>
    <t>ES0182870214</t>
  </si>
  <si>
    <t>IT0004604762</t>
  </si>
  <si>
    <t>FR0000125007</t>
  </si>
  <si>
    <t>IT0005495657</t>
  </si>
  <si>
    <t>IT0004712375</t>
  </si>
  <si>
    <t>IT0003549422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</si>
  <si>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</si>
  <si>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</si>
  <si>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</si>
  <si>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</si>
  <si>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</si>
  <si>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</si>
  <si>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</si>
  <si>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IT0004729759</t>
  </si>
  <si>
    <t>GG00BQZCBZ44</t>
  </si>
  <si>
    <t>DE000SHL1006</t>
  </si>
  <si>
    <t>NL0011821392</t>
  </si>
  <si>
    <t>DE0007231326</t>
  </si>
  <si>
    <t>DE0007231334</t>
  </si>
  <si>
    <t>DE000A0DJ6J9</t>
  </si>
  <si>
    <t>IT0003153415</t>
  </si>
  <si>
    <t>FR0000130809</t>
  </si>
  <si>
    <t>FR0000121220</t>
  </si>
  <si>
    <t>BE0003717312</t>
  </si>
  <si>
    <t>IT0001206769</t>
  </si>
  <si>
    <t>BE0003470755</t>
  </si>
  <si>
    <t>PTSON0AM0001</t>
  </si>
  <si>
    <t>FR0000050809</t>
  </si>
  <si>
    <t>FR0012757854</t>
  </si>
  <si>
    <t>NL0000226223</t>
  </si>
  <si>
    <t>FI0009000251</t>
  </si>
  <si>
    <t>FI0009005961</t>
  </si>
  <si>
    <t>DE0007493991</t>
  </si>
  <si>
    <t>BE0974464977</t>
  </si>
  <si>
    <t>DE000SYM9999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</si>
  <si>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</si>
  <si>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</si>
  <si>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</si>
  <si>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</si>
  <si>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</si>
  <si>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</si>
  <si>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</si>
  <si>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</si>
  <si>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IT0003497168</t>
  </si>
  <si>
    <t>IT0003497176</t>
  </si>
  <si>
    <t>ES0178430E18</t>
  </si>
  <si>
    <t>FR0000051807</t>
  </si>
  <si>
    <t>LU2598331598</t>
  </si>
  <si>
    <t>IT0003242622</t>
  </si>
  <si>
    <t>FI4000252127</t>
  </si>
  <si>
    <t>BE0003555639</t>
  </si>
  <si>
    <t>FR0000054900</t>
  </si>
  <si>
    <t>FR0000121329</t>
  </si>
  <si>
    <t>PTPTI0AM0006</t>
  </si>
  <si>
    <t>DE0007500001</t>
  </si>
  <si>
    <t>FI0009000277</t>
  </si>
  <si>
    <t>NL0000852523</t>
  </si>
  <si>
    <t>FI4000197934</t>
  </si>
  <si>
    <t>DE000TRAT0N7</t>
  </si>
  <si>
    <t>FR0005691656</t>
  </si>
  <si>
    <t>BE0003823409</t>
  </si>
  <si>
    <t>DE000TUAG505</t>
  </si>
  <si>
    <t>NL0015000IY2</t>
  </si>
  <si>
    <t>BE0974320526</t>
  </si>
  <si>
    <t>FR0013326246</t>
  </si>
  <si>
    <t>ES0180907000</t>
  </si>
  <si>
    <t>IT0004810054</t>
  </si>
  <si>
    <t>AT0000821103</t>
  </si>
  <si>
    <t>DE0005089031</t>
  </si>
  <si>
    <t>NL0000302636</t>
  </si>
  <si>
    <t>FI0009900682</t>
  </si>
  <si>
    <t>FR0013176526</t>
  </si>
  <si>
    <t>FR0013506730</t>
  </si>
  <si>
    <t>FI4000074984</t>
  </si>
  <si>
    <t>FR0000124141</t>
  </si>
  <si>
    <t>AT0000746409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</si>
  <si>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</si>
  <si>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</si>
  <si>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</si>
  <si>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</si>
  <si>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</si>
  <si>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</si>
  <si>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</si>
  <si>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DE0007664039</t>
  </si>
  <si>
    <t>DE000A1ML7J1</t>
  </si>
  <si>
    <t>NL0009432491</t>
  </si>
  <si>
    <t>FR0010282822</t>
  </si>
  <si>
    <t>DE000WCH8881</t>
  </si>
  <si>
    <t>BE0974349814</t>
  </si>
  <si>
    <t>IT0003865570</t>
  </si>
  <si>
    <t>FR0000121204</t>
  </si>
  <si>
    <t>AT0000831706</t>
  </si>
  <si>
    <t>FI4000519228</t>
  </si>
  <si>
    <t>NL0000395903</t>
  </si>
  <si>
    <t>BE0974288202</t>
  </si>
  <si>
    <t>FI0009800643</t>
  </si>
  <si>
    <t>DE000ZAL1111</t>
  </si>
  <si>
    <t>XETR</t>
  </si>
  <si>
    <t>MTAA</t>
  </si>
  <si>
    <t>XAMS</t>
  </si>
  <si>
    <t>XPAR</t>
  </si>
  <si>
    <t>XMAD</t>
  </si>
  <si>
    <t>XBRU</t>
  </si>
  <si>
    <t>FSME</t>
  </si>
  <si>
    <t>XHEL</t>
  </si>
  <si>
    <t>WBAH</t>
  </si>
  <si>
    <t>XLIS</t>
  </si>
  <si>
    <t>XESM</t>
  </si>
  <si>
    <t>ALXP</t>
  </si>
  <si>
    <t>22-Dec-25</t>
  </si>
  <si>
    <t>EUR</t>
  </si>
  <si>
    <t>Change Type</t>
  </si>
  <si>
    <t>Inclusion</t>
  </si>
  <si>
    <t>ALTRI SGPS</t>
  </si>
  <si>
    <t>ARISTON HOLDING</t>
  </si>
  <si>
    <t>ATOS</t>
  </si>
  <si>
    <t>BANCA MPS</t>
  </si>
  <si>
    <t>BIC</t>
  </si>
  <si>
    <t>CAIRN HOMES PLC</t>
  </si>
  <si>
    <t>CANATU PLC</t>
  </si>
  <si>
    <t>CARE PROPERTY INV.</t>
  </si>
  <si>
    <t>CLARIANE</t>
  </si>
  <si>
    <t>CPI EUROPE AG</t>
  </si>
  <si>
    <t>EDREAMS ODIGEO</t>
  </si>
  <si>
    <t>EXAIL TECHNOLOGIES</t>
  </si>
  <si>
    <t>FIERA MILANO SPA</t>
  </si>
  <si>
    <t>FREQUENTIS AG</t>
  </si>
  <si>
    <t>FUGRO</t>
  </si>
  <si>
    <t>GERRESHEIMER AG</t>
  </si>
  <si>
    <t>GLANBIA PLC</t>
  </si>
  <si>
    <t>GLENVEAGH PROP.PLC</t>
  </si>
  <si>
    <t>GRUPO CATALANA OCCI.</t>
  </si>
  <si>
    <t>HELLOFRESH AG</t>
  </si>
  <si>
    <t>HORNBACH HOLDING AG</t>
  </si>
  <si>
    <t>IRISH CONT. GP.</t>
  </si>
  <si>
    <t>IRISH RES. PROP.</t>
  </si>
  <si>
    <t>KINEPOLIS GROUP</t>
  </si>
  <si>
    <t>KINGSPAN GROUP PLC</t>
  </si>
  <si>
    <t>MARR</t>
  </si>
  <si>
    <t>PIAGGIO</t>
  </si>
  <si>
    <t>SCHOTT PHARMA AG</t>
  </si>
  <si>
    <t>SOITEC</t>
  </si>
  <si>
    <t>UBISOFT ENTERTAIN</t>
  </si>
  <si>
    <t>UNIPHAR PLC</t>
  </si>
  <si>
    <t>VOSSLOH</t>
  </si>
  <si>
    <t>PTALT0AE0002</t>
  </si>
  <si>
    <t>NL0015000N33</t>
  </si>
  <si>
    <t>FR001400X2S4</t>
  </si>
  <si>
    <t>IT0005508921</t>
  </si>
  <si>
    <t>FR0000120966</t>
  </si>
  <si>
    <t>IE00BWY4ZF18</t>
  </si>
  <si>
    <t>FI4000512496</t>
  </si>
  <si>
    <t>BE0974273055</t>
  </si>
  <si>
    <t>FR0010386334</t>
  </si>
  <si>
    <t>AT0000A21KS2</t>
  </si>
  <si>
    <t>LU1048328220</t>
  </si>
  <si>
    <t>FR0000062671</t>
  </si>
  <si>
    <t>IT0003365613</t>
  </si>
  <si>
    <t>ATFREQUENT09</t>
  </si>
  <si>
    <t>NL00150003E1</t>
  </si>
  <si>
    <t>DE000A0LD6E6</t>
  </si>
  <si>
    <t>IE0000669501</t>
  </si>
  <si>
    <t>IE00BD6JX574</t>
  </si>
  <si>
    <t>ES0116920333</t>
  </si>
  <si>
    <t>DE000A161408</t>
  </si>
  <si>
    <t>DE0006083405</t>
  </si>
  <si>
    <t>IE00BLP58571</t>
  </si>
  <si>
    <t>IE00BJ34P519</t>
  </si>
  <si>
    <t>BE0974274061</t>
  </si>
  <si>
    <t>IE0004927939</t>
  </si>
  <si>
    <t>IT0003428445</t>
  </si>
  <si>
    <t>IT0003073266</t>
  </si>
  <si>
    <t>DE000A3ENQ51</t>
  </si>
  <si>
    <t>FR0013227113</t>
  </si>
  <si>
    <t>FR0000054470</t>
  </si>
  <si>
    <t>IE00BJ5FQX74</t>
  </si>
  <si>
    <t>DE0007667107</t>
  </si>
  <si>
    <t>XMSM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</si>
  <si>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</si>
  <si>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</si>
  <si>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</si>
  <si>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</si>
  <si>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</si>
  <si>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</si>
  <si>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</si>
  <si>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</si>
  <si>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</si>
  <si>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</si>
  <si>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</si>
  <si>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</si>
  <si>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EZMS_selection</t>
  </si>
  <si>
    <t>Initial Weight</t>
  </si>
  <si>
    <t>Current Weight</t>
  </si>
  <si>
    <t>Is Capped</t>
  </si>
  <si>
    <t>AT0000652011</t>
  </si>
  <si>
    <t>AT0000BAWAG2</t>
  </si>
  <si>
    <t>AT0000743059</t>
  </si>
  <si>
    <t>BE0974293251</t>
  </si>
  <si>
    <t>NL0010832176</t>
  </si>
  <si>
    <t>BE0003739530</t>
  </si>
  <si>
    <t>BE0003565737</t>
  </si>
  <si>
    <t>BE0974264930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</si>
  <si>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</si>
  <si>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</si>
  <si>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</si>
  <si>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</si>
  <si>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</si>
  <si>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</si>
  <si>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</si>
  <si>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</si>
  <si>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</si>
  <si>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</si>
  <si>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</si>
  <si>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</si>
  <si>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</si>
  <si>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</si>
  <si>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</si>
  <si>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</si>
  <si>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</si>
  <si>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</si>
  <si>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</si>
  <si>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</si>
  <si>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</si>
  <si>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</si>
  <si>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</si>
  <si>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</si>
  <si>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</si>
  <si>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</si>
  <si>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</si>
  <si>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</si>
  <si>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</si>
  <si>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</si>
  <si>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</si>
  <si>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</si>
  <si>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</si>
  <si>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</si>
  <si>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</si>
  <si>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</si>
  <si>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</si>
  <si>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</si>
  <si>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</si>
  <si>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</si>
  <si>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</si>
  <si>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</si>
  <si>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</si>
  <si>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</si>
  <si>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NL0010273215</t>
  </si>
  <si>
    <t>GB00BP6MXD84</t>
  </si>
  <si>
    <t>GB00BVZK7T90</t>
  </si>
  <si>
    <t>NL0013654783</t>
  </si>
  <si>
    <t>GB00B2B0DG97</t>
  </si>
  <si>
    <t>NL0011821202</t>
  </si>
  <si>
    <t>PTEDP0AM0009</t>
  </si>
  <si>
    <t>PTGAL0AM0009</t>
  </si>
  <si>
    <t>PTBCP0AM0015</t>
  </si>
  <si>
    <t>ES0113900J37</t>
  </si>
  <si>
    <t>ES0144580Y14</t>
  </si>
  <si>
    <t>ES0113211835</t>
  </si>
  <si>
    <t>ES0148396007</t>
  </si>
  <si>
    <t>ES0140609019</t>
  </si>
  <si>
    <t>ES0109067019</t>
  </si>
  <si>
    <t>ERSTE GROUP BANK</t>
  </si>
  <si>
    <t>BAWAG GROUP AG</t>
  </si>
  <si>
    <t>OMV AG</t>
  </si>
  <si>
    <t>AB INBEV</t>
  </si>
  <si>
    <t>ARGENX SE</t>
  </si>
  <si>
    <t>UCB</t>
  </si>
  <si>
    <t>KBC</t>
  </si>
  <si>
    <t>AGEAS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</si>
  <si>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</si>
  <si>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</si>
  <si>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</si>
  <si>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</si>
  <si>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</si>
  <si>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</si>
  <si>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</si>
  <si>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</si>
  <si>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</si>
  <si>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</si>
  <si>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</si>
  <si>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</si>
  <si>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</si>
  <si>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</si>
  <si>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</si>
  <si>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</si>
  <si>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</si>
  <si>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</si>
  <si>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</si>
  <si>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</si>
  <si>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</si>
  <si>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</si>
  <si>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</si>
  <si>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</si>
  <si>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</si>
  <si>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</si>
  <si>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</si>
  <si>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</si>
  <si>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</si>
  <si>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</si>
  <si>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</si>
  <si>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</si>
  <si>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</si>
  <si>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</si>
  <si>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</si>
  <si>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</si>
  <si>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</si>
  <si>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</si>
  <si>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</si>
  <si>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</si>
  <si>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</si>
  <si>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</si>
  <si>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</si>
  <si>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</si>
  <si>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ASML HOLDING</t>
  </si>
  <si>
    <t>SHELL PLC</t>
  </si>
  <si>
    <t>UNILEVER</t>
  </si>
  <si>
    <t>PROSUS</t>
  </si>
  <si>
    <t>RELX</t>
  </si>
  <si>
    <t>ING GROEP N.V.</t>
  </si>
  <si>
    <t>EDP</t>
  </si>
  <si>
    <t>GALP ENERGIA-NOM</t>
  </si>
  <si>
    <t>B.COM.PORTUGUES</t>
  </si>
  <si>
    <t>BANCO SANTANDER CENT</t>
  </si>
  <si>
    <t>IBERDROLA</t>
  </si>
  <si>
    <t>BBVA</t>
  </si>
  <si>
    <t>INDITEX</t>
  </si>
  <si>
    <t>CAIXABANK</t>
  </si>
  <si>
    <t>AMADEUS IT GROUP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</si>
  <si>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</si>
  <si>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</si>
  <si>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</si>
  <si>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</si>
  <si>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</si>
  <si>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</si>
  <si>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</si>
  <si>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</si>
  <si>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</si>
  <si>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</si>
  <si>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</si>
  <si>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</si>
  <si>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</si>
  <si>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</si>
  <si>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</si>
  <si>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</si>
  <si>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</si>
  <si>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</si>
  <si>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</si>
  <si>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</si>
  <si>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</si>
  <si>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</si>
  <si>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</si>
  <si>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</si>
  <si>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</si>
  <si>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</si>
  <si>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</si>
  <si>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</si>
  <si>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</si>
  <si>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</si>
  <si>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</si>
  <si>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</si>
  <si>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</si>
  <si>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</si>
  <si>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</si>
  <si>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</si>
  <si>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</si>
  <si>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</si>
  <si>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</si>
  <si>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</si>
  <si>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</si>
  <si>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</si>
  <si>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</si>
  <si>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</si>
  <si>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</si>
  <si>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</si>
  <si>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</si>
  <si>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</si>
  <si>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</si>
  <si>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</si>
  <si>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</si>
  <si>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</si>
  <si>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</si>
  <si>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</si>
  <si>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</si>
  <si>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</si>
  <si>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</si>
  <si>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</si>
  <si>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</si>
  <si>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</si>
  <si>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</si>
  <si>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</si>
  <si>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</si>
  <si>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</si>
  <si>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</si>
  <si>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</si>
  <si>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</si>
  <si>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</si>
  <si>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</si>
  <si>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</si>
  <si>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</si>
  <si>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</si>
  <si>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</si>
  <si>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</si>
  <si>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</si>
  <si>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</si>
  <si>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</si>
  <si>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</si>
  <si>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</si>
  <si>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</si>
  <si>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</si>
  <si>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</si>
  <si>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</si>
  <si>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</si>
  <si>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</si>
  <si>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</si>
  <si>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</si>
  <si>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</si>
  <si>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</si>
  <si>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</si>
  <si>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</si>
  <si>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</si>
  <si>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</si>
  <si>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</si>
  <si>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</si>
  <si>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</si>
  <si>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</si>
  <si>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</si>
  <si>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</si>
  <si>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</si>
  <si>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</si>
  <si>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</si>
  <si>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</si>
  <si>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</si>
  <si>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</si>
  <si>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</si>
  <si>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</si>
  <si>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</si>
  <si>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</si>
  <si>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</si>
  <si>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</si>
  <si>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</si>
  <si>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</si>
  <si>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</si>
  <si>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</si>
  <si>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</si>
  <si>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</si>
  <si>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</si>
  <si>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</si>
  <si>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</si>
  <si>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</si>
  <si>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</si>
  <si>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</si>
  <si>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</si>
  <si>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</si>
  <si>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</si>
  <si>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</si>
  <si>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</si>
  <si>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</si>
  <si>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</si>
  <si>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</si>
  <si>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</si>
  <si>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</si>
  <si>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</si>
  <si>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</si>
  <si>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</si>
  <si>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</si>
  <si>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</si>
  <si>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</si>
  <si>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</si>
  <si>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</si>
  <si>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</si>
  <si>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</si>
  <si>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</si>
  <si>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</si>
  <si>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</si>
  <si>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</si>
  <si>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</si>
  <si>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</si>
  <si>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</si>
  <si>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</si>
  <si>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</si>
  <si>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</si>
  <si>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</si>
  <si>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</si>
  <si>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</si>
  <si>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</si>
  <si>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</si>
  <si>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</si>
  <si>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</si>
  <si>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</si>
  <si>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</si>
  <si>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</si>
  <si>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</si>
  <si>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</si>
  <si>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</si>
  <si>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</si>
  <si>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</si>
  <si>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</si>
  <si>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</si>
  <si>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</si>
  <si>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</si>
  <si>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</si>
  <si>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</si>
  <si>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</si>
  <si>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</si>
  <si>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</si>
  <si>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</si>
  <si>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</si>
  <si>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</si>
  <si>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</si>
  <si>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</si>
  <si>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</si>
  <si>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</si>
  <si>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</si>
  <si>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</si>
  <si>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</si>
  <si>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</si>
  <si>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</si>
  <si>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</si>
  <si>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</si>
  <si>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</si>
  <si>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</si>
  <si>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ALHG.PA</t>
  </si>
  <si>
    <t>RCOP.PA</t>
  </si>
  <si>
    <t>ARGAN.PA</t>
  </si>
  <si>
    <t>OPM.PA</t>
  </si>
  <si>
    <t>TFFP.PA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</si>
  <si>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</si>
  <si>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</si>
  <si>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</si>
  <si>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</si>
  <si>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</si>
  <si>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</si>
  <si>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</si>
  <si>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</si>
  <si>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</si>
  <si>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</si>
  <si>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</si>
  <si>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</si>
  <si>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</si>
  <si>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</si>
  <si>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</si>
  <si>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</si>
  <si>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</si>
  <si>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</si>
  <si>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</si>
  <si>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</si>
  <si>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</si>
  <si>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</si>
  <si>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</si>
  <si>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</si>
  <si>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</si>
  <si>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</si>
  <si>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</si>
  <si>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</si>
  <si>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</si>
  <si>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1COVG.DE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</si>
  <si>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</si>
  <si>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</si>
  <si>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</si>
  <si>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</si>
  <si>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</si>
  <si>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</si>
  <si>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</si>
  <si>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</si>
  <si>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</si>
  <si>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</si>
  <si>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</si>
  <si>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</si>
  <si>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</si>
  <si>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</si>
  <si>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</si>
  <si>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</si>
  <si>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</si>
  <si>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</si>
  <si>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</si>
  <si>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</si>
  <si>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</si>
  <si>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</si>
  <si>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</si>
  <si>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</si>
  <si>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</si>
  <si>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</si>
  <si>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</si>
  <si>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</si>
  <si>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</si>
  <si>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</si>
  <si>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</si>
  <si>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</si>
  <si>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</si>
  <si>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</si>
  <si>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</si>
  <si>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</si>
  <si>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</si>
  <si>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</si>
  <si>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</si>
  <si>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</si>
  <si>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</si>
  <si>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</si>
  <si>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</si>
  <si>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</si>
  <si>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</si>
  <si>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</si>
  <si>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</si>
  <si>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</si>
  <si>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</si>
  <si>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</si>
  <si>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</si>
  <si>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</si>
  <si>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</si>
  <si>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</si>
  <si>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</si>
  <si>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</si>
  <si>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</si>
  <si>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</si>
  <si>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</si>
  <si>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</si>
  <si>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</si>
  <si>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</si>
  <si>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</si>
  <si>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</si>
  <si>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</si>
  <si>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</si>
  <si>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</si>
  <si>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</si>
  <si>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</si>
  <si>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</si>
  <si>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</si>
  <si>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</si>
  <si>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</si>
  <si>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</si>
  <si>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</si>
  <si>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UPR.I</t>
  </si>
  <si>
    <t>GRPG.I</t>
  </si>
  <si>
    <t>OGN.I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</si>
  <si>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</si>
  <si>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</si>
  <si>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</si>
  <si>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</si>
  <si>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</si>
  <si>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</si>
  <si>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</si>
  <si>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</si>
  <si>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</si>
  <si>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</si>
  <si>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</si>
  <si>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</si>
  <si>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</si>
  <si>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</si>
  <si>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</si>
  <si>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</si>
  <si>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</si>
  <si>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</si>
  <si>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</si>
  <si>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</si>
  <si>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</si>
  <si>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</si>
  <si>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</si>
  <si>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</si>
  <si>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</si>
  <si>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</si>
  <si>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</si>
  <si>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</si>
  <si>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</si>
  <si>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</si>
  <si>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</si>
  <si>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</si>
  <si>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</si>
  <si>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</si>
  <si>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</si>
  <si>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</si>
  <si>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</si>
  <si>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</si>
  <si>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</si>
  <si>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</si>
  <si>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</si>
  <si>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</si>
  <si>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</si>
  <si>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</si>
  <si>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</si>
  <si>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</si>
  <si>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</si>
  <si>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</si>
  <si>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</si>
  <si>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</si>
  <si>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</si>
  <si>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</si>
  <si>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</si>
  <si>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</si>
  <si>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</si>
  <si>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</si>
  <si>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</si>
  <si>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</si>
  <si>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</si>
  <si>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</si>
  <si>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</si>
  <si>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</si>
  <si>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</si>
  <si>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</si>
  <si>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</si>
  <si>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</si>
  <si>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</si>
  <si>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</si>
  <si>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</si>
  <si>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</si>
  <si>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</si>
  <si>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</si>
  <si>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</si>
  <si>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</si>
  <si>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</si>
  <si>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</si>
  <si>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</si>
  <si>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</si>
  <si>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</si>
  <si>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</si>
  <si>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</si>
  <si>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</si>
  <si>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</si>
  <si>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</si>
  <si>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</si>
  <si>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</si>
  <si>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</si>
  <si>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</si>
  <si>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</si>
  <si>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</si>
  <si>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</si>
  <si>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</si>
  <si>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</si>
  <si>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</si>
  <si>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</si>
  <si>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</si>
  <si>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</si>
  <si>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</si>
  <si>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</si>
  <si>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</si>
  <si>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</si>
  <si>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</si>
  <si>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</si>
  <si>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</si>
  <si>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</si>
  <si>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</si>
  <si>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</si>
  <si>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</si>
  <si>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</si>
  <si>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</si>
  <si>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</si>
  <si>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</si>
  <si>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</si>
  <si>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</si>
  <si>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</si>
  <si>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</si>
  <si>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</si>
  <si>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</si>
  <si>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</si>
  <si>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</si>
  <si>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</si>
  <si>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</si>
  <si>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</si>
  <si>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</si>
  <si>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</si>
  <si>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</si>
  <si>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</si>
  <si>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</si>
  <si>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</si>
  <si>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</si>
  <si>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FLOW.AS</t>
  </si>
  <si>
    <t>AMG.AS</t>
  </si>
  <si>
    <t>HAVAS.AS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</si>
  <si>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</si>
  <si>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</si>
  <si>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</si>
  <si>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</si>
  <si>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</si>
  <si>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</si>
  <si>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</si>
  <si>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</si>
  <si>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</si>
  <si>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</si>
  <si>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</si>
  <si>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</si>
  <si>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</si>
  <si>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</si>
  <si>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</si>
  <si>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</si>
  <si>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</si>
  <si>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</si>
  <si>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</si>
  <si>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</si>
  <si>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</si>
  <si>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</si>
  <si>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</si>
  <si>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</si>
  <si>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</si>
  <si>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</si>
  <si>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</si>
  <si>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</si>
  <si>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</si>
  <si>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</si>
  <si>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</si>
  <si>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</si>
  <si>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</si>
  <si>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</si>
  <si>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</si>
  <si>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</si>
  <si>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</si>
  <si>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</si>
  <si>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</si>
  <si>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</si>
  <si>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</si>
  <si>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</si>
  <si>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</si>
  <si>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</si>
  <si>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</si>
  <si>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</si>
  <si>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</si>
  <si>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</si>
  <si>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</si>
  <si>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</si>
  <si>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</si>
  <si>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</si>
  <si>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</si>
  <si>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</si>
  <si>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HBX.MC</t>
  </si>
  <si>
    <t>GREG.MC</t>
  </si>
  <si>
    <t>Austria</t>
  </si>
  <si>
    <t>Belgium</t>
  </si>
  <si>
    <t>Finland</t>
  </si>
  <si>
    <t>France</t>
  </si>
  <si>
    <t>Germany</t>
  </si>
  <si>
    <t>Ireland</t>
  </si>
  <si>
    <t>Italy</t>
  </si>
  <si>
    <t>Netherlands</t>
  </si>
  <si>
    <t>Portugal</t>
  </si>
  <si>
    <t>Spain</t>
  </si>
  <si>
    <t>Dataiku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</si>
</sst>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202512/Review%20202512/Dataiku/EZMS_EMS_2025-12-11%2023_59_59_2025-12-11-22-53-30.xlsx" TargetMode="External"/><Relationship Id="rId1" Type="http://schemas.openxmlformats.org/officeDocument/2006/relationships/externalLinkPath" Target="/personal/csonneveld_euronext_com/Documents/Documents/Projects/GUI%20+%20Reviews/202512/Review%20202512/Dataiku/EZMS_EMS_2025-12-11%2023_59_59_2025-12-11-22-53-3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DE0005545503</v>
          </cell>
          <cell r="D2">
            <v>176764650</v>
          </cell>
        </row>
        <row r="3">
          <cell r="B3" t="str">
            <v>IT0001233417</v>
          </cell>
          <cell r="D3">
            <v>3132905277</v>
          </cell>
        </row>
        <row r="4">
          <cell r="B4" t="str">
            <v>NL0000852564</v>
          </cell>
          <cell r="D4">
            <v>110580102</v>
          </cell>
        </row>
        <row r="5">
          <cell r="B5" t="str">
            <v>FR0012333284</v>
          </cell>
          <cell r="D5">
            <v>77828918</v>
          </cell>
        </row>
        <row r="6">
          <cell r="B6" t="str">
            <v>NL0011540547</v>
          </cell>
          <cell r="D6">
            <v>597116328</v>
          </cell>
        </row>
        <row r="7">
          <cell r="B7" t="str">
            <v>ES0125220311</v>
          </cell>
          <cell r="D7">
            <v>54856650</v>
          </cell>
        </row>
        <row r="8">
          <cell r="B8" t="str">
            <v>FR0000120404</v>
          </cell>
          <cell r="D8">
            <v>245000143</v>
          </cell>
        </row>
        <row r="9">
          <cell r="B9" t="str">
            <v>IT0001207098</v>
          </cell>
          <cell r="D9">
            <v>212964900</v>
          </cell>
        </row>
        <row r="10">
          <cell r="B10" t="str">
            <v>ES0132105018</v>
          </cell>
          <cell r="D10">
            <v>249335370</v>
          </cell>
        </row>
        <row r="11">
          <cell r="B11" t="str">
            <v>BE0003764785</v>
          </cell>
          <cell r="D11">
            <v>33157750</v>
          </cell>
        </row>
        <row r="12">
          <cell r="B12" t="str">
            <v>ES0167050915</v>
          </cell>
          <cell r="D12">
            <v>271664580</v>
          </cell>
        </row>
        <row r="13">
          <cell r="B13" t="str">
            <v>DE000A1EWWW0</v>
          </cell>
          <cell r="D13">
            <v>180000000</v>
          </cell>
        </row>
        <row r="14">
          <cell r="B14" t="str">
            <v>FI4000251830</v>
          </cell>
          <cell r="D14">
            <v>5019576</v>
          </cell>
        </row>
        <row r="15">
          <cell r="B15" t="str">
            <v>FR0010340141</v>
          </cell>
          <cell r="D15">
            <v>98960602</v>
          </cell>
        </row>
        <row r="16">
          <cell r="B16" t="str">
            <v>NL0012969182</v>
          </cell>
          <cell r="D16">
            <v>31523640</v>
          </cell>
        </row>
        <row r="17">
          <cell r="B17" t="str">
            <v>BE0003851681</v>
          </cell>
          <cell r="D17">
            <v>47550119</v>
          </cell>
        </row>
        <row r="18">
          <cell r="B18" t="str">
            <v>BMG0112X1056</v>
          </cell>
          <cell r="D18">
            <v>1652797432</v>
          </cell>
        </row>
        <row r="19">
          <cell r="B19" t="str">
            <v>ES0105046017</v>
          </cell>
          <cell r="D19">
            <v>1500000000</v>
          </cell>
        </row>
        <row r="20">
          <cell r="B20" t="str">
            <v>NL0011794037</v>
          </cell>
          <cell r="D20">
            <v>896939468</v>
          </cell>
        </row>
        <row r="21">
          <cell r="B21" t="str">
            <v>FR001400J770</v>
          </cell>
          <cell r="D21">
            <v>262769869</v>
          </cell>
        </row>
        <row r="22">
          <cell r="B22" t="str">
            <v>DE000A0WMPJ6</v>
          </cell>
          <cell r="D22">
            <v>113456120</v>
          </cell>
        </row>
        <row r="23">
          <cell r="B23" t="str">
            <v>FI4000058870</v>
          </cell>
          <cell r="D23">
            <v>73372444</v>
          </cell>
        </row>
        <row r="24">
          <cell r="B24" t="str">
            <v>NL0013267909</v>
          </cell>
          <cell r="D24">
            <v>171052308</v>
          </cell>
        </row>
        <row r="25">
          <cell r="B25" t="str">
            <v>GB00BNTJ3546</v>
          </cell>
          <cell r="D25">
            <v>601548734</v>
          </cell>
        </row>
        <row r="26">
          <cell r="B26" t="str">
            <v>ES0157097017</v>
          </cell>
          <cell r="D26">
            <v>214785200</v>
          </cell>
        </row>
        <row r="27">
          <cell r="B27" t="str">
            <v>FR0010220475</v>
          </cell>
          <cell r="D27">
            <v>462029966</v>
          </cell>
        </row>
        <row r="28">
          <cell r="B28" t="str">
            <v>FR0000071946</v>
          </cell>
          <cell r="D28">
            <v>35343326</v>
          </cell>
        </row>
        <row r="29">
          <cell r="B29" t="str">
            <v>NL0000888691</v>
          </cell>
          <cell r="D29">
            <v>32504164</v>
          </cell>
        </row>
        <row r="30">
          <cell r="B30" t="str">
            <v>IT0004056880</v>
          </cell>
          <cell r="D30">
            <v>226388620</v>
          </cell>
        </row>
        <row r="31">
          <cell r="B31" t="str">
            <v>FR0004125920</v>
          </cell>
          <cell r="D31">
            <v>206386326</v>
          </cell>
        </row>
        <row r="32">
          <cell r="B32" t="str">
            <v>AT0000730007</v>
          </cell>
          <cell r="D32">
            <v>104000000</v>
          </cell>
        </row>
        <row r="33">
          <cell r="B33" t="str">
            <v>LU0569974404</v>
          </cell>
          <cell r="D33">
            <v>73184570</v>
          </cell>
        </row>
        <row r="34">
          <cell r="B34" t="str">
            <v>NL0006237562</v>
          </cell>
          <cell r="D34">
            <v>90442091</v>
          </cell>
        </row>
        <row r="35">
          <cell r="B35" t="str">
            <v>LU1598757687</v>
          </cell>
          <cell r="D35">
            <v>852809772</v>
          </cell>
        </row>
        <row r="36">
          <cell r="B36" t="str">
            <v>FR0010481960</v>
          </cell>
          <cell r="D36">
            <v>25737689</v>
          </cell>
        </row>
        <row r="37">
          <cell r="B37" t="str">
            <v>FR0010313833</v>
          </cell>
          <cell r="D37">
            <v>76060831</v>
          </cell>
        </row>
        <row r="38">
          <cell r="B38" t="str">
            <v>LU1673108939</v>
          </cell>
          <cell r="D38">
            <v>1537025600</v>
          </cell>
        </row>
        <row r="39">
          <cell r="B39" t="str">
            <v>NL0000334118</v>
          </cell>
          <cell r="D39">
            <v>49328548</v>
          </cell>
        </row>
        <row r="40">
          <cell r="B40" t="str">
            <v>NL0011872643</v>
          </cell>
          <cell r="D40">
            <v>209113565</v>
          </cell>
        </row>
        <row r="41">
          <cell r="B41" t="str">
            <v>AT0000969985</v>
          </cell>
          <cell r="D41">
            <v>38850000</v>
          </cell>
        </row>
        <row r="42">
          <cell r="B42" t="str">
            <v>DE0005104400</v>
          </cell>
          <cell r="D42">
            <v>15906272</v>
          </cell>
        </row>
        <row r="43">
          <cell r="B43" t="str">
            <v>DE000AUM0V10</v>
          </cell>
          <cell r="D43">
            <v>100050990</v>
          </cell>
        </row>
        <row r="44">
          <cell r="B44" t="str">
            <v>DE0006766504</v>
          </cell>
          <cell r="D44">
            <v>44956722</v>
          </cell>
        </row>
        <row r="45">
          <cell r="B45" t="str">
            <v>DE000A2LQ884</v>
          </cell>
          <cell r="D45">
            <v>220337920</v>
          </cell>
        </row>
        <row r="46">
          <cell r="B46" t="str">
            <v>IT0005119810</v>
          </cell>
          <cell r="D46">
            <v>46789543</v>
          </cell>
        </row>
        <row r="47">
          <cell r="B47" t="str">
            <v>FR0013258662</v>
          </cell>
          <cell r="D47">
            <v>816960428</v>
          </cell>
        </row>
        <row r="48">
          <cell r="B48" t="str">
            <v>BE0974400328</v>
          </cell>
          <cell r="D48">
            <v>243921719</v>
          </cell>
        </row>
        <row r="49">
          <cell r="B49" t="str">
            <v>IT0003261697</v>
          </cell>
          <cell r="D49">
            <v>143254497</v>
          </cell>
        </row>
        <row r="50">
          <cell r="B50" t="str">
            <v>NL0000337319</v>
          </cell>
          <cell r="D50">
            <v>272000000</v>
          </cell>
        </row>
        <row r="51">
          <cell r="B51" t="str">
            <v>IT0001031084</v>
          </cell>
          <cell r="D51">
            <v>116851637</v>
          </cell>
        </row>
        <row r="52">
          <cell r="B52" t="str">
            <v>IT0003188064</v>
          </cell>
          <cell r="D52">
            <v>61540455</v>
          </cell>
        </row>
        <row r="53">
          <cell r="B53" t="str">
            <v>IT0004776628</v>
          </cell>
          <cell r="D53">
            <v>745388391</v>
          </cell>
        </row>
        <row r="54">
          <cell r="B54" t="str">
            <v>IT0005218380</v>
          </cell>
          <cell r="D54">
            <v>1515182126</v>
          </cell>
        </row>
        <row r="55">
          <cell r="B55" t="str">
            <v>ES0113860A34</v>
          </cell>
          <cell r="D55">
            <v>5023677700</v>
          </cell>
        </row>
        <row r="56">
          <cell r="B56" t="str">
            <v>ES0113679I37</v>
          </cell>
          <cell r="D56">
            <v>898866150</v>
          </cell>
        </row>
        <row r="57">
          <cell r="B57" t="str">
            <v>BE0974362940</v>
          </cell>
          <cell r="D57">
            <v>92916645</v>
          </cell>
        </row>
        <row r="58">
          <cell r="B58" t="str">
            <v>NL0011872650</v>
          </cell>
          <cell r="D58">
            <v>66000000</v>
          </cell>
        </row>
        <row r="59">
          <cell r="B59" t="str">
            <v>DE000BAY0017</v>
          </cell>
          <cell r="D59">
            <v>982424100</v>
          </cell>
        </row>
        <row r="60">
          <cell r="B60" t="str">
            <v>DE0005190037</v>
          </cell>
          <cell r="D60">
            <v>54675507</v>
          </cell>
        </row>
        <row r="61">
          <cell r="B61" t="str">
            <v>IT0000784196</v>
          </cell>
          <cell r="D61">
            <v>453385777</v>
          </cell>
        </row>
        <row r="62">
          <cell r="B62" t="str">
            <v>IT0001041000</v>
          </cell>
          <cell r="D62">
            <v>134363049</v>
          </cell>
        </row>
        <row r="63">
          <cell r="B63" t="str">
            <v>NL0012866412</v>
          </cell>
          <cell r="D63">
            <v>81146738</v>
          </cell>
        </row>
        <row r="64">
          <cell r="B64" t="str">
            <v>DE0005158703</v>
          </cell>
          <cell r="D64">
            <v>126000000</v>
          </cell>
        </row>
        <row r="65">
          <cell r="B65" t="str">
            <v>LU1704650164</v>
          </cell>
          <cell r="D65">
            <v>39999996</v>
          </cell>
        </row>
        <row r="66">
          <cell r="B66" t="str">
            <v>DE0005200000</v>
          </cell>
          <cell r="D66">
            <v>242600000</v>
          </cell>
        </row>
        <row r="67">
          <cell r="B67" t="str">
            <v>BE0974258874</v>
          </cell>
          <cell r="D67">
            <v>51839461</v>
          </cell>
        </row>
        <row r="68">
          <cell r="B68" t="str">
            <v>IT0005244402</v>
          </cell>
          <cell r="D68">
            <v>188637324</v>
          </cell>
        </row>
        <row r="69">
          <cell r="B69" t="str">
            <v>DE0005909006</v>
          </cell>
          <cell r="D69">
            <v>37606373</v>
          </cell>
        </row>
        <row r="70">
          <cell r="B70" t="str">
            <v>FR0013280286</v>
          </cell>
          <cell r="D70">
            <v>118361220</v>
          </cell>
        </row>
        <row r="71">
          <cell r="B71" t="str">
            <v>FI0009007264</v>
          </cell>
          <cell r="D71">
            <v>35702263</v>
          </cell>
        </row>
        <row r="72">
          <cell r="B72" t="str">
            <v>DE0005190003</v>
          </cell>
          <cell r="D72">
            <v>561134950</v>
          </cell>
        </row>
        <row r="73">
          <cell r="B73" t="str">
            <v>FR0000120503</v>
          </cell>
          <cell r="D73">
            <v>383620188</v>
          </cell>
        </row>
        <row r="74">
          <cell r="B74" t="str">
            <v>IT0000066123</v>
          </cell>
          <cell r="D74">
            <v>1964323646</v>
          </cell>
        </row>
        <row r="75">
          <cell r="B75" t="str">
            <v>NL0015001KT6</v>
          </cell>
          <cell r="D75">
            <v>333922250</v>
          </cell>
        </row>
        <row r="76">
          <cell r="B76" t="str">
            <v>DE000A1DAHH0</v>
          </cell>
          <cell r="D76">
            <v>144385380</v>
          </cell>
        </row>
        <row r="77">
          <cell r="B77" t="str">
            <v>IT0004764699</v>
          </cell>
          <cell r="D77">
            <v>68000000</v>
          </cell>
        </row>
        <row r="78">
          <cell r="B78" t="str">
            <v>FR0006174348</v>
          </cell>
          <cell r="D78">
            <v>453871520</v>
          </cell>
        </row>
        <row r="79">
          <cell r="B79" t="str">
            <v>IT0001347308</v>
          </cell>
          <cell r="D79">
            <v>192626154</v>
          </cell>
        </row>
        <row r="80">
          <cell r="B80" t="str">
            <v>AT0000641352</v>
          </cell>
          <cell r="D80">
            <v>101171600</v>
          </cell>
        </row>
        <row r="81">
          <cell r="B81" t="str">
            <v>NL0015435975</v>
          </cell>
          <cell r="D81">
            <v>1231267738</v>
          </cell>
        </row>
        <row r="82">
          <cell r="B82" t="str">
            <v>FR0000125338</v>
          </cell>
          <cell r="D82">
            <v>171347471</v>
          </cell>
        </row>
        <row r="83">
          <cell r="B83" t="str">
            <v>FI0009009377</v>
          </cell>
          <cell r="D83">
            <v>176878200</v>
          </cell>
        </row>
        <row r="84">
          <cell r="B84" t="str">
            <v>IT0005331019</v>
          </cell>
          <cell r="D84">
            <v>112499205</v>
          </cell>
        </row>
        <row r="85">
          <cell r="B85" t="str">
            <v>DE0005313704</v>
          </cell>
          <cell r="D85">
            <v>89440570</v>
          </cell>
        </row>
        <row r="86">
          <cell r="B86" t="str">
            <v>FR0010828137</v>
          </cell>
          <cell r="D86">
            <v>140948872</v>
          </cell>
        </row>
        <row r="87">
          <cell r="B87" t="str">
            <v>FR0000120172</v>
          </cell>
          <cell r="D87">
            <v>736314789</v>
          </cell>
        </row>
        <row r="88">
          <cell r="B88" t="str">
            <v>DE000A40ZVV0</v>
          </cell>
          <cell r="D88">
            <v>485221070</v>
          </cell>
        </row>
        <row r="89">
          <cell r="B89" t="str">
            <v>ES0105066007</v>
          </cell>
          <cell r="D89">
            <v>706475400</v>
          </cell>
        </row>
        <row r="90">
          <cell r="B90" t="str">
            <v>IT0001128047</v>
          </cell>
          <cell r="D90">
            <v>17000000</v>
          </cell>
        </row>
        <row r="91">
          <cell r="B91" t="str">
            <v>NL0013995087</v>
          </cell>
          <cell r="D91">
            <v>159120000</v>
          </cell>
        </row>
        <row r="92">
          <cell r="B92" t="str">
            <v>ES0105630315</v>
          </cell>
          <cell r="D92">
            <v>119807490</v>
          </cell>
        </row>
        <row r="93">
          <cell r="B93" t="str">
            <v>IT0000070786</v>
          </cell>
          <cell r="D93">
            <v>916059948</v>
          </cell>
        </row>
        <row r="94">
          <cell r="B94" t="str">
            <v>FI4000369947</v>
          </cell>
          <cell r="D94">
            <v>183569020</v>
          </cell>
        </row>
        <row r="95">
          <cell r="B95" t="str">
            <v>BE0003816338</v>
          </cell>
          <cell r="D95">
            <v>315977647</v>
          </cell>
        </row>
        <row r="96">
          <cell r="B96" t="str">
            <v>FR0010667147</v>
          </cell>
          <cell r="D96">
            <v>150179792</v>
          </cell>
        </row>
        <row r="97">
          <cell r="B97" t="str">
            <v>BE0003593044</v>
          </cell>
          <cell r="D97">
            <v>38096217</v>
          </cell>
        </row>
        <row r="98">
          <cell r="B98" t="str">
            <v>ES0139140174</v>
          </cell>
          <cell r="D98">
            <v>627344670</v>
          </cell>
        </row>
        <row r="99">
          <cell r="B99" t="str">
            <v>BE0974256852</v>
          </cell>
          <cell r="D99">
            <v>124497858</v>
          </cell>
        </row>
        <row r="100">
          <cell r="B100" t="str">
            <v>DE000CBK1001</v>
          </cell>
          <cell r="D100">
            <v>1127496200</v>
          </cell>
        </row>
        <row r="101">
          <cell r="B101" t="str">
            <v>ES0121975009</v>
          </cell>
          <cell r="D101">
            <v>34280750</v>
          </cell>
        </row>
        <row r="102">
          <cell r="B102" t="str">
            <v>DE0005439004</v>
          </cell>
          <cell r="D102">
            <v>200005980</v>
          </cell>
        </row>
        <row r="103">
          <cell r="B103" t="str">
            <v>NL0010583399</v>
          </cell>
          <cell r="D103">
            <v>58250309</v>
          </cell>
        </row>
        <row r="104">
          <cell r="B104" t="str">
            <v>ES0105563003</v>
          </cell>
          <cell r="D104">
            <v>324761840</v>
          </cell>
        </row>
        <row r="105">
          <cell r="B105" t="str">
            <v>ES0124244E34</v>
          </cell>
          <cell r="D105">
            <v>3079553200</v>
          </cell>
        </row>
        <row r="106">
          <cell r="B106" t="str">
            <v>PTCOR0AE0006</v>
          </cell>
          <cell r="D106">
            <v>133000000</v>
          </cell>
        </row>
        <row r="107">
          <cell r="B107" t="str">
            <v>DE0006062144</v>
          </cell>
          <cell r="D107">
            <v>189000000</v>
          </cell>
        </row>
        <row r="108">
          <cell r="B108" t="str">
            <v>FR0000064578</v>
          </cell>
          <cell r="D108">
            <v>111623468</v>
          </cell>
        </row>
        <row r="109">
          <cell r="B109" t="str">
            <v>IT0003121677</v>
          </cell>
          <cell r="D109">
            <v>341320065</v>
          </cell>
        </row>
        <row r="110">
          <cell r="B110" t="str">
            <v>FR0000045072</v>
          </cell>
          <cell r="D110">
            <v>3025902350</v>
          </cell>
        </row>
        <row r="111">
          <cell r="B111" t="str">
            <v>DE0005470306</v>
          </cell>
          <cell r="D111">
            <v>96000000</v>
          </cell>
        </row>
        <row r="112">
          <cell r="B112" t="str">
            <v>PTCTT0AM0001</v>
          </cell>
          <cell r="D112">
            <v>133820000</v>
          </cell>
        </row>
        <row r="113">
          <cell r="B113" t="str">
            <v>JE00BRX98089</v>
          </cell>
          <cell r="D113">
            <v>1062984492</v>
          </cell>
        </row>
        <row r="114">
          <cell r="B114" t="str">
            <v>DE000DTR0CK8</v>
          </cell>
          <cell r="D114">
            <v>765600400</v>
          </cell>
        </row>
        <row r="115">
          <cell r="B115" t="str">
            <v>IT0000076502</v>
          </cell>
          <cell r="D115">
            <v>40879533</v>
          </cell>
        </row>
        <row r="116">
          <cell r="B116" t="str">
            <v>IT0000076486</v>
          </cell>
          <cell r="D116">
            <v>40425033</v>
          </cell>
        </row>
        <row r="117">
          <cell r="B117" t="str">
            <v>FR0014004L86</v>
          </cell>
          <cell r="D117">
            <v>78397034</v>
          </cell>
        </row>
        <row r="118">
          <cell r="B118" t="str">
            <v>FR0014003TT8</v>
          </cell>
          <cell r="D118">
            <v>1341456065</v>
          </cell>
        </row>
        <row r="119">
          <cell r="B119" t="str">
            <v>DE000A2E4K43</v>
          </cell>
          <cell r="D119">
            <v>298230930</v>
          </cell>
        </row>
        <row r="120">
          <cell r="B120" t="str">
            <v>IT0003115950</v>
          </cell>
          <cell r="D120">
            <v>151294737</v>
          </cell>
        </row>
        <row r="121">
          <cell r="B121" t="str">
            <v>BE0974413453</v>
          </cell>
          <cell r="D121">
            <v>25314482</v>
          </cell>
        </row>
        <row r="122">
          <cell r="B122" t="str">
            <v>DE000A0HN5C6</v>
          </cell>
          <cell r="D122">
            <v>400297000</v>
          </cell>
        </row>
        <row r="123">
          <cell r="B123" t="str">
            <v>DE0006305006</v>
          </cell>
          <cell r="D123">
            <v>152638100</v>
          </cell>
        </row>
        <row r="124">
          <cell r="B124" t="str">
            <v>IT0003492391</v>
          </cell>
          <cell r="D124">
            <v>55948257</v>
          </cell>
        </row>
        <row r="125">
          <cell r="B125" t="str">
            <v>BE0974259880</v>
          </cell>
          <cell r="D125">
            <v>53690082</v>
          </cell>
        </row>
        <row r="126">
          <cell r="B126" t="str">
            <v>AT0000818802</v>
          </cell>
          <cell r="D126">
            <v>10983458</v>
          </cell>
        </row>
        <row r="127">
          <cell r="B127" t="str">
            <v>CH1216478797</v>
          </cell>
          <cell r="D127">
            <v>265676388</v>
          </cell>
        </row>
        <row r="128">
          <cell r="B128" t="str">
            <v>DE0005565204</v>
          </cell>
          <cell r="D128">
            <v>69202080</v>
          </cell>
        </row>
        <row r="129">
          <cell r="B129" t="str">
            <v>DE000DWS1007</v>
          </cell>
          <cell r="D129">
            <v>200000000</v>
          </cell>
        </row>
        <row r="130">
          <cell r="B130" t="str">
            <v>FR0010908533</v>
          </cell>
          <cell r="D130">
            <v>239891064</v>
          </cell>
        </row>
        <row r="131">
          <cell r="B131" t="str">
            <v>ES0127797019</v>
          </cell>
          <cell r="D131">
            <v>1051033116</v>
          </cell>
        </row>
        <row r="132">
          <cell r="B132" t="str">
            <v>FR0000130452</v>
          </cell>
          <cell r="D132">
            <v>98000000</v>
          </cell>
        </row>
        <row r="133">
          <cell r="B133" t="str">
            <v>IT0005453250</v>
          </cell>
          <cell r="D133">
            <v>80239700</v>
          </cell>
        </row>
        <row r="134">
          <cell r="B134" t="str">
            <v>ES0129743318</v>
          </cell>
          <cell r="D134">
            <v>87000000</v>
          </cell>
        </row>
        <row r="135">
          <cell r="B135" t="str">
            <v>BE0003822393</v>
          </cell>
          <cell r="D135">
            <v>109072607</v>
          </cell>
        </row>
        <row r="136">
          <cell r="B136" t="str">
            <v>FR0012435121</v>
          </cell>
          <cell r="D136">
            <v>237553695</v>
          </cell>
        </row>
        <row r="137">
          <cell r="B137" t="str">
            <v>FI0009007884</v>
          </cell>
          <cell r="D137">
            <v>167335070</v>
          </cell>
        </row>
        <row r="138">
          <cell r="B138" t="str">
            <v>FR001400NLM4</v>
          </cell>
          <cell r="D138">
            <v>161440050</v>
          </cell>
        </row>
        <row r="139">
          <cell r="B139" t="str">
            <v>ES0130960018</v>
          </cell>
          <cell r="D139">
            <v>261990080</v>
          </cell>
        </row>
        <row r="140">
          <cell r="B140" t="str">
            <v>IT0005176406</v>
          </cell>
          <cell r="D140">
            <v>541744385</v>
          </cell>
        </row>
        <row r="141">
          <cell r="B141" t="str">
            <v>ES0130670112</v>
          </cell>
          <cell r="D141">
            <v>1058752100</v>
          </cell>
        </row>
        <row r="142">
          <cell r="B142" t="str">
            <v>FI4000508023</v>
          </cell>
          <cell r="D142">
            <v>11446895</v>
          </cell>
        </row>
        <row r="143">
          <cell r="B143" t="str">
            <v>FI4000123195</v>
          </cell>
          <cell r="D143">
            <v>23685590</v>
          </cell>
        </row>
        <row r="144">
          <cell r="B144" t="str">
            <v>FR0010208488</v>
          </cell>
          <cell r="D144">
            <v>2435285011</v>
          </cell>
        </row>
        <row r="145">
          <cell r="B145" t="str">
            <v>IT0001157020</v>
          </cell>
          <cell r="D145">
            <v>150320000</v>
          </cell>
        </row>
        <row r="146">
          <cell r="B146" t="str">
            <v>FR0000121121</v>
          </cell>
          <cell r="D146">
            <v>71925760</v>
          </cell>
        </row>
        <row r="147">
          <cell r="B147" t="str">
            <v>NL0015000K93</v>
          </cell>
          <cell r="D147">
            <v>54887520</v>
          </cell>
        </row>
        <row r="148">
          <cell r="B148" t="str">
            <v>FR0014000MR3</v>
          </cell>
          <cell r="D148">
            <v>182163000</v>
          </cell>
        </row>
        <row r="149">
          <cell r="B149" t="str">
            <v>NL0006294274</v>
          </cell>
          <cell r="D149">
            <v>101542528</v>
          </cell>
        </row>
        <row r="150">
          <cell r="B150" t="str">
            <v>DE000EVNK013</v>
          </cell>
          <cell r="D150">
            <v>466000000</v>
          </cell>
        </row>
        <row r="151">
          <cell r="B151" t="str">
            <v>DE0005664809</v>
          </cell>
          <cell r="D151">
            <v>177777080</v>
          </cell>
        </row>
        <row r="152">
          <cell r="B152" t="str">
            <v>NL0012059018</v>
          </cell>
          <cell r="D152">
            <v>207779752</v>
          </cell>
        </row>
        <row r="153">
          <cell r="B153" t="str">
            <v>FR001400Q9V2</v>
          </cell>
          <cell r="D153">
            <v>50936749</v>
          </cell>
        </row>
        <row r="154">
          <cell r="B154" t="str">
            <v>ES0134950F36</v>
          </cell>
          <cell r="D154">
            <v>316223940</v>
          </cell>
        </row>
        <row r="155">
          <cell r="B155" t="str">
            <v>BE0003874915</v>
          </cell>
          <cell r="D155">
            <v>73668904</v>
          </cell>
        </row>
        <row r="156">
          <cell r="B156" t="str">
            <v>FI4000153309</v>
          </cell>
          <cell r="D156">
            <v>113902670</v>
          </cell>
        </row>
        <row r="157">
          <cell r="B157" t="str">
            <v>FR0013451333</v>
          </cell>
          <cell r="D157">
            <v>185270000</v>
          </cell>
        </row>
        <row r="158">
          <cell r="B158" t="str">
            <v>IT0005383291</v>
          </cell>
          <cell r="D158">
            <v>338482654</v>
          </cell>
        </row>
        <row r="159">
          <cell r="B159" t="str">
            <v>NL0015001FS8</v>
          </cell>
          <cell r="D159">
            <v>733755400</v>
          </cell>
        </row>
        <row r="160">
          <cell r="B160" t="str">
            <v>DE0005772206</v>
          </cell>
          <cell r="D160">
            <v>84000000</v>
          </cell>
        </row>
        <row r="161">
          <cell r="B161" t="str">
            <v>IT0005599938</v>
          </cell>
          <cell r="D161">
            <v>324550525</v>
          </cell>
        </row>
        <row r="162">
          <cell r="B162" t="str">
            <v>IT0000072170</v>
          </cell>
          <cell r="D162">
            <v>611575321</v>
          </cell>
        </row>
        <row r="163">
          <cell r="B163" t="str">
            <v>FI4000567029</v>
          </cell>
          <cell r="D163">
            <v>204811390</v>
          </cell>
        </row>
        <row r="164">
          <cell r="B164" t="str">
            <v>DE000FTG1111</v>
          </cell>
          <cell r="D164">
            <v>110134544</v>
          </cell>
        </row>
        <row r="165">
          <cell r="B165" t="str">
            <v>BMG3602E1084</v>
          </cell>
          <cell r="D165">
            <v>45671645</v>
          </cell>
        </row>
        <row r="166">
          <cell r="B166" t="str">
            <v>ES0137650018</v>
          </cell>
          <cell r="D166">
            <v>192129070</v>
          </cell>
        </row>
        <row r="167">
          <cell r="B167" t="str">
            <v>FI0009007132</v>
          </cell>
          <cell r="D167">
            <v>897264470</v>
          </cell>
        </row>
        <row r="168">
          <cell r="B168" t="str">
            <v>FR0000121147</v>
          </cell>
          <cell r="D168">
            <v>197089340</v>
          </cell>
        </row>
        <row r="169">
          <cell r="B169" t="str">
            <v>DE0005773303</v>
          </cell>
          <cell r="D169">
            <v>92468704</v>
          </cell>
        </row>
        <row r="170">
          <cell r="B170" t="str">
            <v>DE000A0Z2ZZ5</v>
          </cell>
          <cell r="D170">
            <v>118900600</v>
          </cell>
        </row>
        <row r="171">
          <cell r="B171" t="str">
            <v>DE0005785802</v>
          </cell>
          <cell r="D171">
            <v>293413450</v>
          </cell>
        </row>
        <row r="172">
          <cell r="B172" t="str">
            <v>DE0005785604</v>
          </cell>
          <cell r="D172">
            <v>563237300</v>
          </cell>
        </row>
        <row r="173">
          <cell r="B173" t="str">
            <v>DE000A3E5D64</v>
          </cell>
          <cell r="D173">
            <v>65500000</v>
          </cell>
        </row>
        <row r="174">
          <cell r="B174" t="str">
            <v>BE0003818359</v>
          </cell>
          <cell r="D174">
            <v>65897071</v>
          </cell>
        </row>
        <row r="175">
          <cell r="B175" t="str">
            <v>IT0004098510</v>
          </cell>
          <cell r="D175">
            <v>44909620</v>
          </cell>
        </row>
        <row r="176">
          <cell r="B176" t="str">
            <v>BE0003797140</v>
          </cell>
          <cell r="D176">
            <v>133200000</v>
          </cell>
        </row>
        <row r="177">
          <cell r="B177" t="str">
            <v>DE0006602006</v>
          </cell>
          <cell r="D177">
            <v>162801670</v>
          </cell>
        </row>
        <row r="178">
          <cell r="B178" t="str">
            <v>FR0010040865</v>
          </cell>
          <cell r="D178">
            <v>76792337</v>
          </cell>
        </row>
        <row r="179">
          <cell r="B179" t="str">
            <v>FR0010533075</v>
          </cell>
          <cell r="D179">
            <v>550000000</v>
          </cell>
        </row>
        <row r="180">
          <cell r="B180" t="str">
            <v>BE0003699130</v>
          </cell>
          <cell r="D180">
            <v>36810933</v>
          </cell>
        </row>
        <row r="181">
          <cell r="B181" t="str">
            <v>LU0775917882</v>
          </cell>
          <cell r="D181">
            <v>176187900</v>
          </cell>
        </row>
        <row r="182">
          <cell r="B182" t="str">
            <v>IE00BF2NR112</v>
          </cell>
          <cell r="D182">
            <v>1113335009</v>
          </cell>
        </row>
        <row r="183">
          <cell r="B183" t="str">
            <v>ES0105079000</v>
          </cell>
          <cell r="D183">
            <v>28579733</v>
          </cell>
        </row>
        <row r="184">
          <cell r="B184" t="str">
            <v>ES0171996087</v>
          </cell>
          <cell r="D184">
            <v>426129800</v>
          </cell>
        </row>
        <row r="185">
          <cell r="B185" t="str">
            <v>ES0171996095</v>
          </cell>
          <cell r="D185">
            <v>261425100</v>
          </cell>
        </row>
        <row r="186">
          <cell r="B186" t="str">
            <v>FI4000517966</v>
          </cell>
          <cell r="D186">
            <v>43281322</v>
          </cell>
        </row>
        <row r="187">
          <cell r="B187" t="str">
            <v>FR0011726835</v>
          </cell>
          <cell r="D187">
            <v>37117772</v>
          </cell>
        </row>
        <row r="188">
          <cell r="B188" t="str">
            <v>IT0005411209</v>
          </cell>
          <cell r="D188">
            <v>189177693</v>
          </cell>
        </row>
        <row r="189">
          <cell r="B189" t="str">
            <v>DE0008402215</v>
          </cell>
          <cell r="D189">
            <v>120597140</v>
          </cell>
        </row>
        <row r="190">
          <cell r="B190" t="str">
            <v>FI4000306873</v>
          </cell>
          <cell r="D190">
            <v>18694237</v>
          </cell>
        </row>
        <row r="191">
          <cell r="B191" t="str">
            <v>NL0015002K83</v>
          </cell>
          <cell r="D191">
            <v>99181149</v>
          </cell>
        </row>
        <row r="192">
          <cell r="B192" t="str">
            <v>GB00BNXJB679</v>
          </cell>
          <cell r="D192">
            <v>247239580</v>
          </cell>
        </row>
        <row r="193">
          <cell r="B193" t="str">
            <v>DE0006047004</v>
          </cell>
          <cell r="D193">
            <v>178430760</v>
          </cell>
        </row>
        <row r="194">
          <cell r="B194" t="str">
            <v>NL0000009165</v>
          </cell>
          <cell r="D194">
            <v>576002613</v>
          </cell>
        </row>
        <row r="195">
          <cell r="B195" t="str">
            <v>NL0000008977</v>
          </cell>
          <cell r="D195">
            <v>288030168</v>
          </cell>
        </row>
        <row r="196">
          <cell r="B196" t="str">
            <v>DE0006048432</v>
          </cell>
          <cell r="D196">
            <v>178162870</v>
          </cell>
        </row>
        <row r="197">
          <cell r="B197" t="str">
            <v>DE0006048408</v>
          </cell>
          <cell r="D197">
            <v>259795870</v>
          </cell>
        </row>
        <row r="198">
          <cell r="B198" t="str">
            <v>DE000HAG0005</v>
          </cell>
          <cell r="D198">
            <v>115500000</v>
          </cell>
        </row>
        <row r="199">
          <cell r="B199" t="str">
            <v>IT0001250932</v>
          </cell>
          <cell r="D199">
            <v>1489538745</v>
          </cell>
        </row>
        <row r="200">
          <cell r="B200" t="str">
            <v>FI4000571013</v>
          </cell>
          <cell r="D200">
            <v>55182080</v>
          </cell>
        </row>
        <row r="201">
          <cell r="B201" t="str">
            <v>DE0006070006</v>
          </cell>
          <cell r="D201">
            <v>77711300</v>
          </cell>
        </row>
        <row r="202">
          <cell r="B202" t="str">
            <v>DE000A1PHFF7</v>
          </cell>
          <cell r="D202">
            <v>70400000</v>
          </cell>
        </row>
        <row r="203">
          <cell r="B203" t="str">
            <v>FI0009000459</v>
          </cell>
          <cell r="D203">
            <v>107760380</v>
          </cell>
        </row>
        <row r="204">
          <cell r="B204" t="str">
            <v>FR0010929125</v>
          </cell>
          <cell r="D204">
            <v>6548328</v>
          </cell>
        </row>
        <row r="205">
          <cell r="B205" t="str">
            <v>NL0010801007</v>
          </cell>
          <cell r="D205">
            <v>59107999</v>
          </cell>
        </row>
        <row r="206">
          <cell r="B206" t="str">
            <v>ES0118594417</v>
          </cell>
          <cell r="D206">
            <v>176654400</v>
          </cell>
        </row>
        <row r="207">
          <cell r="B207" t="str">
            <v>LU2290522684</v>
          </cell>
          <cell r="D207">
            <v>500000000</v>
          </cell>
        </row>
        <row r="208">
          <cell r="B208" t="str">
            <v>IT0005455875</v>
          </cell>
          <cell r="D208">
            <v>96364020</v>
          </cell>
        </row>
        <row r="209">
          <cell r="B209" t="str">
            <v>IT0001078911</v>
          </cell>
          <cell r="D209">
            <v>108879294</v>
          </cell>
        </row>
        <row r="210">
          <cell r="B210" t="str">
            <v>IT0005090300</v>
          </cell>
          <cell r="D210">
            <v>931890010</v>
          </cell>
        </row>
        <row r="211">
          <cell r="B211" t="str">
            <v>DE000A3E00M1</v>
          </cell>
          <cell r="D211">
            <v>140000000</v>
          </cell>
        </row>
        <row r="212">
          <cell r="B212" t="str">
            <v>FR0010259150</v>
          </cell>
          <cell r="D212">
            <v>83814526</v>
          </cell>
        </row>
        <row r="213">
          <cell r="B213" t="str">
            <v>FR0000073298</v>
          </cell>
          <cell r="D213">
            <v>43203225</v>
          </cell>
        </row>
        <row r="214">
          <cell r="B214" t="str">
            <v>IT0003027817</v>
          </cell>
          <cell r="D214">
            <v>1300931377</v>
          </cell>
        </row>
        <row r="215">
          <cell r="B215" t="str">
            <v>IT0005211237</v>
          </cell>
          <cell r="D215">
            <v>1015518043</v>
          </cell>
        </row>
        <row r="216">
          <cell r="B216" t="str">
            <v>IT0005253205</v>
          </cell>
          <cell r="D216">
            <v>42500000</v>
          </cell>
        </row>
        <row r="217">
          <cell r="B217" t="str">
            <v>NL0015000LU4</v>
          </cell>
          <cell r="D217">
            <v>271215400</v>
          </cell>
        </row>
        <row r="218">
          <cell r="B218" t="str">
            <v>PTJMT0AE0001</v>
          </cell>
          <cell r="D218">
            <v>629293220</v>
          </cell>
        </row>
        <row r="219">
          <cell r="B219" t="str">
            <v>FR0000077919</v>
          </cell>
          <cell r="D219">
            <v>214128663</v>
          </cell>
        </row>
        <row r="220">
          <cell r="B220" t="str">
            <v>NL0014332678</v>
          </cell>
          <cell r="D220">
            <v>488178642</v>
          </cell>
        </row>
        <row r="221">
          <cell r="B221" t="str">
            <v>DE000A2NB601</v>
          </cell>
          <cell r="D221">
            <v>57238117</v>
          </cell>
        </row>
        <row r="222">
          <cell r="B222" t="str">
            <v>DE0006219934</v>
          </cell>
          <cell r="D222">
            <v>48000000</v>
          </cell>
        </row>
        <row r="223">
          <cell r="B223" t="str">
            <v>DE000KSAG888</v>
          </cell>
          <cell r="D223">
            <v>179100000</v>
          </cell>
        </row>
        <row r="224">
          <cell r="B224" t="str">
            <v>FI4000571054</v>
          </cell>
          <cell r="D224">
            <v>54798030</v>
          </cell>
        </row>
        <row r="225">
          <cell r="B225" t="str">
            <v>BE0003867844</v>
          </cell>
          <cell r="D225">
            <v>77011844</v>
          </cell>
        </row>
        <row r="226">
          <cell r="B226" t="str">
            <v>FI0009004824</v>
          </cell>
          <cell r="D226">
            <v>155342560</v>
          </cell>
        </row>
        <row r="227">
          <cell r="B227" t="str">
            <v>FI4000513593</v>
          </cell>
          <cell r="D227">
            <v>55542920</v>
          </cell>
        </row>
        <row r="228">
          <cell r="B228" t="str">
            <v>FR0000121485</v>
          </cell>
          <cell r="D228">
            <v>123420778</v>
          </cell>
        </row>
        <row r="229">
          <cell r="B229" t="str">
            <v>FI0009000202</v>
          </cell>
          <cell r="D229">
            <v>273130980</v>
          </cell>
        </row>
        <row r="230">
          <cell r="B230" t="str">
            <v>DE000KGX8881</v>
          </cell>
          <cell r="D230">
            <v>131198650</v>
          </cell>
        </row>
        <row r="231">
          <cell r="B231" t="str">
            <v>FR0000121964</v>
          </cell>
          <cell r="D231">
            <v>286861172</v>
          </cell>
        </row>
        <row r="232">
          <cell r="B232" t="str">
            <v>DE000KBX1006</v>
          </cell>
          <cell r="D232">
            <v>161200000</v>
          </cell>
        </row>
        <row r="233">
          <cell r="B233" t="str">
            <v>FI4000312251</v>
          </cell>
          <cell r="D233">
            <v>247144400</v>
          </cell>
        </row>
        <row r="234">
          <cell r="B234" t="str">
            <v>FI0009005870</v>
          </cell>
          <cell r="D234">
            <v>79221900</v>
          </cell>
        </row>
        <row r="235">
          <cell r="B235" t="str">
            <v>NL0009269109</v>
          </cell>
          <cell r="D235">
            <v>27478006</v>
          </cell>
        </row>
        <row r="236">
          <cell r="B236" t="str">
            <v>AT0000A0E9W5</v>
          </cell>
          <cell r="D236">
            <v>66096100</v>
          </cell>
        </row>
        <row r="237">
          <cell r="B237" t="str">
            <v>NL0000009082</v>
          </cell>
          <cell r="D237">
            <v>3888930422</v>
          </cell>
        </row>
        <row r="238">
          <cell r="B238" t="str">
            <v>DE0006335003</v>
          </cell>
          <cell r="D238">
            <v>31593073</v>
          </cell>
        </row>
        <row r="239">
          <cell r="B239" t="str">
            <v>DE0006292030</v>
          </cell>
          <cell r="D239">
            <v>864712</v>
          </cell>
        </row>
        <row r="240">
          <cell r="B240" t="str">
            <v>ES0157261019</v>
          </cell>
          <cell r="D240">
            <v>51235764</v>
          </cell>
        </row>
        <row r="241">
          <cell r="B241" t="str">
            <v>DE0005470405</v>
          </cell>
          <cell r="D241">
            <v>86346306</v>
          </cell>
        </row>
        <row r="242">
          <cell r="B242" t="str">
            <v>FI0009010854</v>
          </cell>
          <cell r="D242">
            <v>38798874</v>
          </cell>
        </row>
        <row r="243">
          <cell r="B243" t="str">
            <v>DE000LEG1110</v>
          </cell>
          <cell r="D243">
            <v>75570800</v>
          </cell>
        </row>
        <row r="244">
          <cell r="B244" t="str">
            <v>FR0010307819</v>
          </cell>
          <cell r="D244">
            <v>262245733</v>
          </cell>
        </row>
        <row r="245">
          <cell r="B245" t="str">
            <v>AT0000644505</v>
          </cell>
          <cell r="D245">
            <v>38618180</v>
          </cell>
        </row>
        <row r="246">
          <cell r="B246" t="str">
            <v>FI0009000251</v>
          </cell>
          <cell r="D246">
            <v>164041400</v>
          </cell>
        </row>
        <row r="247">
          <cell r="B247" t="str">
            <v>FR0000050353</v>
          </cell>
          <cell r="D247">
            <v>46538313</v>
          </cell>
        </row>
        <row r="248">
          <cell r="B248" t="str">
            <v>ES0105027009</v>
          </cell>
          <cell r="D248">
            <v>132750000</v>
          </cell>
        </row>
        <row r="249">
          <cell r="B249" t="str">
            <v>IT0005541336</v>
          </cell>
          <cell r="D249">
            <v>251630412</v>
          </cell>
        </row>
        <row r="250">
          <cell r="B250" t="str">
            <v>BE0003604155</v>
          </cell>
          <cell r="D250">
            <v>816013</v>
          </cell>
        </row>
        <row r="251">
          <cell r="B251" t="str">
            <v>FR001400TL40</v>
          </cell>
          <cell r="D251">
            <v>991996494</v>
          </cell>
        </row>
        <row r="252">
          <cell r="B252" t="str">
            <v>DE0008232125</v>
          </cell>
          <cell r="D252">
            <v>1200249100</v>
          </cell>
        </row>
        <row r="253">
          <cell r="B253" t="str">
            <v>IT0005107492</v>
          </cell>
          <cell r="D253">
            <v>22234368</v>
          </cell>
        </row>
        <row r="254">
          <cell r="B254" t="str">
            <v>NL0015002MS2</v>
          </cell>
          <cell r="D254">
            <v>527548754</v>
          </cell>
        </row>
        <row r="255">
          <cell r="B255" t="str">
            <v>IT0004931058</v>
          </cell>
          <cell r="D255">
            <v>328640432</v>
          </cell>
        </row>
        <row r="256">
          <cell r="B256" t="str">
            <v>FI4000552526</v>
          </cell>
          <cell r="D256">
            <v>502696750</v>
          </cell>
        </row>
        <row r="257">
          <cell r="B257" t="str">
            <v>FI0009007660</v>
          </cell>
          <cell r="D257">
            <v>40649170</v>
          </cell>
        </row>
        <row r="258">
          <cell r="B258" t="str">
            <v>AT0000938204</v>
          </cell>
          <cell r="D258">
            <v>20000000</v>
          </cell>
        </row>
        <row r="259">
          <cell r="B259" t="str">
            <v>FR0004065605</v>
          </cell>
          <cell r="D259">
            <v>33125992</v>
          </cell>
        </row>
        <row r="260">
          <cell r="B260" t="str">
            <v>IT0000062957</v>
          </cell>
          <cell r="D260">
            <v>813279689</v>
          </cell>
        </row>
        <row r="261">
          <cell r="B261" t="str">
            <v>BE0165385973</v>
          </cell>
          <cell r="D261">
            <v>40400000</v>
          </cell>
        </row>
        <row r="262">
          <cell r="B262" t="str">
            <v>FR0010241638</v>
          </cell>
          <cell r="D262">
            <v>93886501</v>
          </cell>
        </row>
        <row r="263">
          <cell r="B263" t="str">
            <v>DE0006599905</v>
          </cell>
          <cell r="D263">
            <v>129242250</v>
          </cell>
        </row>
        <row r="264">
          <cell r="B264" t="str">
            <v>ES0105025003</v>
          </cell>
          <cell r="D264">
            <v>563724900</v>
          </cell>
        </row>
        <row r="265">
          <cell r="B265" t="str">
            <v>FI0009000665</v>
          </cell>
          <cell r="D265">
            <v>322710570</v>
          </cell>
        </row>
        <row r="266">
          <cell r="B266" t="str">
            <v>NL0015001OI1</v>
          </cell>
          <cell r="D266">
            <v>469897609</v>
          </cell>
        </row>
        <row r="267">
          <cell r="B267" t="str">
            <v>FR001400AJ45</v>
          </cell>
          <cell r="D267">
            <v>710514537</v>
          </cell>
        </row>
        <row r="268">
          <cell r="B268" t="str">
            <v>IT0004195308</v>
          </cell>
          <cell r="D268">
            <v>40000000</v>
          </cell>
        </row>
        <row r="269">
          <cell r="B269" t="str">
            <v>IT0004965148</v>
          </cell>
          <cell r="D269">
            <v>274805954</v>
          </cell>
        </row>
        <row r="270">
          <cell r="B270" t="str">
            <v>BE0003853703</v>
          </cell>
          <cell r="D270">
            <v>23131212</v>
          </cell>
        </row>
        <row r="271">
          <cell r="B271" t="str">
            <v>PTMEN0AE0005</v>
          </cell>
          <cell r="D271">
            <v>306775950</v>
          </cell>
        </row>
        <row r="272">
          <cell r="B272" t="str">
            <v>DE000A0D9PT0</v>
          </cell>
          <cell r="D272">
            <v>53824490</v>
          </cell>
        </row>
        <row r="273">
          <cell r="B273" t="str">
            <v>ES0116870314</v>
          </cell>
          <cell r="D273">
            <v>969613830</v>
          </cell>
        </row>
        <row r="274">
          <cell r="B274" t="str">
            <v>PTPTI0AM0006</v>
          </cell>
          <cell r="D274">
            <v>711183069</v>
          </cell>
        </row>
        <row r="275">
          <cell r="B275" t="str">
            <v>DE0006452907</v>
          </cell>
          <cell r="D275">
            <v>115500000</v>
          </cell>
        </row>
        <row r="276">
          <cell r="B276" t="str">
            <v>FI0009013296</v>
          </cell>
          <cell r="D276">
            <v>769211060</v>
          </cell>
        </row>
        <row r="277">
          <cell r="B277" t="str">
            <v>IT0005385213</v>
          </cell>
          <cell r="D277">
            <v>43935050</v>
          </cell>
        </row>
        <row r="278">
          <cell r="B278" t="str">
            <v>FR0000044448</v>
          </cell>
          <cell r="D278">
            <v>43744779</v>
          </cell>
        </row>
        <row r="279">
          <cell r="B279" t="str">
            <v>IT0005366767</v>
          </cell>
          <cell r="D279">
            <v>1172545414</v>
          </cell>
        </row>
        <row r="280">
          <cell r="B280" t="str">
            <v>NL0010773842</v>
          </cell>
          <cell r="D280">
            <v>269000000</v>
          </cell>
        </row>
        <row r="281">
          <cell r="B281" t="str">
            <v>FI0009005318</v>
          </cell>
          <cell r="D281">
            <v>138921740</v>
          </cell>
        </row>
        <row r="282">
          <cell r="B282" t="str">
            <v>DE000A0D6554</v>
          </cell>
          <cell r="D282">
            <v>236450360</v>
          </cell>
        </row>
        <row r="283">
          <cell r="B283" t="str">
            <v>PTZON0AM0006</v>
          </cell>
          <cell r="D283">
            <v>515161380</v>
          </cell>
        </row>
        <row r="284">
          <cell r="B284" t="str">
            <v>FI0009900401</v>
          </cell>
          <cell r="D284">
            <v>16989977</v>
          </cell>
        </row>
        <row r="285">
          <cell r="B285" t="str">
            <v>FR0000124570</v>
          </cell>
          <cell r="D285">
            <v>144022153</v>
          </cell>
        </row>
        <row r="286">
          <cell r="B286" t="str">
            <v>FR0000133308</v>
          </cell>
          <cell r="D286">
            <v>2660056599</v>
          </cell>
        </row>
        <row r="287">
          <cell r="B287" t="str">
            <v>IE00B1WV4493</v>
          </cell>
          <cell r="D287">
            <v>107233804</v>
          </cell>
        </row>
        <row r="288">
          <cell r="B288" t="str">
            <v>FI0009014377</v>
          </cell>
          <cell r="D288">
            <v>109292460</v>
          </cell>
        </row>
        <row r="289">
          <cell r="B289" t="str">
            <v>AT0000APOST4</v>
          </cell>
          <cell r="D289">
            <v>67552640</v>
          </cell>
        </row>
        <row r="290">
          <cell r="B290" t="str">
            <v>FI0009002422</v>
          </cell>
          <cell r="D290">
            <v>473016850</v>
          </cell>
        </row>
        <row r="291">
          <cell r="B291" t="str">
            <v>IT0005043507</v>
          </cell>
          <cell r="D291">
            <v>255032123</v>
          </cell>
        </row>
        <row r="292">
          <cell r="B292" t="str">
            <v>AT0000758305</v>
          </cell>
          <cell r="D292">
            <v>37593258</v>
          </cell>
        </row>
        <row r="293">
          <cell r="B293" t="str">
            <v>FR0000120693</v>
          </cell>
          <cell r="D293">
            <v>252269195</v>
          </cell>
        </row>
        <row r="294">
          <cell r="B294" t="str">
            <v>ES0169501022</v>
          </cell>
          <cell r="D294">
            <v>18000000</v>
          </cell>
        </row>
        <row r="295">
          <cell r="B295" t="str">
            <v>NL0010391025</v>
          </cell>
          <cell r="D295">
            <v>685147615</v>
          </cell>
        </row>
        <row r="296">
          <cell r="B296" t="str">
            <v>NL0000009538</v>
          </cell>
          <cell r="D296">
            <v>962920132</v>
          </cell>
        </row>
        <row r="297">
          <cell r="B297" t="str">
            <v>FI4000092556</v>
          </cell>
          <cell r="D297">
            <v>22620136</v>
          </cell>
        </row>
        <row r="298">
          <cell r="B298" t="str">
            <v>IT0005278236</v>
          </cell>
          <cell r="D298">
            <v>1000000000</v>
          </cell>
        </row>
        <row r="299">
          <cell r="B299" t="str">
            <v>NL0015001W49</v>
          </cell>
          <cell r="D299">
            <v>147174692</v>
          </cell>
        </row>
        <row r="300">
          <cell r="B300" t="str">
            <v>AT0000609607</v>
          </cell>
          <cell r="D300">
            <v>39278250</v>
          </cell>
        </row>
        <row r="301">
          <cell r="B301" t="str">
            <v>DE000PAG9113</v>
          </cell>
          <cell r="D301">
            <v>455500000</v>
          </cell>
        </row>
        <row r="302">
          <cell r="B302" t="str">
            <v>DE000PAH0038</v>
          </cell>
          <cell r="D302">
            <v>153124980</v>
          </cell>
        </row>
        <row r="303">
          <cell r="B303" t="str">
            <v>IT0003796171</v>
          </cell>
          <cell r="D303">
            <v>1306110000</v>
          </cell>
        </row>
        <row r="304">
          <cell r="B304" t="str">
            <v>BE0003810273</v>
          </cell>
          <cell r="D304">
            <v>338025135</v>
          </cell>
        </row>
        <row r="305">
          <cell r="B305" t="str">
            <v>FR0000130577</v>
          </cell>
          <cell r="D305">
            <v>254311860</v>
          </cell>
        </row>
        <row r="306">
          <cell r="B306" t="str">
            <v>ES0105777017</v>
          </cell>
          <cell r="D306">
            <v>174819670</v>
          </cell>
        </row>
        <row r="307">
          <cell r="B307" t="str">
            <v>DE0006969603</v>
          </cell>
          <cell r="D307">
            <v>148007920</v>
          </cell>
        </row>
        <row r="308">
          <cell r="B308" t="str">
            <v>FI4000507124</v>
          </cell>
          <cell r="D308">
            <v>84776955</v>
          </cell>
        </row>
        <row r="309">
          <cell r="B309" t="str">
            <v>NL0015002CX3</v>
          </cell>
          <cell r="D309">
            <v>216841000</v>
          </cell>
        </row>
        <row r="310">
          <cell r="B310" t="str">
            <v>FI4000198031</v>
          </cell>
          <cell r="D310">
            <v>25470211</v>
          </cell>
        </row>
        <row r="311">
          <cell r="B311" t="str">
            <v>IT0005054967</v>
          </cell>
          <cell r="D311">
            <v>272000000</v>
          </cell>
        </row>
        <row r="312">
          <cell r="B312" t="str">
            <v>AT0000606306</v>
          </cell>
          <cell r="D312">
            <v>328939640</v>
          </cell>
        </row>
        <row r="313">
          <cell r="B313" t="str">
            <v>FI0009002943</v>
          </cell>
          <cell r="D313">
            <v>129162900</v>
          </cell>
        </row>
        <row r="314">
          <cell r="B314" t="str">
            <v>NL0000379121</v>
          </cell>
          <cell r="D314">
            <v>175977424</v>
          </cell>
        </row>
        <row r="315">
          <cell r="B315" t="str">
            <v>DE0007010803</v>
          </cell>
          <cell r="D315">
            <v>11370000</v>
          </cell>
        </row>
        <row r="316">
          <cell r="B316" t="str">
            <v>IT0003828271</v>
          </cell>
          <cell r="D316">
            <v>209125156</v>
          </cell>
        </row>
        <row r="317">
          <cell r="B317" t="str">
            <v>NL0012044747</v>
          </cell>
          <cell r="D317">
            <v>20578390</v>
          </cell>
        </row>
        <row r="318">
          <cell r="B318" t="str">
            <v>ES0173093024</v>
          </cell>
          <cell r="D318">
            <v>541080000</v>
          </cell>
        </row>
        <row r="319">
          <cell r="B319" t="str">
            <v>PTREL0AM0008</v>
          </cell>
          <cell r="D319">
            <v>667191262</v>
          </cell>
        </row>
        <row r="320">
          <cell r="B320" t="str">
            <v>FR0000130395</v>
          </cell>
          <cell r="D320">
            <v>52589879</v>
          </cell>
        </row>
        <row r="321">
          <cell r="B321" t="str">
            <v>FR0000131906</v>
          </cell>
          <cell r="D321">
            <v>295722284</v>
          </cell>
        </row>
        <row r="322">
          <cell r="B322" t="str">
            <v>DE000RENK730</v>
          </cell>
          <cell r="D322">
            <v>100000000</v>
          </cell>
        </row>
        <row r="323">
          <cell r="B323" t="str">
            <v>IT0005282865</v>
          </cell>
          <cell r="D323">
            <v>37411428</v>
          </cell>
        </row>
        <row r="324">
          <cell r="B324" t="str">
            <v>ES0173516115</v>
          </cell>
          <cell r="D324">
            <v>1128372300</v>
          </cell>
        </row>
        <row r="325">
          <cell r="B325" t="str">
            <v>BE0003720340</v>
          </cell>
          <cell r="D325">
            <v>15026370</v>
          </cell>
        </row>
        <row r="326">
          <cell r="B326" t="str">
            <v>FI0009010912</v>
          </cell>
          <cell r="D326">
            <v>26681116</v>
          </cell>
        </row>
        <row r="327">
          <cell r="B327" t="str">
            <v>IT0005513202</v>
          </cell>
          <cell r="D327">
            <v>29305985</v>
          </cell>
        </row>
        <row r="328">
          <cell r="B328" t="str">
            <v>FR0010451203</v>
          </cell>
          <cell r="D328">
            <v>299036619</v>
          </cell>
        </row>
        <row r="329">
          <cell r="B329" t="str">
            <v>NL0009432491</v>
          </cell>
          <cell r="D329">
            <v>115264199</v>
          </cell>
        </row>
        <row r="330">
          <cell r="B330" t="str">
            <v>LU0061462528</v>
          </cell>
          <cell r="D330">
            <v>154742800</v>
          </cell>
        </row>
        <row r="331">
          <cell r="B331" t="str">
            <v>FR0013269123</v>
          </cell>
          <cell r="D331">
            <v>103361773</v>
          </cell>
        </row>
        <row r="332">
          <cell r="B332" t="str">
            <v>DE0007037129</v>
          </cell>
          <cell r="D332">
            <v>743841200</v>
          </cell>
        </row>
        <row r="333">
          <cell r="B333" t="str">
            <v>ES0182870214</v>
          </cell>
          <cell r="D333">
            <v>796857800</v>
          </cell>
        </row>
        <row r="334">
          <cell r="B334" t="str">
            <v>IT0004604762</v>
          </cell>
          <cell r="D334">
            <v>415203472</v>
          </cell>
        </row>
        <row r="335">
          <cell r="B335" t="str">
            <v>FR0000125007</v>
          </cell>
          <cell r="D335">
            <v>499067417</v>
          </cell>
        </row>
        <row r="336">
          <cell r="B336" t="str">
            <v>IT0005495657</v>
          </cell>
          <cell r="D336">
            <v>1995631862</v>
          </cell>
        </row>
        <row r="337">
          <cell r="B337" t="str">
            <v>IT0004712375</v>
          </cell>
          <cell r="D337">
            <v>168790000</v>
          </cell>
        </row>
        <row r="338">
          <cell r="B338" t="str">
            <v>IT0003549422</v>
          </cell>
          <cell r="D338">
            <v>35624570</v>
          </cell>
        </row>
        <row r="339">
          <cell r="B339" t="str">
            <v>DE0007165631</v>
          </cell>
          <cell r="D339">
            <v>37440000</v>
          </cell>
        </row>
        <row r="340">
          <cell r="B340" t="str">
            <v>FR0013154002</v>
          </cell>
          <cell r="D340">
            <v>97330405</v>
          </cell>
        </row>
        <row r="341">
          <cell r="B341" t="str">
            <v>NL0000360618</v>
          </cell>
          <cell r="D341">
            <v>171361365</v>
          </cell>
        </row>
        <row r="342">
          <cell r="B342" t="str">
            <v>DE000SHA0100</v>
          </cell>
          <cell r="D342">
            <v>944884640</v>
          </cell>
        </row>
        <row r="343">
          <cell r="B343" t="str">
            <v>FR0010411983</v>
          </cell>
          <cell r="D343">
            <v>179363695</v>
          </cell>
        </row>
        <row r="344">
          <cell r="B344" t="str">
            <v>DE000A12DM80</v>
          </cell>
          <cell r="D344">
            <v>75000000</v>
          </cell>
        </row>
        <row r="345">
          <cell r="B345" t="str">
            <v>FR0000121709</v>
          </cell>
          <cell r="D345">
            <v>55337770</v>
          </cell>
        </row>
        <row r="346">
          <cell r="B346" t="str">
            <v>LU0088087324</v>
          </cell>
          <cell r="D346">
            <v>383457600</v>
          </cell>
        </row>
        <row r="347">
          <cell r="B347" t="str">
            <v>IT0004729759</v>
          </cell>
          <cell r="D347">
            <v>15343112</v>
          </cell>
        </row>
        <row r="348">
          <cell r="B348" t="str">
            <v>GG00BQZCBZ44</v>
          </cell>
          <cell r="D348">
            <v>100972323</v>
          </cell>
        </row>
        <row r="349">
          <cell r="B349" t="str">
            <v>DE000SHL1006</v>
          </cell>
          <cell r="D349">
            <v>1128000000</v>
          </cell>
        </row>
        <row r="350">
          <cell r="B350" t="str">
            <v>NL0011821392</v>
          </cell>
          <cell r="D350">
            <v>128344238</v>
          </cell>
        </row>
        <row r="351">
          <cell r="B351" t="str">
            <v>DE0007231326</v>
          </cell>
          <cell r="D351">
            <v>30367110</v>
          </cell>
        </row>
        <row r="352">
          <cell r="B352" t="str">
            <v>DE0007231334</v>
          </cell>
          <cell r="D352">
            <v>16567245</v>
          </cell>
        </row>
        <row r="353">
          <cell r="B353" t="str">
            <v>DE000A0DJ6J9</v>
          </cell>
          <cell r="D353">
            <v>34700000</v>
          </cell>
        </row>
        <row r="354">
          <cell r="B354" t="str">
            <v>IT0003153415</v>
          </cell>
          <cell r="D354">
            <v>3360857809</v>
          </cell>
        </row>
        <row r="355">
          <cell r="B355" t="str">
            <v>FR0000130809</v>
          </cell>
          <cell r="D355">
            <v>766894786</v>
          </cell>
        </row>
        <row r="356">
          <cell r="B356" t="str">
            <v>FR0000121220</v>
          </cell>
          <cell r="D356">
            <v>147454887</v>
          </cell>
        </row>
        <row r="357">
          <cell r="B357" t="str">
            <v>BE0003717312</v>
          </cell>
          <cell r="D357">
            <v>36696428</v>
          </cell>
        </row>
        <row r="358">
          <cell r="B358" t="str">
            <v>IT0001206769</v>
          </cell>
          <cell r="D358">
            <v>90700000</v>
          </cell>
        </row>
        <row r="359">
          <cell r="B359" t="str">
            <v>BE0003470755</v>
          </cell>
          <cell r="D359">
            <v>105876416</v>
          </cell>
        </row>
        <row r="360">
          <cell r="B360" t="str">
            <v>PTSON0AM0001</v>
          </cell>
          <cell r="D360">
            <v>2000000000</v>
          </cell>
        </row>
        <row r="361">
          <cell r="B361" t="str">
            <v>FR0000050809</v>
          </cell>
          <cell r="D361">
            <v>20547701</v>
          </cell>
        </row>
        <row r="362">
          <cell r="B362" t="str">
            <v>FR0012757854</v>
          </cell>
          <cell r="D362">
            <v>168073514</v>
          </cell>
        </row>
        <row r="363">
          <cell r="B363" t="str">
            <v>NL0000226223</v>
          </cell>
          <cell r="D363">
            <v>911281920</v>
          </cell>
        </row>
        <row r="364">
          <cell r="B364" t="str">
            <v>FI0009005961</v>
          </cell>
          <cell r="D364">
            <v>613077400</v>
          </cell>
        </row>
        <row r="365">
          <cell r="B365" t="str">
            <v>DE0007493991</v>
          </cell>
          <cell r="D365">
            <v>55843310</v>
          </cell>
        </row>
        <row r="366">
          <cell r="B366" t="str">
            <v>BE0974464977</v>
          </cell>
          <cell r="D366">
            <v>103921273</v>
          </cell>
        </row>
        <row r="367">
          <cell r="B367" t="str">
            <v>DE000SYM9999</v>
          </cell>
          <cell r="D367">
            <v>139772050</v>
          </cell>
        </row>
        <row r="368">
          <cell r="B368" t="str">
            <v>DE0008303504</v>
          </cell>
          <cell r="D368">
            <v>189034940</v>
          </cell>
        </row>
        <row r="369">
          <cell r="B369" t="str">
            <v>DE000TLX1005</v>
          </cell>
          <cell r="D369">
            <v>258229000</v>
          </cell>
        </row>
        <row r="370">
          <cell r="B370" t="str">
            <v>IT0003153621</v>
          </cell>
          <cell r="D370">
            <v>184379301</v>
          </cell>
        </row>
        <row r="371">
          <cell r="B371" t="str">
            <v>DE000A2YN900</v>
          </cell>
          <cell r="D371">
            <v>170000000</v>
          </cell>
        </row>
        <row r="372">
          <cell r="B372" t="str">
            <v>NL0014559478</v>
          </cell>
          <cell r="D372">
            <v>178378708</v>
          </cell>
        </row>
        <row r="373">
          <cell r="B373" t="str">
            <v>IT0005162406</v>
          </cell>
          <cell r="D373">
            <v>201327500</v>
          </cell>
        </row>
        <row r="374">
          <cell r="B374" t="str">
            <v>IT0005482333</v>
          </cell>
          <cell r="D374">
            <v>653260870</v>
          </cell>
        </row>
        <row r="375">
          <cell r="B375" t="str">
            <v>ES0178165017</v>
          </cell>
          <cell r="D375">
            <v>80301260</v>
          </cell>
        </row>
        <row r="376">
          <cell r="B376" t="str">
            <v>IT0003497168</v>
          </cell>
          <cell r="D376">
            <v>15329466496</v>
          </cell>
        </row>
        <row r="377">
          <cell r="B377" t="str">
            <v>IT0003497176</v>
          </cell>
          <cell r="D377">
            <v>6027791699</v>
          </cell>
        </row>
        <row r="378">
          <cell r="B378" t="str">
            <v>ES0178430E18</v>
          </cell>
          <cell r="D378">
            <v>5670161600</v>
          </cell>
        </row>
        <row r="379">
          <cell r="B379" t="str">
            <v>FR0000051807</v>
          </cell>
          <cell r="D379">
            <v>59874365</v>
          </cell>
        </row>
        <row r="380">
          <cell r="B380" t="str">
            <v>FR0000054900</v>
          </cell>
          <cell r="D380">
            <v>211284237</v>
          </cell>
        </row>
        <row r="381">
          <cell r="B381" t="str">
            <v>LU2598331598</v>
          </cell>
          <cell r="D381">
            <v>1071994930</v>
          </cell>
        </row>
        <row r="382">
          <cell r="B382" t="str">
            <v>IT0003242622</v>
          </cell>
          <cell r="D382">
            <v>2009992000</v>
          </cell>
        </row>
        <row r="383">
          <cell r="B383" t="str">
            <v>FI4000252127</v>
          </cell>
          <cell r="D383">
            <v>127036530</v>
          </cell>
        </row>
        <row r="384">
          <cell r="B384" t="str">
            <v>BE0003555639</v>
          </cell>
          <cell r="D384">
            <v>60159303</v>
          </cell>
        </row>
        <row r="385">
          <cell r="B385" t="str">
            <v>FR0000121329</v>
          </cell>
          <cell r="D385">
            <v>205941913</v>
          </cell>
        </row>
        <row r="386">
          <cell r="B386" t="str">
            <v>DE0007500001</v>
          </cell>
          <cell r="D386">
            <v>622531741</v>
          </cell>
        </row>
        <row r="387">
          <cell r="B387" t="str">
            <v>FI0009000277</v>
          </cell>
          <cell r="D387">
            <v>118640150</v>
          </cell>
        </row>
        <row r="388">
          <cell r="B388" t="str">
            <v>NL0000852523</v>
          </cell>
          <cell r="D388">
            <v>42198429</v>
          </cell>
        </row>
        <row r="389">
          <cell r="B389" t="str">
            <v>FI4000197934</v>
          </cell>
          <cell r="D389">
            <v>58868750</v>
          </cell>
        </row>
        <row r="390">
          <cell r="B390" t="str">
            <v>DE000TRAT0N7</v>
          </cell>
          <cell r="D390">
            <v>500000000</v>
          </cell>
        </row>
        <row r="391">
          <cell r="B391" t="str">
            <v>FR0005691656</v>
          </cell>
          <cell r="D391">
            <v>19336269</v>
          </cell>
        </row>
        <row r="392">
          <cell r="B392" t="str">
            <v>BE0003823409</v>
          </cell>
          <cell r="D392">
            <v>44512598</v>
          </cell>
        </row>
        <row r="393">
          <cell r="B393" t="str">
            <v>DE000TUAG505</v>
          </cell>
          <cell r="D393">
            <v>507431033</v>
          </cell>
        </row>
        <row r="394">
          <cell r="B394" t="str">
            <v>NL0015000IY2</v>
          </cell>
          <cell r="D394">
            <v>1834181554</v>
          </cell>
        </row>
        <row r="395">
          <cell r="B395" t="str">
            <v>BE0974320526</v>
          </cell>
          <cell r="D395">
            <v>246400000</v>
          </cell>
        </row>
        <row r="396">
          <cell r="B396" t="str">
            <v>FR0013326246</v>
          </cell>
          <cell r="D396">
            <v>143244727</v>
          </cell>
        </row>
        <row r="397">
          <cell r="B397" t="str">
            <v>ES0180907000</v>
          </cell>
          <cell r="D397">
            <v>2571434600</v>
          </cell>
        </row>
        <row r="398">
          <cell r="B398" t="str">
            <v>IT0004810054</v>
          </cell>
          <cell r="D398">
            <v>717473508</v>
          </cell>
        </row>
        <row r="399">
          <cell r="B399" t="str">
            <v>AT0000821103</v>
          </cell>
          <cell r="D399">
            <v>309000000</v>
          </cell>
        </row>
        <row r="400">
          <cell r="B400" t="str">
            <v>DE0005089031</v>
          </cell>
          <cell r="D400">
            <v>192000000</v>
          </cell>
        </row>
        <row r="401">
          <cell r="B401" t="str">
            <v>FI0009900682</v>
          </cell>
          <cell r="D401">
            <v>33343600</v>
          </cell>
        </row>
        <row r="402">
          <cell r="B402" t="str">
            <v>FR0013176526</v>
          </cell>
          <cell r="D402">
            <v>245607624</v>
          </cell>
        </row>
        <row r="403">
          <cell r="B403" t="str">
            <v>FR0013506730</v>
          </cell>
          <cell r="D403">
            <v>234359146</v>
          </cell>
        </row>
        <row r="404">
          <cell r="B404" t="str">
            <v>FI4000074984</v>
          </cell>
          <cell r="D404">
            <v>184529605</v>
          </cell>
        </row>
        <row r="405">
          <cell r="B405" t="str">
            <v>NL0000302636</v>
          </cell>
          <cell r="D405">
            <v>43036928</v>
          </cell>
        </row>
        <row r="406">
          <cell r="B406" t="str">
            <v>FR0000124141</v>
          </cell>
          <cell r="D406">
            <v>741723437</v>
          </cell>
        </row>
        <row r="407">
          <cell r="B407" t="str">
            <v>AT0000746409</v>
          </cell>
          <cell r="D407">
            <v>170233686</v>
          </cell>
        </row>
        <row r="408">
          <cell r="B408" t="str">
            <v>BE0003878957</v>
          </cell>
          <cell r="D408">
            <v>27291312</v>
          </cell>
        </row>
        <row r="409">
          <cell r="B409" t="str">
            <v>FR0000031775</v>
          </cell>
          <cell r="D409">
            <v>44900000</v>
          </cell>
        </row>
        <row r="410">
          <cell r="B410" t="str">
            <v>ES0183746314</v>
          </cell>
          <cell r="D410">
            <v>35206257</v>
          </cell>
        </row>
        <row r="411">
          <cell r="B411" t="str">
            <v>FR0000031577</v>
          </cell>
          <cell r="D411">
            <v>8390660</v>
          </cell>
        </row>
        <row r="412">
          <cell r="B412" t="str">
            <v>ES0184262212</v>
          </cell>
          <cell r="D412">
            <v>46500000</v>
          </cell>
        </row>
        <row r="413">
          <cell r="B413" t="str">
            <v>FR0000127771</v>
          </cell>
          <cell r="D413">
            <v>1029918125</v>
          </cell>
        </row>
        <row r="414">
          <cell r="B414" t="str">
            <v>AT0000937503</v>
          </cell>
          <cell r="D414">
            <v>178549160</v>
          </cell>
        </row>
        <row r="415">
          <cell r="B415" t="str">
            <v>DE0007664039</v>
          </cell>
          <cell r="D415">
            <v>206205440</v>
          </cell>
        </row>
        <row r="416">
          <cell r="B416" t="str">
            <v>DE000A1ML7J1</v>
          </cell>
          <cell r="D416">
            <v>847785030</v>
          </cell>
        </row>
        <row r="417">
          <cell r="B417" t="str">
            <v>FR0010282822</v>
          </cell>
          <cell r="D417">
            <v>16843782</v>
          </cell>
        </row>
        <row r="418">
          <cell r="B418" t="str">
            <v>DE000WCH8881</v>
          </cell>
          <cell r="D418">
            <v>52152600</v>
          </cell>
        </row>
        <row r="419">
          <cell r="B419" t="str">
            <v>BE0974349814</v>
          </cell>
          <cell r="D419">
            <v>235139589</v>
          </cell>
        </row>
        <row r="420">
          <cell r="B420" t="str">
            <v>IT0003865570</v>
          </cell>
          <cell r="D420">
            <v>1017681493</v>
          </cell>
        </row>
        <row r="421">
          <cell r="B421" t="str">
            <v>FR0000121204</v>
          </cell>
          <cell r="D421">
            <v>44512038</v>
          </cell>
        </row>
        <row r="422">
          <cell r="B422" t="str">
            <v>AT0000831706</v>
          </cell>
          <cell r="D422">
            <v>109497696</v>
          </cell>
        </row>
        <row r="423">
          <cell r="B423" t="str">
            <v>FI4000519228</v>
          </cell>
          <cell r="D423">
            <v>174673170</v>
          </cell>
        </row>
        <row r="424">
          <cell r="B424" t="str">
            <v>NL0000395903</v>
          </cell>
          <cell r="D424">
            <v>232516153</v>
          </cell>
        </row>
        <row r="425">
          <cell r="B425" t="str">
            <v>BE0974288202</v>
          </cell>
          <cell r="D425">
            <v>46695094</v>
          </cell>
        </row>
        <row r="426">
          <cell r="B426" t="str">
            <v>FI0009800643</v>
          </cell>
          <cell r="D426">
            <v>232059860</v>
          </cell>
        </row>
        <row r="427">
          <cell r="B427" t="str">
            <v>DE000ZAL1111</v>
          </cell>
          <cell r="D427">
            <v>264169980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427"/>
  <sheetViews>
    <sheetView tabSelected="1" workbookViewId="0">
      <selection activeCell="I1" sqref="A1:I253"/>
    </sheetView>
  </sheetViews>
  <sheetFormatPr defaultRowHeight="15" x14ac:dyDescent="0.25"/>
  <cols>
    <col min="9" max="9" width="10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1596</v>
      </c>
    </row>
    <row r="2" spans="1:10" hidden="1" x14ac:dyDescent="0.25">
      <c r="A2" t="s">
        <v>8</v>
      </c>
      <c r="B2" t="s">
        <v>434</v>
      </c>
      <c r="C2" t="s">
        <v>860</v>
      </c>
      <c r="D2">
        <v>176764650</v>
      </c>
      <c r="E2">
        <v>0.2</v>
      </c>
      <c r="F2">
        <v>1</v>
      </c>
      <c r="G2" t="s">
        <v>872</v>
      </c>
      <c r="H2" t="s">
        <v>873</v>
      </c>
      <c r="I2">
        <f>_xlfn.XLOOKUP(B2,[1]selection!$B$2:$B$427,[1]selection!$D$2:$D$427,0)</f>
        <v>176764650</v>
      </c>
      <c r="J2" t="b">
        <f>I2=D2</f>
        <v>1</v>
      </c>
    </row>
    <row r="3" spans="1:10" hidden="1" x14ac:dyDescent="0.25">
      <c r="A3" t="s">
        <v>9</v>
      </c>
      <c r="B3" t="s">
        <v>435</v>
      </c>
      <c r="C3" t="s">
        <v>861</v>
      </c>
      <c r="D3">
        <v>3132905277</v>
      </c>
      <c r="E3">
        <v>0.5</v>
      </c>
      <c r="F3">
        <v>1</v>
      </c>
      <c r="G3" t="s">
        <v>872</v>
      </c>
      <c r="H3" t="s">
        <v>873</v>
      </c>
      <c r="I3">
        <f>_xlfn.XLOOKUP(B3,[1]selection!$B$2:$B$427,[1]selection!$D$2:$D$427,0)</f>
        <v>3132905277</v>
      </c>
      <c r="J3" t="b">
        <f t="shared" ref="J3:J66" si="0">I3=D3</f>
        <v>1</v>
      </c>
    </row>
    <row r="4" spans="1:10" hidden="1" x14ac:dyDescent="0.25">
      <c r="A4" t="s">
        <v>10</v>
      </c>
      <c r="B4" t="s">
        <v>436</v>
      </c>
      <c r="C4" t="s">
        <v>862</v>
      </c>
      <c r="D4">
        <v>110580102</v>
      </c>
      <c r="E4">
        <v>0.85000000000000009</v>
      </c>
      <c r="F4">
        <v>1</v>
      </c>
      <c r="G4" t="s">
        <v>872</v>
      </c>
      <c r="H4" t="s">
        <v>873</v>
      </c>
      <c r="I4">
        <f>_xlfn.XLOOKUP(B4,[1]selection!$B$2:$B$427,[1]selection!$D$2:$D$427,0)</f>
        <v>110580102</v>
      </c>
      <c r="J4" t="b">
        <f t="shared" si="0"/>
        <v>1</v>
      </c>
    </row>
    <row r="5" spans="1:10" hidden="1" x14ac:dyDescent="0.25">
      <c r="A5" t="s">
        <v>11</v>
      </c>
      <c r="B5" t="s">
        <v>437</v>
      </c>
      <c r="C5" t="s">
        <v>863</v>
      </c>
      <c r="D5">
        <v>77828918</v>
      </c>
      <c r="E5">
        <v>0.75</v>
      </c>
      <c r="F5">
        <v>1</v>
      </c>
      <c r="G5" t="s">
        <v>872</v>
      </c>
      <c r="H5" t="s">
        <v>873</v>
      </c>
      <c r="I5">
        <f>_xlfn.XLOOKUP(B5,[1]selection!$B$2:$B$427,[1]selection!$D$2:$D$427,0)</f>
        <v>77828918</v>
      </c>
      <c r="J5" t="b">
        <f t="shared" si="0"/>
        <v>1</v>
      </c>
    </row>
    <row r="6" spans="1:10" hidden="1" x14ac:dyDescent="0.25">
      <c r="A6" t="s">
        <v>12</v>
      </c>
      <c r="B6" t="s">
        <v>438</v>
      </c>
      <c r="C6" t="s">
        <v>862</v>
      </c>
      <c r="D6">
        <v>597116328</v>
      </c>
      <c r="E6">
        <v>1</v>
      </c>
      <c r="F6">
        <v>1</v>
      </c>
      <c r="G6" t="s">
        <v>872</v>
      </c>
      <c r="H6" t="s">
        <v>873</v>
      </c>
      <c r="I6">
        <f>_xlfn.XLOOKUP(B6,[1]selection!$B$2:$B$427,[1]selection!$D$2:$D$427,0)</f>
        <v>597116328</v>
      </c>
      <c r="J6" t="b">
        <f t="shared" si="0"/>
        <v>1</v>
      </c>
    </row>
    <row r="7" spans="1:10" hidden="1" x14ac:dyDescent="0.25">
      <c r="A7" t="s">
        <v>13</v>
      </c>
      <c r="B7" t="s">
        <v>439</v>
      </c>
      <c r="C7" t="s">
        <v>864</v>
      </c>
      <c r="D7">
        <v>54856650</v>
      </c>
      <c r="E7">
        <v>0.45</v>
      </c>
      <c r="F7">
        <v>1</v>
      </c>
      <c r="G7" t="s">
        <v>872</v>
      </c>
      <c r="H7" t="s">
        <v>873</v>
      </c>
      <c r="I7">
        <f>_xlfn.XLOOKUP(B7,[1]selection!$B$2:$B$427,[1]selection!$D$2:$D$427,0)</f>
        <v>54856650</v>
      </c>
      <c r="J7" t="b">
        <f t="shared" si="0"/>
        <v>1</v>
      </c>
    </row>
    <row r="8" spans="1:10" hidden="1" x14ac:dyDescent="0.25">
      <c r="A8" t="s">
        <v>14</v>
      </c>
      <c r="B8" t="s">
        <v>440</v>
      </c>
      <c r="C8" t="s">
        <v>863</v>
      </c>
      <c r="D8">
        <v>245000143</v>
      </c>
      <c r="E8">
        <v>0.75</v>
      </c>
      <c r="F8">
        <v>1</v>
      </c>
      <c r="G8" t="s">
        <v>872</v>
      </c>
      <c r="H8" t="s">
        <v>873</v>
      </c>
      <c r="I8">
        <f>_xlfn.XLOOKUP(B8,[1]selection!$B$2:$B$427,[1]selection!$D$2:$D$427,0)</f>
        <v>245000143</v>
      </c>
      <c r="J8" t="b">
        <f t="shared" si="0"/>
        <v>1</v>
      </c>
    </row>
    <row r="9" spans="1:10" hidden="1" x14ac:dyDescent="0.25">
      <c r="A9" t="s">
        <v>15</v>
      </c>
      <c r="B9" t="s">
        <v>441</v>
      </c>
      <c r="C9" t="s">
        <v>861</v>
      </c>
      <c r="D9">
        <v>212964900</v>
      </c>
      <c r="E9">
        <v>0.2</v>
      </c>
      <c r="F9">
        <v>1</v>
      </c>
      <c r="G9" t="s">
        <v>872</v>
      </c>
      <c r="H9" t="s">
        <v>873</v>
      </c>
      <c r="I9">
        <f>_xlfn.XLOOKUP(B9,[1]selection!$B$2:$B$427,[1]selection!$D$2:$D$427,0)</f>
        <v>212964900</v>
      </c>
      <c r="J9" t="b">
        <f t="shared" si="0"/>
        <v>1</v>
      </c>
    </row>
    <row r="10" spans="1:10" hidden="1" x14ac:dyDescent="0.25">
      <c r="A10" t="s">
        <v>16</v>
      </c>
      <c r="B10" t="s">
        <v>442</v>
      </c>
      <c r="C10" t="s">
        <v>864</v>
      </c>
      <c r="D10">
        <v>249335370</v>
      </c>
      <c r="E10">
        <v>0.75</v>
      </c>
      <c r="F10">
        <v>1</v>
      </c>
      <c r="G10" t="s">
        <v>872</v>
      </c>
      <c r="H10" t="s">
        <v>873</v>
      </c>
      <c r="I10">
        <f>_xlfn.XLOOKUP(B10,[1]selection!$B$2:$B$427,[1]selection!$D$2:$D$427,0)</f>
        <v>249335370</v>
      </c>
      <c r="J10" t="b">
        <f t="shared" si="0"/>
        <v>1</v>
      </c>
    </row>
    <row r="11" spans="1:10" hidden="1" x14ac:dyDescent="0.25">
      <c r="A11" t="s">
        <v>17</v>
      </c>
      <c r="B11" t="s">
        <v>443</v>
      </c>
      <c r="C11" t="s">
        <v>865</v>
      </c>
      <c r="D11">
        <v>33157750</v>
      </c>
      <c r="E11">
        <v>0.65</v>
      </c>
      <c r="F11">
        <v>1</v>
      </c>
      <c r="G11" t="s">
        <v>872</v>
      </c>
      <c r="H11" t="s">
        <v>873</v>
      </c>
      <c r="I11">
        <f>_xlfn.XLOOKUP(B11,[1]selection!$B$2:$B$427,[1]selection!$D$2:$D$427,0)</f>
        <v>33157750</v>
      </c>
      <c r="J11" t="b">
        <f t="shared" si="0"/>
        <v>1</v>
      </c>
    </row>
    <row r="12" spans="1:10" hidden="1" x14ac:dyDescent="0.25">
      <c r="A12" t="s">
        <v>18</v>
      </c>
      <c r="B12" t="s">
        <v>444</v>
      </c>
      <c r="C12" t="s">
        <v>864</v>
      </c>
      <c r="D12">
        <v>271664580</v>
      </c>
      <c r="E12">
        <v>0.75</v>
      </c>
      <c r="F12">
        <v>1</v>
      </c>
      <c r="G12" t="s">
        <v>872</v>
      </c>
      <c r="H12" t="s">
        <v>873</v>
      </c>
      <c r="I12">
        <f>_xlfn.XLOOKUP(B12,[1]selection!$B$2:$B$427,[1]selection!$D$2:$D$427,0)</f>
        <v>271664580</v>
      </c>
      <c r="J12" t="b">
        <f t="shared" si="0"/>
        <v>1</v>
      </c>
    </row>
    <row r="13" spans="1:10" hidden="1" x14ac:dyDescent="0.25">
      <c r="A13" t="s">
        <v>19</v>
      </c>
      <c r="B13" t="s">
        <v>445</v>
      </c>
      <c r="C13" t="s">
        <v>860</v>
      </c>
      <c r="D13">
        <v>180000000</v>
      </c>
      <c r="E13">
        <v>0.95</v>
      </c>
      <c r="F13">
        <v>1</v>
      </c>
      <c r="G13" t="s">
        <v>872</v>
      </c>
      <c r="H13" t="s">
        <v>873</v>
      </c>
      <c r="I13">
        <f>_xlfn.XLOOKUP(B13,[1]selection!$B$2:$B$427,[1]selection!$D$2:$D$427,0)</f>
        <v>180000000</v>
      </c>
      <c r="J13" t="b">
        <f t="shared" si="0"/>
        <v>1</v>
      </c>
    </row>
    <row r="14" spans="1:10" hidden="1" x14ac:dyDescent="0.25">
      <c r="A14" t="s">
        <v>20</v>
      </c>
      <c r="B14" t="s">
        <v>446</v>
      </c>
      <c r="C14" t="s">
        <v>866</v>
      </c>
      <c r="D14">
        <v>5019576</v>
      </c>
      <c r="E14">
        <v>1</v>
      </c>
      <c r="F14">
        <v>1</v>
      </c>
      <c r="G14" t="s">
        <v>872</v>
      </c>
      <c r="H14" t="s">
        <v>873</v>
      </c>
      <c r="I14">
        <f>_xlfn.XLOOKUP(B14,[1]selection!$B$2:$B$427,[1]selection!$D$2:$D$427,0)</f>
        <v>5019576</v>
      </c>
      <c r="J14" t="b">
        <f t="shared" si="0"/>
        <v>1</v>
      </c>
    </row>
    <row r="15" spans="1:10" hidden="1" x14ac:dyDescent="0.25">
      <c r="A15" t="s">
        <v>21</v>
      </c>
      <c r="B15" t="s">
        <v>447</v>
      </c>
      <c r="C15" t="s">
        <v>863</v>
      </c>
      <c r="D15">
        <v>98960602</v>
      </c>
      <c r="E15">
        <v>0.3</v>
      </c>
      <c r="F15">
        <v>1</v>
      </c>
      <c r="G15" t="s">
        <v>872</v>
      </c>
      <c r="H15" t="s">
        <v>873</v>
      </c>
      <c r="I15">
        <f>_xlfn.XLOOKUP(B15,[1]selection!$B$2:$B$427,[1]selection!$D$2:$D$427,0)</f>
        <v>98960602</v>
      </c>
      <c r="J15" t="b">
        <f t="shared" si="0"/>
        <v>1</v>
      </c>
    </row>
    <row r="16" spans="1:10" hidden="1" x14ac:dyDescent="0.25">
      <c r="A16" t="s">
        <v>22</v>
      </c>
      <c r="B16" t="s">
        <v>448</v>
      </c>
      <c r="C16" t="s">
        <v>862</v>
      </c>
      <c r="D16">
        <v>31523640</v>
      </c>
      <c r="E16">
        <v>1</v>
      </c>
      <c r="F16">
        <v>1</v>
      </c>
      <c r="G16" t="s">
        <v>872</v>
      </c>
      <c r="H16" t="s">
        <v>873</v>
      </c>
      <c r="I16">
        <f>_xlfn.XLOOKUP(B16,[1]selection!$B$2:$B$427,[1]selection!$D$2:$D$427,0)</f>
        <v>31523640</v>
      </c>
      <c r="J16" t="b">
        <f t="shared" si="0"/>
        <v>1</v>
      </c>
    </row>
    <row r="17" spans="1:10" hidden="1" x14ac:dyDescent="0.25">
      <c r="A17" t="s">
        <v>23</v>
      </c>
      <c r="B17" t="s">
        <v>449</v>
      </c>
      <c r="C17" t="s">
        <v>865</v>
      </c>
      <c r="D17">
        <v>47550119</v>
      </c>
      <c r="E17">
        <v>1</v>
      </c>
      <c r="F17">
        <v>1</v>
      </c>
      <c r="G17" t="s">
        <v>872</v>
      </c>
      <c r="H17" t="s">
        <v>873</v>
      </c>
      <c r="I17">
        <f>_xlfn.XLOOKUP(B17,[1]selection!$B$2:$B$427,[1]selection!$D$2:$D$427,0)</f>
        <v>47550119</v>
      </c>
      <c r="J17" t="b">
        <f t="shared" si="0"/>
        <v>1</v>
      </c>
    </row>
    <row r="18" spans="1:10" hidden="1" x14ac:dyDescent="0.25">
      <c r="A18" t="s">
        <v>24</v>
      </c>
      <c r="B18" t="s">
        <v>450</v>
      </c>
      <c r="C18" t="s">
        <v>862</v>
      </c>
      <c r="D18">
        <v>1652797432</v>
      </c>
      <c r="E18">
        <v>0.75</v>
      </c>
      <c r="F18">
        <v>1</v>
      </c>
      <c r="G18" t="s">
        <v>872</v>
      </c>
      <c r="H18" t="s">
        <v>873</v>
      </c>
      <c r="I18">
        <f>_xlfn.XLOOKUP(B18,[1]selection!$B$2:$B$427,[1]selection!$D$2:$D$427,0)</f>
        <v>1652797432</v>
      </c>
      <c r="J18" t="b">
        <f t="shared" si="0"/>
        <v>1</v>
      </c>
    </row>
    <row r="19" spans="1:10" hidden="1" x14ac:dyDescent="0.25">
      <c r="A19" t="s">
        <v>25</v>
      </c>
      <c r="B19" t="s">
        <v>451</v>
      </c>
      <c r="C19" t="s">
        <v>864</v>
      </c>
      <c r="D19">
        <v>1500000000</v>
      </c>
      <c r="E19">
        <v>0.5</v>
      </c>
      <c r="F19">
        <v>1</v>
      </c>
      <c r="G19" t="s">
        <v>872</v>
      </c>
      <c r="H19" t="s">
        <v>873</v>
      </c>
      <c r="I19">
        <f>_xlfn.XLOOKUP(B19,[1]selection!$B$2:$B$427,[1]selection!$D$2:$D$427,0)</f>
        <v>1500000000</v>
      </c>
      <c r="J19" t="b">
        <f t="shared" si="0"/>
        <v>1</v>
      </c>
    </row>
    <row r="20" spans="1:10" hidden="1" x14ac:dyDescent="0.25">
      <c r="A20" t="s">
        <v>26</v>
      </c>
      <c r="B20" t="s">
        <v>452</v>
      </c>
      <c r="C20" t="s">
        <v>862</v>
      </c>
      <c r="D20">
        <v>896939468</v>
      </c>
      <c r="E20">
        <v>1</v>
      </c>
      <c r="F20">
        <v>1</v>
      </c>
      <c r="G20" t="s">
        <v>872</v>
      </c>
      <c r="H20" t="s">
        <v>873</v>
      </c>
      <c r="I20">
        <f>_xlfn.XLOOKUP(B20,[1]selection!$B$2:$B$427,[1]selection!$D$2:$D$427,0)</f>
        <v>896939468</v>
      </c>
      <c r="J20" t="b">
        <f t="shared" si="0"/>
        <v>1</v>
      </c>
    </row>
    <row r="21" spans="1:10" hidden="1" x14ac:dyDescent="0.25">
      <c r="A21" t="s">
        <v>27</v>
      </c>
      <c r="B21" t="s">
        <v>453</v>
      </c>
      <c r="C21" t="s">
        <v>863</v>
      </c>
      <c r="D21">
        <v>262769869</v>
      </c>
      <c r="E21">
        <v>0.55000000000000004</v>
      </c>
      <c r="F21">
        <v>1</v>
      </c>
      <c r="G21" t="s">
        <v>872</v>
      </c>
      <c r="H21" t="s">
        <v>873</v>
      </c>
      <c r="I21">
        <f>_xlfn.XLOOKUP(B21,[1]selection!$B$2:$B$427,[1]selection!$D$2:$D$427,0)</f>
        <v>262769869</v>
      </c>
      <c r="J21" t="b">
        <f t="shared" si="0"/>
        <v>1</v>
      </c>
    </row>
    <row r="22" spans="1:10" hidden="1" x14ac:dyDescent="0.25">
      <c r="A22" t="s">
        <v>28</v>
      </c>
      <c r="B22" t="s">
        <v>454</v>
      </c>
      <c r="C22" t="s">
        <v>860</v>
      </c>
      <c r="D22">
        <v>113456120</v>
      </c>
      <c r="E22">
        <v>1</v>
      </c>
      <c r="F22">
        <v>1</v>
      </c>
      <c r="G22" t="s">
        <v>872</v>
      </c>
      <c r="H22" t="s">
        <v>873</v>
      </c>
      <c r="I22">
        <f>_xlfn.XLOOKUP(B22,[1]selection!$B$2:$B$427,[1]selection!$D$2:$D$427,0)</f>
        <v>113456120</v>
      </c>
      <c r="J22" t="b">
        <f t="shared" si="0"/>
        <v>1</v>
      </c>
    </row>
    <row r="23" spans="1:10" hidden="1" x14ac:dyDescent="0.25">
      <c r="A23" t="s">
        <v>29</v>
      </c>
      <c r="B23" t="s">
        <v>455</v>
      </c>
      <c r="C23" t="s">
        <v>867</v>
      </c>
      <c r="D23">
        <v>73372444</v>
      </c>
      <c r="E23">
        <v>0.7</v>
      </c>
      <c r="F23">
        <v>1</v>
      </c>
      <c r="G23" t="s">
        <v>872</v>
      </c>
      <c r="H23" t="s">
        <v>873</v>
      </c>
      <c r="I23">
        <f>_xlfn.XLOOKUP(B23,[1]selection!$B$2:$B$427,[1]selection!$D$2:$D$427,0)</f>
        <v>73372444</v>
      </c>
      <c r="J23" t="b">
        <f t="shared" si="0"/>
        <v>1</v>
      </c>
    </row>
    <row r="24" spans="1:10" hidden="1" x14ac:dyDescent="0.25">
      <c r="A24" t="s">
        <v>30</v>
      </c>
      <c r="B24" t="s">
        <v>456</v>
      </c>
      <c r="C24" t="s">
        <v>862</v>
      </c>
      <c r="D24">
        <v>171052308</v>
      </c>
      <c r="E24">
        <v>0.95000000000000007</v>
      </c>
      <c r="F24">
        <v>1</v>
      </c>
      <c r="G24" t="s">
        <v>872</v>
      </c>
      <c r="H24" t="s">
        <v>873</v>
      </c>
      <c r="I24">
        <f>_xlfn.XLOOKUP(B24,[1]selection!$B$2:$B$427,[1]selection!$D$2:$D$427,0)</f>
        <v>171052308</v>
      </c>
      <c r="J24" t="b">
        <f t="shared" si="0"/>
        <v>1</v>
      </c>
    </row>
    <row r="25" spans="1:10" hidden="1" x14ac:dyDescent="0.25">
      <c r="A25" t="s">
        <v>31</v>
      </c>
      <c r="B25" t="s">
        <v>457</v>
      </c>
      <c r="C25" t="s">
        <v>862</v>
      </c>
      <c r="D25">
        <v>601548734</v>
      </c>
      <c r="E25">
        <v>0.60000000000000009</v>
      </c>
      <c r="F25">
        <v>1</v>
      </c>
      <c r="G25" t="s">
        <v>872</v>
      </c>
      <c r="H25" t="s">
        <v>873</v>
      </c>
      <c r="I25">
        <f>_xlfn.XLOOKUP(B25,[1]selection!$B$2:$B$427,[1]selection!$D$2:$D$427,0)</f>
        <v>601548734</v>
      </c>
      <c r="J25" t="b">
        <f t="shared" si="0"/>
        <v>1</v>
      </c>
    </row>
    <row r="26" spans="1:10" hidden="1" x14ac:dyDescent="0.25">
      <c r="A26" t="s">
        <v>32</v>
      </c>
      <c r="B26" t="s">
        <v>458</v>
      </c>
      <c r="C26" t="s">
        <v>864</v>
      </c>
      <c r="D26">
        <v>214785200</v>
      </c>
      <c r="E26">
        <v>0.35</v>
      </c>
      <c r="F26">
        <v>1</v>
      </c>
      <c r="G26" t="s">
        <v>872</v>
      </c>
      <c r="H26" t="s">
        <v>873</v>
      </c>
      <c r="I26">
        <f>_xlfn.XLOOKUP(B26,[1]selection!$B$2:$B$427,[1]selection!$D$2:$D$427,0)</f>
        <v>214785200</v>
      </c>
      <c r="J26" t="b">
        <f t="shared" si="0"/>
        <v>1</v>
      </c>
    </row>
    <row r="27" spans="1:10" hidden="1" x14ac:dyDescent="0.25">
      <c r="A27" t="s">
        <v>33</v>
      </c>
      <c r="B27" t="s">
        <v>459</v>
      </c>
      <c r="C27" t="s">
        <v>863</v>
      </c>
      <c r="D27">
        <v>462029966</v>
      </c>
      <c r="E27">
        <v>0.75</v>
      </c>
      <c r="F27">
        <v>1</v>
      </c>
      <c r="G27" t="s">
        <v>872</v>
      </c>
      <c r="H27" t="s">
        <v>873</v>
      </c>
      <c r="I27">
        <f>_xlfn.XLOOKUP(B27,[1]selection!$B$2:$B$427,[1]selection!$D$2:$D$427,0)</f>
        <v>462029966</v>
      </c>
      <c r="J27" t="b">
        <f t="shared" si="0"/>
        <v>1</v>
      </c>
    </row>
    <row r="28" spans="1:10" hidden="1" x14ac:dyDescent="0.25">
      <c r="A28" t="s">
        <v>34</v>
      </c>
      <c r="B28" t="s">
        <v>460</v>
      </c>
      <c r="C28" t="s">
        <v>863</v>
      </c>
      <c r="D28">
        <v>35343326</v>
      </c>
      <c r="E28">
        <v>0.85000000000000009</v>
      </c>
      <c r="F28">
        <v>1</v>
      </c>
      <c r="G28" t="s">
        <v>872</v>
      </c>
      <c r="H28" t="s">
        <v>873</v>
      </c>
      <c r="I28">
        <f>_xlfn.XLOOKUP(B28,[1]selection!$B$2:$B$427,[1]selection!$D$2:$D$427,0)</f>
        <v>35343326</v>
      </c>
      <c r="J28" t="b">
        <f t="shared" si="0"/>
        <v>1</v>
      </c>
    </row>
    <row r="29" spans="1:10" hidden="1" x14ac:dyDescent="0.25">
      <c r="A29" t="s">
        <v>35</v>
      </c>
      <c r="B29" t="s">
        <v>461</v>
      </c>
      <c r="C29" t="s">
        <v>862</v>
      </c>
      <c r="D29">
        <v>32504164</v>
      </c>
      <c r="E29">
        <v>0.95000000000000007</v>
      </c>
      <c r="F29">
        <v>1</v>
      </c>
      <c r="G29" t="s">
        <v>872</v>
      </c>
      <c r="H29" t="s">
        <v>873</v>
      </c>
      <c r="I29">
        <f>_xlfn.XLOOKUP(B29,[1]selection!$B$2:$B$427,[1]selection!$D$2:$D$427,0)</f>
        <v>32504164</v>
      </c>
      <c r="J29" t="b">
        <f t="shared" si="0"/>
        <v>1</v>
      </c>
    </row>
    <row r="30" spans="1:10" hidden="1" x14ac:dyDescent="0.25">
      <c r="A30" t="s">
        <v>36</v>
      </c>
      <c r="B30" t="s">
        <v>462</v>
      </c>
      <c r="C30" t="s">
        <v>861</v>
      </c>
      <c r="D30">
        <v>226388620</v>
      </c>
      <c r="E30">
        <v>0.60000000000000009</v>
      </c>
      <c r="F30">
        <v>1</v>
      </c>
      <c r="G30" t="s">
        <v>872</v>
      </c>
      <c r="H30" t="s">
        <v>873</v>
      </c>
      <c r="I30">
        <f>_xlfn.XLOOKUP(B30,[1]selection!$B$2:$B$427,[1]selection!$D$2:$D$427,0)</f>
        <v>226388620</v>
      </c>
      <c r="J30" t="b">
        <f t="shared" si="0"/>
        <v>1</v>
      </c>
    </row>
    <row r="31" spans="1:10" hidden="1" x14ac:dyDescent="0.25">
      <c r="A31" t="s">
        <v>37</v>
      </c>
      <c r="B31" t="s">
        <v>463</v>
      </c>
      <c r="C31" t="s">
        <v>863</v>
      </c>
      <c r="D31">
        <v>206386326</v>
      </c>
      <c r="E31">
        <v>0.3</v>
      </c>
      <c r="F31">
        <v>1</v>
      </c>
      <c r="G31" t="s">
        <v>872</v>
      </c>
      <c r="H31" t="s">
        <v>873</v>
      </c>
      <c r="I31">
        <f>_xlfn.XLOOKUP(B31,[1]selection!$B$2:$B$427,[1]selection!$D$2:$D$427,0)</f>
        <v>206386326</v>
      </c>
      <c r="J31" t="b">
        <f t="shared" si="0"/>
        <v>1</v>
      </c>
    </row>
    <row r="32" spans="1:10" hidden="1" x14ac:dyDescent="0.25">
      <c r="A32" t="s">
        <v>38</v>
      </c>
      <c r="B32" t="s">
        <v>464</v>
      </c>
      <c r="C32" t="s">
        <v>868</v>
      </c>
      <c r="D32">
        <v>104000000</v>
      </c>
      <c r="E32">
        <v>0.6</v>
      </c>
      <c r="F32">
        <v>1</v>
      </c>
      <c r="G32" t="s">
        <v>872</v>
      </c>
      <c r="H32" t="s">
        <v>873</v>
      </c>
      <c r="I32">
        <f>_xlfn.XLOOKUP(B32,[1]selection!$B$2:$B$427,[1]selection!$D$2:$D$427,0)</f>
        <v>104000000</v>
      </c>
      <c r="J32" t="b">
        <f t="shared" si="0"/>
        <v>1</v>
      </c>
    </row>
    <row r="33" spans="1:10" hidden="1" x14ac:dyDescent="0.25">
      <c r="A33" t="s">
        <v>39</v>
      </c>
      <c r="B33" t="s">
        <v>465</v>
      </c>
      <c r="C33" t="s">
        <v>862</v>
      </c>
      <c r="D33">
        <v>73184570</v>
      </c>
      <c r="E33">
        <v>0.60000000000000009</v>
      </c>
      <c r="F33">
        <v>1</v>
      </c>
      <c r="G33" t="s">
        <v>872</v>
      </c>
      <c r="H33" t="s">
        <v>873</v>
      </c>
      <c r="I33">
        <f>_xlfn.XLOOKUP(B33,[1]selection!$B$2:$B$427,[1]selection!$D$2:$D$427,0)</f>
        <v>73184570</v>
      </c>
      <c r="J33" t="b">
        <f t="shared" si="0"/>
        <v>1</v>
      </c>
    </row>
    <row r="34" spans="1:10" hidden="1" x14ac:dyDescent="0.25">
      <c r="A34" t="s">
        <v>40</v>
      </c>
      <c r="B34" t="s">
        <v>466</v>
      </c>
      <c r="C34" t="s">
        <v>862</v>
      </c>
      <c r="D34">
        <v>90442091</v>
      </c>
      <c r="E34">
        <v>0.8</v>
      </c>
      <c r="F34">
        <v>1</v>
      </c>
      <c r="G34" t="s">
        <v>872</v>
      </c>
      <c r="H34" t="s">
        <v>873</v>
      </c>
      <c r="I34">
        <f>_xlfn.XLOOKUP(B34,[1]selection!$B$2:$B$427,[1]selection!$D$2:$D$427,0)</f>
        <v>90442091</v>
      </c>
      <c r="J34" t="b">
        <f t="shared" si="0"/>
        <v>1</v>
      </c>
    </row>
    <row r="35" spans="1:10" hidden="1" x14ac:dyDescent="0.25">
      <c r="A35" t="s">
        <v>41</v>
      </c>
      <c r="B35" t="s">
        <v>467</v>
      </c>
      <c r="C35" t="s">
        <v>862</v>
      </c>
      <c r="D35">
        <v>852809772</v>
      </c>
      <c r="E35">
        <v>0.5</v>
      </c>
      <c r="F35">
        <v>1</v>
      </c>
      <c r="G35" t="s">
        <v>872</v>
      </c>
      <c r="H35" t="s">
        <v>873</v>
      </c>
      <c r="I35">
        <f>_xlfn.XLOOKUP(B35,[1]selection!$B$2:$B$427,[1]selection!$D$2:$D$427,0)</f>
        <v>852809772</v>
      </c>
      <c r="J35" t="b">
        <f t="shared" si="0"/>
        <v>1</v>
      </c>
    </row>
    <row r="36" spans="1:10" hidden="1" x14ac:dyDescent="0.25">
      <c r="A36" t="s">
        <v>42</v>
      </c>
      <c r="B36" t="s">
        <v>468</v>
      </c>
      <c r="C36" t="s">
        <v>863</v>
      </c>
      <c r="D36">
        <v>25737689</v>
      </c>
      <c r="E36">
        <v>0.5</v>
      </c>
      <c r="F36">
        <v>1</v>
      </c>
      <c r="G36" t="s">
        <v>872</v>
      </c>
      <c r="H36" t="s">
        <v>873</v>
      </c>
      <c r="I36">
        <f>_xlfn.XLOOKUP(B36,[1]selection!$B$2:$B$427,[1]selection!$D$2:$D$427,0)</f>
        <v>25737689</v>
      </c>
      <c r="J36" t="b">
        <f t="shared" si="0"/>
        <v>1</v>
      </c>
    </row>
    <row r="37" spans="1:10" hidden="1" x14ac:dyDescent="0.25">
      <c r="A37" t="s">
        <v>43</v>
      </c>
      <c r="B37" t="s">
        <v>469</v>
      </c>
      <c r="C37" t="s">
        <v>863</v>
      </c>
      <c r="D37">
        <v>76060831</v>
      </c>
      <c r="E37">
        <v>0.70000000000000007</v>
      </c>
      <c r="F37">
        <v>1</v>
      </c>
      <c r="G37" t="s">
        <v>872</v>
      </c>
      <c r="H37" t="s">
        <v>873</v>
      </c>
      <c r="I37">
        <f>_xlfn.XLOOKUP(B37,[1]selection!$B$2:$B$427,[1]selection!$D$2:$D$427,0)</f>
        <v>76060831</v>
      </c>
      <c r="J37" t="b">
        <f t="shared" si="0"/>
        <v>1</v>
      </c>
    </row>
    <row r="38" spans="1:10" hidden="1" x14ac:dyDescent="0.25">
      <c r="A38" t="s">
        <v>44</v>
      </c>
      <c r="B38" t="s">
        <v>470</v>
      </c>
      <c r="C38" t="s">
        <v>860</v>
      </c>
      <c r="D38">
        <v>1537025600</v>
      </c>
      <c r="E38">
        <v>0.45</v>
      </c>
      <c r="F38">
        <v>1</v>
      </c>
      <c r="G38" t="s">
        <v>872</v>
      </c>
      <c r="H38" t="s">
        <v>873</v>
      </c>
      <c r="I38">
        <f>_xlfn.XLOOKUP(B38,[1]selection!$B$2:$B$427,[1]selection!$D$2:$D$427,0)</f>
        <v>1537025600</v>
      </c>
      <c r="J38" t="b">
        <f t="shared" si="0"/>
        <v>1</v>
      </c>
    </row>
    <row r="39" spans="1:10" hidden="1" x14ac:dyDescent="0.25">
      <c r="A39" t="s">
        <v>45</v>
      </c>
      <c r="B39" t="s">
        <v>471</v>
      </c>
      <c r="C39" t="s">
        <v>862</v>
      </c>
      <c r="D39">
        <v>49328548</v>
      </c>
      <c r="E39">
        <v>1</v>
      </c>
      <c r="F39">
        <v>1</v>
      </c>
      <c r="G39" t="s">
        <v>872</v>
      </c>
      <c r="H39" t="s">
        <v>873</v>
      </c>
      <c r="I39">
        <f>_xlfn.XLOOKUP(B39,[1]selection!$B$2:$B$427,[1]selection!$D$2:$D$427,0)</f>
        <v>49328548</v>
      </c>
      <c r="J39" t="b">
        <f t="shared" si="0"/>
        <v>1</v>
      </c>
    </row>
    <row r="40" spans="1:10" hidden="1" x14ac:dyDescent="0.25">
      <c r="A40" t="s">
        <v>46</v>
      </c>
      <c r="B40" t="s">
        <v>472</v>
      </c>
      <c r="C40" t="s">
        <v>862</v>
      </c>
      <c r="D40">
        <v>209113565</v>
      </c>
      <c r="E40">
        <v>0.70000000000000007</v>
      </c>
      <c r="F40">
        <v>1</v>
      </c>
      <c r="G40" t="s">
        <v>872</v>
      </c>
      <c r="H40" t="s">
        <v>873</v>
      </c>
      <c r="I40">
        <f>_xlfn.XLOOKUP(B40,[1]selection!$B$2:$B$427,[1]selection!$D$2:$D$427,0)</f>
        <v>209113565</v>
      </c>
      <c r="J40" t="b">
        <f t="shared" si="0"/>
        <v>1</v>
      </c>
    </row>
    <row r="41" spans="1:10" hidden="1" x14ac:dyDescent="0.25">
      <c r="A41" t="s">
        <v>47</v>
      </c>
      <c r="B41" t="s">
        <v>473</v>
      </c>
      <c r="C41" t="s">
        <v>868</v>
      </c>
      <c r="D41">
        <v>38850000</v>
      </c>
      <c r="E41">
        <v>0.65</v>
      </c>
      <c r="F41">
        <v>1</v>
      </c>
      <c r="G41" t="s">
        <v>872</v>
      </c>
      <c r="H41" t="s">
        <v>873</v>
      </c>
      <c r="I41">
        <f>_xlfn.XLOOKUP(B41,[1]selection!$B$2:$B$427,[1]selection!$D$2:$D$427,0)</f>
        <v>38850000</v>
      </c>
      <c r="J41" t="b">
        <f t="shared" si="0"/>
        <v>1</v>
      </c>
    </row>
    <row r="42" spans="1:10" hidden="1" x14ac:dyDescent="0.25">
      <c r="A42" t="s">
        <v>48</v>
      </c>
      <c r="B42" t="s">
        <v>474</v>
      </c>
      <c r="C42" t="s">
        <v>860</v>
      </c>
      <c r="D42">
        <v>15906272</v>
      </c>
      <c r="E42">
        <v>0.55000000000000004</v>
      </c>
      <c r="F42">
        <v>1</v>
      </c>
      <c r="G42" t="s">
        <v>872</v>
      </c>
      <c r="H42" t="s">
        <v>873</v>
      </c>
      <c r="I42">
        <f>_xlfn.XLOOKUP(B42,[1]selection!$B$2:$B$427,[1]selection!$D$2:$D$427,0)</f>
        <v>15906272</v>
      </c>
      <c r="J42" t="b">
        <f t="shared" si="0"/>
        <v>1</v>
      </c>
    </row>
    <row r="43" spans="1:10" hidden="1" x14ac:dyDescent="0.25">
      <c r="A43" t="s">
        <v>49</v>
      </c>
      <c r="B43" t="s">
        <v>475</v>
      </c>
      <c r="C43" t="s">
        <v>860</v>
      </c>
      <c r="D43">
        <v>100050990</v>
      </c>
      <c r="E43">
        <v>0.55000000000000004</v>
      </c>
      <c r="F43">
        <v>1</v>
      </c>
      <c r="G43" t="s">
        <v>872</v>
      </c>
      <c r="H43" t="s">
        <v>873</v>
      </c>
      <c r="I43">
        <f>_xlfn.XLOOKUP(B43,[1]selection!$B$2:$B$427,[1]selection!$D$2:$D$427,0)</f>
        <v>100050990</v>
      </c>
      <c r="J43" t="b">
        <f t="shared" si="0"/>
        <v>1</v>
      </c>
    </row>
    <row r="44" spans="1:10" hidden="1" x14ac:dyDescent="0.25">
      <c r="A44" t="s">
        <v>50</v>
      </c>
      <c r="B44" t="s">
        <v>476</v>
      </c>
      <c r="C44" t="s">
        <v>860</v>
      </c>
      <c r="D44">
        <v>44956722</v>
      </c>
      <c r="E44">
        <v>0.6</v>
      </c>
      <c r="F44">
        <v>1</v>
      </c>
      <c r="G44" t="s">
        <v>872</v>
      </c>
      <c r="H44" t="s">
        <v>873</v>
      </c>
      <c r="I44">
        <f>_xlfn.XLOOKUP(B44,[1]selection!$B$2:$B$427,[1]selection!$D$2:$D$427,0)</f>
        <v>44956722</v>
      </c>
      <c r="J44" t="b">
        <f t="shared" si="0"/>
        <v>1</v>
      </c>
    </row>
    <row r="45" spans="1:10" hidden="1" x14ac:dyDescent="0.25">
      <c r="A45" t="s">
        <v>51</v>
      </c>
      <c r="B45" t="s">
        <v>477</v>
      </c>
      <c r="C45" t="s">
        <v>860</v>
      </c>
      <c r="D45">
        <v>220337920</v>
      </c>
      <c r="E45">
        <v>0.65</v>
      </c>
      <c r="F45">
        <v>1</v>
      </c>
      <c r="G45" t="s">
        <v>872</v>
      </c>
      <c r="H45" t="s">
        <v>873</v>
      </c>
      <c r="I45">
        <f>_xlfn.XLOOKUP(B45,[1]selection!$B$2:$B$427,[1]selection!$D$2:$D$427,0)</f>
        <v>220337920</v>
      </c>
      <c r="J45" t="b">
        <f t="shared" si="0"/>
        <v>1</v>
      </c>
    </row>
    <row r="46" spans="1:10" hidden="1" x14ac:dyDescent="0.25">
      <c r="A46" t="s">
        <v>52</v>
      </c>
      <c r="B46" t="s">
        <v>478</v>
      </c>
      <c r="C46" t="s">
        <v>861</v>
      </c>
      <c r="D46">
        <v>46789543</v>
      </c>
      <c r="E46">
        <v>0.8</v>
      </c>
      <c r="F46">
        <v>1</v>
      </c>
      <c r="G46" t="s">
        <v>872</v>
      </c>
      <c r="H46" t="s">
        <v>873</v>
      </c>
      <c r="I46">
        <f>_xlfn.XLOOKUP(B46,[1]selection!$B$2:$B$427,[1]selection!$D$2:$D$427,0)</f>
        <v>46789543</v>
      </c>
      <c r="J46" t="b">
        <f t="shared" si="0"/>
        <v>1</v>
      </c>
    </row>
    <row r="47" spans="1:10" hidden="1" x14ac:dyDescent="0.25">
      <c r="A47" t="s">
        <v>53</v>
      </c>
      <c r="B47" t="s">
        <v>479</v>
      </c>
      <c r="C47" t="s">
        <v>863</v>
      </c>
      <c r="D47">
        <v>816960428</v>
      </c>
      <c r="E47">
        <v>0.45</v>
      </c>
      <c r="F47">
        <v>1</v>
      </c>
      <c r="G47" t="s">
        <v>872</v>
      </c>
      <c r="H47" t="s">
        <v>873</v>
      </c>
      <c r="I47">
        <f>_xlfn.XLOOKUP(B47,[1]selection!$B$2:$B$427,[1]selection!$D$2:$D$427,0)</f>
        <v>816960428</v>
      </c>
      <c r="J47" t="b">
        <f t="shared" si="0"/>
        <v>1</v>
      </c>
    </row>
    <row r="48" spans="1:10" hidden="1" x14ac:dyDescent="0.25">
      <c r="A48" t="s">
        <v>54</v>
      </c>
      <c r="B48" t="s">
        <v>480</v>
      </c>
      <c r="C48" t="s">
        <v>865</v>
      </c>
      <c r="D48">
        <v>243921719</v>
      </c>
      <c r="E48">
        <v>0.85000000000000009</v>
      </c>
      <c r="F48">
        <v>1</v>
      </c>
      <c r="G48" t="s">
        <v>872</v>
      </c>
      <c r="H48" t="s">
        <v>873</v>
      </c>
      <c r="I48">
        <f>_xlfn.XLOOKUP(B48,[1]selection!$B$2:$B$427,[1]selection!$D$2:$D$427,0)</f>
        <v>243921719</v>
      </c>
      <c r="J48" t="b">
        <f t="shared" si="0"/>
        <v>1</v>
      </c>
    </row>
    <row r="49" spans="1:10" hidden="1" x14ac:dyDescent="0.25">
      <c r="A49" t="s">
        <v>55</v>
      </c>
      <c r="B49" t="s">
        <v>481</v>
      </c>
      <c r="C49" t="s">
        <v>861</v>
      </c>
      <c r="D49">
        <v>143254497</v>
      </c>
      <c r="E49">
        <v>0.75</v>
      </c>
      <c r="F49">
        <v>1</v>
      </c>
      <c r="G49" t="s">
        <v>872</v>
      </c>
      <c r="H49" t="s">
        <v>873</v>
      </c>
      <c r="I49">
        <f>_xlfn.XLOOKUP(B49,[1]selection!$B$2:$B$427,[1]selection!$D$2:$D$427,0)</f>
        <v>143254497</v>
      </c>
      <c r="J49" t="b">
        <f t="shared" si="0"/>
        <v>1</v>
      </c>
    </row>
    <row r="50" spans="1:10" hidden="1" x14ac:dyDescent="0.25">
      <c r="A50" t="s">
        <v>56</v>
      </c>
      <c r="B50" t="s">
        <v>482</v>
      </c>
      <c r="C50" t="s">
        <v>862</v>
      </c>
      <c r="D50">
        <v>272000000</v>
      </c>
      <c r="E50">
        <v>1</v>
      </c>
      <c r="F50">
        <v>1</v>
      </c>
      <c r="G50" t="s">
        <v>872</v>
      </c>
      <c r="H50" t="s">
        <v>873</v>
      </c>
      <c r="I50">
        <f>_xlfn.XLOOKUP(B50,[1]selection!$B$2:$B$427,[1]selection!$D$2:$D$427,0)</f>
        <v>272000000</v>
      </c>
      <c r="J50" t="b">
        <f t="shared" si="0"/>
        <v>1</v>
      </c>
    </row>
    <row r="51" spans="1:10" hidden="1" x14ac:dyDescent="0.25">
      <c r="A51" t="s">
        <v>57</v>
      </c>
      <c r="B51" t="s">
        <v>483</v>
      </c>
      <c r="C51" t="s">
        <v>861</v>
      </c>
      <c r="D51">
        <v>116851637</v>
      </c>
      <c r="E51">
        <v>0.45</v>
      </c>
      <c r="F51">
        <v>1</v>
      </c>
      <c r="G51" t="s">
        <v>872</v>
      </c>
      <c r="H51" t="s">
        <v>873</v>
      </c>
      <c r="I51">
        <f>_xlfn.XLOOKUP(B51,[1]selection!$B$2:$B$427,[1]selection!$D$2:$D$427,0)</f>
        <v>116851637</v>
      </c>
      <c r="J51" t="b">
        <f t="shared" si="0"/>
        <v>1</v>
      </c>
    </row>
    <row r="52" spans="1:10" hidden="1" x14ac:dyDescent="0.25">
      <c r="A52" t="s">
        <v>58</v>
      </c>
      <c r="B52" t="s">
        <v>484</v>
      </c>
      <c r="C52" t="s">
        <v>861</v>
      </c>
      <c r="D52">
        <v>61540455</v>
      </c>
      <c r="E52">
        <v>0.55000000000000004</v>
      </c>
      <c r="F52">
        <v>1</v>
      </c>
      <c r="G52" t="s">
        <v>872</v>
      </c>
      <c r="H52" t="s">
        <v>873</v>
      </c>
      <c r="I52">
        <f>_xlfn.XLOOKUP(B52,[1]selection!$B$2:$B$427,[1]selection!$D$2:$D$427,0)</f>
        <v>61540455</v>
      </c>
      <c r="J52" t="b">
        <f t="shared" si="0"/>
        <v>1</v>
      </c>
    </row>
    <row r="53" spans="1:10" hidden="1" x14ac:dyDescent="0.25">
      <c r="A53" t="s">
        <v>59</v>
      </c>
      <c r="B53" t="s">
        <v>485</v>
      </c>
      <c r="C53" t="s">
        <v>861</v>
      </c>
      <c r="D53">
        <v>745388391</v>
      </c>
      <c r="E53">
        <v>0.3</v>
      </c>
      <c r="F53">
        <v>1</v>
      </c>
      <c r="G53" t="s">
        <v>872</v>
      </c>
      <c r="H53" t="s">
        <v>873</v>
      </c>
      <c r="I53">
        <f>_xlfn.XLOOKUP(B53,[1]selection!$B$2:$B$427,[1]selection!$D$2:$D$427,0)</f>
        <v>745388391</v>
      </c>
      <c r="J53" t="b">
        <f t="shared" si="0"/>
        <v>1</v>
      </c>
    </row>
    <row r="54" spans="1:10" hidden="1" x14ac:dyDescent="0.25">
      <c r="A54" t="s">
        <v>60</v>
      </c>
      <c r="B54" t="s">
        <v>486</v>
      </c>
      <c r="C54" t="s">
        <v>861</v>
      </c>
      <c r="D54">
        <v>1515182126</v>
      </c>
      <c r="E54">
        <v>0.75</v>
      </c>
      <c r="F54">
        <v>1</v>
      </c>
      <c r="G54" t="s">
        <v>872</v>
      </c>
      <c r="H54" t="s">
        <v>873</v>
      </c>
      <c r="I54">
        <f>_xlfn.XLOOKUP(B54,[1]selection!$B$2:$B$427,[1]selection!$D$2:$D$427,0)</f>
        <v>1515182126</v>
      </c>
      <c r="J54" t="b">
        <f t="shared" si="0"/>
        <v>1</v>
      </c>
    </row>
    <row r="55" spans="1:10" hidden="1" x14ac:dyDescent="0.25">
      <c r="A55" t="s">
        <v>61</v>
      </c>
      <c r="B55" t="s">
        <v>487</v>
      </c>
      <c r="C55" t="s">
        <v>864</v>
      </c>
      <c r="D55">
        <v>5023677700</v>
      </c>
      <c r="E55">
        <v>1</v>
      </c>
      <c r="F55">
        <v>1</v>
      </c>
      <c r="G55" t="s">
        <v>872</v>
      </c>
      <c r="H55" t="s">
        <v>873</v>
      </c>
      <c r="I55">
        <f>_xlfn.XLOOKUP(B55,[1]selection!$B$2:$B$427,[1]selection!$D$2:$D$427,0)</f>
        <v>5023677700</v>
      </c>
      <c r="J55" t="b">
        <f t="shared" si="0"/>
        <v>1</v>
      </c>
    </row>
    <row r="56" spans="1:10" hidden="1" x14ac:dyDescent="0.25">
      <c r="A56" t="s">
        <v>62</v>
      </c>
      <c r="B56" t="s">
        <v>488</v>
      </c>
      <c r="C56" t="s">
        <v>861</v>
      </c>
      <c r="D56">
        <v>134363049</v>
      </c>
      <c r="E56">
        <v>0.3</v>
      </c>
      <c r="F56">
        <v>1</v>
      </c>
      <c r="G56" t="s">
        <v>872</v>
      </c>
      <c r="H56" t="s">
        <v>873</v>
      </c>
      <c r="I56">
        <f>_xlfn.XLOOKUP(B56,[1]selection!$B$2:$B$427,[1]selection!$D$2:$D$427,0)</f>
        <v>134363049</v>
      </c>
      <c r="J56" t="b">
        <f t="shared" si="0"/>
        <v>1</v>
      </c>
    </row>
    <row r="57" spans="1:10" hidden="1" x14ac:dyDescent="0.25">
      <c r="A57" t="s">
        <v>63</v>
      </c>
      <c r="B57" t="s">
        <v>489</v>
      </c>
      <c r="C57" t="s">
        <v>864</v>
      </c>
      <c r="D57">
        <v>898866150</v>
      </c>
      <c r="E57">
        <v>0.7</v>
      </c>
      <c r="F57">
        <v>1</v>
      </c>
      <c r="G57" t="s">
        <v>872</v>
      </c>
      <c r="H57" t="s">
        <v>873</v>
      </c>
      <c r="I57">
        <f>_xlfn.XLOOKUP(B57,[1]selection!$B$2:$B$427,[1]selection!$D$2:$D$427,0)</f>
        <v>898866150</v>
      </c>
      <c r="J57" t="b">
        <f t="shared" si="0"/>
        <v>1</v>
      </c>
    </row>
    <row r="58" spans="1:10" hidden="1" x14ac:dyDescent="0.25">
      <c r="A58" t="s">
        <v>64</v>
      </c>
      <c r="B58" t="s">
        <v>490</v>
      </c>
      <c r="C58" t="s">
        <v>865</v>
      </c>
      <c r="D58">
        <v>92916645</v>
      </c>
      <c r="E58">
        <v>0.65</v>
      </c>
      <c r="F58">
        <v>1</v>
      </c>
      <c r="G58" t="s">
        <v>872</v>
      </c>
      <c r="H58" t="s">
        <v>873</v>
      </c>
      <c r="I58">
        <f>_xlfn.XLOOKUP(B58,[1]selection!$B$2:$B$427,[1]selection!$D$2:$D$427,0)</f>
        <v>92916645</v>
      </c>
      <c r="J58" t="b">
        <f t="shared" si="0"/>
        <v>1</v>
      </c>
    </row>
    <row r="59" spans="1:10" hidden="1" x14ac:dyDescent="0.25">
      <c r="A59" t="s">
        <v>65</v>
      </c>
      <c r="B59" t="s">
        <v>491</v>
      </c>
      <c r="C59" t="s">
        <v>862</v>
      </c>
      <c r="D59">
        <v>66000000</v>
      </c>
      <c r="E59">
        <v>0.70000000000000007</v>
      </c>
      <c r="F59">
        <v>1</v>
      </c>
      <c r="G59" t="s">
        <v>872</v>
      </c>
      <c r="H59" t="s">
        <v>873</v>
      </c>
      <c r="I59">
        <f>_xlfn.XLOOKUP(B59,[1]selection!$B$2:$B$427,[1]selection!$D$2:$D$427,0)</f>
        <v>66000000</v>
      </c>
      <c r="J59" t="b">
        <f t="shared" si="0"/>
        <v>1</v>
      </c>
    </row>
    <row r="60" spans="1:10" hidden="1" x14ac:dyDescent="0.25">
      <c r="A60" t="s">
        <v>66</v>
      </c>
      <c r="B60" t="s">
        <v>492</v>
      </c>
      <c r="C60" t="s">
        <v>860</v>
      </c>
      <c r="D60">
        <v>982424100</v>
      </c>
      <c r="E60">
        <v>1</v>
      </c>
      <c r="F60">
        <v>1</v>
      </c>
      <c r="G60" t="s">
        <v>872</v>
      </c>
      <c r="H60" t="s">
        <v>873</v>
      </c>
      <c r="I60">
        <f>_xlfn.XLOOKUP(B60,[1]selection!$B$2:$B$427,[1]selection!$D$2:$D$427,0)</f>
        <v>982424100</v>
      </c>
      <c r="J60" t="b">
        <f t="shared" si="0"/>
        <v>1</v>
      </c>
    </row>
    <row r="61" spans="1:10" hidden="1" x14ac:dyDescent="0.25">
      <c r="A61" t="s">
        <v>67</v>
      </c>
      <c r="B61" t="s">
        <v>493</v>
      </c>
      <c r="C61" t="s">
        <v>861</v>
      </c>
      <c r="D61">
        <v>453385777</v>
      </c>
      <c r="E61">
        <v>0.2</v>
      </c>
      <c r="F61">
        <v>1</v>
      </c>
      <c r="G61" t="s">
        <v>872</v>
      </c>
      <c r="H61" t="s">
        <v>873</v>
      </c>
      <c r="I61">
        <f>_xlfn.XLOOKUP(B61,[1]selection!$B$2:$B$427,[1]selection!$D$2:$D$427,0)</f>
        <v>453385777</v>
      </c>
      <c r="J61" t="b">
        <f t="shared" si="0"/>
        <v>1</v>
      </c>
    </row>
    <row r="62" spans="1:10" hidden="1" x14ac:dyDescent="0.25">
      <c r="A62" t="s">
        <v>68</v>
      </c>
      <c r="B62" t="s">
        <v>494</v>
      </c>
      <c r="C62" t="s">
        <v>862</v>
      </c>
      <c r="D62">
        <v>81146738</v>
      </c>
      <c r="E62">
        <v>0.9</v>
      </c>
      <c r="F62">
        <v>1</v>
      </c>
      <c r="G62" t="s">
        <v>872</v>
      </c>
      <c r="H62" t="s">
        <v>873</v>
      </c>
      <c r="I62">
        <f>_xlfn.XLOOKUP(B62,[1]selection!$B$2:$B$427,[1]selection!$D$2:$D$427,0)</f>
        <v>81146738</v>
      </c>
      <c r="J62" t="b">
        <f t="shared" si="0"/>
        <v>1</v>
      </c>
    </row>
    <row r="63" spans="1:10" hidden="1" x14ac:dyDescent="0.25">
      <c r="A63" t="s">
        <v>69</v>
      </c>
      <c r="B63" t="s">
        <v>495</v>
      </c>
      <c r="C63" t="s">
        <v>860</v>
      </c>
      <c r="D63">
        <v>126000000</v>
      </c>
      <c r="E63">
        <v>0.65</v>
      </c>
      <c r="F63">
        <v>1</v>
      </c>
      <c r="G63" t="s">
        <v>872</v>
      </c>
      <c r="H63" t="s">
        <v>873</v>
      </c>
      <c r="I63">
        <f>_xlfn.XLOOKUP(B63,[1]selection!$B$2:$B$427,[1]selection!$D$2:$D$427,0)</f>
        <v>126000000</v>
      </c>
      <c r="J63" t="b">
        <f t="shared" si="0"/>
        <v>1</v>
      </c>
    </row>
    <row r="64" spans="1:10" hidden="1" x14ac:dyDescent="0.25">
      <c r="A64" t="s">
        <v>70</v>
      </c>
      <c r="B64" t="s">
        <v>496</v>
      </c>
      <c r="C64" t="s">
        <v>860</v>
      </c>
      <c r="D64">
        <v>39999996</v>
      </c>
      <c r="E64">
        <v>0.85</v>
      </c>
      <c r="F64">
        <v>1</v>
      </c>
      <c r="G64" t="s">
        <v>872</v>
      </c>
      <c r="H64" t="s">
        <v>873</v>
      </c>
      <c r="I64">
        <f>_xlfn.XLOOKUP(B64,[1]selection!$B$2:$B$427,[1]selection!$D$2:$D$427,0)</f>
        <v>39999996</v>
      </c>
      <c r="J64" t="b">
        <f t="shared" si="0"/>
        <v>1</v>
      </c>
    </row>
    <row r="65" spans="1:10" hidden="1" x14ac:dyDescent="0.25">
      <c r="A65" t="s">
        <v>71</v>
      </c>
      <c r="B65" t="s">
        <v>497</v>
      </c>
      <c r="C65" t="s">
        <v>860</v>
      </c>
      <c r="D65">
        <v>242600000</v>
      </c>
      <c r="E65">
        <v>0.35</v>
      </c>
      <c r="F65">
        <v>1</v>
      </c>
      <c r="G65" t="s">
        <v>872</v>
      </c>
      <c r="H65" t="s">
        <v>873</v>
      </c>
      <c r="I65">
        <f>_xlfn.XLOOKUP(B65,[1]selection!$B$2:$B$427,[1]selection!$D$2:$D$427,0)</f>
        <v>242600000</v>
      </c>
      <c r="J65" t="b">
        <f t="shared" si="0"/>
        <v>1</v>
      </c>
    </row>
    <row r="66" spans="1:10" hidden="1" x14ac:dyDescent="0.25">
      <c r="A66" t="s">
        <v>72</v>
      </c>
      <c r="B66" t="s">
        <v>498</v>
      </c>
      <c r="C66" t="s">
        <v>865</v>
      </c>
      <c r="D66">
        <v>51839461</v>
      </c>
      <c r="E66">
        <v>0.65</v>
      </c>
      <c r="F66">
        <v>1</v>
      </c>
      <c r="G66" t="s">
        <v>872</v>
      </c>
      <c r="H66" t="s">
        <v>873</v>
      </c>
      <c r="I66">
        <f>_xlfn.XLOOKUP(B66,[1]selection!$B$2:$B$427,[1]selection!$D$2:$D$427,0)</f>
        <v>51839461</v>
      </c>
      <c r="J66" t="b">
        <f t="shared" si="0"/>
        <v>1</v>
      </c>
    </row>
    <row r="67" spans="1:10" hidden="1" x14ac:dyDescent="0.25">
      <c r="A67" t="s">
        <v>73</v>
      </c>
      <c r="B67" t="s">
        <v>499</v>
      </c>
      <c r="C67" t="s">
        <v>861</v>
      </c>
      <c r="D67">
        <v>188637324</v>
      </c>
      <c r="E67">
        <v>0.95000000000000007</v>
      </c>
      <c r="F67">
        <v>1</v>
      </c>
      <c r="G67" t="s">
        <v>872</v>
      </c>
      <c r="H67" t="s">
        <v>873</v>
      </c>
      <c r="I67">
        <f>_xlfn.XLOOKUP(B67,[1]selection!$B$2:$B$427,[1]selection!$D$2:$D$427,0)</f>
        <v>188637324</v>
      </c>
      <c r="J67" t="b">
        <f t="shared" ref="J67:J130" si="1">I67=D67</f>
        <v>1</v>
      </c>
    </row>
    <row r="68" spans="1:10" hidden="1" x14ac:dyDescent="0.25">
      <c r="A68" t="s">
        <v>74</v>
      </c>
      <c r="B68" t="s">
        <v>500</v>
      </c>
      <c r="C68" t="s">
        <v>860</v>
      </c>
      <c r="D68">
        <v>37606373</v>
      </c>
      <c r="E68">
        <v>0.9</v>
      </c>
      <c r="F68">
        <v>1</v>
      </c>
      <c r="G68" t="s">
        <v>872</v>
      </c>
      <c r="H68" t="s">
        <v>873</v>
      </c>
      <c r="I68">
        <f>_xlfn.XLOOKUP(B68,[1]selection!$B$2:$B$427,[1]selection!$D$2:$D$427,0)</f>
        <v>37606373</v>
      </c>
      <c r="J68" t="b">
        <f t="shared" si="1"/>
        <v>1</v>
      </c>
    </row>
    <row r="69" spans="1:10" hidden="1" x14ac:dyDescent="0.25">
      <c r="A69" t="s">
        <v>75</v>
      </c>
      <c r="B69" t="s">
        <v>501</v>
      </c>
      <c r="C69" t="s">
        <v>863</v>
      </c>
      <c r="D69">
        <v>118361220</v>
      </c>
      <c r="E69">
        <v>0.4</v>
      </c>
      <c r="F69">
        <v>1</v>
      </c>
      <c r="G69" t="s">
        <v>872</v>
      </c>
      <c r="H69" t="s">
        <v>873</v>
      </c>
      <c r="I69">
        <f>_xlfn.XLOOKUP(B69,[1]selection!$B$2:$B$427,[1]selection!$D$2:$D$427,0)</f>
        <v>118361220</v>
      </c>
      <c r="J69" t="b">
        <f t="shared" si="1"/>
        <v>1</v>
      </c>
    </row>
    <row r="70" spans="1:10" hidden="1" x14ac:dyDescent="0.25">
      <c r="A70" t="s">
        <v>76</v>
      </c>
      <c r="B70" t="s">
        <v>502</v>
      </c>
      <c r="C70" t="s">
        <v>867</v>
      </c>
      <c r="D70">
        <v>35702263</v>
      </c>
      <c r="E70">
        <v>0.9</v>
      </c>
      <c r="F70">
        <v>1</v>
      </c>
      <c r="G70" t="s">
        <v>872</v>
      </c>
      <c r="H70" t="s">
        <v>873</v>
      </c>
      <c r="I70">
        <f>_xlfn.XLOOKUP(B70,[1]selection!$B$2:$B$427,[1]selection!$D$2:$D$427,0)</f>
        <v>35702263</v>
      </c>
      <c r="J70" t="b">
        <f t="shared" si="1"/>
        <v>1</v>
      </c>
    </row>
    <row r="71" spans="1:10" hidden="1" x14ac:dyDescent="0.25">
      <c r="A71" t="s">
        <v>77</v>
      </c>
      <c r="B71" t="s">
        <v>503</v>
      </c>
      <c r="C71" t="s">
        <v>860</v>
      </c>
      <c r="D71">
        <v>561134950</v>
      </c>
      <c r="E71">
        <v>0.5</v>
      </c>
      <c r="F71">
        <v>1</v>
      </c>
      <c r="G71" t="s">
        <v>872</v>
      </c>
      <c r="H71" t="s">
        <v>873</v>
      </c>
      <c r="I71">
        <f>_xlfn.XLOOKUP(B71,[1]selection!$B$2:$B$427,[1]selection!$D$2:$D$427,0)</f>
        <v>561134950</v>
      </c>
      <c r="J71" t="b">
        <f t="shared" si="1"/>
        <v>1</v>
      </c>
    </row>
    <row r="72" spans="1:10" hidden="1" x14ac:dyDescent="0.25">
      <c r="A72" t="s">
        <v>78</v>
      </c>
      <c r="B72" t="s">
        <v>504</v>
      </c>
      <c r="C72" t="s">
        <v>860</v>
      </c>
      <c r="D72">
        <v>54675507</v>
      </c>
      <c r="E72">
        <v>1</v>
      </c>
      <c r="F72">
        <v>1</v>
      </c>
      <c r="G72" t="s">
        <v>872</v>
      </c>
      <c r="H72" t="s">
        <v>873</v>
      </c>
      <c r="I72">
        <f>_xlfn.XLOOKUP(B72,[1]selection!$B$2:$B$427,[1]selection!$D$2:$D$427,0)</f>
        <v>54675507</v>
      </c>
      <c r="J72" t="b">
        <f t="shared" si="1"/>
        <v>1</v>
      </c>
    </row>
    <row r="73" spans="1:10" hidden="1" x14ac:dyDescent="0.25">
      <c r="A73" t="s">
        <v>79</v>
      </c>
      <c r="B73" t="s">
        <v>505</v>
      </c>
      <c r="C73" t="s">
        <v>863</v>
      </c>
      <c r="D73">
        <v>383620188</v>
      </c>
      <c r="E73">
        <v>0.5</v>
      </c>
      <c r="F73">
        <v>1</v>
      </c>
      <c r="G73" t="s">
        <v>872</v>
      </c>
      <c r="H73" t="s">
        <v>873</v>
      </c>
      <c r="I73">
        <f>_xlfn.XLOOKUP(B73,[1]selection!$B$2:$B$427,[1]selection!$D$2:$D$427,0)</f>
        <v>383620188</v>
      </c>
      <c r="J73" t="b">
        <f t="shared" si="1"/>
        <v>1</v>
      </c>
    </row>
    <row r="74" spans="1:10" hidden="1" x14ac:dyDescent="0.25">
      <c r="A74" t="s">
        <v>80</v>
      </c>
      <c r="B74" t="s">
        <v>506</v>
      </c>
      <c r="C74" t="s">
        <v>861</v>
      </c>
      <c r="D74">
        <v>1964323646</v>
      </c>
      <c r="E74">
        <v>0.75</v>
      </c>
      <c r="F74">
        <v>1</v>
      </c>
      <c r="G74" t="s">
        <v>872</v>
      </c>
      <c r="H74" t="s">
        <v>873</v>
      </c>
      <c r="I74">
        <f>_xlfn.XLOOKUP(B74,[1]selection!$B$2:$B$427,[1]selection!$D$2:$D$427,0)</f>
        <v>1964323646</v>
      </c>
      <c r="J74" t="b">
        <f t="shared" si="1"/>
        <v>1</v>
      </c>
    </row>
    <row r="75" spans="1:10" hidden="1" x14ac:dyDescent="0.25">
      <c r="A75" t="s">
        <v>81</v>
      </c>
      <c r="B75" t="s">
        <v>507</v>
      </c>
      <c r="C75" t="s">
        <v>861</v>
      </c>
      <c r="D75">
        <v>333922250</v>
      </c>
      <c r="E75">
        <v>0.45</v>
      </c>
      <c r="F75">
        <v>1</v>
      </c>
      <c r="G75" t="s">
        <v>872</v>
      </c>
      <c r="H75" t="s">
        <v>873</v>
      </c>
      <c r="I75">
        <f>_xlfn.XLOOKUP(B75,[1]selection!$B$2:$B$427,[1]selection!$D$2:$D$427,0)</f>
        <v>333922250</v>
      </c>
      <c r="J75" t="b">
        <f t="shared" si="1"/>
        <v>1</v>
      </c>
    </row>
    <row r="76" spans="1:10" hidden="1" x14ac:dyDescent="0.25">
      <c r="A76" t="s">
        <v>82</v>
      </c>
      <c r="B76" t="s">
        <v>508</v>
      </c>
      <c r="C76" t="s">
        <v>860</v>
      </c>
      <c r="D76">
        <v>144385380</v>
      </c>
      <c r="E76">
        <v>0.85</v>
      </c>
      <c r="F76">
        <v>1</v>
      </c>
      <c r="G76" t="s">
        <v>872</v>
      </c>
      <c r="H76" t="s">
        <v>873</v>
      </c>
      <c r="I76">
        <f>_xlfn.XLOOKUP(B76,[1]selection!$B$2:$B$427,[1]selection!$D$2:$D$427,0)</f>
        <v>144385380</v>
      </c>
      <c r="J76" t="b">
        <f t="shared" si="1"/>
        <v>1</v>
      </c>
    </row>
    <row r="77" spans="1:10" hidden="1" x14ac:dyDescent="0.25">
      <c r="A77" t="s">
        <v>83</v>
      </c>
      <c r="B77" t="s">
        <v>509</v>
      </c>
      <c r="C77" t="s">
        <v>861</v>
      </c>
      <c r="D77">
        <v>68000000</v>
      </c>
      <c r="E77">
        <v>0.5</v>
      </c>
      <c r="F77">
        <v>1</v>
      </c>
      <c r="G77" t="s">
        <v>872</v>
      </c>
      <c r="H77" t="s">
        <v>873</v>
      </c>
      <c r="I77">
        <f>_xlfn.XLOOKUP(B77,[1]selection!$B$2:$B$427,[1]selection!$D$2:$D$427,0)</f>
        <v>68000000</v>
      </c>
      <c r="J77" t="b">
        <f t="shared" si="1"/>
        <v>1</v>
      </c>
    </row>
    <row r="78" spans="1:10" hidden="1" x14ac:dyDescent="0.25">
      <c r="A78" t="s">
        <v>84</v>
      </c>
      <c r="B78" t="s">
        <v>510</v>
      </c>
      <c r="C78" t="s">
        <v>863</v>
      </c>
      <c r="D78">
        <v>453871520</v>
      </c>
      <c r="E78">
        <v>0.75</v>
      </c>
      <c r="F78">
        <v>1</v>
      </c>
      <c r="G78" t="s">
        <v>872</v>
      </c>
      <c r="H78" t="s">
        <v>873</v>
      </c>
      <c r="I78">
        <f>_xlfn.XLOOKUP(B78,[1]selection!$B$2:$B$427,[1]selection!$D$2:$D$427,0)</f>
        <v>453871520</v>
      </c>
      <c r="J78" t="b">
        <f t="shared" si="1"/>
        <v>1</v>
      </c>
    </row>
    <row r="79" spans="1:10" hidden="1" x14ac:dyDescent="0.25">
      <c r="A79" t="s">
        <v>85</v>
      </c>
      <c r="B79" t="s">
        <v>511</v>
      </c>
      <c r="C79" t="s">
        <v>861</v>
      </c>
      <c r="D79">
        <v>192626154</v>
      </c>
      <c r="E79">
        <v>0.4</v>
      </c>
      <c r="F79">
        <v>1</v>
      </c>
      <c r="G79" t="s">
        <v>872</v>
      </c>
      <c r="H79" t="s">
        <v>873</v>
      </c>
      <c r="I79">
        <f>_xlfn.XLOOKUP(B79,[1]selection!$B$2:$B$427,[1]selection!$D$2:$D$427,0)</f>
        <v>192626154</v>
      </c>
      <c r="J79" t="b">
        <f t="shared" si="1"/>
        <v>1</v>
      </c>
    </row>
    <row r="80" spans="1:10" hidden="1" x14ac:dyDescent="0.25">
      <c r="A80" t="s">
        <v>86</v>
      </c>
      <c r="B80" t="s">
        <v>512</v>
      </c>
      <c r="C80" t="s">
        <v>868</v>
      </c>
      <c r="D80">
        <v>101171600</v>
      </c>
      <c r="E80">
        <v>0.3</v>
      </c>
      <c r="F80">
        <v>1</v>
      </c>
      <c r="G80" t="s">
        <v>872</v>
      </c>
      <c r="H80" t="s">
        <v>873</v>
      </c>
      <c r="I80">
        <f>_xlfn.XLOOKUP(B80,[1]selection!$B$2:$B$427,[1]selection!$D$2:$D$427,0)</f>
        <v>101171600</v>
      </c>
      <c r="J80" t="b">
        <f t="shared" si="1"/>
        <v>1</v>
      </c>
    </row>
    <row r="81" spans="1:10" hidden="1" x14ac:dyDescent="0.25">
      <c r="A81" t="s">
        <v>87</v>
      </c>
      <c r="B81" t="s">
        <v>513</v>
      </c>
      <c r="C81" t="s">
        <v>864</v>
      </c>
      <c r="D81">
        <v>34280750</v>
      </c>
      <c r="E81">
        <v>0.55000000000000004</v>
      </c>
      <c r="F81">
        <v>1</v>
      </c>
      <c r="G81" t="s">
        <v>872</v>
      </c>
      <c r="H81" t="s">
        <v>873</v>
      </c>
      <c r="I81">
        <f>_xlfn.XLOOKUP(B81,[1]selection!$B$2:$B$427,[1]selection!$D$2:$D$427,0)</f>
        <v>34280750</v>
      </c>
      <c r="J81" t="b">
        <f t="shared" si="1"/>
        <v>1</v>
      </c>
    </row>
    <row r="82" spans="1:10" hidden="1" x14ac:dyDescent="0.25">
      <c r="A82" t="s">
        <v>88</v>
      </c>
      <c r="B82" t="s">
        <v>514</v>
      </c>
      <c r="C82" t="s">
        <v>861</v>
      </c>
      <c r="D82">
        <v>1231267738</v>
      </c>
      <c r="E82">
        <v>0.5</v>
      </c>
      <c r="F82">
        <v>1</v>
      </c>
      <c r="G82" t="s">
        <v>872</v>
      </c>
      <c r="H82" t="s">
        <v>873</v>
      </c>
      <c r="I82">
        <f>_xlfn.XLOOKUP(B82,[1]selection!$B$2:$B$427,[1]selection!$D$2:$D$427,0)</f>
        <v>1231267738</v>
      </c>
      <c r="J82" t="b">
        <f t="shared" si="1"/>
        <v>1</v>
      </c>
    </row>
    <row r="83" spans="1:10" hidden="1" x14ac:dyDescent="0.25">
      <c r="A83" t="s">
        <v>89</v>
      </c>
      <c r="B83" t="s">
        <v>515</v>
      </c>
      <c r="C83" t="s">
        <v>863</v>
      </c>
      <c r="D83">
        <v>171347471</v>
      </c>
      <c r="E83">
        <v>0.85000000000000009</v>
      </c>
      <c r="F83">
        <v>1</v>
      </c>
      <c r="G83" t="s">
        <v>872</v>
      </c>
      <c r="H83" t="s">
        <v>873</v>
      </c>
      <c r="I83">
        <f>_xlfn.XLOOKUP(B83,[1]selection!$B$2:$B$427,[1]selection!$D$2:$D$427,0)</f>
        <v>171347471</v>
      </c>
      <c r="J83" t="b">
        <f t="shared" si="1"/>
        <v>1</v>
      </c>
    </row>
    <row r="84" spans="1:10" hidden="1" x14ac:dyDescent="0.25">
      <c r="A84" t="s">
        <v>90</v>
      </c>
      <c r="B84" t="s">
        <v>516</v>
      </c>
      <c r="C84" t="s">
        <v>867</v>
      </c>
      <c r="D84">
        <v>176878200</v>
      </c>
      <c r="E84">
        <v>0.75</v>
      </c>
      <c r="F84">
        <v>1</v>
      </c>
      <c r="G84" t="s">
        <v>872</v>
      </c>
      <c r="H84" t="s">
        <v>873</v>
      </c>
      <c r="I84">
        <f>_xlfn.XLOOKUP(B84,[1]selection!$B$2:$B$427,[1]selection!$D$2:$D$427,0)</f>
        <v>176878200</v>
      </c>
      <c r="J84" t="b">
        <f t="shared" si="1"/>
        <v>1</v>
      </c>
    </row>
    <row r="85" spans="1:10" hidden="1" x14ac:dyDescent="0.25">
      <c r="A85" t="s">
        <v>91</v>
      </c>
      <c r="B85" t="s">
        <v>517</v>
      </c>
      <c r="C85" t="s">
        <v>861</v>
      </c>
      <c r="D85">
        <v>112499205</v>
      </c>
      <c r="E85">
        <v>0.4</v>
      </c>
      <c r="F85">
        <v>1</v>
      </c>
      <c r="G85" t="s">
        <v>872</v>
      </c>
      <c r="H85" t="s">
        <v>873</v>
      </c>
      <c r="I85">
        <f>_xlfn.XLOOKUP(B85,[1]selection!$B$2:$B$427,[1]selection!$D$2:$D$427,0)</f>
        <v>112499205</v>
      </c>
      <c r="J85" t="b">
        <f t="shared" si="1"/>
        <v>1</v>
      </c>
    </row>
    <row r="86" spans="1:10" hidden="1" x14ac:dyDescent="0.25">
      <c r="A86" t="s">
        <v>92</v>
      </c>
      <c r="B86" t="s">
        <v>518</v>
      </c>
      <c r="C86" t="s">
        <v>860</v>
      </c>
      <c r="D86">
        <v>89440570</v>
      </c>
      <c r="E86">
        <v>0.4</v>
      </c>
      <c r="F86">
        <v>1</v>
      </c>
      <c r="G86" t="s">
        <v>872</v>
      </c>
      <c r="H86" t="s">
        <v>873</v>
      </c>
      <c r="I86">
        <f>_xlfn.XLOOKUP(B86,[1]selection!$B$2:$B$427,[1]selection!$D$2:$D$427,0)</f>
        <v>89440570</v>
      </c>
      <c r="J86" t="b">
        <f t="shared" si="1"/>
        <v>1</v>
      </c>
    </row>
    <row r="87" spans="1:10" hidden="1" x14ac:dyDescent="0.25">
      <c r="A87" t="s">
        <v>93</v>
      </c>
      <c r="B87" t="s">
        <v>519</v>
      </c>
      <c r="C87" t="s">
        <v>863</v>
      </c>
      <c r="D87">
        <v>140948872</v>
      </c>
      <c r="E87">
        <v>0.45</v>
      </c>
      <c r="F87">
        <v>1</v>
      </c>
      <c r="G87" t="s">
        <v>872</v>
      </c>
      <c r="H87" t="s">
        <v>873</v>
      </c>
      <c r="I87">
        <f>_xlfn.XLOOKUP(B87,[1]selection!$B$2:$B$427,[1]selection!$D$2:$D$427,0)</f>
        <v>140948872</v>
      </c>
      <c r="J87" t="b">
        <f t="shared" si="1"/>
        <v>1</v>
      </c>
    </row>
    <row r="88" spans="1:10" hidden="1" x14ac:dyDescent="0.25">
      <c r="A88" t="s">
        <v>94</v>
      </c>
      <c r="B88" t="s">
        <v>520</v>
      </c>
      <c r="C88" t="s">
        <v>863</v>
      </c>
      <c r="D88">
        <v>736314789</v>
      </c>
      <c r="E88">
        <v>0.95000000000000007</v>
      </c>
      <c r="F88">
        <v>1</v>
      </c>
      <c r="G88" t="s">
        <v>872</v>
      </c>
      <c r="H88" t="s">
        <v>873</v>
      </c>
      <c r="I88">
        <f>_xlfn.XLOOKUP(B88,[1]selection!$B$2:$B$427,[1]selection!$D$2:$D$427,0)</f>
        <v>736314789</v>
      </c>
      <c r="J88" t="b">
        <f t="shared" si="1"/>
        <v>1</v>
      </c>
    </row>
    <row r="89" spans="1:10" hidden="1" x14ac:dyDescent="0.25">
      <c r="A89" t="s">
        <v>95</v>
      </c>
      <c r="B89" t="s">
        <v>521</v>
      </c>
      <c r="C89" t="s">
        <v>860</v>
      </c>
      <c r="D89">
        <v>485221070</v>
      </c>
      <c r="E89">
        <v>0.35</v>
      </c>
      <c r="F89">
        <v>1</v>
      </c>
      <c r="G89" t="s">
        <v>872</v>
      </c>
      <c r="H89" t="s">
        <v>873</v>
      </c>
      <c r="I89">
        <f>_xlfn.XLOOKUP(B89,[1]selection!$B$2:$B$427,[1]selection!$D$2:$D$427,0)</f>
        <v>485221070</v>
      </c>
      <c r="J89" t="b">
        <f t="shared" si="1"/>
        <v>1</v>
      </c>
    </row>
    <row r="90" spans="1:10" hidden="1" x14ac:dyDescent="0.25">
      <c r="A90" t="s">
        <v>96</v>
      </c>
      <c r="B90" t="s">
        <v>522</v>
      </c>
      <c r="C90" t="s">
        <v>864</v>
      </c>
      <c r="D90">
        <v>706475400</v>
      </c>
      <c r="E90">
        <v>0.85</v>
      </c>
      <c r="F90">
        <v>1</v>
      </c>
      <c r="G90" t="s">
        <v>872</v>
      </c>
      <c r="H90" t="s">
        <v>873</v>
      </c>
      <c r="I90">
        <f>_xlfn.XLOOKUP(B90,[1]selection!$B$2:$B$427,[1]selection!$D$2:$D$427,0)</f>
        <v>706475400</v>
      </c>
      <c r="J90" t="b">
        <f t="shared" si="1"/>
        <v>1</v>
      </c>
    </row>
    <row r="91" spans="1:10" hidden="1" x14ac:dyDescent="0.25">
      <c r="A91" t="s">
        <v>97</v>
      </c>
      <c r="B91" t="s">
        <v>523</v>
      </c>
      <c r="C91" t="s">
        <v>861</v>
      </c>
      <c r="D91">
        <v>17000000</v>
      </c>
      <c r="E91">
        <v>0.3</v>
      </c>
      <c r="F91">
        <v>1</v>
      </c>
      <c r="G91" t="s">
        <v>872</v>
      </c>
      <c r="H91" t="s">
        <v>873</v>
      </c>
      <c r="I91">
        <f>_xlfn.XLOOKUP(B91,[1]selection!$B$2:$B$427,[1]selection!$D$2:$D$427,0)</f>
        <v>17000000</v>
      </c>
      <c r="J91" t="b">
        <f t="shared" si="1"/>
        <v>1</v>
      </c>
    </row>
    <row r="92" spans="1:10" hidden="1" x14ac:dyDescent="0.25">
      <c r="A92" t="s">
        <v>98</v>
      </c>
      <c r="B92" t="s">
        <v>524</v>
      </c>
      <c r="C92" t="s">
        <v>861</v>
      </c>
      <c r="D92">
        <v>159120000</v>
      </c>
      <c r="E92">
        <v>0.3</v>
      </c>
      <c r="F92">
        <v>1</v>
      </c>
      <c r="G92" t="s">
        <v>872</v>
      </c>
      <c r="H92" t="s">
        <v>873</v>
      </c>
      <c r="I92">
        <f>_xlfn.XLOOKUP(B92,[1]selection!$B$2:$B$427,[1]selection!$D$2:$D$427,0)</f>
        <v>159120000</v>
      </c>
      <c r="J92" t="b">
        <f t="shared" si="1"/>
        <v>1</v>
      </c>
    </row>
    <row r="93" spans="1:10" hidden="1" x14ac:dyDescent="0.25">
      <c r="A93" t="s">
        <v>99</v>
      </c>
      <c r="B93" t="s">
        <v>525</v>
      </c>
      <c r="C93" t="s">
        <v>864</v>
      </c>
      <c r="D93">
        <v>119807490</v>
      </c>
      <c r="E93">
        <v>0.55000000000000004</v>
      </c>
      <c r="F93">
        <v>1</v>
      </c>
      <c r="G93" t="s">
        <v>872</v>
      </c>
      <c r="H93" t="s">
        <v>873</v>
      </c>
      <c r="I93">
        <f>_xlfn.XLOOKUP(B93,[1]selection!$B$2:$B$427,[1]selection!$D$2:$D$427,0)</f>
        <v>119807490</v>
      </c>
      <c r="J93" t="b">
        <f t="shared" si="1"/>
        <v>1</v>
      </c>
    </row>
    <row r="94" spans="1:10" hidden="1" x14ac:dyDescent="0.25">
      <c r="A94" t="s">
        <v>100</v>
      </c>
      <c r="B94" t="s">
        <v>526</v>
      </c>
      <c r="C94" t="s">
        <v>861</v>
      </c>
      <c r="D94">
        <v>916059948</v>
      </c>
      <c r="E94">
        <v>0.6</v>
      </c>
      <c r="F94">
        <v>1</v>
      </c>
      <c r="G94" t="s">
        <v>872</v>
      </c>
      <c r="H94" t="s">
        <v>873</v>
      </c>
      <c r="I94">
        <f>_xlfn.XLOOKUP(B94,[1]selection!$B$2:$B$427,[1]selection!$D$2:$D$427,0)</f>
        <v>916059948</v>
      </c>
      <c r="J94" t="b">
        <f t="shared" si="1"/>
        <v>1</v>
      </c>
    </row>
    <row r="95" spans="1:10" hidden="1" x14ac:dyDescent="0.25">
      <c r="A95" t="s">
        <v>101</v>
      </c>
      <c r="B95" t="s">
        <v>527</v>
      </c>
      <c r="C95" t="s">
        <v>867</v>
      </c>
      <c r="D95">
        <v>183569020</v>
      </c>
      <c r="E95">
        <v>0.5</v>
      </c>
      <c r="F95">
        <v>1</v>
      </c>
      <c r="G95" t="s">
        <v>872</v>
      </c>
      <c r="H95" t="s">
        <v>873</v>
      </c>
      <c r="I95">
        <f>_xlfn.XLOOKUP(B95,[1]selection!$B$2:$B$427,[1]selection!$D$2:$D$427,0)</f>
        <v>183569020</v>
      </c>
      <c r="J95" t="b">
        <f t="shared" si="1"/>
        <v>1</v>
      </c>
    </row>
    <row r="96" spans="1:10" hidden="1" x14ac:dyDescent="0.25">
      <c r="A96" t="s">
        <v>102</v>
      </c>
      <c r="B96" t="s">
        <v>528</v>
      </c>
      <c r="C96" t="s">
        <v>865</v>
      </c>
      <c r="D96">
        <v>315977647</v>
      </c>
      <c r="E96">
        <v>0.25</v>
      </c>
      <c r="F96">
        <v>1</v>
      </c>
      <c r="G96" t="s">
        <v>872</v>
      </c>
      <c r="H96" t="s">
        <v>873</v>
      </c>
      <c r="I96">
        <f>_xlfn.XLOOKUP(B96,[1]selection!$B$2:$B$427,[1]selection!$D$2:$D$427,0)</f>
        <v>315977647</v>
      </c>
      <c r="J96" t="b">
        <f t="shared" si="1"/>
        <v>1</v>
      </c>
    </row>
    <row r="97" spans="1:10" hidden="1" x14ac:dyDescent="0.25">
      <c r="A97" t="s">
        <v>103</v>
      </c>
      <c r="B97" t="s">
        <v>529</v>
      </c>
      <c r="C97" t="s">
        <v>863</v>
      </c>
      <c r="D97">
        <v>150179792</v>
      </c>
      <c r="E97">
        <v>0.65</v>
      </c>
      <c r="F97">
        <v>1</v>
      </c>
      <c r="G97" t="s">
        <v>872</v>
      </c>
      <c r="H97" t="s">
        <v>873</v>
      </c>
      <c r="I97">
        <f>_xlfn.XLOOKUP(B97,[1]selection!$B$2:$B$427,[1]selection!$D$2:$D$427,0)</f>
        <v>150179792</v>
      </c>
      <c r="J97" t="b">
        <f t="shared" si="1"/>
        <v>1</v>
      </c>
    </row>
    <row r="98" spans="1:10" hidden="1" x14ac:dyDescent="0.25">
      <c r="A98" t="s">
        <v>104</v>
      </c>
      <c r="B98" t="s">
        <v>530</v>
      </c>
      <c r="C98" t="s">
        <v>865</v>
      </c>
      <c r="D98">
        <v>38096217</v>
      </c>
      <c r="E98">
        <v>1</v>
      </c>
      <c r="F98">
        <v>1</v>
      </c>
      <c r="G98" t="s">
        <v>872</v>
      </c>
      <c r="H98" t="s">
        <v>873</v>
      </c>
      <c r="I98">
        <f>_xlfn.XLOOKUP(B98,[1]selection!$B$2:$B$427,[1]selection!$D$2:$D$427,0)</f>
        <v>38096217</v>
      </c>
      <c r="J98" t="b">
        <f t="shared" si="1"/>
        <v>1</v>
      </c>
    </row>
    <row r="99" spans="1:10" hidden="1" x14ac:dyDescent="0.25">
      <c r="A99" t="s">
        <v>105</v>
      </c>
      <c r="B99" t="s">
        <v>531</v>
      </c>
      <c r="C99" t="s">
        <v>864</v>
      </c>
      <c r="D99">
        <v>627344670</v>
      </c>
      <c r="E99">
        <v>0.4</v>
      </c>
      <c r="F99">
        <v>1</v>
      </c>
      <c r="G99" t="s">
        <v>872</v>
      </c>
      <c r="H99" t="s">
        <v>873</v>
      </c>
      <c r="I99">
        <f>_xlfn.XLOOKUP(B99,[1]selection!$B$2:$B$427,[1]selection!$D$2:$D$427,0)</f>
        <v>627344670</v>
      </c>
      <c r="J99" t="b">
        <f t="shared" si="1"/>
        <v>1</v>
      </c>
    </row>
    <row r="100" spans="1:10" hidden="1" x14ac:dyDescent="0.25">
      <c r="A100" t="s">
        <v>106</v>
      </c>
      <c r="B100" t="s">
        <v>532</v>
      </c>
      <c r="C100" t="s">
        <v>865</v>
      </c>
      <c r="D100">
        <v>124497858</v>
      </c>
      <c r="E100">
        <v>0.2</v>
      </c>
      <c r="F100">
        <v>1</v>
      </c>
      <c r="G100" t="s">
        <v>872</v>
      </c>
      <c r="H100" t="s">
        <v>873</v>
      </c>
      <c r="I100">
        <f>_xlfn.XLOOKUP(B100,[1]selection!$B$2:$B$427,[1]selection!$D$2:$D$427,0)</f>
        <v>124497858</v>
      </c>
      <c r="J100" t="b">
        <f t="shared" si="1"/>
        <v>1</v>
      </c>
    </row>
    <row r="101" spans="1:10" hidden="1" x14ac:dyDescent="0.25">
      <c r="A101" t="s">
        <v>107</v>
      </c>
      <c r="B101" t="s">
        <v>533</v>
      </c>
      <c r="C101" t="s">
        <v>860</v>
      </c>
      <c r="D101">
        <v>1127496200</v>
      </c>
      <c r="E101">
        <v>0.6</v>
      </c>
      <c r="F101">
        <v>1</v>
      </c>
      <c r="G101" t="s">
        <v>872</v>
      </c>
      <c r="H101" t="s">
        <v>873</v>
      </c>
      <c r="I101">
        <f>_xlfn.XLOOKUP(B101,[1]selection!$B$2:$B$427,[1]selection!$D$2:$D$427,0)</f>
        <v>1127496200</v>
      </c>
      <c r="J101" t="b">
        <f t="shared" si="1"/>
        <v>1</v>
      </c>
    </row>
    <row r="102" spans="1:10" hidden="1" x14ac:dyDescent="0.25">
      <c r="A102" t="s">
        <v>108</v>
      </c>
      <c r="B102" t="s">
        <v>534</v>
      </c>
      <c r="C102" t="s">
        <v>860</v>
      </c>
      <c r="D102">
        <v>200005980</v>
      </c>
      <c r="E102">
        <v>0.55000000000000004</v>
      </c>
      <c r="F102">
        <v>1</v>
      </c>
      <c r="G102" t="s">
        <v>872</v>
      </c>
      <c r="H102" t="s">
        <v>873</v>
      </c>
      <c r="I102">
        <f>_xlfn.XLOOKUP(B102,[1]selection!$B$2:$B$427,[1]selection!$D$2:$D$427,0)</f>
        <v>200005980</v>
      </c>
      <c r="J102" t="b">
        <f t="shared" si="1"/>
        <v>1</v>
      </c>
    </row>
    <row r="103" spans="1:10" hidden="1" x14ac:dyDescent="0.25">
      <c r="A103" t="s">
        <v>109</v>
      </c>
      <c r="B103" t="s">
        <v>535</v>
      </c>
      <c r="C103" t="s">
        <v>862</v>
      </c>
      <c r="D103">
        <v>58250309</v>
      </c>
      <c r="E103">
        <v>0.9</v>
      </c>
      <c r="F103">
        <v>1</v>
      </c>
      <c r="G103" t="s">
        <v>872</v>
      </c>
      <c r="H103" t="s">
        <v>873</v>
      </c>
      <c r="I103">
        <f>_xlfn.XLOOKUP(B103,[1]selection!$B$2:$B$427,[1]selection!$D$2:$D$427,0)</f>
        <v>58250309</v>
      </c>
      <c r="J103" t="b">
        <f t="shared" si="1"/>
        <v>1</v>
      </c>
    </row>
    <row r="104" spans="1:10" hidden="1" x14ac:dyDescent="0.25">
      <c r="A104" t="s">
        <v>110</v>
      </c>
      <c r="B104" t="s">
        <v>536</v>
      </c>
      <c r="C104" t="s">
        <v>864</v>
      </c>
      <c r="D104">
        <v>324761840</v>
      </c>
      <c r="E104">
        <v>0.15</v>
      </c>
      <c r="F104">
        <v>1</v>
      </c>
      <c r="G104" t="s">
        <v>872</v>
      </c>
      <c r="H104" t="s">
        <v>873</v>
      </c>
      <c r="I104">
        <f>_xlfn.XLOOKUP(B104,[1]selection!$B$2:$B$427,[1]selection!$D$2:$D$427,0)</f>
        <v>324761840</v>
      </c>
      <c r="J104" t="b">
        <f t="shared" si="1"/>
        <v>1</v>
      </c>
    </row>
    <row r="105" spans="1:10" hidden="1" x14ac:dyDescent="0.25">
      <c r="A105" t="s">
        <v>111</v>
      </c>
      <c r="B105" t="s">
        <v>537</v>
      </c>
      <c r="C105" t="s">
        <v>864</v>
      </c>
      <c r="D105">
        <v>3079553200</v>
      </c>
      <c r="E105">
        <v>0.3</v>
      </c>
      <c r="F105">
        <v>1</v>
      </c>
      <c r="G105" t="s">
        <v>872</v>
      </c>
      <c r="H105" t="s">
        <v>873</v>
      </c>
      <c r="I105">
        <f>_xlfn.XLOOKUP(B105,[1]selection!$B$2:$B$427,[1]selection!$D$2:$D$427,0)</f>
        <v>3079553200</v>
      </c>
      <c r="J105" t="b">
        <f t="shared" si="1"/>
        <v>1</v>
      </c>
    </row>
    <row r="106" spans="1:10" hidden="1" x14ac:dyDescent="0.25">
      <c r="A106" t="s">
        <v>112</v>
      </c>
      <c r="B106" t="s">
        <v>538</v>
      </c>
      <c r="C106" t="s">
        <v>869</v>
      </c>
      <c r="D106">
        <v>133000000</v>
      </c>
      <c r="E106">
        <v>0.3</v>
      </c>
      <c r="F106">
        <v>1</v>
      </c>
      <c r="G106" t="s">
        <v>872</v>
      </c>
      <c r="H106" t="s">
        <v>873</v>
      </c>
      <c r="I106">
        <f>_xlfn.XLOOKUP(B106,[1]selection!$B$2:$B$427,[1]selection!$D$2:$D$427,0)</f>
        <v>133000000</v>
      </c>
      <c r="J106" t="b">
        <f t="shared" si="1"/>
        <v>1</v>
      </c>
    </row>
    <row r="107" spans="1:10" hidden="1" x14ac:dyDescent="0.25">
      <c r="A107" t="s">
        <v>113</v>
      </c>
      <c r="B107" t="s">
        <v>539</v>
      </c>
      <c r="C107" t="s">
        <v>860</v>
      </c>
      <c r="D107">
        <v>189000000</v>
      </c>
      <c r="E107">
        <v>0.9</v>
      </c>
      <c r="F107">
        <v>1</v>
      </c>
      <c r="G107" t="s">
        <v>872</v>
      </c>
      <c r="H107" t="s">
        <v>873</v>
      </c>
      <c r="I107">
        <f>_xlfn.XLOOKUP(B107,[1]selection!$B$2:$B$427,[1]selection!$D$2:$D$427,0)</f>
        <v>189000000</v>
      </c>
      <c r="J107" t="b">
        <f t="shared" si="1"/>
        <v>1</v>
      </c>
    </row>
    <row r="108" spans="1:10" hidden="1" x14ac:dyDescent="0.25">
      <c r="A108" t="s">
        <v>114</v>
      </c>
      <c r="B108" t="s">
        <v>540</v>
      </c>
      <c r="C108" t="s">
        <v>863</v>
      </c>
      <c r="D108">
        <v>111623468</v>
      </c>
      <c r="E108">
        <v>0.5</v>
      </c>
      <c r="F108">
        <v>1</v>
      </c>
      <c r="G108" t="s">
        <v>872</v>
      </c>
      <c r="H108" t="s">
        <v>873</v>
      </c>
      <c r="I108">
        <f>_xlfn.XLOOKUP(B108,[1]selection!$B$2:$B$427,[1]selection!$D$2:$D$427,0)</f>
        <v>111623468</v>
      </c>
      <c r="J108" t="b">
        <f t="shared" si="1"/>
        <v>1</v>
      </c>
    </row>
    <row r="109" spans="1:10" hidden="1" x14ac:dyDescent="0.25">
      <c r="A109" t="s">
        <v>115</v>
      </c>
      <c r="B109" t="s">
        <v>541</v>
      </c>
      <c r="C109" t="s">
        <v>861</v>
      </c>
      <c r="D109">
        <v>341320065</v>
      </c>
      <c r="E109">
        <v>0.2</v>
      </c>
      <c r="F109">
        <v>1</v>
      </c>
      <c r="G109" t="s">
        <v>872</v>
      </c>
      <c r="H109" t="s">
        <v>873</v>
      </c>
      <c r="I109">
        <f>_xlfn.XLOOKUP(B109,[1]selection!$B$2:$B$427,[1]selection!$D$2:$D$427,0)</f>
        <v>341320065</v>
      </c>
      <c r="J109" t="b">
        <f t="shared" si="1"/>
        <v>1</v>
      </c>
    </row>
    <row r="110" spans="1:10" hidden="1" x14ac:dyDescent="0.25">
      <c r="A110" t="s">
        <v>116</v>
      </c>
      <c r="B110" t="s">
        <v>542</v>
      </c>
      <c r="C110" t="s">
        <v>863</v>
      </c>
      <c r="D110">
        <v>3025902350</v>
      </c>
      <c r="E110">
        <v>0.3</v>
      </c>
      <c r="F110">
        <v>1</v>
      </c>
      <c r="G110" t="s">
        <v>872</v>
      </c>
      <c r="H110" t="s">
        <v>873</v>
      </c>
      <c r="I110">
        <f>_xlfn.XLOOKUP(B110,[1]selection!$B$2:$B$427,[1]selection!$D$2:$D$427,0)</f>
        <v>3025902350</v>
      </c>
      <c r="J110" t="b">
        <f t="shared" si="1"/>
        <v>1</v>
      </c>
    </row>
    <row r="111" spans="1:10" hidden="1" x14ac:dyDescent="0.25">
      <c r="A111" t="s">
        <v>117</v>
      </c>
      <c r="B111" t="s">
        <v>543</v>
      </c>
      <c r="C111" t="s">
        <v>860</v>
      </c>
      <c r="D111">
        <v>96000000</v>
      </c>
      <c r="E111">
        <v>0.6</v>
      </c>
      <c r="F111">
        <v>1</v>
      </c>
      <c r="G111" t="s">
        <v>872</v>
      </c>
      <c r="H111" t="s">
        <v>873</v>
      </c>
      <c r="I111">
        <f>_xlfn.XLOOKUP(B111,[1]selection!$B$2:$B$427,[1]selection!$D$2:$D$427,0)</f>
        <v>96000000</v>
      </c>
      <c r="J111" t="b">
        <f t="shared" si="1"/>
        <v>1</v>
      </c>
    </row>
    <row r="112" spans="1:10" hidden="1" x14ac:dyDescent="0.25">
      <c r="A112" t="s">
        <v>118</v>
      </c>
      <c r="B112" t="s">
        <v>544</v>
      </c>
      <c r="C112" t="s">
        <v>869</v>
      </c>
      <c r="D112">
        <v>133820000</v>
      </c>
      <c r="E112">
        <v>0.65</v>
      </c>
      <c r="F112">
        <v>1</v>
      </c>
      <c r="G112" t="s">
        <v>872</v>
      </c>
      <c r="H112" t="s">
        <v>873</v>
      </c>
      <c r="I112">
        <f>_xlfn.XLOOKUP(B112,[1]selection!$B$2:$B$427,[1]selection!$D$2:$D$427,0)</f>
        <v>133820000</v>
      </c>
      <c r="J112" t="b">
        <f t="shared" si="1"/>
        <v>1</v>
      </c>
    </row>
    <row r="113" spans="1:10" hidden="1" x14ac:dyDescent="0.25">
      <c r="A113" t="s">
        <v>119</v>
      </c>
      <c r="B113" t="s">
        <v>545</v>
      </c>
      <c r="C113" t="s">
        <v>862</v>
      </c>
      <c r="D113">
        <v>1062984492</v>
      </c>
      <c r="E113">
        <v>0.25</v>
      </c>
      <c r="F113">
        <v>1</v>
      </c>
      <c r="G113" t="s">
        <v>872</v>
      </c>
      <c r="H113" t="s">
        <v>873</v>
      </c>
      <c r="I113">
        <f>_xlfn.XLOOKUP(B113,[1]selection!$B$2:$B$427,[1]selection!$D$2:$D$427,0)</f>
        <v>1062984492</v>
      </c>
      <c r="J113" t="b">
        <f t="shared" si="1"/>
        <v>1</v>
      </c>
    </row>
    <row r="114" spans="1:10" hidden="1" x14ac:dyDescent="0.25">
      <c r="A114" t="s">
        <v>120</v>
      </c>
      <c r="B114" t="s">
        <v>546</v>
      </c>
      <c r="C114" t="s">
        <v>865</v>
      </c>
      <c r="D114">
        <v>53690082</v>
      </c>
      <c r="E114">
        <v>0.4</v>
      </c>
      <c r="F114">
        <v>1</v>
      </c>
      <c r="G114" t="s">
        <v>872</v>
      </c>
      <c r="H114" t="s">
        <v>873</v>
      </c>
      <c r="I114">
        <f>_xlfn.XLOOKUP(B114,[1]selection!$B$2:$B$427,[1]selection!$D$2:$D$427,0)</f>
        <v>53690082</v>
      </c>
      <c r="J114" t="b">
        <f t="shared" si="1"/>
        <v>1</v>
      </c>
    </row>
    <row r="115" spans="1:10" hidden="1" x14ac:dyDescent="0.25">
      <c r="A115" t="s">
        <v>121</v>
      </c>
      <c r="B115" t="s">
        <v>547</v>
      </c>
      <c r="C115" t="s">
        <v>860</v>
      </c>
      <c r="D115">
        <v>765600400</v>
      </c>
      <c r="E115">
        <v>0.6</v>
      </c>
      <c r="F115">
        <v>1</v>
      </c>
      <c r="G115" t="s">
        <v>872</v>
      </c>
      <c r="H115" t="s">
        <v>873</v>
      </c>
      <c r="I115">
        <f>_xlfn.XLOOKUP(B115,[1]selection!$B$2:$B$427,[1]selection!$D$2:$D$427,0)</f>
        <v>765600400</v>
      </c>
      <c r="J115" t="b">
        <f t="shared" si="1"/>
        <v>1</v>
      </c>
    </row>
    <row r="116" spans="1:10" hidden="1" x14ac:dyDescent="0.25">
      <c r="A116" t="s">
        <v>122</v>
      </c>
      <c r="B116" t="s">
        <v>548</v>
      </c>
      <c r="C116" t="s">
        <v>861</v>
      </c>
      <c r="D116">
        <v>40879533</v>
      </c>
      <c r="E116">
        <v>0.2</v>
      </c>
      <c r="F116">
        <v>1</v>
      </c>
      <c r="G116" t="s">
        <v>872</v>
      </c>
      <c r="H116" t="s">
        <v>873</v>
      </c>
      <c r="I116">
        <f>_xlfn.XLOOKUP(B116,[1]selection!$B$2:$B$427,[1]selection!$D$2:$D$427,0)</f>
        <v>40879533</v>
      </c>
      <c r="J116" t="b">
        <f t="shared" si="1"/>
        <v>1</v>
      </c>
    </row>
    <row r="117" spans="1:10" hidden="1" x14ac:dyDescent="0.25">
      <c r="A117" t="s">
        <v>123</v>
      </c>
      <c r="B117" t="s">
        <v>549</v>
      </c>
      <c r="C117" t="s">
        <v>861</v>
      </c>
      <c r="D117">
        <v>40425033</v>
      </c>
      <c r="E117">
        <v>0.9</v>
      </c>
      <c r="F117">
        <v>1</v>
      </c>
      <c r="G117" t="s">
        <v>872</v>
      </c>
      <c r="H117" t="s">
        <v>873</v>
      </c>
      <c r="I117">
        <f>_xlfn.XLOOKUP(B117,[1]selection!$B$2:$B$427,[1]selection!$D$2:$D$427,0)</f>
        <v>40425033</v>
      </c>
      <c r="J117" t="b">
        <f t="shared" si="1"/>
        <v>1</v>
      </c>
    </row>
    <row r="118" spans="1:10" hidden="1" x14ac:dyDescent="0.25">
      <c r="A118" t="s">
        <v>124</v>
      </c>
      <c r="B118" t="s">
        <v>550</v>
      </c>
      <c r="C118" t="s">
        <v>863</v>
      </c>
      <c r="D118">
        <v>78397034</v>
      </c>
      <c r="E118">
        <v>0.25</v>
      </c>
      <c r="F118">
        <v>1</v>
      </c>
      <c r="G118" t="s">
        <v>872</v>
      </c>
      <c r="H118" t="s">
        <v>873</v>
      </c>
      <c r="I118">
        <f>_xlfn.XLOOKUP(B118,[1]selection!$B$2:$B$427,[1]selection!$D$2:$D$427,0)</f>
        <v>78397034</v>
      </c>
      <c r="J118" t="b">
        <f t="shared" si="1"/>
        <v>1</v>
      </c>
    </row>
    <row r="119" spans="1:10" hidden="1" x14ac:dyDescent="0.25">
      <c r="A119" t="s">
        <v>125</v>
      </c>
      <c r="B119" t="s">
        <v>551</v>
      </c>
      <c r="C119" t="s">
        <v>863</v>
      </c>
      <c r="D119">
        <v>1341456065</v>
      </c>
      <c r="E119">
        <v>0.5</v>
      </c>
      <c r="F119">
        <v>1</v>
      </c>
      <c r="G119" t="s">
        <v>872</v>
      </c>
      <c r="H119" t="s">
        <v>873</v>
      </c>
      <c r="I119">
        <f>_xlfn.XLOOKUP(B119,[1]selection!$B$2:$B$427,[1]selection!$D$2:$D$427,0)</f>
        <v>1341456065</v>
      </c>
      <c r="J119" t="b">
        <f t="shared" si="1"/>
        <v>1</v>
      </c>
    </row>
    <row r="120" spans="1:10" hidden="1" x14ac:dyDescent="0.25">
      <c r="A120" t="s">
        <v>126</v>
      </c>
      <c r="B120" t="s">
        <v>552</v>
      </c>
      <c r="C120" t="s">
        <v>861</v>
      </c>
      <c r="D120">
        <v>151294737</v>
      </c>
      <c r="E120">
        <v>0.45</v>
      </c>
      <c r="F120">
        <v>1</v>
      </c>
      <c r="G120" t="s">
        <v>872</v>
      </c>
      <c r="H120" t="s">
        <v>873</v>
      </c>
      <c r="I120">
        <f>_xlfn.XLOOKUP(B120,[1]selection!$B$2:$B$427,[1]selection!$D$2:$D$427,0)</f>
        <v>151294737</v>
      </c>
      <c r="J120" t="b">
        <f t="shared" si="1"/>
        <v>1</v>
      </c>
    </row>
    <row r="121" spans="1:10" hidden="1" x14ac:dyDescent="0.25">
      <c r="A121" t="s">
        <v>127</v>
      </c>
      <c r="B121" t="s">
        <v>553</v>
      </c>
      <c r="C121" t="s">
        <v>860</v>
      </c>
      <c r="D121">
        <v>298230930</v>
      </c>
      <c r="E121">
        <v>0.75</v>
      </c>
      <c r="F121">
        <v>1</v>
      </c>
      <c r="G121" t="s">
        <v>872</v>
      </c>
      <c r="H121" t="s">
        <v>873</v>
      </c>
      <c r="I121">
        <f>_xlfn.XLOOKUP(B121,[1]selection!$B$2:$B$427,[1]selection!$D$2:$D$427,0)</f>
        <v>298230930</v>
      </c>
      <c r="J121" t="b">
        <f t="shared" si="1"/>
        <v>1</v>
      </c>
    </row>
    <row r="122" spans="1:10" hidden="1" x14ac:dyDescent="0.25">
      <c r="A122" t="s">
        <v>128</v>
      </c>
      <c r="B122" t="s">
        <v>554</v>
      </c>
      <c r="C122" t="s">
        <v>865</v>
      </c>
      <c r="D122">
        <v>25314482</v>
      </c>
      <c r="E122">
        <v>0.25</v>
      </c>
      <c r="F122">
        <v>1</v>
      </c>
      <c r="G122" t="s">
        <v>872</v>
      </c>
      <c r="H122" t="s">
        <v>873</v>
      </c>
      <c r="I122">
        <f>_xlfn.XLOOKUP(B122,[1]selection!$B$2:$B$427,[1]selection!$D$2:$D$427,0)</f>
        <v>25314482</v>
      </c>
      <c r="J122" t="b">
        <f t="shared" si="1"/>
        <v>1</v>
      </c>
    </row>
    <row r="123" spans="1:10" hidden="1" x14ac:dyDescent="0.25">
      <c r="A123" t="s">
        <v>129</v>
      </c>
      <c r="B123" t="s">
        <v>555</v>
      </c>
      <c r="C123" t="s">
        <v>860</v>
      </c>
      <c r="D123">
        <v>400297000</v>
      </c>
      <c r="E123">
        <v>0.15</v>
      </c>
      <c r="F123">
        <v>1</v>
      </c>
      <c r="G123" t="s">
        <v>872</v>
      </c>
      <c r="H123" t="s">
        <v>873</v>
      </c>
      <c r="I123">
        <f>_xlfn.XLOOKUP(B123,[1]selection!$B$2:$B$427,[1]selection!$D$2:$D$427,0)</f>
        <v>400297000</v>
      </c>
      <c r="J123" t="b">
        <f t="shared" si="1"/>
        <v>1</v>
      </c>
    </row>
    <row r="124" spans="1:10" hidden="1" x14ac:dyDescent="0.25">
      <c r="A124" t="s">
        <v>130</v>
      </c>
      <c r="B124" t="s">
        <v>556</v>
      </c>
      <c r="C124" t="s">
        <v>860</v>
      </c>
      <c r="D124">
        <v>152638100</v>
      </c>
      <c r="E124">
        <v>1</v>
      </c>
      <c r="F124">
        <v>1</v>
      </c>
      <c r="G124" t="s">
        <v>872</v>
      </c>
      <c r="H124" t="s">
        <v>873</v>
      </c>
      <c r="I124">
        <f>_xlfn.XLOOKUP(B124,[1]selection!$B$2:$B$427,[1]selection!$D$2:$D$427,0)</f>
        <v>152638100</v>
      </c>
      <c r="J124" t="b">
        <f t="shared" si="1"/>
        <v>1</v>
      </c>
    </row>
    <row r="125" spans="1:10" hidden="1" x14ac:dyDescent="0.25">
      <c r="A125" t="s">
        <v>131</v>
      </c>
      <c r="B125" t="s">
        <v>557</v>
      </c>
      <c r="C125" t="s">
        <v>861</v>
      </c>
      <c r="D125">
        <v>55948257</v>
      </c>
      <c r="E125">
        <v>0.45</v>
      </c>
      <c r="F125">
        <v>1</v>
      </c>
      <c r="G125" t="s">
        <v>872</v>
      </c>
      <c r="H125" t="s">
        <v>873</v>
      </c>
      <c r="I125">
        <f>_xlfn.XLOOKUP(B125,[1]selection!$B$2:$B$427,[1]selection!$D$2:$D$427,0)</f>
        <v>55948257</v>
      </c>
      <c r="J125" t="b">
        <f t="shared" si="1"/>
        <v>1</v>
      </c>
    </row>
    <row r="126" spans="1:10" hidden="1" x14ac:dyDescent="0.25">
      <c r="A126" t="s">
        <v>132</v>
      </c>
      <c r="B126" t="s">
        <v>558</v>
      </c>
      <c r="C126" t="s">
        <v>868</v>
      </c>
      <c r="D126">
        <v>10983458</v>
      </c>
      <c r="E126">
        <v>0.7</v>
      </c>
      <c r="F126">
        <v>1</v>
      </c>
      <c r="G126" t="s">
        <v>872</v>
      </c>
      <c r="H126" t="s">
        <v>873</v>
      </c>
      <c r="I126">
        <f>_xlfn.XLOOKUP(B126,[1]selection!$B$2:$B$427,[1]selection!$D$2:$D$427,0)</f>
        <v>10983458</v>
      </c>
      <c r="J126" t="b">
        <f t="shared" si="1"/>
        <v>1</v>
      </c>
    </row>
    <row r="127" spans="1:10" hidden="1" x14ac:dyDescent="0.25">
      <c r="A127" t="s">
        <v>133</v>
      </c>
      <c r="B127" t="s">
        <v>559</v>
      </c>
      <c r="C127" t="s">
        <v>862</v>
      </c>
      <c r="D127">
        <v>265676388</v>
      </c>
      <c r="E127">
        <v>0.75</v>
      </c>
      <c r="F127">
        <v>1</v>
      </c>
      <c r="G127" t="s">
        <v>872</v>
      </c>
      <c r="H127" t="s">
        <v>873</v>
      </c>
      <c r="I127">
        <f>_xlfn.XLOOKUP(B127,[1]selection!$B$2:$B$427,[1]selection!$D$2:$D$427,0)</f>
        <v>265676388</v>
      </c>
      <c r="J127" t="b">
        <f t="shared" si="1"/>
        <v>1</v>
      </c>
    </row>
    <row r="128" spans="1:10" hidden="1" x14ac:dyDescent="0.25">
      <c r="A128" t="s">
        <v>134</v>
      </c>
      <c r="B128" t="s">
        <v>560</v>
      </c>
      <c r="C128" t="s">
        <v>860</v>
      </c>
      <c r="D128">
        <v>69202080</v>
      </c>
      <c r="E128">
        <v>0.7</v>
      </c>
      <c r="F128">
        <v>1</v>
      </c>
      <c r="G128" t="s">
        <v>872</v>
      </c>
      <c r="H128" t="s">
        <v>873</v>
      </c>
      <c r="I128">
        <f>_xlfn.XLOOKUP(B128,[1]selection!$B$2:$B$427,[1]selection!$D$2:$D$427,0)</f>
        <v>69202080</v>
      </c>
      <c r="J128" t="b">
        <f t="shared" si="1"/>
        <v>1</v>
      </c>
    </row>
    <row r="129" spans="1:10" hidden="1" x14ac:dyDescent="0.25">
      <c r="A129" t="s">
        <v>135</v>
      </c>
      <c r="B129" t="s">
        <v>561</v>
      </c>
      <c r="C129" t="s">
        <v>860</v>
      </c>
      <c r="D129">
        <v>200000000</v>
      </c>
      <c r="E129">
        <v>0.15</v>
      </c>
      <c r="F129">
        <v>1</v>
      </c>
      <c r="G129" t="s">
        <v>872</v>
      </c>
      <c r="H129" t="s">
        <v>873</v>
      </c>
      <c r="I129">
        <f>_xlfn.XLOOKUP(B129,[1]selection!$B$2:$B$427,[1]selection!$D$2:$D$427,0)</f>
        <v>200000000</v>
      </c>
      <c r="J129" t="b">
        <f t="shared" si="1"/>
        <v>1</v>
      </c>
    </row>
    <row r="130" spans="1:10" hidden="1" x14ac:dyDescent="0.25">
      <c r="A130" t="s">
        <v>136</v>
      </c>
      <c r="B130" t="s">
        <v>562</v>
      </c>
      <c r="C130" t="s">
        <v>863</v>
      </c>
      <c r="D130">
        <v>239891064</v>
      </c>
      <c r="E130">
        <v>1</v>
      </c>
      <c r="F130">
        <v>1</v>
      </c>
      <c r="G130" t="s">
        <v>872</v>
      </c>
      <c r="H130" t="s">
        <v>873</v>
      </c>
      <c r="I130">
        <f>_xlfn.XLOOKUP(B130,[1]selection!$B$2:$B$427,[1]selection!$D$2:$D$427,0)</f>
        <v>239891064</v>
      </c>
      <c r="J130" t="b">
        <f t="shared" si="1"/>
        <v>1</v>
      </c>
    </row>
    <row r="131" spans="1:10" hidden="1" x14ac:dyDescent="0.25">
      <c r="A131" t="s">
        <v>137</v>
      </c>
      <c r="B131" t="s">
        <v>563</v>
      </c>
      <c r="C131" t="s">
        <v>869</v>
      </c>
      <c r="D131">
        <v>1051033116</v>
      </c>
      <c r="E131">
        <v>0.3</v>
      </c>
      <c r="F131">
        <v>1</v>
      </c>
      <c r="G131" t="s">
        <v>872</v>
      </c>
      <c r="H131" t="s">
        <v>873</v>
      </c>
      <c r="I131">
        <f>_xlfn.XLOOKUP(B131,[1]selection!$B$2:$B$427,[1]selection!$D$2:$D$427,0)</f>
        <v>1051033116</v>
      </c>
      <c r="J131" t="b">
        <f t="shared" ref="J131:J194" si="2">I131=D131</f>
        <v>1</v>
      </c>
    </row>
    <row r="132" spans="1:10" hidden="1" x14ac:dyDescent="0.25">
      <c r="A132" t="s">
        <v>138</v>
      </c>
      <c r="B132" t="s">
        <v>564</v>
      </c>
      <c r="C132" t="s">
        <v>863</v>
      </c>
      <c r="D132">
        <v>98000000</v>
      </c>
      <c r="E132">
        <v>0.75</v>
      </c>
      <c r="F132">
        <v>1</v>
      </c>
      <c r="G132" t="s">
        <v>872</v>
      </c>
      <c r="H132" t="s">
        <v>873</v>
      </c>
      <c r="I132">
        <f>_xlfn.XLOOKUP(B132,[1]selection!$B$2:$B$427,[1]selection!$D$2:$D$427,0)</f>
        <v>98000000</v>
      </c>
      <c r="J132" t="b">
        <f t="shared" si="2"/>
        <v>1</v>
      </c>
    </row>
    <row r="133" spans="1:10" hidden="1" x14ac:dyDescent="0.25">
      <c r="A133" t="s">
        <v>139</v>
      </c>
      <c r="B133" t="s">
        <v>565</v>
      </c>
      <c r="C133" t="s">
        <v>861</v>
      </c>
      <c r="D133">
        <v>80239700</v>
      </c>
      <c r="E133">
        <v>0.5</v>
      </c>
      <c r="F133">
        <v>1</v>
      </c>
      <c r="G133" t="s">
        <v>872</v>
      </c>
      <c r="H133" t="s">
        <v>873</v>
      </c>
      <c r="I133">
        <f>_xlfn.XLOOKUP(B133,[1]selection!$B$2:$B$427,[1]selection!$D$2:$D$427,0)</f>
        <v>80239700</v>
      </c>
      <c r="J133" t="b">
        <f t="shared" si="2"/>
        <v>1</v>
      </c>
    </row>
    <row r="134" spans="1:10" hidden="1" x14ac:dyDescent="0.25">
      <c r="A134" t="s">
        <v>140</v>
      </c>
      <c r="B134" t="s">
        <v>566</v>
      </c>
      <c r="C134" t="s">
        <v>864</v>
      </c>
      <c r="D134">
        <v>87000000</v>
      </c>
      <c r="E134">
        <v>0.45</v>
      </c>
      <c r="F134">
        <v>1</v>
      </c>
      <c r="G134" t="s">
        <v>872</v>
      </c>
      <c r="H134" t="s">
        <v>873</v>
      </c>
      <c r="I134">
        <f>_xlfn.XLOOKUP(B134,[1]selection!$B$2:$B$427,[1]selection!$D$2:$D$427,0)</f>
        <v>87000000</v>
      </c>
      <c r="J134" t="b">
        <f t="shared" si="2"/>
        <v>1</v>
      </c>
    </row>
    <row r="135" spans="1:10" hidden="1" x14ac:dyDescent="0.25">
      <c r="A135" t="s">
        <v>141</v>
      </c>
      <c r="B135" t="s">
        <v>567</v>
      </c>
      <c r="C135" t="s">
        <v>865</v>
      </c>
      <c r="D135">
        <v>109072607</v>
      </c>
      <c r="E135">
        <v>0.45</v>
      </c>
      <c r="F135">
        <v>1</v>
      </c>
      <c r="G135" t="s">
        <v>872</v>
      </c>
      <c r="H135" t="s">
        <v>873</v>
      </c>
      <c r="I135">
        <f>_xlfn.XLOOKUP(B135,[1]selection!$B$2:$B$427,[1]selection!$D$2:$D$427,0)</f>
        <v>109072607</v>
      </c>
      <c r="J135" t="b">
        <f t="shared" si="2"/>
        <v>1</v>
      </c>
    </row>
    <row r="136" spans="1:10" hidden="1" x14ac:dyDescent="0.25">
      <c r="A136" t="s">
        <v>142</v>
      </c>
      <c r="B136" t="s">
        <v>568</v>
      </c>
      <c r="C136" t="s">
        <v>863</v>
      </c>
      <c r="D136">
        <v>237553695</v>
      </c>
      <c r="E136">
        <v>0.70000000000000007</v>
      </c>
      <c r="F136">
        <v>1</v>
      </c>
      <c r="G136" t="s">
        <v>872</v>
      </c>
      <c r="H136" t="s">
        <v>873</v>
      </c>
      <c r="I136">
        <f>_xlfn.XLOOKUP(B136,[1]selection!$B$2:$B$427,[1]selection!$D$2:$D$427,0)</f>
        <v>237553695</v>
      </c>
      <c r="J136" t="b">
        <f t="shared" si="2"/>
        <v>1</v>
      </c>
    </row>
    <row r="137" spans="1:10" hidden="1" x14ac:dyDescent="0.25">
      <c r="A137" t="s">
        <v>143</v>
      </c>
      <c r="B137" t="s">
        <v>569</v>
      </c>
      <c r="C137" t="s">
        <v>867</v>
      </c>
      <c r="D137">
        <v>167335070</v>
      </c>
      <c r="E137">
        <v>0.9</v>
      </c>
      <c r="F137">
        <v>1</v>
      </c>
      <c r="G137" t="s">
        <v>872</v>
      </c>
      <c r="H137" t="s">
        <v>873</v>
      </c>
      <c r="I137">
        <f>_xlfn.XLOOKUP(B137,[1]selection!$B$2:$B$427,[1]selection!$D$2:$D$427,0)</f>
        <v>167335070</v>
      </c>
      <c r="J137" t="b">
        <f t="shared" si="2"/>
        <v>1</v>
      </c>
    </row>
    <row r="138" spans="1:10" hidden="1" x14ac:dyDescent="0.25">
      <c r="A138" t="s">
        <v>144</v>
      </c>
      <c r="B138" t="s">
        <v>570</v>
      </c>
      <c r="C138" t="s">
        <v>863</v>
      </c>
      <c r="D138">
        <v>161440050</v>
      </c>
      <c r="E138">
        <v>0.5</v>
      </c>
      <c r="F138">
        <v>1</v>
      </c>
      <c r="G138" t="s">
        <v>872</v>
      </c>
      <c r="H138" t="s">
        <v>873</v>
      </c>
      <c r="I138">
        <f>_xlfn.XLOOKUP(B138,[1]selection!$B$2:$B$427,[1]selection!$D$2:$D$427,0)</f>
        <v>161440050</v>
      </c>
      <c r="J138" t="b">
        <f t="shared" si="2"/>
        <v>1</v>
      </c>
    </row>
    <row r="139" spans="1:10" hidden="1" x14ac:dyDescent="0.25">
      <c r="A139" t="s">
        <v>145</v>
      </c>
      <c r="B139" t="s">
        <v>571</v>
      </c>
      <c r="C139" t="s">
        <v>864</v>
      </c>
      <c r="D139">
        <v>261990080</v>
      </c>
      <c r="E139">
        <v>0.9</v>
      </c>
      <c r="F139">
        <v>1</v>
      </c>
      <c r="G139" t="s">
        <v>872</v>
      </c>
      <c r="H139" t="s">
        <v>873</v>
      </c>
      <c r="I139">
        <f>_xlfn.XLOOKUP(B139,[1]selection!$B$2:$B$427,[1]selection!$D$2:$D$427,0)</f>
        <v>261990080</v>
      </c>
      <c r="J139" t="b">
        <f t="shared" si="2"/>
        <v>1</v>
      </c>
    </row>
    <row r="140" spans="1:10" hidden="1" x14ac:dyDescent="0.25">
      <c r="A140" t="s">
        <v>146</v>
      </c>
      <c r="B140" t="s">
        <v>572</v>
      </c>
      <c r="C140" t="s">
        <v>861</v>
      </c>
      <c r="D140">
        <v>541744385</v>
      </c>
      <c r="E140">
        <v>0.45</v>
      </c>
      <c r="F140">
        <v>1</v>
      </c>
      <c r="G140" t="s">
        <v>872</v>
      </c>
      <c r="H140" t="s">
        <v>873</v>
      </c>
      <c r="I140">
        <f>_xlfn.XLOOKUP(B140,[1]selection!$B$2:$B$427,[1]selection!$D$2:$D$427,0)</f>
        <v>541744385</v>
      </c>
      <c r="J140" t="b">
        <f t="shared" si="2"/>
        <v>1</v>
      </c>
    </row>
    <row r="141" spans="1:10" hidden="1" x14ac:dyDescent="0.25">
      <c r="A141" t="s">
        <v>147</v>
      </c>
      <c r="B141" t="s">
        <v>573</v>
      </c>
      <c r="C141" t="s">
        <v>864</v>
      </c>
      <c r="D141">
        <v>1058752100</v>
      </c>
      <c r="E141">
        <v>0.3</v>
      </c>
      <c r="F141">
        <v>1</v>
      </c>
      <c r="G141" t="s">
        <v>872</v>
      </c>
      <c r="H141" t="s">
        <v>873</v>
      </c>
      <c r="I141">
        <f>_xlfn.XLOOKUP(B141,[1]selection!$B$2:$B$427,[1]selection!$D$2:$D$427,0)</f>
        <v>1058752100</v>
      </c>
      <c r="J141" t="b">
        <f t="shared" si="2"/>
        <v>1</v>
      </c>
    </row>
    <row r="142" spans="1:10" hidden="1" x14ac:dyDescent="0.25">
      <c r="A142" t="s">
        <v>148</v>
      </c>
      <c r="B142" t="s">
        <v>574</v>
      </c>
      <c r="C142" t="s">
        <v>867</v>
      </c>
      <c r="D142">
        <v>11446895</v>
      </c>
      <c r="E142">
        <v>1</v>
      </c>
      <c r="F142">
        <v>1</v>
      </c>
      <c r="G142" t="s">
        <v>872</v>
      </c>
      <c r="H142" t="s">
        <v>873</v>
      </c>
      <c r="I142">
        <f>_xlfn.XLOOKUP(B142,[1]selection!$B$2:$B$427,[1]selection!$D$2:$D$427,0)</f>
        <v>11446895</v>
      </c>
      <c r="J142" t="b">
        <f t="shared" si="2"/>
        <v>1</v>
      </c>
    </row>
    <row r="143" spans="1:10" hidden="1" x14ac:dyDescent="0.25">
      <c r="A143" t="s">
        <v>149</v>
      </c>
      <c r="B143" t="s">
        <v>575</v>
      </c>
      <c r="C143" t="s">
        <v>867</v>
      </c>
      <c r="D143">
        <v>23685590</v>
      </c>
      <c r="E143">
        <v>0.65</v>
      </c>
      <c r="F143">
        <v>1</v>
      </c>
      <c r="G143" t="s">
        <v>872</v>
      </c>
      <c r="H143" t="s">
        <v>873</v>
      </c>
      <c r="I143">
        <f>_xlfn.XLOOKUP(B143,[1]selection!$B$2:$B$427,[1]selection!$D$2:$D$427,0)</f>
        <v>23685590</v>
      </c>
      <c r="J143" t="b">
        <f t="shared" si="2"/>
        <v>1</v>
      </c>
    </row>
    <row r="144" spans="1:10" hidden="1" x14ac:dyDescent="0.25">
      <c r="A144" t="s">
        <v>150</v>
      </c>
      <c r="B144" t="s">
        <v>576</v>
      </c>
      <c r="C144" t="s">
        <v>863</v>
      </c>
      <c r="D144">
        <v>2435285011</v>
      </c>
      <c r="E144">
        <v>0.75</v>
      </c>
      <c r="F144">
        <v>1</v>
      </c>
      <c r="G144" t="s">
        <v>872</v>
      </c>
      <c r="H144" t="s">
        <v>873</v>
      </c>
      <c r="I144">
        <f>_xlfn.XLOOKUP(B144,[1]selection!$B$2:$B$427,[1]selection!$D$2:$D$427,0)</f>
        <v>2435285011</v>
      </c>
      <c r="J144" t="b">
        <f t="shared" si="2"/>
        <v>1</v>
      </c>
    </row>
    <row r="145" spans="1:10" hidden="1" x14ac:dyDescent="0.25">
      <c r="A145" t="s">
        <v>151</v>
      </c>
      <c r="B145" t="s">
        <v>577</v>
      </c>
      <c r="C145" t="s">
        <v>861</v>
      </c>
      <c r="D145">
        <v>150320000</v>
      </c>
      <c r="E145">
        <v>0.35</v>
      </c>
      <c r="F145">
        <v>1</v>
      </c>
      <c r="G145" t="s">
        <v>872</v>
      </c>
      <c r="H145" t="s">
        <v>873</v>
      </c>
      <c r="I145">
        <f>_xlfn.XLOOKUP(B145,[1]selection!$B$2:$B$427,[1]selection!$D$2:$D$427,0)</f>
        <v>150320000</v>
      </c>
      <c r="J145" t="b">
        <f t="shared" si="2"/>
        <v>1</v>
      </c>
    </row>
    <row r="146" spans="1:10" hidden="1" x14ac:dyDescent="0.25">
      <c r="A146" t="s">
        <v>152</v>
      </c>
      <c r="B146" t="s">
        <v>578</v>
      </c>
      <c r="C146" t="s">
        <v>863</v>
      </c>
      <c r="D146">
        <v>71925760</v>
      </c>
      <c r="E146">
        <v>0.70000000000000007</v>
      </c>
      <c r="F146">
        <v>1</v>
      </c>
      <c r="G146" t="s">
        <v>872</v>
      </c>
      <c r="H146" t="s">
        <v>873</v>
      </c>
      <c r="I146">
        <f>_xlfn.XLOOKUP(B146,[1]selection!$B$2:$B$427,[1]selection!$D$2:$D$427,0)</f>
        <v>71925760</v>
      </c>
      <c r="J146" t="b">
        <f t="shared" si="2"/>
        <v>1</v>
      </c>
    </row>
    <row r="147" spans="1:10" hidden="1" x14ac:dyDescent="0.25">
      <c r="A147" t="s">
        <v>153</v>
      </c>
      <c r="B147" t="s">
        <v>579</v>
      </c>
      <c r="C147" t="s">
        <v>862</v>
      </c>
      <c r="D147">
        <v>54887520</v>
      </c>
      <c r="E147">
        <v>0.8</v>
      </c>
      <c r="F147">
        <v>1</v>
      </c>
      <c r="G147" t="s">
        <v>872</v>
      </c>
      <c r="H147" t="s">
        <v>873</v>
      </c>
      <c r="I147">
        <f>_xlfn.XLOOKUP(B147,[1]selection!$B$2:$B$427,[1]selection!$D$2:$D$427,0)</f>
        <v>54887520</v>
      </c>
      <c r="J147" t="b">
        <f t="shared" si="2"/>
        <v>1</v>
      </c>
    </row>
    <row r="148" spans="1:10" hidden="1" x14ac:dyDescent="0.25">
      <c r="A148" t="s">
        <v>154</v>
      </c>
      <c r="B148" t="s">
        <v>580</v>
      </c>
      <c r="C148" t="s">
        <v>863</v>
      </c>
      <c r="D148">
        <v>182163000</v>
      </c>
      <c r="E148">
        <v>0.65</v>
      </c>
      <c r="F148">
        <v>1</v>
      </c>
      <c r="G148" t="s">
        <v>872</v>
      </c>
      <c r="H148" t="s">
        <v>873</v>
      </c>
      <c r="I148">
        <f>_xlfn.XLOOKUP(B148,[1]selection!$B$2:$B$427,[1]selection!$D$2:$D$427,0)</f>
        <v>182163000</v>
      </c>
      <c r="J148" t="b">
        <f t="shared" si="2"/>
        <v>1</v>
      </c>
    </row>
    <row r="149" spans="1:10" hidden="1" x14ac:dyDescent="0.25">
      <c r="A149" t="s">
        <v>155</v>
      </c>
      <c r="B149" t="s">
        <v>581</v>
      </c>
      <c r="C149" t="s">
        <v>863</v>
      </c>
      <c r="D149">
        <v>101542528</v>
      </c>
      <c r="E149">
        <v>0.75</v>
      </c>
      <c r="F149">
        <v>1</v>
      </c>
      <c r="G149" t="s">
        <v>872</v>
      </c>
      <c r="H149" t="s">
        <v>873</v>
      </c>
      <c r="I149">
        <f>_xlfn.XLOOKUP(B149,[1]selection!$B$2:$B$427,[1]selection!$D$2:$D$427,0)</f>
        <v>101542528</v>
      </c>
      <c r="J149" t="b">
        <f t="shared" si="2"/>
        <v>1</v>
      </c>
    </row>
    <row r="150" spans="1:10" hidden="1" x14ac:dyDescent="0.25">
      <c r="A150" t="s">
        <v>156</v>
      </c>
      <c r="B150" t="s">
        <v>582</v>
      </c>
      <c r="C150" t="s">
        <v>860</v>
      </c>
      <c r="D150">
        <v>466000000</v>
      </c>
      <c r="E150">
        <v>0.55000000000000004</v>
      </c>
      <c r="F150">
        <v>1</v>
      </c>
      <c r="G150" t="s">
        <v>872</v>
      </c>
      <c r="H150" t="s">
        <v>873</v>
      </c>
      <c r="I150">
        <f>_xlfn.XLOOKUP(B150,[1]selection!$B$2:$B$427,[1]selection!$D$2:$D$427,0)</f>
        <v>466000000</v>
      </c>
      <c r="J150" t="b">
        <f t="shared" si="2"/>
        <v>1</v>
      </c>
    </row>
    <row r="151" spans="1:10" hidden="1" x14ac:dyDescent="0.25">
      <c r="A151" t="s">
        <v>157</v>
      </c>
      <c r="B151" t="s">
        <v>583</v>
      </c>
      <c r="C151" t="s">
        <v>860</v>
      </c>
      <c r="D151">
        <v>177777080</v>
      </c>
      <c r="E151">
        <v>0.8</v>
      </c>
      <c r="F151">
        <v>1</v>
      </c>
      <c r="G151" t="s">
        <v>872</v>
      </c>
      <c r="H151" t="s">
        <v>873</v>
      </c>
      <c r="I151">
        <f>_xlfn.XLOOKUP(B151,[1]selection!$B$2:$B$427,[1]selection!$D$2:$D$427,0)</f>
        <v>177777080</v>
      </c>
      <c r="J151" t="b">
        <f t="shared" si="2"/>
        <v>1</v>
      </c>
    </row>
    <row r="152" spans="1:10" hidden="1" x14ac:dyDescent="0.25">
      <c r="A152" t="s">
        <v>158</v>
      </c>
      <c r="B152" t="s">
        <v>584</v>
      </c>
      <c r="C152" t="s">
        <v>862</v>
      </c>
      <c r="D152">
        <v>207779752</v>
      </c>
      <c r="E152">
        <v>0.45</v>
      </c>
      <c r="F152">
        <v>1</v>
      </c>
      <c r="G152" t="s">
        <v>872</v>
      </c>
      <c r="H152" t="s">
        <v>873</v>
      </c>
      <c r="I152">
        <f>_xlfn.XLOOKUP(B152,[1]selection!$B$2:$B$427,[1]selection!$D$2:$D$427,0)</f>
        <v>207779752</v>
      </c>
      <c r="J152" t="b">
        <f t="shared" si="2"/>
        <v>1</v>
      </c>
    </row>
    <row r="153" spans="1:10" hidden="1" x14ac:dyDescent="0.25">
      <c r="A153" t="s">
        <v>159</v>
      </c>
      <c r="B153" t="s">
        <v>585</v>
      </c>
      <c r="C153" t="s">
        <v>863</v>
      </c>
      <c r="D153">
        <v>50936749</v>
      </c>
      <c r="E153">
        <v>0.45</v>
      </c>
      <c r="F153">
        <v>1</v>
      </c>
      <c r="G153" t="s">
        <v>872</v>
      </c>
      <c r="H153" t="s">
        <v>873</v>
      </c>
      <c r="I153">
        <f>_xlfn.XLOOKUP(B153,[1]selection!$B$2:$B$427,[1]selection!$D$2:$D$427,0)</f>
        <v>50936749</v>
      </c>
      <c r="J153" t="b">
        <f t="shared" si="2"/>
        <v>1</v>
      </c>
    </row>
    <row r="154" spans="1:10" hidden="1" x14ac:dyDescent="0.25">
      <c r="A154" t="s">
        <v>160</v>
      </c>
      <c r="B154" t="s">
        <v>586</v>
      </c>
      <c r="C154" t="s">
        <v>864</v>
      </c>
      <c r="D154">
        <v>316223940</v>
      </c>
      <c r="E154">
        <v>0.8</v>
      </c>
      <c r="F154">
        <v>1</v>
      </c>
      <c r="G154" t="s">
        <v>872</v>
      </c>
      <c r="H154" t="s">
        <v>873</v>
      </c>
      <c r="I154">
        <f>_xlfn.XLOOKUP(B154,[1]selection!$B$2:$B$427,[1]selection!$D$2:$D$427,0)</f>
        <v>316223940</v>
      </c>
      <c r="J154" t="b">
        <f t="shared" si="2"/>
        <v>1</v>
      </c>
    </row>
    <row r="155" spans="1:10" hidden="1" x14ac:dyDescent="0.25">
      <c r="A155" t="s">
        <v>161</v>
      </c>
      <c r="B155" t="s">
        <v>587</v>
      </c>
      <c r="C155" t="s">
        <v>865</v>
      </c>
      <c r="D155">
        <v>73668904</v>
      </c>
      <c r="E155">
        <v>0.9</v>
      </c>
      <c r="F155">
        <v>1</v>
      </c>
      <c r="G155" t="s">
        <v>872</v>
      </c>
      <c r="H155" t="s">
        <v>873</v>
      </c>
      <c r="I155">
        <f>_xlfn.XLOOKUP(B155,[1]selection!$B$2:$B$427,[1]selection!$D$2:$D$427,0)</f>
        <v>73668904</v>
      </c>
      <c r="J155" t="b">
        <f t="shared" si="2"/>
        <v>1</v>
      </c>
    </row>
    <row r="156" spans="1:10" hidden="1" x14ac:dyDescent="0.25">
      <c r="A156" t="s">
        <v>162</v>
      </c>
      <c r="B156" t="s">
        <v>588</v>
      </c>
      <c r="C156" t="s">
        <v>866</v>
      </c>
      <c r="D156">
        <v>113902670</v>
      </c>
      <c r="E156">
        <v>0.85</v>
      </c>
      <c r="F156">
        <v>1</v>
      </c>
      <c r="G156" t="s">
        <v>872</v>
      </c>
      <c r="H156" t="s">
        <v>873</v>
      </c>
      <c r="I156">
        <f>_xlfn.XLOOKUP(B156,[1]selection!$B$2:$B$427,[1]selection!$D$2:$D$427,0)</f>
        <v>113902670</v>
      </c>
      <c r="J156" t="b">
        <f t="shared" si="2"/>
        <v>1</v>
      </c>
    </row>
    <row r="157" spans="1:10" hidden="1" x14ac:dyDescent="0.25">
      <c r="A157" t="s">
        <v>163</v>
      </c>
      <c r="B157" t="s">
        <v>589</v>
      </c>
      <c r="C157" t="s">
        <v>863</v>
      </c>
      <c r="D157">
        <v>185270000</v>
      </c>
      <c r="E157">
        <v>0.65</v>
      </c>
      <c r="F157">
        <v>1</v>
      </c>
      <c r="G157" t="s">
        <v>872</v>
      </c>
      <c r="H157" t="s">
        <v>873</v>
      </c>
      <c r="I157">
        <f>_xlfn.XLOOKUP(B157,[1]selection!$B$2:$B$427,[1]selection!$D$2:$D$427,0)</f>
        <v>185270000</v>
      </c>
      <c r="J157" t="b">
        <f t="shared" si="2"/>
        <v>1</v>
      </c>
    </row>
    <row r="158" spans="1:10" hidden="1" x14ac:dyDescent="0.25">
      <c r="A158" t="s">
        <v>164</v>
      </c>
      <c r="B158" t="s">
        <v>590</v>
      </c>
      <c r="C158" t="s">
        <v>861</v>
      </c>
      <c r="D158">
        <v>338482654</v>
      </c>
      <c r="E158">
        <v>0.45</v>
      </c>
      <c r="F158">
        <v>1</v>
      </c>
      <c r="G158" t="s">
        <v>872</v>
      </c>
      <c r="H158" t="s">
        <v>873</v>
      </c>
      <c r="I158">
        <f>_xlfn.XLOOKUP(B158,[1]selection!$B$2:$B$427,[1]selection!$D$2:$D$427,0)</f>
        <v>338482654</v>
      </c>
      <c r="J158" t="b">
        <f t="shared" si="2"/>
        <v>1</v>
      </c>
    </row>
    <row r="159" spans="1:10" hidden="1" x14ac:dyDescent="0.25">
      <c r="A159" t="s">
        <v>165</v>
      </c>
      <c r="B159" t="s">
        <v>591</v>
      </c>
      <c r="C159" t="s">
        <v>864</v>
      </c>
      <c r="D159">
        <v>733755400</v>
      </c>
      <c r="E159">
        <v>0.65</v>
      </c>
      <c r="F159">
        <v>1</v>
      </c>
      <c r="G159" t="s">
        <v>872</v>
      </c>
      <c r="H159" t="s">
        <v>873</v>
      </c>
      <c r="I159">
        <f>_xlfn.XLOOKUP(B159,[1]selection!$B$2:$B$427,[1]selection!$D$2:$D$427,0)</f>
        <v>733755400</v>
      </c>
      <c r="J159" t="b">
        <f t="shared" si="2"/>
        <v>1</v>
      </c>
    </row>
    <row r="160" spans="1:10" hidden="1" x14ac:dyDescent="0.25">
      <c r="A160" t="s">
        <v>166</v>
      </c>
      <c r="B160" t="s">
        <v>592</v>
      </c>
      <c r="C160" t="s">
        <v>860</v>
      </c>
      <c r="D160">
        <v>84000000</v>
      </c>
      <c r="E160">
        <v>0.25</v>
      </c>
      <c r="F160">
        <v>1</v>
      </c>
      <c r="G160" t="s">
        <v>872</v>
      </c>
      <c r="H160" t="s">
        <v>873</v>
      </c>
      <c r="I160">
        <f>_xlfn.XLOOKUP(B160,[1]selection!$B$2:$B$427,[1]selection!$D$2:$D$427,0)</f>
        <v>84000000</v>
      </c>
      <c r="J160" t="b">
        <f t="shared" si="2"/>
        <v>1</v>
      </c>
    </row>
    <row r="161" spans="1:10" hidden="1" x14ac:dyDescent="0.25">
      <c r="A161" t="s">
        <v>167</v>
      </c>
      <c r="B161" t="s">
        <v>593</v>
      </c>
      <c r="C161" t="s">
        <v>861</v>
      </c>
      <c r="D161">
        <v>324550525</v>
      </c>
      <c r="E161">
        <v>0.3</v>
      </c>
      <c r="F161">
        <v>1</v>
      </c>
      <c r="G161" t="s">
        <v>872</v>
      </c>
      <c r="H161" t="s">
        <v>873</v>
      </c>
      <c r="I161">
        <f>_xlfn.XLOOKUP(B161,[1]selection!$B$2:$B$427,[1]selection!$D$2:$D$427,0)</f>
        <v>324550525</v>
      </c>
      <c r="J161" t="b">
        <f t="shared" si="2"/>
        <v>1</v>
      </c>
    </row>
    <row r="162" spans="1:10" hidden="1" x14ac:dyDescent="0.25">
      <c r="A162" t="s">
        <v>168</v>
      </c>
      <c r="B162" t="s">
        <v>594</v>
      </c>
      <c r="C162" t="s">
        <v>861</v>
      </c>
      <c r="D162">
        <v>611575321</v>
      </c>
      <c r="E162">
        <v>1</v>
      </c>
      <c r="F162">
        <v>1</v>
      </c>
      <c r="G162" t="s">
        <v>872</v>
      </c>
      <c r="H162" t="s">
        <v>873</v>
      </c>
      <c r="I162">
        <f>_xlfn.XLOOKUP(B162,[1]selection!$B$2:$B$427,[1]selection!$D$2:$D$427,0)</f>
        <v>611575321</v>
      </c>
      <c r="J162" t="b">
        <f t="shared" si="2"/>
        <v>1</v>
      </c>
    </row>
    <row r="163" spans="1:10" hidden="1" x14ac:dyDescent="0.25">
      <c r="A163" t="s">
        <v>169</v>
      </c>
      <c r="B163" t="s">
        <v>595</v>
      </c>
      <c r="C163" t="s">
        <v>867</v>
      </c>
      <c r="D163">
        <v>204811390</v>
      </c>
      <c r="E163">
        <v>0.45</v>
      </c>
      <c r="F163">
        <v>1</v>
      </c>
      <c r="G163" t="s">
        <v>872</v>
      </c>
      <c r="H163" t="s">
        <v>873</v>
      </c>
      <c r="I163">
        <f>_xlfn.XLOOKUP(B163,[1]selection!$B$2:$B$427,[1]selection!$D$2:$D$427,0)</f>
        <v>204811390</v>
      </c>
      <c r="J163" t="b">
        <f t="shared" si="2"/>
        <v>1</v>
      </c>
    </row>
    <row r="164" spans="1:10" hidden="1" x14ac:dyDescent="0.25">
      <c r="A164" t="s">
        <v>170</v>
      </c>
      <c r="B164" t="s">
        <v>596</v>
      </c>
      <c r="C164" t="s">
        <v>860</v>
      </c>
      <c r="D164">
        <v>110134544</v>
      </c>
      <c r="E164">
        <v>0.85</v>
      </c>
      <c r="F164">
        <v>1</v>
      </c>
      <c r="G164" t="s">
        <v>872</v>
      </c>
      <c r="H164" t="s">
        <v>873</v>
      </c>
      <c r="I164">
        <f>_xlfn.XLOOKUP(B164,[1]selection!$B$2:$B$427,[1]selection!$D$2:$D$427,0)</f>
        <v>110134544</v>
      </c>
      <c r="J164" t="b">
        <f t="shared" si="2"/>
        <v>1</v>
      </c>
    </row>
    <row r="165" spans="1:10" hidden="1" x14ac:dyDescent="0.25">
      <c r="A165" t="s">
        <v>171</v>
      </c>
      <c r="B165" t="s">
        <v>597</v>
      </c>
      <c r="C165" t="s">
        <v>862</v>
      </c>
      <c r="D165">
        <v>45671645</v>
      </c>
      <c r="E165">
        <v>0.75</v>
      </c>
      <c r="F165">
        <v>1</v>
      </c>
      <c r="G165" t="s">
        <v>872</v>
      </c>
      <c r="H165" t="s">
        <v>873</v>
      </c>
      <c r="I165">
        <f>_xlfn.XLOOKUP(B165,[1]selection!$B$2:$B$427,[1]selection!$D$2:$D$427,0)</f>
        <v>45671645</v>
      </c>
      <c r="J165" t="b">
        <f t="shared" si="2"/>
        <v>1</v>
      </c>
    </row>
    <row r="166" spans="1:10" hidden="1" x14ac:dyDescent="0.25">
      <c r="A166" t="s">
        <v>172</v>
      </c>
      <c r="B166" t="s">
        <v>598</v>
      </c>
      <c r="C166" t="s">
        <v>864</v>
      </c>
      <c r="D166">
        <v>192129070</v>
      </c>
      <c r="E166">
        <v>0.45</v>
      </c>
      <c r="F166">
        <v>1</v>
      </c>
      <c r="G166" t="s">
        <v>872</v>
      </c>
      <c r="H166" t="s">
        <v>873</v>
      </c>
      <c r="I166">
        <f>_xlfn.XLOOKUP(B166,[1]selection!$B$2:$B$427,[1]selection!$D$2:$D$427,0)</f>
        <v>192129070</v>
      </c>
      <c r="J166" t="b">
        <f t="shared" si="2"/>
        <v>1</v>
      </c>
    </row>
    <row r="167" spans="1:10" hidden="1" x14ac:dyDescent="0.25">
      <c r="A167" t="s">
        <v>173</v>
      </c>
      <c r="B167" t="s">
        <v>599</v>
      </c>
      <c r="C167" t="s">
        <v>867</v>
      </c>
      <c r="D167">
        <v>897264470</v>
      </c>
      <c r="E167">
        <v>0.5</v>
      </c>
      <c r="F167">
        <v>1</v>
      </c>
      <c r="G167" t="s">
        <v>872</v>
      </c>
      <c r="H167" t="s">
        <v>873</v>
      </c>
      <c r="I167">
        <f>_xlfn.XLOOKUP(B167,[1]selection!$B$2:$B$427,[1]selection!$D$2:$D$427,0)</f>
        <v>897264470</v>
      </c>
      <c r="J167" t="b">
        <f t="shared" si="2"/>
        <v>1</v>
      </c>
    </row>
    <row r="168" spans="1:10" hidden="1" x14ac:dyDescent="0.25">
      <c r="A168" t="s">
        <v>174</v>
      </c>
      <c r="B168" t="s">
        <v>600</v>
      </c>
      <c r="C168" t="s">
        <v>863</v>
      </c>
      <c r="D168">
        <v>197089340</v>
      </c>
      <c r="E168">
        <v>0.85000000000000009</v>
      </c>
      <c r="F168">
        <v>1</v>
      </c>
      <c r="G168" t="s">
        <v>872</v>
      </c>
      <c r="H168" t="s">
        <v>873</v>
      </c>
      <c r="I168">
        <f>_xlfn.XLOOKUP(B168,[1]selection!$B$2:$B$427,[1]selection!$D$2:$D$427,0)</f>
        <v>197089340</v>
      </c>
      <c r="J168" t="b">
        <f t="shared" si="2"/>
        <v>1</v>
      </c>
    </row>
    <row r="169" spans="1:10" hidden="1" x14ac:dyDescent="0.25">
      <c r="A169" t="s">
        <v>175</v>
      </c>
      <c r="B169" t="s">
        <v>601</v>
      </c>
      <c r="C169" t="s">
        <v>860</v>
      </c>
      <c r="D169">
        <v>92468704</v>
      </c>
      <c r="E169">
        <v>0.4</v>
      </c>
      <c r="F169">
        <v>1</v>
      </c>
      <c r="G169" t="s">
        <v>872</v>
      </c>
      <c r="H169" t="s">
        <v>873</v>
      </c>
      <c r="I169">
        <f>_xlfn.XLOOKUP(B169,[1]selection!$B$2:$B$427,[1]selection!$D$2:$D$427,0)</f>
        <v>92468704</v>
      </c>
      <c r="J169" t="b">
        <f t="shared" si="2"/>
        <v>1</v>
      </c>
    </row>
    <row r="170" spans="1:10" hidden="1" x14ac:dyDescent="0.25">
      <c r="A170" t="s">
        <v>176</v>
      </c>
      <c r="B170" t="s">
        <v>602</v>
      </c>
      <c r="C170" t="s">
        <v>860</v>
      </c>
      <c r="D170">
        <v>118900600</v>
      </c>
      <c r="E170">
        <v>1</v>
      </c>
      <c r="F170">
        <v>1</v>
      </c>
      <c r="G170" t="s">
        <v>872</v>
      </c>
      <c r="H170" t="s">
        <v>873</v>
      </c>
      <c r="I170">
        <f>_xlfn.XLOOKUP(B170,[1]selection!$B$2:$B$427,[1]selection!$D$2:$D$427,0)</f>
        <v>118900600</v>
      </c>
      <c r="J170" t="b">
        <f t="shared" si="2"/>
        <v>1</v>
      </c>
    </row>
    <row r="171" spans="1:10" hidden="1" x14ac:dyDescent="0.25">
      <c r="A171" t="s">
        <v>177</v>
      </c>
      <c r="B171" t="s">
        <v>603</v>
      </c>
      <c r="C171" t="s">
        <v>860</v>
      </c>
      <c r="D171">
        <v>293413450</v>
      </c>
      <c r="E171">
        <v>0.7</v>
      </c>
      <c r="F171">
        <v>1</v>
      </c>
      <c r="G171" t="s">
        <v>872</v>
      </c>
      <c r="H171" t="s">
        <v>873</v>
      </c>
      <c r="I171">
        <f>_xlfn.XLOOKUP(B171,[1]selection!$B$2:$B$427,[1]selection!$D$2:$D$427,0)</f>
        <v>293413450</v>
      </c>
      <c r="J171" t="b">
        <f t="shared" si="2"/>
        <v>1</v>
      </c>
    </row>
    <row r="172" spans="1:10" hidden="1" x14ac:dyDescent="0.25">
      <c r="A172" t="s">
        <v>178</v>
      </c>
      <c r="B172" t="s">
        <v>604</v>
      </c>
      <c r="C172" t="s">
        <v>860</v>
      </c>
      <c r="D172">
        <v>563237300</v>
      </c>
      <c r="E172">
        <v>0.75</v>
      </c>
      <c r="F172">
        <v>1</v>
      </c>
      <c r="G172" t="s">
        <v>872</v>
      </c>
      <c r="H172" t="s">
        <v>873</v>
      </c>
      <c r="I172">
        <f>_xlfn.XLOOKUP(B172,[1]selection!$B$2:$B$427,[1]selection!$D$2:$D$427,0)</f>
        <v>563237300</v>
      </c>
      <c r="J172" t="b">
        <f t="shared" si="2"/>
        <v>1</v>
      </c>
    </row>
    <row r="173" spans="1:10" hidden="1" x14ac:dyDescent="0.25">
      <c r="A173" t="s">
        <v>179</v>
      </c>
      <c r="B173" t="s">
        <v>605</v>
      </c>
      <c r="C173" t="s">
        <v>860</v>
      </c>
      <c r="D173">
        <v>65500000</v>
      </c>
      <c r="E173">
        <v>1</v>
      </c>
      <c r="F173">
        <v>1</v>
      </c>
      <c r="G173" t="s">
        <v>872</v>
      </c>
      <c r="H173" t="s">
        <v>873</v>
      </c>
      <c r="I173">
        <f>_xlfn.XLOOKUP(B173,[1]selection!$B$2:$B$427,[1]selection!$D$2:$D$427,0)</f>
        <v>65500000</v>
      </c>
      <c r="J173" t="b">
        <f t="shared" si="2"/>
        <v>1</v>
      </c>
    </row>
    <row r="174" spans="1:10" hidden="1" x14ac:dyDescent="0.25">
      <c r="A174" t="s">
        <v>180</v>
      </c>
      <c r="B174" t="s">
        <v>606</v>
      </c>
      <c r="C174" t="s">
        <v>862</v>
      </c>
      <c r="D174">
        <v>65897071</v>
      </c>
      <c r="E174">
        <v>0.55000000000000004</v>
      </c>
      <c r="F174">
        <v>1</v>
      </c>
      <c r="G174" t="s">
        <v>872</v>
      </c>
      <c r="H174" t="s">
        <v>873</v>
      </c>
      <c r="I174">
        <f>_xlfn.XLOOKUP(B174,[1]selection!$B$2:$B$427,[1]selection!$D$2:$D$427,0)</f>
        <v>65897071</v>
      </c>
      <c r="J174" t="b">
        <f t="shared" si="2"/>
        <v>1</v>
      </c>
    </row>
    <row r="175" spans="1:10" hidden="1" x14ac:dyDescent="0.25">
      <c r="A175" t="s">
        <v>181</v>
      </c>
      <c r="B175" t="s">
        <v>607</v>
      </c>
      <c r="C175" t="s">
        <v>861</v>
      </c>
      <c r="D175">
        <v>44909620</v>
      </c>
      <c r="E175">
        <v>1</v>
      </c>
      <c r="F175">
        <v>1</v>
      </c>
      <c r="G175" t="s">
        <v>872</v>
      </c>
      <c r="H175" t="s">
        <v>873</v>
      </c>
      <c r="I175">
        <f>_xlfn.XLOOKUP(B175,[1]selection!$B$2:$B$427,[1]selection!$D$2:$D$427,0)</f>
        <v>44909620</v>
      </c>
      <c r="J175" t="b">
        <f t="shared" si="2"/>
        <v>1</v>
      </c>
    </row>
    <row r="176" spans="1:10" hidden="1" x14ac:dyDescent="0.25">
      <c r="A176" t="s">
        <v>182</v>
      </c>
      <c r="B176" t="s">
        <v>608</v>
      </c>
      <c r="C176" t="s">
        <v>865</v>
      </c>
      <c r="D176">
        <v>133200000</v>
      </c>
      <c r="E176">
        <v>0.55000000000000004</v>
      </c>
      <c r="F176">
        <v>1</v>
      </c>
      <c r="G176" t="s">
        <v>872</v>
      </c>
      <c r="H176" t="s">
        <v>873</v>
      </c>
      <c r="I176">
        <f>_xlfn.XLOOKUP(B176,[1]selection!$B$2:$B$427,[1]selection!$D$2:$D$427,0)</f>
        <v>133200000</v>
      </c>
      <c r="J176" t="b">
        <f t="shared" si="2"/>
        <v>1</v>
      </c>
    </row>
    <row r="177" spans="1:10" hidden="1" x14ac:dyDescent="0.25">
      <c r="A177" t="s">
        <v>183</v>
      </c>
      <c r="B177" t="s">
        <v>609</v>
      </c>
      <c r="C177" t="s">
        <v>860</v>
      </c>
      <c r="D177">
        <v>162801670</v>
      </c>
      <c r="E177">
        <v>0.9</v>
      </c>
      <c r="F177">
        <v>1</v>
      </c>
      <c r="G177" t="s">
        <v>872</v>
      </c>
      <c r="H177" t="s">
        <v>873</v>
      </c>
      <c r="I177">
        <f>_xlfn.XLOOKUP(B177,[1]selection!$B$2:$B$427,[1]selection!$D$2:$D$427,0)</f>
        <v>162801670</v>
      </c>
      <c r="J177" t="b">
        <f t="shared" si="2"/>
        <v>1</v>
      </c>
    </row>
    <row r="178" spans="1:10" hidden="1" x14ac:dyDescent="0.25">
      <c r="A178" t="s">
        <v>184</v>
      </c>
      <c r="B178" t="s">
        <v>610</v>
      </c>
      <c r="C178" t="s">
        <v>863</v>
      </c>
      <c r="D178">
        <v>76792337</v>
      </c>
      <c r="E178">
        <v>0.60000000000000009</v>
      </c>
      <c r="F178">
        <v>1</v>
      </c>
      <c r="G178" t="s">
        <v>872</v>
      </c>
      <c r="H178" t="s">
        <v>873</v>
      </c>
      <c r="I178">
        <f>_xlfn.XLOOKUP(B178,[1]selection!$B$2:$B$427,[1]selection!$D$2:$D$427,0)</f>
        <v>76792337</v>
      </c>
      <c r="J178" t="b">
        <f t="shared" si="2"/>
        <v>1</v>
      </c>
    </row>
    <row r="179" spans="1:10" hidden="1" x14ac:dyDescent="0.25">
      <c r="A179" t="s">
        <v>185</v>
      </c>
      <c r="B179" t="s">
        <v>611</v>
      </c>
      <c r="C179" t="s">
        <v>863</v>
      </c>
      <c r="D179">
        <v>550000000</v>
      </c>
      <c r="E179">
        <v>0.55000000000000004</v>
      </c>
      <c r="F179">
        <v>1</v>
      </c>
      <c r="G179" t="s">
        <v>872</v>
      </c>
      <c r="H179" t="s">
        <v>873</v>
      </c>
      <c r="I179">
        <f>_xlfn.XLOOKUP(B179,[1]selection!$B$2:$B$427,[1]selection!$D$2:$D$427,0)</f>
        <v>550000000</v>
      </c>
      <c r="J179" t="b">
        <f t="shared" si="2"/>
        <v>1</v>
      </c>
    </row>
    <row r="180" spans="1:10" hidden="1" x14ac:dyDescent="0.25">
      <c r="A180" t="s">
        <v>186</v>
      </c>
      <c r="B180" t="s">
        <v>612</v>
      </c>
      <c r="C180" t="s">
        <v>865</v>
      </c>
      <c r="D180">
        <v>36810933</v>
      </c>
      <c r="E180">
        <v>0.65</v>
      </c>
      <c r="F180">
        <v>1</v>
      </c>
      <c r="G180" t="s">
        <v>872</v>
      </c>
      <c r="H180" t="s">
        <v>873</v>
      </c>
      <c r="I180">
        <f>_xlfn.XLOOKUP(B180,[1]selection!$B$2:$B$427,[1]selection!$D$2:$D$427,0)</f>
        <v>36810933</v>
      </c>
      <c r="J180" t="b">
        <f t="shared" si="2"/>
        <v>1</v>
      </c>
    </row>
    <row r="181" spans="1:10" hidden="1" x14ac:dyDescent="0.25">
      <c r="A181" t="s">
        <v>187</v>
      </c>
      <c r="B181" t="s">
        <v>613</v>
      </c>
      <c r="C181" t="s">
        <v>860</v>
      </c>
      <c r="D181">
        <v>176187900</v>
      </c>
      <c r="E181">
        <v>0.4</v>
      </c>
      <c r="F181">
        <v>1</v>
      </c>
      <c r="G181" t="s">
        <v>872</v>
      </c>
      <c r="H181" t="s">
        <v>873</v>
      </c>
      <c r="I181">
        <f>_xlfn.XLOOKUP(B181,[1]selection!$B$2:$B$427,[1]selection!$D$2:$D$427,0)</f>
        <v>176187900</v>
      </c>
      <c r="J181" t="b">
        <f t="shared" si="2"/>
        <v>1</v>
      </c>
    </row>
    <row r="182" spans="1:10" hidden="1" x14ac:dyDescent="0.25">
      <c r="A182" t="s">
        <v>188</v>
      </c>
      <c r="B182" t="s">
        <v>614</v>
      </c>
      <c r="C182" t="s">
        <v>870</v>
      </c>
      <c r="D182">
        <v>1113335009</v>
      </c>
      <c r="E182">
        <v>1</v>
      </c>
      <c r="F182">
        <v>1</v>
      </c>
      <c r="G182" t="s">
        <v>872</v>
      </c>
      <c r="H182" t="s">
        <v>873</v>
      </c>
      <c r="I182">
        <f>_xlfn.XLOOKUP(B182,[1]selection!$B$2:$B$427,[1]selection!$D$2:$D$427,0)</f>
        <v>1113335009</v>
      </c>
      <c r="J182" t="b">
        <f t="shared" si="2"/>
        <v>1</v>
      </c>
    </row>
    <row r="183" spans="1:10" hidden="1" x14ac:dyDescent="0.25">
      <c r="A183" t="s">
        <v>189</v>
      </c>
      <c r="B183" t="s">
        <v>615</v>
      </c>
      <c r="C183" t="s">
        <v>864</v>
      </c>
      <c r="D183">
        <v>28579733</v>
      </c>
      <c r="E183">
        <v>0.45</v>
      </c>
      <c r="F183">
        <v>1</v>
      </c>
      <c r="G183" t="s">
        <v>872</v>
      </c>
      <c r="H183" t="s">
        <v>873</v>
      </c>
      <c r="I183">
        <f>_xlfn.XLOOKUP(B183,[1]selection!$B$2:$B$427,[1]selection!$D$2:$D$427,0)</f>
        <v>28579733</v>
      </c>
      <c r="J183" t="b">
        <f t="shared" si="2"/>
        <v>1</v>
      </c>
    </row>
    <row r="184" spans="1:10" hidden="1" x14ac:dyDescent="0.25">
      <c r="A184" t="s">
        <v>190</v>
      </c>
      <c r="B184" t="s">
        <v>616</v>
      </c>
      <c r="C184" t="s">
        <v>864</v>
      </c>
      <c r="D184">
        <v>261425100</v>
      </c>
      <c r="E184">
        <v>1</v>
      </c>
      <c r="F184">
        <v>1</v>
      </c>
      <c r="G184" t="s">
        <v>872</v>
      </c>
      <c r="H184" t="s">
        <v>873</v>
      </c>
      <c r="I184">
        <f>_xlfn.XLOOKUP(B184,[1]selection!$B$2:$B$427,[1]selection!$D$2:$D$427,0)</f>
        <v>261425100</v>
      </c>
      <c r="J184" t="b">
        <f t="shared" si="2"/>
        <v>1</v>
      </c>
    </row>
    <row r="185" spans="1:10" hidden="1" x14ac:dyDescent="0.25">
      <c r="A185" t="s">
        <v>191</v>
      </c>
      <c r="B185" t="s">
        <v>617</v>
      </c>
      <c r="C185" t="s">
        <v>864</v>
      </c>
      <c r="D185">
        <v>426129800</v>
      </c>
      <c r="E185">
        <v>0.65</v>
      </c>
      <c r="F185">
        <v>1</v>
      </c>
      <c r="G185" t="s">
        <v>872</v>
      </c>
      <c r="H185" t="s">
        <v>873</v>
      </c>
      <c r="I185">
        <f>_xlfn.XLOOKUP(B185,[1]selection!$B$2:$B$427,[1]selection!$D$2:$D$427,0)</f>
        <v>426129800</v>
      </c>
      <c r="J185" t="b">
        <f t="shared" si="2"/>
        <v>1</v>
      </c>
    </row>
    <row r="186" spans="1:10" hidden="1" x14ac:dyDescent="0.25">
      <c r="A186" t="s">
        <v>192</v>
      </c>
      <c r="B186" t="s">
        <v>618</v>
      </c>
      <c r="C186" t="s">
        <v>867</v>
      </c>
      <c r="D186">
        <v>43281322</v>
      </c>
      <c r="E186">
        <v>1</v>
      </c>
      <c r="F186">
        <v>1</v>
      </c>
      <c r="G186" t="s">
        <v>872</v>
      </c>
      <c r="H186" t="s">
        <v>873</v>
      </c>
      <c r="I186">
        <f>_xlfn.XLOOKUP(B186,[1]selection!$B$2:$B$427,[1]selection!$D$2:$D$427,0)</f>
        <v>43281322</v>
      </c>
      <c r="J186" t="b">
        <f t="shared" si="2"/>
        <v>1</v>
      </c>
    </row>
    <row r="187" spans="1:10" hidden="1" x14ac:dyDescent="0.25">
      <c r="A187" t="s">
        <v>193</v>
      </c>
      <c r="B187" t="s">
        <v>619</v>
      </c>
      <c r="C187" t="s">
        <v>863</v>
      </c>
      <c r="D187">
        <v>37117772</v>
      </c>
      <c r="E187">
        <v>1</v>
      </c>
      <c r="F187">
        <v>1</v>
      </c>
      <c r="G187" t="s">
        <v>872</v>
      </c>
      <c r="H187" t="s">
        <v>873</v>
      </c>
      <c r="I187">
        <f>_xlfn.XLOOKUP(B187,[1]selection!$B$2:$B$427,[1]selection!$D$2:$D$427,0)</f>
        <v>37117772</v>
      </c>
      <c r="J187" t="b">
        <f t="shared" si="2"/>
        <v>1</v>
      </c>
    </row>
    <row r="188" spans="1:10" hidden="1" x14ac:dyDescent="0.25">
      <c r="A188" t="s">
        <v>194</v>
      </c>
      <c r="B188" t="s">
        <v>620</v>
      </c>
      <c r="C188" t="s">
        <v>861</v>
      </c>
      <c r="D188">
        <v>189177693</v>
      </c>
      <c r="E188">
        <v>0.45</v>
      </c>
      <c r="F188">
        <v>1</v>
      </c>
      <c r="G188" t="s">
        <v>872</v>
      </c>
      <c r="H188" t="s">
        <v>873</v>
      </c>
      <c r="I188">
        <f>_xlfn.XLOOKUP(B188,[1]selection!$B$2:$B$427,[1]selection!$D$2:$D$427,0)</f>
        <v>189177693</v>
      </c>
      <c r="J188" t="b">
        <f t="shared" si="2"/>
        <v>1</v>
      </c>
    </row>
    <row r="189" spans="1:10" hidden="1" x14ac:dyDescent="0.25">
      <c r="A189" t="s">
        <v>195</v>
      </c>
      <c r="B189" t="s">
        <v>621</v>
      </c>
      <c r="C189" t="s">
        <v>860</v>
      </c>
      <c r="D189">
        <v>120597140</v>
      </c>
      <c r="E189">
        <v>0.5</v>
      </c>
      <c r="F189">
        <v>1</v>
      </c>
      <c r="G189" t="s">
        <v>872</v>
      </c>
      <c r="H189" t="s">
        <v>873</v>
      </c>
      <c r="I189">
        <f>_xlfn.XLOOKUP(B189,[1]selection!$B$2:$B$427,[1]selection!$D$2:$D$427,0)</f>
        <v>120597140</v>
      </c>
      <c r="J189" t="b">
        <f t="shared" si="2"/>
        <v>1</v>
      </c>
    </row>
    <row r="190" spans="1:10" hidden="1" x14ac:dyDescent="0.25">
      <c r="A190" t="s">
        <v>196</v>
      </c>
      <c r="B190" t="s">
        <v>622</v>
      </c>
      <c r="C190" t="s">
        <v>867</v>
      </c>
      <c r="D190">
        <v>18694237</v>
      </c>
      <c r="E190">
        <v>1</v>
      </c>
      <c r="F190">
        <v>1</v>
      </c>
      <c r="G190" t="s">
        <v>872</v>
      </c>
      <c r="H190" t="s">
        <v>873</v>
      </c>
      <c r="I190">
        <f>_xlfn.XLOOKUP(B190,[1]selection!$B$2:$B$427,[1]selection!$D$2:$D$427,0)</f>
        <v>18694237</v>
      </c>
      <c r="J190" t="b">
        <f t="shared" si="2"/>
        <v>1</v>
      </c>
    </row>
    <row r="191" spans="1:10" hidden="1" x14ac:dyDescent="0.25">
      <c r="A191" t="s">
        <v>197</v>
      </c>
      <c r="B191" t="s">
        <v>623</v>
      </c>
      <c r="C191" t="s">
        <v>862</v>
      </c>
      <c r="D191">
        <v>99181149</v>
      </c>
      <c r="E191">
        <v>0.55000000000000004</v>
      </c>
      <c r="F191">
        <v>1</v>
      </c>
      <c r="G191" t="s">
        <v>872</v>
      </c>
      <c r="H191" t="s">
        <v>873</v>
      </c>
      <c r="I191">
        <f>_xlfn.XLOOKUP(B191,[1]selection!$B$2:$B$427,[1]selection!$D$2:$D$427,0)</f>
        <v>99181149</v>
      </c>
      <c r="J191" t="b">
        <f t="shared" si="2"/>
        <v>1</v>
      </c>
    </row>
    <row r="192" spans="1:10" hidden="1" x14ac:dyDescent="0.25">
      <c r="A192" t="s">
        <v>198</v>
      </c>
      <c r="B192" t="s">
        <v>624</v>
      </c>
      <c r="C192" t="s">
        <v>864</v>
      </c>
      <c r="D192">
        <v>247239580</v>
      </c>
      <c r="E192">
        <v>0.6</v>
      </c>
      <c r="F192">
        <v>1</v>
      </c>
      <c r="G192" t="s">
        <v>872</v>
      </c>
      <c r="H192" t="s">
        <v>873</v>
      </c>
      <c r="I192">
        <f>_xlfn.XLOOKUP(B192,[1]selection!$B$2:$B$427,[1]selection!$D$2:$D$427,0)</f>
        <v>247239580</v>
      </c>
      <c r="J192" t="b">
        <f t="shared" si="2"/>
        <v>1</v>
      </c>
    </row>
    <row r="193" spans="1:10" hidden="1" x14ac:dyDescent="0.25">
      <c r="A193" t="s">
        <v>199</v>
      </c>
      <c r="B193" t="s">
        <v>625</v>
      </c>
      <c r="C193" t="s">
        <v>860</v>
      </c>
      <c r="D193">
        <v>178430760</v>
      </c>
      <c r="E193">
        <v>0.7</v>
      </c>
      <c r="F193">
        <v>1</v>
      </c>
      <c r="G193" t="s">
        <v>872</v>
      </c>
      <c r="H193" t="s">
        <v>873</v>
      </c>
      <c r="I193">
        <f>_xlfn.XLOOKUP(B193,[1]selection!$B$2:$B$427,[1]selection!$D$2:$D$427,0)</f>
        <v>178430760</v>
      </c>
      <c r="J193" t="b">
        <f t="shared" si="2"/>
        <v>1</v>
      </c>
    </row>
    <row r="194" spans="1:10" hidden="1" x14ac:dyDescent="0.25">
      <c r="A194" t="s">
        <v>200</v>
      </c>
      <c r="B194" t="s">
        <v>626</v>
      </c>
      <c r="C194" t="s">
        <v>862</v>
      </c>
      <c r="D194">
        <v>27478006</v>
      </c>
      <c r="E194">
        <v>0.95000000000000007</v>
      </c>
      <c r="F194">
        <v>1</v>
      </c>
      <c r="G194" t="s">
        <v>872</v>
      </c>
      <c r="H194" t="s">
        <v>873</v>
      </c>
      <c r="I194">
        <f>_xlfn.XLOOKUP(B194,[1]selection!$B$2:$B$427,[1]selection!$D$2:$D$427,0)</f>
        <v>27478006</v>
      </c>
      <c r="J194" t="b">
        <f t="shared" si="2"/>
        <v>1</v>
      </c>
    </row>
    <row r="195" spans="1:10" hidden="1" x14ac:dyDescent="0.25">
      <c r="A195" t="s">
        <v>201</v>
      </c>
      <c r="B195" t="s">
        <v>627</v>
      </c>
      <c r="C195" t="s">
        <v>862</v>
      </c>
      <c r="D195">
        <v>576002613</v>
      </c>
      <c r="E195">
        <v>0.5</v>
      </c>
      <c r="F195">
        <v>1</v>
      </c>
      <c r="G195" t="s">
        <v>872</v>
      </c>
      <c r="H195" t="s">
        <v>873</v>
      </c>
      <c r="I195">
        <f>_xlfn.XLOOKUP(B195,[1]selection!$B$2:$B$427,[1]selection!$D$2:$D$427,0)</f>
        <v>576002613</v>
      </c>
      <c r="J195" t="b">
        <f t="shared" ref="J195:J258" si="3">I195=D195</f>
        <v>1</v>
      </c>
    </row>
    <row r="196" spans="1:10" hidden="1" x14ac:dyDescent="0.25">
      <c r="A196" t="s">
        <v>202</v>
      </c>
      <c r="B196" t="s">
        <v>628</v>
      </c>
      <c r="C196" t="s">
        <v>862</v>
      </c>
      <c r="D196">
        <v>288030168</v>
      </c>
      <c r="E196">
        <v>0.45</v>
      </c>
      <c r="F196">
        <v>1</v>
      </c>
      <c r="G196" t="s">
        <v>872</v>
      </c>
      <c r="H196" t="s">
        <v>873</v>
      </c>
      <c r="I196">
        <f>_xlfn.XLOOKUP(B196,[1]selection!$B$2:$B$427,[1]selection!$D$2:$D$427,0)</f>
        <v>288030168</v>
      </c>
      <c r="J196" t="b">
        <f t="shared" si="3"/>
        <v>1</v>
      </c>
    </row>
    <row r="197" spans="1:10" hidden="1" x14ac:dyDescent="0.25">
      <c r="A197" t="s">
        <v>203</v>
      </c>
      <c r="B197" t="s">
        <v>629</v>
      </c>
      <c r="C197" t="s">
        <v>860</v>
      </c>
      <c r="D197">
        <v>178162870</v>
      </c>
      <c r="E197">
        <v>0.9</v>
      </c>
      <c r="F197">
        <v>1</v>
      </c>
      <c r="G197" t="s">
        <v>872</v>
      </c>
      <c r="H197" t="s">
        <v>873</v>
      </c>
      <c r="I197">
        <f>_xlfn.XLOOKUP(B197,[1]selection!$B$2:$B$427,[1]selection!$D$2:$D$427,0)</f>
        <v>178162870</v>
      </c>
      <c r="J197" t="b">
        <f t="shared" si="3"/>
        <v>1</v>
      </c>
    </row>
    <row r="198" spans="1:10" hidden="1" x14ac:dyDescent="0.25">
      <c r="A198" t="s">
        <v>204</v>
      </c>
      <c r="B198" t="s">
        <v>630</v>
      </c>
      <c r="C198" t="s">
        <v>860</v>
      </c>
      <c r="D198">
        <v>259795870</v>
      </c>
      <c r="E198">
        <v>0.4</v>
      </c>
      <c r="F198">
        <v>1</v>
      </c>
      <c r="G198" t="s">
        <v>872</v>
      </c>
      <c r="H198" t="s">
        <v>873</v>
      </c>
      <c r="I198">
        <f>_xlfn.XLOOKUP(B198,[1]selection!$B$2:$B$427,[1]selection!$D$2:$D$427,0)</f>
        <v>259795870</v>
      </c>
      <c r="J198" t="b">
        <f t="shared" si="3"/>
        <v>1</v>
      </c>
    </row>
    <row r="199" spans="1:10" hidden="1" x14ac:dyDescent="0.25">
      <c r="A199" t="s">
        <v>205</v>
      </c>
      <c r="B199" t="s">
        <v>631</v>
      </c>
      <c r="C199" t="s">
        <v>860</v>
      </c>
      <c r="D199">
        <v>115500000</v>
      </c>
      <c r="E199">
        <v>0.5</v>
      </c>
      <c r="F199">
        <v>1</v>
      </c>
      <c r="G199" t="s">
        <v>872</v>
      </c>
      <c r="H199" t="s">
        <v>873</v>
      </c>
      <c r="I199">
        <f>_xlfn.XLOOKUP(B199,[1]selection!$B$2:$B$427,[1]selection!$D$2:$D$427,0)</f>
        <v>115500000</v>
      </c>
      <c r="J199" t="b">
        <f t="shared" si="3"/>
        <v>1</v>
      </c>
    </row>
    <row r="200" spans="1:10" hidden="1" x14ac:dyDescent="0.25">
      <c r="A200" t="s">
        <v>206</v>
      </c>
      <c r="B200" t="s">
        <v>632</v>
      </c>
      <c r="C200" t="s">
        <v>861</v>
      </c>
      <c r="D200">
        <v>1489538745</v>
      </c>
      <c r="E200">
        <v>0.55000000000000004</v>
      </c>
      <c r="F200">
        <v>1</v>
      </c>
      <c r="G200" t="s">
        <v>872</v>
      </c>
      <c r="H200" t="s">
        <v>873</v>
      </c>
      <c r="I200">
        <f>_xlfn.XLOOKUP(B200,[1]selection!$B$2:$B$427,[1]selection!$D$2:$D$427,0)</f>
        <v>1489538745</v>
      </c>
      <c r="J200" t="b">
        <f t="shared" si="3"/>
        <v>1</v>
      </c>
    </row>
    <row r="201" spans="1:10" hidden="1" x14ac:dyDescent="0.25">
      <c r="A201" t="s">
        <v>207</v>
      </c>
      <c r="B201" t="s">
        <v>633</v>
      </c>
      <c r="C201" t="s">
        <v>867</v>
      </c>
      <c r="D201">
        <v>55182080</v>
      </c>
      <c r="E201">
        <v>0.7</v>
      </c>
      <c r="F201">
        <v>1</v>
      </c>
      <c r="G201" t="s">
        <v>872</v>
      </c>
      <c r="H201" t="s">
        <v>873</v>
      </c>
      <c r="I201">
        <f>_xlfn.XLOOKUP(B201,[1]selection!$B$2:$B$427,[1]selection!$D$2:$D$427,0)</f>
        <v>55182080</v>
      </c>
      <c r="J201" t="b">
        <f t="shared" si="3"/>
        <v>1</v>
      </c>
    </row>
    <row r="202" spans="1:10" hidden="1" x14ac:dyDescent="0.25">
      <c r="A202" t="s">
        <v>208</v>
      </c>
      <c r="B202" t="s">
        <v>634</v>
      </c>
      <c r="C202" t="s">
        <v>860</v>
      </c>
      <c r="D202">
        <v>77711300</v>
      </c>
      <c r="E202">
        <v>0.2</v>
      </c>
      <c r="F202">
        <v>1</v>
      </c>
      <c r="G202" t="s">
        <v>872</v>
      </c>
      <c r="H202" t="s">
        <v>873</v>
      </c>
      <c r="I202">
        <f>_xlfn.XLOOKUP(B202,[1]selection!$B$2:$B$427,[1]selection!$D$2:$D$427,0)</f>
        <v>77711300</v>
      </c>
      <c r="J202" t="b">
        <f t="shared" si="3"/>
        <v>1</v>
      </c>
    </row>
    <row r="203" spans="1:10" hidden="1" x14ac:dyDescent="0.25">
      <c r="A203" t="s">
        <v>209</v>
      </c>
      <c r="B203" t="s">
        <v>635</v>
      </c>
      <c r="C203" t="s">
        <v>860</v>
      </c>
      <c r="D203">
        <v>70400000</v>
      </c>
      <c r="E203">
        <v>0.65</v>
      </c>
      <c r="F203">
        <v>1</v>
      </c>
      <c r="G203" t="s">
        <v>872</v>
      </c>
      <c r="H203" t="s">
        <v>873</v>
      </c>
      <c r="I203">
        <f>_xlfn.XLOOKUP(B203,[1]selection!$B$2:$B$427,[1]selection!$D$2:$D$427,0)</f>
        <v>70400000</v>
      </c>
      <c r="J203" t="b">
        <f t="shared" si="3"/>
        <v>1</v>
      </c>
    </row>
    <row r="204" spans="1:10" hidden="1" x14ac:dyDescent="0.25">
      <c r="A204" t="s">
        <v>210</v>
      </c>
      <c r="B204" t="s">
        <v>636</v>
      </c>
      <c r="C204" t="s">
        <v>867</v>
      </c>
      <c r="D204">
        <v>107760380</v>
      </c>
      <c r="E204">
        <v>0.9</v>
      </c>
      <c r="F204">
        <v>1</v>
      </c>
      <c r="G204" t="s">
        <v>872</v>
      </c>
      <c r="H204" t="s">
        <v>873</v>
      </c>
      <c r="I204">
        <f>_xlfn.XLOOKUP(B204,[1]selection!$B$2:$B$427,[1]selection!$D$2:$D$427,0)</f>
        <v>107760380</v>
      </c>
      <c r="J204" t="b">
        <f t="shared" si="3"/>
        <v>1</v>
      </c>
    </row>
    <row r="205" spans="1:10" hidden="1" x14ac:dyDescent="0.25">
      <c r="A205" t="s">
        <v>211</v>
      </c>
      <c r="B205" t="s">
        <v>637</v>
      </c>
      <c r="C205" t="s">
        <v>863</v>
      </c>
      <c r="D205">
        <v>6548328</v>
      </c>
      <c r="E205">
        <v>0.45</v>
      </c>
      <c r="F205">
        <v>1</v>
      </c>
      <c r="G205" t="s">
        <v>872</v>
      </c>
      <c r="H205" t="s">
        <v>873</v>
      </c>
      <c r="I205">
        <f>_xlfn.XLOOKUP(B205,[1]selection!$B$2:$B$427,[1]selection!$D$2:$D$427,0)</f>
        <v>6548328</v>
      </c>
      <c r="J205" t="b">
        <f t="shared" si="3"/>
        <v>1</v>
      </c>
    </row>
    <row r="206" spans="1:10" hidden="1" x14ac:dyDescent="0.25">
      <c r="A206" t="s">
        <v>212</v>
      </c>
      <c r="B206" t="s">
        <v>638</v>
      </c>
      <c r="C206" t="s">
        <v>862</v>
      </c>
      <c r="D206">
        <v>59107999</v>
      </c>
      <c r="E206">
        <v>0.95000000000000007</v>
      </c>
      <c r="F206">
        <v>1</v>
      </c>
      <c r="G206" t="s">
        <v>872</v>
      </c>
      <c r="H206" t="s">
        <v>873</v>
      </c>
      <c r="I206">
        <f>_xlfn.XLOOKUP(B206,[1]selection!$B$2:$B$427,[1]selection!$D$2:$D$427,0)</f>
        <v>59107999</v>
      </c>
      <c r="J206" t="b">
        <f t="shared" si="3"/>
        <v>1</v>
      </c>
    </row>
    <row r="207" spans="1:10" hidden="1" x14ac:dyDescent="0.25">
      <c r="A207" t="s">
        <v>213</v>
      </c>
      <c r="B207" t="s">
        <v>639</v>
      </c>
      <c r="C207" t="s">
        <v>864</v>
      </c>
      <c r="D207">
        <v>176654400</v>
      </c>
      <c r="E207">
        <v>0.45</v>
      </c>
      <c r="F207">
        <v>1</v>
      </c>
      <c r="G207" t="s">
        <v>872</v>
      </c>
      <c r="H207" t="s">
        <v>873</v>
      </c>
      <c r="I207">
        <f>_xlfn.XLOOKUP(B207,[1]selection!$B$2:$B$427,[1]selection!$D$2:$D$427,0)</f>
        <v>176654400</v>
      </c>
      <c r="J207" t="b">
        <f t="shared" si="3"/>
        <v>1</v>
      </c>
    </row>
    <row r="208" spans="1:10" hidden="1" x14ac:dyDescent="0.25">
      <c r="A208" t="s">
        <v>214</v>
      </c>
      <c r="B208" t="s">
        <v>640</v>
      </c>
      <c r="C208" t="s">
        <v>862</v>
      </c>
      <c r="D208">
        <v>500000000</v>
      </c>
      <c r="E208">
        <v>0.5</v>
      </c>
      <c r="F208">
        <v>1</v>
      </c>
      <c r="G208" t="s">
        <v>872</v>
      </c>
      <c r="H208" t="s">
        <v>873</v>
      </c>
      <c r="I208">
        <f>_xlfn.XLOOKUP(B208,[1]selection!$B$2:$B$427,[1]selection!$D$2:$D$427,0)</f>
        <v>500000000</v>
      </c>
      <c r="J208" t="b">
        <f t="shared" si="3"/>
        <v>1</v>
      </c>
    </row>
    <row r="209" spans="1:10" hidden="1" x14ac:dyDescent="0.25">
      <c r="A209" t="s">
        <v>215</v>
      </c>
      <c r="B209" t="s">
        <v>641</v>
      </c>
      <c r="C209" t="s">
        <v>861</v>
      </c>
      <c r="D209">
        <v>96364020</v>
      </c>
      <c r="E209">
        <v>0.5</v>
      </c>
      <c r="F209">
        <v>1</v>
      </c>
      <c r="G209" t="s">
        <v>872</v>
      </c>
      <c r="H209" t="s">
        <v>873</v>
      </c>
      <c r="I209">
        <f>_xlfn.XLOOKUP(B209,[1]selection!$B$2:$B$427,[1]selection!$D$2:$D$427,0)</f>
        <v>96364020</v>
      </c>
      <c r="J209" t="b">
        <f t="shared" si="3"/>
        <v>1</v>
      </c>
    </row>
    <row r="210" spans="1:10" hidden="1" x14ac:dyDescent="0.25">
      <c r="A210" t="s">
        <v>216</v>
      </c>
      <c r="B210" t="s">
        <v>642</v>
      </c>
      <c r="C210" t="s">
        <v>861</v>
      </c>
      <c r="D210">
        <v>108879294</v>
      </c>
      <c r="E210">
        <v>0.75</v>
      </c>
      <c r="F210">
        <v>1</v>
      </c>
      <c r="G210" t="s">
        <v>872</v>
      </c>
      <c r="H210" t="s">
        <v>873</v>
      </c>
      <c r="I210">
        <f>_xlfn.XLOOKUP(B210,[1]selection!$B$2:$B$427,[1]selection!$D$2:$D$427,0)</f>
        <v>108879294</v>
      </c>
      <c r="J210" t="b">
        <f t="shared" si="3"/>
        <v>1</v>
      </c>
    </row>
    <row r="211" spans="1:10" hidden="1" x14ac:dyDescent="0.25">
      <c r="A211" t="s">
        <v>217</v>
      </c>
      <c r="B211" t="s">
        <v>643</v>
      </c>
      <c r="C211" t="s">
        <v>861</v>
      </c>
      <c r="D211">
        <v>931890010</v>
      </c>
      <c r="E211">
        <v>0.3</v>
      </c>
      <c r="F211">
        <v>1</v>
      </c>
      <c r="G211" t="s">
        <v>872</v>
      </c>
      <c r="H211" t="s">
        <v>873</v>
      </c>
      <c r="I211">
        <f>_xlfn.XLOOKUP(B211,[1]selection!$B$2:$B$427,[1]selection!$D$2:$D$427,0)</f>
        <v>931890010</v>
      </c>
      <c r="J211" t="b">
        <f t="shared" si="3"/>
        <v>1</v>
      </c>
    </row>
    <row r="212" spans="1:10" hidden="1" x14ac:dyDescent="0.25">
      <c r="A212" t="s">
        <v>218</v>
      </c>
      <c r="B212" t="s">
        <v>644</v>
      </c>
      <c r="C212" t="s">
        <v>860</v>
      </c>
      <c r="D212">
        <v>140000000</v>
      </c>
      <c r="E212">
        <v>0.35</v>
      </c>
      <c r="F212">
        <v>1</v>
      </c>
      <c r="G212" t="s">
        <v>872</v>
      </c>
      <c r="H212" t="s">
        <v>873</v>
      </c>
      <c r="I212">
        <f>_xlfn.XLOOKUP(B212,[1]selection!$B$2:$B$427,[1]selection!$D$2:$D$427,0)</f>
        <v>140000000</v>
      </c>
      <c r="J212" t="b">
        <f t="shared" si="3"/>
        <v>1</v>
      </c>
    </row>
    <row r="213" spans="1:10" hidden="1" x14ac:dyDescent="0.25">
      <c r="A213" t="s">
        <v>219</v>
      </c>
      <c r="B213" t="s">
        <v>645</v>
      </c>
      <c r="C213" t="s">
        <v>863</v>
      </c>
      <c r="D213">
        <v>83814526</v>
      </c>
      <c r="E213">
        <v>0.4</v>
      </c>
      <c r="F213">
        <v>1</v>
      </c>
      <c r="G213" t="s">
        <v>872</v>
      </c>
      <c r="H213" t="s">
        <v>873</v>
      </c>
      <c r="I213">
        <f>_xlfn.XLOOKUP(B213,[1]selection!$B$2:$B$427,[1]selection!$D$2:$D$427,0)</f>
        <v>83814526</v>
      </c>
      <c r="J213" t="b">
        <f t="shared" si="3"/>
        <v>1</v>
      </c>
    </row>
    <row r="214" spans="1:10" hidden="1" x14ac:dyDescent="0.25">
      <c r="A214" t="s">
        <v>220</v>
      </c>
      <c r="B214" t="s">
        <v>646</v>
      </c>
      <c r="C214" t="s">
        <v>863</v>
      </c>
      <c r="D214">
        <v>43203225</v>
      </c>
      <c r="E214">
        <v>0.8</v>
      </c>
      <c r="F214">
        <v>1</v>
      </c>
      <c r="G214" t="s">
        <v>872</v>
      </c>
      <c r="H214" t="s">
        <v>873</v>
      </c>
      <c r="I214">
        <f>_xlfn.XLOOKUP(B214,[1]selection!$B$2:$B$427,[1]selection!$D$2:$D$427,0)</f>
        <v>43203225</v>
      </c>
      <c r="J214" t="b">
        <f t="shared" si="3"/>
        <v>1</v>
      </c>
    </row>
    <row r="215" spans="1:10" hidden="1" x14ac:dyDescent="0.25">
      <c r="A215" t="s">
        <v>221</v>
      </c>
      <c r="B215" t="s">
        <v>647</v>
      </c>
      <c r="C215" t="s">
        <v>861</v>
      </c>
      <c r="D215">
        <v>1300931377</v>
      </c>
      <c r="E215">
        <v>0.45</v>
      </c>
      <c r="F215">
        <v>1</v>
      </c>
      <c r="G215" t="s">
        <v>872</v>
      </c>
      <c r="H215" t="s">
        <v>873</v>
      </c>
      <c r="I215">
        <f>_xlfn.XLOOKUP(B215,[1]selection!$B$2:$B$427,[1]selection!$D$2:$D$427,0)</f>
        <v>1300931377</v>
      </c>
      <c r="J215" t="b">
        <f t="shared" si="3"/>
        <v>1</v>
      </c>
    </row>
    <row r="216" spans="1:10" hidden="1" x14ac:dyDescent="0.25">
      <c r="A216" t="s">
        <v>222</v>
      </c>
      <c r="B216" t="s">
        <v>648</v>
      </c>
      <c r="C216" t="s">
        <v>861</v>
      </c>
      <c r="D216">
        <v>1015518043</v>
      </c>
      <c r="E216">
        <v>0.65</v>
      </c>
      <c r="F216">
        <v>1</v>
      </c>
      <c r="G216" t="s">
        <v>872</v>
      </c>
      <c r="H216" t="s">
        <v>873</v>
      </c>
      <c r="I216">
        <f>_xlfn.XLOOKUP(B216,[1]selection!$B$2:$B$427,[1]selection!$D$2:$D$427,0)</f>
        <v>1015518043</v>
      </c>
      <c r="J216" t="b">
        <f t="shared" si="3"/>
        <v>1</v>
      </c>
    </row>
    <row r="217" spans="1:10" hidden="1" x14ac:dyDescent="0.25">
      <c r="A217" t="s">
        <v>223</v>
      </c>
      <c r="B217" t="s">
        <v>649</v>
      </c>
      <c r="C217" t="s">
        <v>861</v>
      </c>
      <c r="D217">
        <v>42500000</v>
      </c>
      <c r="E217">
        <v>0.35</v>
      </c>
      <c r="F217">
        <v>1</v>
      </c>
      <c r="G217" t="s">
        <v>872</v>
      </c>
      <c r="H217" t="s">
        <v>873</v>
      </c>
      <c r="I217">
        <f>_xlfn.XLOOKUP(B217,[1]selection!$B$2:$B$427,[1]selection!$D$2:$D$427,0)</f>
        <v>42500000</v>
      </c>
      <c r="J217" t="b">
        <f t="shared" si="3"/>
        <v>1</v>
      </c>
    </row>
    <row r="218" spans="1:10" hidden="1" x14ac:dyDescent="0.25">
      <c r="A218" t="s">
        <v>224</v>
      </c>
      <c r="B218" t="s">
        <v>650</v>
      </c>
      <c r="C218" t="s">
        <v>861</v>
      </c>
      <c r="D218">
        <v>271215400</v>
      </c>
      <c r="E218">
        <v>0.65</v>
      </c>
      <c r="F218">
        <v>1</v>
      </c>
      <c r="G218" t="s">
        <v>872</v>
      </c>
      <c r="H218" t="s">
        <v>873</v>
      </c>
      <c r="I218">
        <f>_xlfn.XLOOKUP(B218,[1]selection!$B$2:$B$427,[1]selection!$D$2:$D$427,0)</f>
        <v>271215400</v>
      </c>
      <c r="J218" t="b">
        <f t="shared" si="3"/>
        <v>1</v>
      </c>
    </row>
    <row r="219" spans="1:10" hidden="1" x14ac:dyDescent="0.25">
      <c r="A219" t="s">
        <v>225</v>
      </c>
      <c r="B219" t="s">
        <v>651</v>
      </c>
      <c r="C219" t="s">
        <v>869</v>
      </c>
      <c r="D219">
        <v>629293220</v>
      </c>
      <c r="E219">
        <v>0.45</v>
      </c>
      <c r="F219">
        <v>1</v>
      </c>
      <c r="G219" t="s">
        <v>872</v>
      </c>
      <c r="H219" t="s">
        <v>873</v>
      </c>
      <c r="I219">
        <f>_xlfn.XLOOKUP(B219,[1]selection!$B$2:$B$427,[1]selection!$D$2:$D$427,0)</f>
        <v>629293220</v>
      </c>
      <c r="J219" t="b">
        <f t="shared" si="3"/>
        <v>1</v>
      </c>
    </row>
    <row r="220" spans="1:10" hidden="1" x14ac:dyDescent="0.25">
      <c r="A220" t="s">
        <v>226</v>
      </c>
      <c r="B220" t="s">
        <v>652</v>
      </c>
      <c r="C220" t="s">
        <v>863</v>
      </c>
      <c r="D220">
        <v>214128663</v>
      </c>
      <c r="E220">
        <v>0.3</v>
      </c>
      <c r="F220">
        <v>1</v>
      </c>
      <c r="G220" t="s">
        <v>872</v>
      </c>
      <c r="H220" t="s">
        <v>873</v>
      </c>
      <c r="I220">
        <f>_xlfn.XLOOKUP(B220,[1]selection!$B$2:$B$427,[1]selection!$D$2:$D$427,0)</f>
        <v>214128663</v>
      </c>
      <c r="J220" t="b">
        <f t="shared" si="3"/>
        <v>1</v>
      </c>
    </row>
    <row r="221" spans="1:10" hidden="1" x14ac:dyDescent="0.25">
      <c r="A221" t="s">
        <v>227</v>
      </c>
      <c r="B221" t="s">
        <v>653</v>
      </c>
      <c r="C221" t="s">
        <v>862</v>
      </c>
      <c r="D221">
        <v>488178642</v>
      </c>
      <c r="E221">
        <v>0.3</v>
      </c>
      <c r="F221">
        <v>1</v>
      </c>
      <c r="G221" t="s">
        <v>872</v>
      </c>
      <c r="H221" t="s">
        <v>873</v>
      </c>
      <c r="I221">
        <f>_xlfn.XLOOKUP(B221,[1]selection!$B$2:$B$427,[1]selection!$D$2:$D$427,0)</f>
        <v>488178642</v>
      </c>
      <c r="J221" t="b">
        <f t="shared" si="3"/>
        <v>1</v>
      </c>
    </row>
    <row r="222" spans="1:10" hidden="1" x14ac:dyDescent="0.25">
      <c r="A222" t="s">
        <v>228</v>
      </c>
      <c r="B222" t="s">
        <v>654</v>
      </c>
      <c r="C222" t="s">
        <v>860</v>
      </c>
      <c r="D222">
        <v>57238117</v>
      </c>
      <c r="E222">
        <v>0.9</v>
      </c>
      <c r="F222">
        <v>1</v>
      </c>
      <c r="G222" t="s">
        <v>872</v>
      </c>
      <c r="H222" t="s">
        <v>873</v>
      </c>
      <c r="I222">
        <f>_xlfn.XLOOKUP(B222,[1]selection!$B$2:$B$427,[1]selection!$D$2:$D$427,0)</f>
        <v>57238117</v>
      </c>
      <c r="J222" t="b">
        <f t="shared" si="3"/>
        <v>1</v>
      </c>
    </row>
    <row r="223" spans="1:10" hidden="1" x14ac:dyDescent="0.25">
      <c r="A223" t="s">
        <v>229</v>
      </c>
      <c r="B223" t="s">
        <v>655</v>
      </c>
      <c r="C223" t="s">
        <v>860</v>
      </c>
      <c r="D223">
        <v>48000000</v>
      </c>
      <c r="E223">
        <v>1</v>
      </c>
      <c r="F223">
        <v>1</v>
      </c>
      <c r="G223" t="s">
        <v>872</v>
      </c>
      <c r="H223" t="s">
        <v>873</v>
      </c>
      <c r="I223">
        <f>_xlfn.XLOOKUP(B223,[1]selection!$B$2:$B$427,[1]selection!$D$2:$D$427,0)</f>
        <v>48000000</v>
      </c>
      <c r="J223" t="b">
        <f t="shared" si="3"/>
        <v>1</v>
      </c>
    </row>
    <row r="224" spans="1:10" hidden="1" x14ac:dyDescent="0.25">
      <c r="A224" t="s">
        <v>230</v>
      </c>
      <c r="B224" t="s">
        <v>656</v>
      </c>
      <c r="C224" t="s">
        <v>860</v>
      </c>
      <c r="D224">
        <v>179100000</v>
      </c>
      <c r="E224">
        <v>0.95</v>
      </c>
      <c r="F224">
        <v>1</v>
      </c>
      <c r="G224" t="s">
        <v>872</v>
      </c>
      <c r="H224" t="s">
        <v>873</v>
      </c>
      <c r="I224">
        <f>_xlfn.XLOOKUP(B224,[1]selection!$B$2:$B$427,[1]selection!$D$2:$D$427,0)</f>
        <v>179100000</v>
      </c>
      <c r="J224" t="b">
        <f t="shared" si="3"/>
        <v>1</v>
      </c>
    </row>
    <row r="225" spans="1:10" hidden="1" x14ac:dyDescent="0.25">
      <c r="A225" t="s">
        <v>231</v>
      </c>
      <c r="B225" t="s">
        <v>657</v>
      </c>
      <c r="C225" t="s">
        <v>867</v>
      </c>
      <c r="D225">
        <v>54798030</v>
      </c>
      <c r="E225">
        <v>0.7</v>
      </c>
      <c r="F225">
        <v>1</v>
      </c>
      <c r="G225" t="s">
        <v>872</v>
      </c>
      <c r="H225" t="s">
        <v>873</v>
      </c>
      <c r="I225">
        <f>_xlfn.XLOOKUP(B225,[1]selection!$B$2:$B$427,[1]selection!$D$2:$D$427,0)</f>
        <v>54798030</v>
      </c>
      <c r="J225" t="b">
        <f t="shared" si="3"/>
        <v>1</v>
      </c>
    </row>
    <row r="226" spans="1:10" hidden="1" x14ac:dyDescent="0.25">
      <c r="A226" t="s">
        <v>232</v>
      </c>
      <c r="B226" t="s">
        <v>658</v>
      </c>
      <c r="C226" t="s">
        <v>865</v>
      </c>
      <c r="D226">
        <v>77011844</v>
      </c>
      <c r="E226">
        <v>0.5</v>
      </c>
      <c r="F226">
        <v>1</v>
      </c>
      <c r="G226" t="s">
        <v>872</v>
      </c>
      <c r="H226" t="s">
        <v>873</v>
      </c>
      <c r="I226">
        <f>_xlfn.XLOOKUP(B226,[1]selection!$B$2:$B$427,[1]selection!$D$2:$D$427,0)</f>
        <v>77011844</v>
      </c>
      <c r="J226" t="b">
        <f t="shared" si="3"/>
        <v>1</v>
      </c>
    </row>
    <row r="227" spans="1:10" hidden="1" x14ac:dyDescent="0.25">
      <c r="A227" t="s">
        <v>233</v>
      </c>
      <c r="B227" t="s">
        <v>659</v>
      </c>
      <c r="C227" t="s">
        <v>867</v>
      </c>
      <c r="D227">
        <v>155342560</v>
      </c>
      <c r="E227">
        <v>0.75</v>
      </c>
      <c r="F227">
        <v>1</v>
      </c>
      <c r="G227" t="s">
        <v>872</v>
      </c>
      <c r="H227" t="s">
        <v>873</v>
      </c>
      <c r="I227">
        <f>_xlfn.XLOOKUP(B227,[1]selection!$B$2:$B$427,[1]selection!$D$2:$D$427,0)</f>
        <v>155342560</v>
      </c>
      <c r="J227" t="b">
        <f t="shared" si="3"/>
        <v>1</v>
      </c>
    </row>
    <row r="228" spans="1:10" hidden="1" x14ac:dyDescent="0.25">
      <c r="A228" t="s">
        <v>234</v>
      </c>
      <c r="B228" t="s">
        <v>660</v>
      </c>
      <c r="C228" t="s">
        <v>867</v>
      </c>
      <c r="D228">
        <v>55542920</v>
      </c>
      <c r="E228">
        <v>1</v>
      </c>
      <c r="F228">
        <v>1</v>
      </c>
      <c r="G228" t="s">
        <v>872</v>
      </c>
      <c r="H228" t="s">
        <v>873</v>
      </c>
      <c r="I228">
        <f>_xlfn.XLOOKUP(B228,[1]selection!$B$2:$B$427,[1]selection!$D$2:$D$427,0)</f>
        <v>55542920</v>
      </c>
      <c r="J228" t="b">
        <f t="shared" si="3"/>
        <v>1</v>
      </c>
    </row>
    <row r="229" spans="1:10" hidden="1" x14ac:dyDescent="0.25">
      <c r="A229" t="s">
        <v>235</v>
      </c>
      <c r="B229" t="s">
        <v>661</v>
      </c>
      <c r="C229" t="s">
        <v>863</v>
      </c>
      <c r="D229">
        <v>123420778</v>
      </c>
      <c r="E229">
        <v>0.60000000000000009</v>
      </c>
      <c r="F229">
        <v>1</v>
      </c>
      <c r="G229" t="s">
        <v>872</v>
      </c>
      <c r="H229" t="s">
        <v>873</v>
      </c>
      <c r="I229">
        <f>_xlfn.XLOOKUP(B229,[1]selection!$B$2:$B$427,[1]selection!$D$2:$D$427,0)</f>
        <v>123420778</v>
      </c>
      <c r="J229" t="b">
        <f t="shared" si="3"/>
        <v>1</v>
      </c>
    </row>
    <row r="230" spans="1:10" hidden="1" x14ac:dyDescent="0.25">
      <c r="A230" t="s">
        <v>236</v>
      </c>
      <c r="B230" t="s">
        <v>662</v>
      </c>
      <c r="C230" t="s">
        <v>867</v>
      </c>
      <c r="D230">
        <v>273130980</v>
      </c>
      <c r="E230">
        <v>1</v>
      </c>
      <c r="F230">
        <v>1</v>
      </c>
      <c r="G230" t="s">
        <v>872</v>
      </c>
      <c r="H230" t="s">
        <v>873</v>
      </c>
      <c r="I230">
        <f>_xlfn.XLOOKUP(B230,[1]selection!$B$2:$B$427,[1]selection!$D$2:$D$427,0)</f>
        <v>273130980</v>
      </c>
      <c r="J230" t="b">
        <f t="shared" si="3"/>
        <v>1</v>
      </c>
    </row>
    <row r="231" spans="1:10" hidden="1" x14ac:dyDescent="0.25">
      <c r="A231" t="s">
        <v>237</v>
      </c>
      <c r="B231" t="s">
        <v>663</v>
      </c>
      <c r="C231" t="s">
        <v>860</v>
      </c>
      <c r="D231">
        <v>131198650</v>
      </c>
      <c r="E231">
        <v>0.55000000000000004</v>
      </c>
      <c r="F231">
        <v>1</v>
      </c>
      <c r="G231" t="s">
        <v>872</v>
      </c>
      <c r="H231" t="s">
        <v>873</v>
      </c>
      <c r="I231">
        <f>_xlfn.XLOOKUP(B231,[1]selection!$B$2:$B$427,[1]selection!$D$2:$D$427,0)</f>
        <v>131198650</v>
      </c>
      <c r="J231" t="b">
        <f t="shared" si="3"/>
        <v>1</v>
      </c>
    </row>
    <row r="232" spans="1:10" hidden="1" x14ac:dyDescent="0.25">
      <c r="A232" t="s">
        <v>238</v>
      </c>
      <c r="B232" t="s">
        <v>664</v>
      </c>
      <c r="C232" t="s">
        <v>863</v>
      </c>
      <c r="D232">
        <v>286861172</v>
      </c>
      <c r="E232">
        <v>0.8</v>
      </c>
      <c r="F232">
        <v>1</v>
      </c>
      <c r="G232" t="s">
        <v>872</v>
      </c>
      <c r="H232" t="s">
        <v>873</v>
      </c>
      <c r="I232">
        <f>_xlfn.XLOOKUP(B232,[1]selection!$B$2:$B$427,[1]selection!$D$2:$D$427,0)</f>
        <v>286861172</v>
      </c>
      <c r="J232" t="b">
        <f t="shared" si="3"/>
        <v>1</v>
      </c>
    </row>
    <row r="233" spans="1:10" hidden="1" x14ac:dyDescent="0.25">
      <c r="A233" t="s">
        <v>239</v>
      </c>
      <c r="B233" t="s">
        <v>665</v>
      </c>
      <c r="C233" t="s">
        <v>860</v>
      </c>
      <c r="D233">
        <v>161200000</v>
      </c>
      <c r="E233">
        <v>0.4</v>
      </c>
      <c r="F233">
        <v>1</v>
      </c>
      <c r="G233" t="s">
        <v>872</v>
      </c>
      <c r="H233" t="s">
        <v>873</v>
      </c>
      <c r="I233">
        <f>_xlfn.XLOOKUP(B233,[1]selection!$B$2:$B$427,[1]selection!$D$2:$D$427,0)</f>
        <v>161200000</v>
      </c>
      <c r="J233" t="b">
        <f t="shared" si="3"/>
        <v>1</v>
      </c>
    </row>
    <row r="234" spans="1:10" hidden="1" x14ac:dyDescent="0.25">
      <c r="A234" t="s">
        <v>240</v>
      </c>
      <c r="B234" t="s">
        <v>666</v>
      </c>
      <c r="C234" t="s">
        <v>867</v>
      </c>
      <c r="D234">
        <v>247144400</v>
      </c>
      <c r="E234">
        <v>0.7</v>
      </c>
      <c r="F234">
        <v>1</v>
      </c>
      <c r="G234" t="s">
        <v>872</v>
      </c>
      <c r="H234" t="s">
        <v>873</v>
      </c>
      <c r="I234">
        <f>_xlfn.XLOOKUP(B234,[1]selection!$B$2:$B$427,[1]selection!$D$2:$D$427,0)</f>
        <v>247144400</v>
      </c>
      <c r="J234" t="b">
        <f t="shared" si="3"/>
        <v>1</v>
      </c>
    </row>
    <row r="235" spans="1:10" hidden="1" x14ac:dyDescent="0.25">
      <c r="A235" t="s">
        <v>241</v>
      </c>
      <c r="B235" t="s">
        <v>667</v>
      </c>
      <c r="C235" t="s">
        <v>867</v>
      </c>
      <c r="D235">
        <v>79221900</v>
      </c>
      <c r="E235">
        <v>0.9</v>
      </c>
      <c r="F235">
        <v>1</v>
      </c>
      <c r="G235" t="s">
        <v>872</v>
      </c>
      <c r="H235" t="s">
        <v>873</v>
      </c>
      <c r="I235">
        <f>_xlfn.XLOOKUP(B235,[1]selection!$B$2:$B$427,[1]selection!$D$2:$D$427,0)</f>
        <v>79221900</v>
      </c>
      <c r="J235" t="b">
        <f t="shared" si="3"/>
        <v>1</v>
      </c>
    </row>
    <row r="236" spans="1:10" hidden="1" x14ac:dyDescent="0.25">
      <c r="A236" t="s">
        <v>242</v>
      </c>
      <c r="B236" t="s">
        <v>668</v>
      </c>
      <c r="C236" t="s">
        <v>860</v>
      </c>
      <c r="D236">
        <v>66096100</v>
      </c>
      <c r="E236">
        <v>0.7</v>
      </c>
      <c r="F236">
        <v>1</v>
      </c>
      <c r="G236" t="s">
        <v>872</v>
      </c>
      <c r="H236" t="s">
        <v>873</v>
      </c>
      <c r="I236">
        <f>_xlfn.XLOOKUP(B236,[1]selection!$B$2:$B$427,[1]selection!$D$2:$D$427,0)</f>
        <v>66096100</v>
      </c>
      <c r="J236" t="b">
        <f t="shared" si="3"/>
        <v>1</v>
      </c>
    </row>
    <row r="237" spans="1:10" hidden="1" x14ac:dyDescent="0.25">
      <c r="A237" t="s">
        <v>243</v>
      </c>
      <c r="B237" t="s">
        <v>669</v>
      </c>
      <c r="C237" t="s">
        <v>862</v>
      </c>
      <c r="D237">
        <v>3888930422</v>
      </c>
      <c r="E237">
        <v>1</v>
      </c>
      <c r="F237">
        <v>1</v>
      </c>
      <c r="G237" t="s">
        <v>872</v>
      </c>
      <c r="H237" t="s">
        <v>873</v>
      </c>
      <c r="I237">
        <f>_xlfn.XLOOKUP(B237,[1]selection!$B$2:$B$427,[1]selection!$D$2:$D$427,0)</f>
        <v>3888930422</v>
      </c>
      <c r="J237" t="b">
        <f t="shared" si="3"/>
        <v>1</v>
      </c>
    </row>
    <row r="238" spans="1:10" hidden="1" x14ac:dyDescent="0.25">
      <c r="A238" t="s">
        <v>244</v>
      </c>
      <c r="B238" t="s">
        <v>670</v>
      </c>
      <c r="C238" t="s">
        <v>860</v>
      </c>
      <c r="D238">
        <v>31593073</v>
      </c>
      <c r="E238">
        <v>0.4</v>
      </c>
      <c r="F238">
        <v>1</v>
      </c>
      <c r="G238" t="s">
        <v>872</v>
      </c>
      <c r="H238" t="s">
        <v>873</v>
      </c>
      <c r="I238">
        <f>_xlfn.XLOOKUP(B238,[1]selection!$B$2:$B$427,[1]selection!$D$2:$D$427,0)</f>
        <v>31593073</v>
      </c>
      <c r="J238" t="b">
        <f t="shared" si="3"/>
        <v>1</v>
      </c>
    </row>
    <row r="239" spans="1:10" hidden="1" x14ac:dyDescent="0.25">
      <c r="A239" t="s">
        <v>245</v>
      </c>
      <c r="B239" t="s">
        <v>671</v>
      </c>
      <c r="C239" t="s">
        <v>860</v>
      </c>
      <c r="D239">
        <v>864712</v>
      </c>
      <c r="E239">
        <v>1</v>
      </c>
      <c r="F239">
        <v>1</v>
      </c>
      <c r="G239" t="s">
        <v>872</v>
      </c>
      <c r="H239" t="s">
        <v>873</v>
      </c>
      <c r="I239">
        <f>_xlfn.XLOOKUP(B239,[1]selection!$B$2:$B$427,[1]selection!$D$2:$D$427,0)</f>
        <v>864712</v>
      </c>
      <c r="J239" t="b">
        <f t="shared" si="3"/>
        <v>1</v>
      </c>
    </row>
    <row r="240" spans="1:10" hidden="1" x14ac:dyDescent="0.25">
      <c r="A240" t="s">
        <v>246</v>
      </c>
      <c r="B240" t="s">
        <v>672</v>
      </c>
      <c r="C240" t="s">
        <v>864</v>
      </c>
      <c r="D240">
        <v>51235764</v>
      </c>
      <c r="E240">
        <v>0.35</v>
      </c>
      <c r="F240">
        <v>1</v>
      </c>
      <c r="G240" t="s">
        <v>872</v>
      </c>
      <c r="H240" t="s">
        <v>873</v>
      </c>
      <c r="I240">
        <f>_xlfn.XLOOKUP(B240,[1]selection!$B$2:$B$427,[1]selection!$D$2:$D$427,0)</f>
        <v>51235764</v>
      </c>
      <c r="J240" t="b">
        <f t="shared" si="3"/>
        <v>1</v>
      </c>
    </row>
    <row r="241" spans="1:10" hidden="1" x14ac:dyDescent="0.25">
      <c r="A241" t="s">
        <v>247</v>
      </c>
      <c r="B241" t="s">
        <v>673</v>
      </c>
      <c r="C241" t="s">
        <v>860</v>
      </c>
      <c r="D241">
        <v>86346306</v>
      </c>
      <c r="E241">
        <v>1</v>
      </c>
      <c r="F241">
        <v>1</v>
      </c>
      <c r="G241" t="s">
        <v>872</v>
      </c>
      <c r="H241" t="s">
        <v>873</v>
      </c>
      <c r="I241">
        <f>_xlfn.XLOOKUP(B241,[1]selection!$B$2:$B$427,[1]selection!$D$2:$D$427,0)</f>
        <v>86346306</v>
      </c>
      <c r="J241" t="b">
        <f t="shared" si="3"/>
        <v>1</v>
      </c>
    </row>
    <row r="242" spans="1:10" hidden="1" x14ac:dyDescent="0.25">
      <c r="A242" t="s">
        <v>248</v>
      </c>
      <c r="B242" t="s">
        <v>674</v>
      </c>
      <c r="C242" t="s">
        <v>867</v>
      </c>
      <c r="D242">
        <v>38798874</v>
      </c>
      <c r="E242">
        <v>0.9</v>
      </c>
      <c r="F242">
        <v>1</v>
      </c>
      <c r="G242" t="s">
        <v>872</v>
      </c>
      <c r="H242" t="s">
        <v>873</v>
      </c>
      <c r="I242">
        <f>_xlfn.XLOOKUP(B242,[1]selection!$B$2:$B$427,[1]selection!$D$2:$D$427,0)</f>
        <v>38798874</v>
      </c>
      <c r="J242" t="b">
        <f t="shared" si="3"/>
        <v>1</v>
      </c>
    </row>
    <row r="243" spans="1:10" hidden="1" x14ac:dyDescent="0.25">
      <c r="A243" t="s">
        <v>249</v>
      </c>
      <c r="B243" t="s">
        <v>675</v>
      </c>
      <c r="C243" t="s">
        <v>860</v>
      </c>
      <c r="D243">
        <v>75570800</v>
      </c>
      <c r="E243">
        <v>1</v>
      </c>
      <c r="F243">
        <v>1</v>
      </c>
      <c r="G243" t="s">
        <v>872</v>
      </c>
      <c r="H243" t="s">
        <v>873</v>
      </c>
      <c r="I243">
        <f>_xlfn.XLOOKUP(B243,[1]selection!$B$2:$B$427,[1]selection!$D$2:$D$427,0)</f>
        <v>75570800</v>
      </c>
      <c r="J243" t="b">
        <f t="shared" si="3"/>
        <v>1</v>
      </c>
    </row>
    <row r="244" spans="1:10" hidden="1" x14ac:dyDescent="0.25">
      <c r="A244" t="s">
        <v>250</v>
      </c>
      <c r="B244" t="s">
        <v>676</v>
      </c>
      <c r="C244" t="s">
        <v>863</v>
      </c>
      <c r="D244">
        <v>262245733</v>
      </c>
      <c r="E244">
        <v>1</v>
      </c>
      <c r="F244">
        <v>1</v>
      </c>
      <c r="G244" t="s">
        <v>872</v>
      </c>
      <c r="H244" t="s">
        <v>873</v>
      </c>
      <c r="I244">
        <f>_xlfn.XLOOKUP(B244,[1]selection!$B$2:$B$427,[1]selection!$D$2:$D$427,0)</f>
        <v>262245733</v>
      </c>
      <c r="J244" t="b">
        <f t="shared" si="3"/>
        <v>1</v>
      </c>
    </row>
    <row r="245" spans="1:10" hidden="1" x14ac:dyDescent="0.25">
      <c r="A245" t="s">
        <v>251</v>
      </c>
      <c r="B245" t="s">
        <v>677</v>
      </c>
      <c r="C245" t="s">
        <v>868</v>
      </c>
      <c r="D245">
        <v>38618180</v>
      </c>
      <c r="E245">
        <v>0.5</v>
      </c>
      <c r="F245">
        <v>1</v>
      </c>
      <c r="G245" t="s">
        <v>872</v>
      </c>
      <c r="H245" t="s">
        <v>873</v>
      </c>
      <c r="I245">
        <f>_xlfn.XLOOKUP(B245,[1]selection!$B$2:$B$427,[1]selection!$D$2:$D$427,0)</f>
        <v>38618180</v>
      </c>
      <c r="J245" t="b">
        <f t="shared" si="3"/>
        <v>1</v>
      </c>
    </row>
    <row r="246" spans="1:10" hidden="1" x14ac:dyDescent="0.25">
      <c r="A246" t="s">
        <v>252</v>
      </c>
      <c r="B246" t="s">
        <v>678</v>
      </c>
      <c r="C246" t="s">
        <v>863</v>
      </c>
      <c r="D246">
        <v>46538313</v>
      </c>
      <c r="E246">
        <v>0.5</v>
      </c>
      <c r="F246">
        <v>1</v>
      </c>
      <c r="G246" t="s">
        <v>872</v>
      </c>
      <c r="H246" t="s">
        <v>873</v>
      </c>
      <c r="I246">
        <f>_xlfn.XLOOKUP(B246,[1]selection!$B$2:$B$427,[1]selection!$D$2:$D$427,0)</f>
        <v>46538313</v>
      </c>
      <c r="J246" t="b">
        <f t="shared" si="3"/>
        <v>1</v>
      </c>
    </row>
    <row r="247" spans="1:10" hidden="1" x14ac:dyDescent="0.25">
      <c r="A247" t="s">
        <v>253</v>
      </c>
      <c r="B247" t="s">
        <v>679</v>
      </c>
      <c r="C247" t="s">
        <v>864</v>
      </c>
      <c r="D247">
        <v>132750000</v>
      </c>
      <c r="E247">
        <v>0.45</v>
      </c>
      <c r="F247">
        <v>1</v>
      </c>
      <c r="G247" t="s">
        <v>872</v>
      </c>
      <c r="H247" t="s">
        <v>873</v>
      </c>
      <c r="I247">
        <f>_xlfn.XLOOKUP(B247,[1]selection!$B$2:$B$427,[1]selection!$D$2:$D$427,0)</f>
        <v>132750000</v>
      </c>
      <c r="J247" t="b">
        <f t="shared" si="3"/>
        <v>1</v>
      </c>
    </row>
    <row r="248" spans="1:10" hidden="1" x14ac:dyDescent="0.25">
      <c r="A248" t="s">
        <v>254</v>
      </c>
      <c r="B248" t="s">
        <v>680</v>
      </c>
      <c r="C248" t="s">
        <v>861</v>
      </c>
      <c r="D248">
        <v>251630412</v>
      </c>
      <c r="E248">
        <v>1</v>
      </c>
      <c r="F248">
        <v>1</v>
      </c>
      <c r="G248" t="s">
        <v>872</v>
      </c>
      <c r="H248" t="s">
        <v>873</v>
      </c>
      <c r="I248">
        <f>_xlfn.XLOOKUP(B248,[1]selection!$B$2:$B$427,[1]selection!$D$2:$D$427,0)</f>
        <v>251630412</v>
      </c>
      <c r="J248" t="b">
        <f t="shared" si="3"/>
        <v>1</v>
      </c>
    </row>
    <row r="249" spans="1:10" hidden="1" x14ac:dyDescent="0.25">
      <c r="A249" t="s">
        <v>255</v>
      </c>
      <c r="B249" t="s">
        <v>681</v>
      </c>
      <c r="C249" t="s">
        <v>865</v>
      </c>
      <c r="D249">
        <v>816013</v>
      </c>
      <c r="E249">
        <v>0.5</v>
      </c>
      <c r="F249">
        <v>1</v>
      </c>
      <c r="G249" t="s">
        <v>872</v>
      </c>
      <c r="H249" t="s">
        <v>873</v>
      </c>
      <c r="I249">
        <f>_xlfn.XLOOKUP(B249,[1]selection!$B$2:$B$427,[1]selection!$D$2:$D$427,0)</f>
        <v>816013</v>
      </c>
      <c r="J249" t="b">
        <f t="shared" si="3"/>
        <v>1</v>
      </c>
    </row>
    <row r="250" spans="1:10" hidden="1" x14ac:dyDescent="0.25">
      <c r="A250" t="s">
        <v>256</v>
      </c>
      <c r="B250" t="s">
        <v>682</v>
      </c>
      <c r="C250" t="s">
        <v>871</v>
      </c>
      <c r="D250">
        <v>991996494</v>
      </c>
      <c r="E250">
        <v>0.6</v>
      </c>
      <c r="F250">
        <v>1</v>
      </c>
      <c r="G250" t="s">
        <v>872</v>
      </c>
      <c r="H250" t="s">
        <v>873</v>
      </c>
      <c r="I250">
        <f>_xlfn.XLOOKUP(B250,[1]selection!$B$2:$B$427,[1]selection!$D$2:$D$427,0)</f>
        <v>991996494</v>
      </c>
      <c r="J250" t="b">
        <f t="shared" si="3"/>
        <v>1</v>
      </c>
    </row>
    <row r="251" spans="1:10" hidden="1" x14ac:dyDescent="0.25">
      <c r="A251" t="s">
        <v>257</v>
      </c>
      <c r="B251" t="s">
        <v>683</v>
      </c>
      <c r="C251" t="s">
        <v>861</v>
      </c>
      <c r="D251">
        <v>22234368</v>
      </c>
      <c r="E251">
        <v>0.4</v>
      </c>
      <c r="F251">
        <v>1</v>
      </c>
      <c r="G251" t="s">
        <v>872</v>
      </c>
      <c r="H251" t="s">
        <v>873</v>
      </c>
      <c r="I251">
        <f>_xlfn.XLOOKUP(B251,[1]selection!$B$2:$B$427,[1]selection!$D$2:$D$427,0)</f>
        <v>22234368</v>
      </c>
      <c r="J251" t="b">
        <f t="shared" si="3"/>
        <v>1</v>
      </c>
    </row>
    <row r="252" spans="1:10" hidden="1" x14ac:dyDescent="0.25">
      <c r="A252" t="s">
        <v>258</v>
      </c>
      <c r="B252" t="s">
        <v>684</v>
      </c>
      <c r="C252" t="s">
        <v>860</v>
      </c>
      <c r="D252">
        <v>1200249100</v>
      </c>
      <c r="E252">
        <v>0.85</v>
      </c>
      <c r="F252">
        <v>1</v>
      </c>
      <c r="G252" t="s">
        <v>872</v>
      </c>
      <c r="H252" t="s">
        <v>873</v>
      </c>
      <c r="I252">
        <f>_xlfn.XLOOKUP(B252,[1]selection!$B$2:$B$427,[1]selection!$D$2:$D$427,0)</f>
        <v>1200249100</v>
      </c>
      <c r="J252" t="b">
        <f t="shared" si="3"/>
        <v>1</v>
      </c>
    </row>
    <row r="253" spans="1:10" x14ac:dyDescent="0.25">
      <c r="A253" t="s">
        <v>259</v>
      </c>
      <c r="B253" t="s">
        <v>685</v>
      </c>
      <c r="C253" t="s">
        <v>862</v>
      </c>
      <c r="D253">
        <v>612259739</v>
      </c>
      <c r="E253">
        <v>0.8</v>
      </c>
      <c r="F253">
        <v>1</v>
      </c>
      <c r="G253" t="s">
        <v>872</v>
      </c>
      <c r="H253" t="s">
        <v>873</v>
      </c>
      <c r="I253">
        <f>_xlfn.XLOOKUP(B253,[1]selection!$B$2:$B$427,[1]selection!$D$2:$D$427,0)</f>
        <v>527548754</v>
      </c>
      <c r="J253" t="b">
        <f t="shared" si="3"/>
        <v>0</v>
      </c>
    </row>
    <row r="254" spans="1:10" hidden="1" x14ac:dyDescent="0.25">
      <c r="A254" t="s">
        <v>260</v>
      </c>
      <c r="B254" t="s">
        <v>686</v>
      </c>
      <c r="C254" t="s">
        <v>861</v>
      </c>
      <c r="D254">
        <v>328640432</v>
      </c>
      <c r="E254">
        <v>0.5</v>
      </c>
      <c r="F254">
        <v>1</v>
      </c>
      <c r="G254" t="s">
        <v>872</v>
      </c>
      <c r="H254" t="s">
        <v>873</v>
      </c>
      <c r="I254">
        <f>_xlfn.XLOOKUP(B254,[1]selection!$B$2:$B$427,[1]selection!$D$2:$D$427,0)</f>
        <v>328640432</v>
      </c>
      <c r="J254" t="b">
        <f t="shared" si="3"/>
        <v>1</v>
      </c>
    </row>
    <row r="255" spans="1:10" hidden="1" x14ac:dyDescent="0.25">
      <c r="A255" t="s">
        <v>261</v>
      </c>
      <c r="B255" t="s">
        <v>687</v>
      </c>
      <c r="C255" t="s">
        <v>867</v>
      </c>
      <c r="D255">
        <v>502696750</v>
      </c>
      <c r="E255">
        <v>0.9</v>
      </c>
      <c r="F255">
        <v>1</v>
      </c>
      <c r="G255" t="s">
        <v>872</v>
      </c>
      <c r="H255" t="s">
        <v>873</v>
      </c>
      <c r="I255">
        <f>_xlfn.XLOOKUP(B255,[1]selection!$B$2:$B$427,[1]selection!$D$2:$D$427,0)</f>
        <v>502696750</v>
      </c>
      <c r="J255" t="b">
        <f t="shared" si="3"/>
        <v>1</v>
      </c>
    </row>
    <row r="256" spans="1:10" hidden="1" x14ac:dyDescent="0.25">
      <c r="A256" t="s">
        <v>262</v>
      </c>
      <c r="B256" t="s">
        <v>688</v>
      </c>
      <c r="C256" t="s">
        <v>867</v>
      </c>
      <c r="D256">
        <v>40649170</v>
      </c>
      <c r="E256">
        <v>0.85</v>
      </c>
      <c r="F256">
        <v>1</v>
      </c>
      <c r="G256" t="s">
        <v>872</v>
      </c>
      <c r="H256" t="s">
        <v>873</v>
      </c>
      <c r="I256">
        <f>_xlfn.XLOOKUP(B256,[1]selection!$B$2:$B$427,[1]selection!$D$2:$D$427,0)</f>
        <v>40649170</v>
      </c>
      <c r="J256" t="b">
        <f t="shared" si="3"/>
        <v>1</v>
      </c>
    </row>
    <row r="257" spans="1:10" hidden="1" x14ac:dyDescent="0.25">
      <c r="A257" t="s">
        <v>263</v>
      </c>
      <c r="B257" t="s">
        <v>689</v>
      </c>
      <c r="C257" t="s">
        <v>868</v>
      </c>
      <c r="D257">
        <v>20000000</v>
      </c>
      <c r="E257">
        <v>0.4</v>
      </c>
      <c r="F257">
        <v>1</v>
      </c>
      <c r="G257" t="s">
        <v>872</v>
      </c>
      <c r="H257" t="s">
        <v>873</v>
      </c>
      <c r="I257">
        <f>_xlfn.XLOOKUP(B257,[1]selection!$B$2:$B$427,[1]selection!$D$2:$D$427,0)</f>
        <v>20000000</v>
      </c>
      <c r="J257" t="b">
        <f t="shared" si="3"/>
        <v>1</v>
      </c>
    </row>
    <row r="258" spans="1:10" hidden="1" x14ac:dyDescent="0.25">
      <c r="A258" t="s">
        <v>264</v>
      </c>
      <c r="B258" t="s">
        <v>690</v>
      </c>
      <c r="C258" t="s">
        <v>863</v>
      </c>
      <c r="D258">
        <v>33125992</v>
      </c>
      <c r="E258">
        <v>1</v>
      </c>
      <c r="F258">
        <v>1</v>
      </c>
      <c r="G258" t="s">
        <v>872</v>
      </c>
      <c r="H258" t="s">
        <v>873</v>
      </c>
      <c r="I258">
        <f>_xlfn.XLOOKUP(B258,[1]selection!$B$2:$B$427,[1]selection!$D$2:$D$427,0)</f>
        <v>33125992</v>
      </c>
      <c r="J258" t="b">
        <f t="shared" si="3"/>
        <v>1</v>
      </c>
    </row>
    <row r="259" spans="1:10" hidden="1" x14ac:dyDescent="0.25">
      <c r="A259" t="s">
        <v>265</v>
      </c>
      <c r="B259" t="s">
        <v>691</v>
      </c>
      <c r="C259" t="s">
        <v>861</v>
      </c>
      <c r="D259">
        <v>813279689</v>
      </c>
      <c r="E259">
        <v>0.15</v>
      </c>
      <c r="F259">
        <v>1</v>
      </c>
      <c r="G259" t="s">
        <v>872</v>
      </c>
      <c r="H259" t="s">
        <v>873</v>
      </c>
      <c r="I259">
        <f>_xlfn.XLOOKUP(B259,[1]selection!$B$2:$B$427,[1]selection!$D$2:$D$427,0)</f>
        <v>813279689</v>
      </c>
      <c r="J259" t="b">
        <f t="shared" ref="J259:J322" si="4">I259=D259</f>
        <v>1</v>
      </c>
    </row>
    <row r="260" spans="1:10" hidden="1" x14ac:dyDescent="0.25">
      <c r="A260" t="s">
        <v>266</v>
      </c>
      <c r="B260" t="s">
        <v>692</v>
      </c>
      <c r="C260" t="s">
        <v>865</v>
      </c>
      <c r="D260">
        <v>40400000</v>
      </c>
      <c r="E260">
        <v>0.5</v>
      </c>
      <c r="F260">
        <v>1</v>
      </c>
      <c r="G260" t="s">
        <v>872</v>
      </c>
      <c r="H260" t="s">
        <v>873</v>
      </c>
      <c r="I260">
        <f>_xlfn.XLOOKUP(B260,[1]selection!$B$2:$B$427,[1]selection!$D$2:$D$427,0)</f>
        <v>40400000</v>
      </c>
      <c r="J260" t="b">
        <f t="shared" si="4"/>
        <v>1</v>
      </c>
    </row>
    <row r="261" spans="1:10" hidden="1" x14ac:dyDescent="0.25">
      <c r="A261" t="s">
        <v>267</v>
      </c>
      <c r="B261" t="s">
        <v>693</v>
      </c>
      <c r="C261" t="s">
        <v>863</v>
      </c>
      <c r="D261">
        <v>93886501</v>
      </c>
      <c r="E261">
        <v>1</v>
      </c>
      <c r="F261">
        <v>1</v>
      </c>
      <c r="G261" t="s">
        <v>872</v>
      </c>
      <c r="H261" t="s">
        <v>873</v>
      </c>
      <c r="I261">
        <f>_xlfn.XLOOKUP(B261,[1]selection!$B$2:$B$427,[1]selection!$D$2:$D$427,0)</f>
        <v>93886501</v>
      </c>
      <c r="J261" t="b">
        <f t="shared" si="4"/>
        <v>1</v>
      </c>
    </row>
    <row r="262" spans="1:10" hidden="1" x14ac:dyDescent="0.25">
      <c r="A262" t="s">
        <v>268</v>
      </c>
      <c r="B262" t="s">
        <v>694</v>
      </c>
      <c r="C262" t="s">
        <v>860</v>
      </c>
      <c r="D262">
        <v>129242250</v>
      </c>
      <c r="E262">
        <v>1</v>
      </c>
      <c r="F262">
        <v>1</v>
      </c>
      <c r="G262" t="s">
        <v>872</v>
      </c>
      <c r="H262" t="s">
        <v>873</v>
      </c>
      <c r="I262">
        <f>_xlfn.XLOOKUP(B262,[1]selection!$B$2:$B$427,[1]selection!$D$2:$D$427,0)</f>
        <v>129242250</v>
      </c>
      <c r="J262" t="b">
        <f t="shared" si="4"/>
        <v>1</v>
      </c>
    </row>
    <row r="263" spans="1:10" hidden="1" x14ac:dyDescent="0.25">
      <c r="A263" t="s">
        <v>269</v>
      </c>
      <c r="B263" t="s">
        <v>695</v>
      </c>
      <c r="C263" t="s">
        <v>864</v>
      </c>
      <c r="D263">
        <v>563724900</v>
      </c>
      <c r="E263">
        <v>0.65</v>
      </c>
      <c r="F263">
        <v>1</v>
      </c>
      <c r="G263" t="s">
        <v>872</v>
      </c>
      <c r="H263" t="s">
        <v>873</v>
      </c>
      <c r="I263">
        <f>_xlfn.XLOOKUP(B263,[1]selection!$B$2:$B$427,[1]selection!$D$2:$D$427,0)</f>
        <v>563724900</v>
      </c>
      <c r="J263" t="b">
        <f t="shared" si="4"/>
        <v>1</v>
      </c>
    </row>
    <row r="264" spans="1:10" hidden="1" x14ac:dyDescent="0.25">
      <c r="A264" t="s">
        <v>270</v>
      </c>
      <c r="B264" t="s">
        <v>696</v>
      </c>
      <c r="C264" t="s">
        <v>867</v>
      </c>
      <c r="D264">
        <v>322710570</v>
      </c>
      <c r="E264">
        <v>0.5</v>
      </c>
      <c r="F264">
        <v>1</v>
      </c>
      <c r="G264" t="s">
        <v>872</v>
      </c>
      <c r="H264" t="s">
        <v>873</v>
      </c>
      <c r="I264">
        <f>_xlfn.XLOOKUP(B264,[1]selection!$B$2:$B$427,[1]selection!$D$2:$D$427,0)</f>
        <v>322710570</v>
      </c>
      <c r="J264" t="b">
        <f t="shared" si="4"/>
        <v>1</v>
      </c>
    </row>
    <row r="265" spans="1:10" hidden="1" x14ac:dyDescent="0.25">
      <c r="A265" t="s">
        <v>271</v>
      </c>
      <c r="B265" t="s">
        <v>697</v>
      </c>
      <c r="C265" t="s">
        <v>861</v>
      </c>
      <c r="D265">
        <v>469897609</v>
      </c>
      <c r="E265">
        <v>0.65</v>
      </c>
      <c r="F265">
        <v>1</v>
      </c>
      <c r="G265" t="s">
        <v>872</v>
      </c>
      <c r="H265" t="s">
        <v>873</v>
      </c>
      <c r="I265">
        <f>_xlfn.XLOOKUP(B265,[1]selection!$B$2:$B$427,[1]selection!$D$2:$D$427,0)</f>
        <v>469897609</v>
      </c>
      <c r="J265" t="b">
        <f t="shared" si="4"/>
        <v>1</v>
      </c>
    </row>
    <row r="266" spans="1:10" hidden="1" x14ac:dyDescent="0.25">
      <c r="A266" t="s">
        <v>272</v>
      </c>
      <c r="B266" t="s">
        <v>698</v>
      </c>
      <c r="C266" t="s">
        <v>863</v>
      </c>
      <c r="D266">
        <v>710514537</v>
      </c>
      <c r="E266">
        <v>1</v>
      </c>
      <c r="F266">
        <v>1</v>
      </c>
      <c r="G266" t="s">
        <v>872</v>
      </c>
      <c r="H266" t="s">
        <v>873</v>
      </c>
      <c r="I266">
        <f>_xlfn.XLOOKUP(B266,[1]selection!$B$2:$B$427,[1]selection!$D$2:$D$427,0)</f>
        <v>710514537</v>
      </c>
      <c r="J266" t="b">
        <f t="shared" si="4"/>
        <v>1</v>
      </c>
    </row>
    <row r="267" spans="1:10" hidden="1" x14ac:dyDescent="0.25">
      <c r="A267" t="s">
        <v>273</v>
      </c>
      <c r="B267" t="s">
        <v>699</v>
      </c>
      <c r="C267" t="s">
        <v>861</v>
      </c>
      <c r="D267">
        <v>40000000</v>
      </c>
      <c r="E267">
        <v>0.45</v>
      </c>
      <c r="F267">
        <v>1</v>
      </c>
      <c r="G267" t="s">
        <v>872</v>
      </c>
      <c r="H267" t="s">
        <v>873</v>
      </c>
      <c r="I267">
        <f>_xlfn.XLOOKUP(B267,[1]selection!$B$2:$B$427,[1]selection!$D$2:$D$427,0)</f>
        <v>40000000</v>
      </c>
      <c r="J267" t="b">
        <f t="shared" si="4"/>
        <v>1</v>
      </c>
    </row>
    <row r="268" spans="1:10" hidden="1" x14ac:dyDescent="0.25">
      <c r="A268" t="s">
        <v>274</v>
      </c>
      <c r="B268" t="s">
        <v>700</v>
      </c>
      <c r="C268" t="s">
        <v>861</v>
      </c>
      <c r="D268">
        <v>274805954</v>
      </c>
      <c r="E268">
        <v>0.8</v>
      </c>
      <c r="F268">
        <v>1</v>
      </c>
      <c r="G268" t="s">
        <v>872</v>
      </c>
      <c r="H268" t="s">
        <v>873</v>
      </c>
      <c r="I268">
        <f>_xlfn.XLOOKUP(B268,[1]selection!$B$2:$B$427,[1]selection!$D$2:$D$427,0)</f>
        <v>274805954</v>
      </c>
      <c r="J268" t="b">
        <f t="shared" si="4"/>
        <v>1</v>
      </c>
    </row>
    <row r="269" spans="1:10" hidden="1" x14ac:dyDescent="0.25">
      <c r="A269" t="s">
        <v>275</v>
      </c>
      <c r="B269" t="s">
        <v>701</v>
      </c>
      <c r="C269" t="s">
        <v>865</v>
      </c>
      <c r="D269">
        <v>23131212</v>
      </c>
      <c r="E269">
        <v>0.9</v>
      </c>
      <c r="F269">
        <v>1</v>
      </c>
      <c r="G269" t="s">
        <v>872</v>
      </c>
      <c r="H269" t="s">
        <v>873</v>
      </c>
      <c r="I269">
        <f>_xlfn.XLOOKUP(B269,[1]selection!$B$2:$B$427,[1]selection!$D$2:$D$427,0)</f>
        <v>23131212</v>
      </c>
      <c r="J269" t="b">
        <f t="shared" si="4"/>
        <v>1</v>
      </c>
    </row>
    <row r="270" spans="1:10" hidden="1" x14ac:dyDescent="0.25">
      <c r="A270" t="s">
        <v>276</v>
      </c>
      <c r="B270" t="s">
        <v>702</v>
      </c>
      <c r="C270" t="s">
        <v>869</v>
      </c>
      <c r="D270">
        <v>306775950</v>
      </c>
      <c r="E270">
        <v>0.25</v>
      </c>
      <c r="F270">
        <v>1</v>
      </c>
      <c r="G270" t="s">
        <v>872</v>
      </c>
      <c r="H270" t="s">
        <v>873</v>
      </c>
      <c r="I270">
        <f>_xlfn.XLOOKUP(B270,[1]selection!$B$2:$B$427,[1]selection!$D$2:$D$427,0)</f>
        <v>306775950</v>
      </c>
      <c r="J270" t="b">
        <f t="shared" si="4"/>
        <v>1</v>
      </c>
    </row>
    <row r="271" spans="1:10" hidden="1" x14ac:dyDescent="0.25">
      <c r="A271" t="s">
        <v>277</v>
      </c>
      <c r="B271" t="s">
        <v>703</v>
      </c>
      <c r="C271" t="s">
        <v>860</v>
      </c>
      <c r="D271">
        <v>53824490</v>
      </c>
      <c r="E271">
        <v>1</v>
      </c>
      <c r="F271">
        <v>1</v>
      </c>
      <c r="G271" t="s">
        <v>872</v>
      </c>
      <c r="H271" t="s">
        <v>873</v>
      </c>
      <c r="I271">
        <f>_xlfn.XLOOKUP(B271,[1]selection!$B$2:$B$427,[1]selection!$D$2:$D$427,0)</f>
        <v>53824490</v>
      </c>
      <c r="J271" t="b">
        <f t="shared" si="4"/>
        <v>1</v>
      </c>
    </row>
    <row r="272" spans="1:10" hidden="1" x14ac:dyDescent="0.25">
      <c r="A272" t="s">
        <v>278</v>
      </c>
      <c r="B272" t="s">
        <v>704</v>
      </c>
      <c r="C272" t="s">
        <v>864</v>
      </c>
      <c r="D272">
        <v>969613830</v>
      </c>
      <c r="E272">
        <v>0.25</v>
      </c>
      <c r="F272">
        <v>1</v>
      </c>
      <c r="G272" t="s">
        <v>872</v>
      </c>
      <c r="H272" t="s">
        <v>873</v>
      </c>
      <c r="I272">
        <f>_xlfn.XLOOKUP(B272,[1]selection!$B$2:$B$427,[1]selection!$D$2:$D$427,0)</f>
        <v>969613830</v>
      </c>
      <c r="J272" t="b">
        <f t="shared" si="4"/>
        <v>1</v>
      </c>
    </row>
    <row r="273" spans="1:10" hidden="1" x14ac:dyDescent="0.25">
      <c r="A273" t="s">
        <v>279</v>
      </c>
      <c r="B273" t="s">
        <v>705</v>
      </c>
      <c r="C273" t="s">
        <v>860</v>
      </c>
      <c r="D273">
        <v>115500000</v>
      </c>
      <c r="E273">
        <v>0.6</v>
      </c>
      <c r="F273">
        <v>1</v>
      </c>
      <c r="G273" t="s">
        <v>872</v>
      </c>
      <c r="H273" t="s">
        <v>873</v>
      </c>
      <c r="I273">
        <f>_xlfn.XLOOKUP(B273,[1]selection!$B$2:$B$427,[1]selection!$D$2:$D$427,0)</f>
        <v>115500000</v>
      </c>
      <c r="J273" t="b">
        <f t="shared" si="4"/>
        <v>1</v>
      </c>
    </row>
    <row r="274" spans="1:10" hidden="1" x14ac:dyDescent="0.25">
      <c r="A274" t="s">
        <v>280</v>
      </c>
      <c r="B274" t="s">
        <v>706</v>
      </c>
      <c r="C274" t="s">
        <v>867</v>
      </c>
      <c r="D274">
        <v>769211060</v>
      </c>
      <c r="E274">
        <v>0.55000000000000004</v>
      </c>
      <c r="F274">
        <v>1</v>
      </c>
      <c r="G274" t="s">
        <v>872</v>
      </c>
      <c r="H274" t="s">
        <v>873</v>
      </c>
      <c r="I274">
        <f>_xlfn.XLOOKUP(B274,[1]selection!$B$2:$B$427,[1]selection!$D$2:$D$427,0)</f>
        <v>769211060</v>
      </c>
      <c r="J274" t="b">
        <f t="shared" si="4"/>
        <v>1</v>
      </c>
    </row>
    <row r="275" spans="1:10" hidden="1" x14ac:dyDescent="0.25">
      <c r="A275" t="s">
        <v>281</v>
      </c>
      <c r="B275" t="s">
        <v>707</v>
      </c>
      <c r="C275" t="s">
        <v>861</v>
      </c>
      <c r="D275">
        <v>43935050</v>
      </c>
      <c r="E275">
        <v>0.45</v>
      </c>
      <c r="F275">
        <v>1</v>
      </c>
      <c r="G275" t="s">
        <v>872</v>
      </c>
      <c r="H275" t="s">
        <v>873</v>
      </c>
      <c r="I275">
        <f>_xlfn.XLOOKUP(B275,[1]selection!$B$2:$B$427,[1]selection!$D$2:$D$427,0)</f>
        <v>43935050</v>
      </c>
      <c r="J275" t="b">
        <f t="shared" si="4"/>
        <v>1</v>
      </c>
    </row>
    <row r="276" spans="1:10" hidden="1" x14ac:dyDescent="0.25">
      <c r="A276" t="s">
        <v>282</v>
      </c>
      <c r="B276" t="s">
        <v>708</v>
      </c>
      <c r="C276" t="s">
        <v>863</v>
      </c>
      <c r="D276">
        <v>43744779</v>
      </c>
      <c r="E276">
        <v>0.85000000000000009</v>
      </c>
      <c r="F276">
        <v>1</v>
      </c>
      <c r="G276" t="s">
        <v>872</v>
      </c>
      <c r="H276" t="s">
        <v>873</v>
      </c>
      <c r="I276">
        <f>_xlfn.XLOOKUP(B276,[1]selection!$B$2:$B$427,[1]selection!$D$2:$D$427,0)</f>
        <v>43744779</v>
      </c>
      <c r="J276" t="b">
        <f t="shared" si="4"/>
        <v>1</v>
      </c>
    </row>
    <row r="277" spans="1:10" hidden="1" x14ac:dyDescent="0.25">
      <c r="A277" t="s">
        <v>283</v>
      </c>
      <c r="B277" t="s">
        <v>709</v>
      </c>
      <c r="C277" t="s">
        <v>861</v>
      </c>
      <c r="D277">
        <v>1172545414</v>
      </c>
      <c r="E277">
        <v>0.45</v>
      </c>
      <c r="F277">
        <v>1</v>
      </c>
      <c r="G277" t="s">
        <v>872</v>
      </c>
      <c r="H277" t="s">
        <v>873</v>
      </c>
      <c r="I277">
        <f>_xlfn.XLOOKUP(B277,[1]selection!$B$2:$B$427,[1]selection!$D$2:$D$427,0)</f>
        <v>1172545414</v>
      </c>
      <c r="J277" t="b">
        <f t="shared" si="4"/>
        <v>1</v>
      </c>
    </row>
    <row r="278" spans="1:10" hidden="1" x14ac:dyDescent="0.25">
      <c r="A278" t="s">
        <v>284</v>
      </c>
      <c r="B278" t="s">
        <v>710</v>
      </c>
      <c r="C278" t="s">
        <v>862</v>
      </c>
      <c r="D278">
        <v>269000000</v>
      </c>
      <c r="E278">
        <v>0.95000000000000007</v>
      </c>
      <c r="F278">
        <v>1</v>
      </c>
      <c r="G278" t="s">
        <v>872</v>
      </c>
      <c r="H278" t="s">
        <v>873</v>
      </c>
      <c r="I278">
        <f>_xlfn.XLOOKUP(B278,[1]selection!$B$2:$B$427,[1]selection!$D$2:$D$427,0)</f>
        <v>269000000</v>
      </c>
      <c r="J278" t="b">
        <f t="shared" si="4"/>
        <v>1</v>
      </c>
    </row>
    <row r="279" spans="1:10" hidden="1" x14ac:dyDescent="0.25">
      <c r="A279" t="s">
        <v>285</v>
      </c>
      <c r="B279" t="s">
        <v>711</v>
      </c>
      <c r="C279" t="s">
        <v>867</v>
      </c>
      <c r="D279">
        <v>138921740</v>
      </c>
      <c r="E279">
        <v>0.9</v>
      </c>
      <c r="F279">
        <v>1</v>
      </c>
      <c r="G279" t="s">
        <v>872</v>
      </c>
      <c r="H279" t="s">
        <v>873</v>
      </c>
      <c r="I279">
        <f>_xlfn.XLOOKUP(B279,[1]selection!$B$2:$B$427,[1]selection!$D$2:$D$427,0)</f>
        <v>138921740</v>
      </c>
      <c r="J279" t="b">
        <f t="shared" si="4"/>
        <v>1</v>
      </c>
    </row>
    <row r="280" spans="1:10" hidden="1" x14ac:dyDescent="0.25">
      <c r="A280" t="s">
        <v>286</v>
      </c>
      <c r="B280" t="s">
        <v>712</v>
      </c>
      <c r="C280" t="s">
        <v>860</v>
      </c>
      <c r="D280">
        <v>236450360</v>
      </c>
      <c r="E280">
        <v>0.55000000000000004</v>
      </c>
      <c r="F280">
        <v>1</v>
      </c>
      <c r="G280" t="s">
        <v>872</v>
      </c>
      <c r="H280" t="s">
        <v>873</v>
      </c>
      <c r="I280">
        <f>_xlfn.XLOOKUP(B280,[1]selection!$B$2:$B$427,[1]selection!$D$2:$D$427,0)</f>
        <v>236450360</v>
      </c>
      <c r="J280" t="b">
        <f t="shared" si="4"/>
        <v>1</v>
      </c>
    </row>
    <row r="281" spans="1:10" hidden="1" x14ac:dyDescent="0.25">
      <c r="A281" t="s">
        <v>287</v>
      </c>
      <c r="B281" t="s">
        <v>713</v>
      </c>
      <c r="C281" t="s">
        <v>869</v>
      </c>
      <c r="D281">
        <v>515161380</v>
      </c>
      <c r="E281">
        <v>0.35</v>
      </c>
      <c r="F281">
        <v>1</v>
      </c>
      <c r="G281" t="s">
        <v>872</v>
      </c>
      <c r="H281" t="s">
        <v>873</v>
      </c>
      <c r="I281">
        <f>_xlfn.XLOOKUP(B281,[1]selection!$B$2:$B$427,[1]selection!$D$2:$D$427,0)</f>
        <v>515161380</v>
      </c>
      <c r="J281" t="b">
        <f t="shared" si="4"/>
        <v>1</v>
      </c>
    </row>
    <row r="282" spans="1:10" hidden="1" x14ac:dyDescent="0.25">
      <c r="A282" t="s">
        <v>288</v>
      </c>
      <c r="B282" t="s">
        <v>714</v>
      </c>
      <c r="C282" t="s">
        <v>867</v>
      </c>
      <c r="D282">
        <v>16989977</v>
      </c>
      <c r="E282">
        <v>0.95</v>
      </c>
      <c r="F282">
        <v>1</v>
      </c>
      <c r="G282" t="s">
        <v>872</v>
      </c>
      <c r="H282" t="s">
        <v>873</v>
      </c>
      <c r="I282">
        <f>_xlfn.XLOOKUP(B282,[1]selection!$B$2:$B$427,[1]selection!$D$2:$D$427,0)</f>
        <v>16989977</v>
      </c>
      <c r="J282" t="b">
        <f t="shared" si="4"/>
        <v>1</v>
      </c>
    </row>
    <row r="283" spans="1:10" hidden="1" x14ac:dyDescent="0.25">
      <c r="A283" t="s">
        <v>289</v>
      </c>
      <c r="B283" t="s">
        <v>715</v>
      </c>
      <c r="C283" t="s">
        <v>863</v>
      </c>
      <c r="D283">
        <v>144022153</v>
      </c>
      <c r="E283">
        <v>0.4</v>
      </c>
      <c r="F283">
        <v>1</v>
      </c>
      <c r="G283" t="s">
        <v>872</v>
      </c>
      <c r="H283" t="s">
        <v>873</v>
      </c>
      <c r="I283">
        <f>_xlfn.XLOOKUP(B283,[1]selection!$B$2:$B$427,[1]selection!$D$2:$D$427,0)</f>
        <v>144022153</v>
      </c>
      <c r="J283" t="b">
        <f t="shared" si="4"/>
        <v>1</v>
      </c>
    </row>
    <row r="284" spans="1:10" hidden="1" x14ac:dyDescent="0.25">
      <c r="A284" t="s">
        <v>290</v>
      </c>
      <c r="B284" t="s">
        <v>716</v>
      </c>
      <c r="C284" t="s">
        <v>863</v>
      </c>
      <c r="D284">
        <v>2660056599</v>
      </c>
      <c r="E284">
        <v>0.65</v>
      </c>
      <c r="F284">
        <v>1</v>
      </c>
      <c r="G284" t="s">
        <v>872</v>
      </c>
      <c r="H284" t="s">
        <v>873</v>
      </c>
      <c r="I284">
        <f>_xlfn.XLOOKUP(B284,[1]selection!$B$2:$B$427,[1]selection!$D$2:$D$427,0)</f>
        <v>2660056599</v>
      </c>
      <c r="J284" t="b">
        <f t="shared" si="4"/>
        <v>1</v>
      </c>
    </row>
    <row r="285" spans="1:10" hidden="1" x14ac:dyDescent="0.25">
      <c r="A285" t="s">
        <v>291</v>
      </c>
      <c r="B285" t="s">
        <v>717</v>
      </c>
      <c r="C285" t="s">
        <v>870</v>
      </c>
      <c r="D285">
        <v>107233804</v>
      </c>
      <c r="E285">
        <v>0.95000000000000007</v>
      </c>
      <c r="F285">
        <v>1</v>
      </c>
      <c r="G285" t="s">
        <v>872</v>
      </c>
      <c r="H285" t="s">
        <v>873</v>
      </c>
      <c r="I285">
        <f>_xlfn.XLOOKUP(B285,[1]selection!$B$2:$B$427,[1]selection!$D$2:$D$427,0)</f>
        <v>107233804</v>
      </c>
      <c r="J285" t="b">
        <f t="shared" si="4"/>
        <v>1</v>
      </c>
    </row>
    <row r="286" spans="1:10" hidden="1" x14ac:dyDescent="0.25">
      <c r="A286" t="s">
        <v>292</v>
      </c>
      <c r="B286" t="s">
        <v>718</v>
      </c>
      <c r="C286" t="s">
        <v>867</v>
      </c>
      <c r="D286">
        <v>109292460</v>
      </c>
      <c r="E286">
        <v>1</v>
      </c>
      <c r="F286">
        <v>1</v>
      </c>
      <c r="G286" t="s">
        <v>872</v>
      </c>
      <c r="H286" t="s">
        <v>873</v>
      </c>
      <c r="I286">
        <f>_xlfn.XLOOKUP(B286,[1]selection!$B$2:$B$427,[1]selection!$D$2:$D$427,0)</f>
        <v>109292460</v>
      </c>
      <c r="J286" t="b">
        <f t="shared" si="4"/>
        <v>1</v>
      </c>
    </row>
    <row r="287" spans="1:10" hidden="1" x14ac:dyDescent="0.25">
      <c r="A287" t="s">
        <v>293</v>
      </c>
      <c r="B287" t="s">
        <v>719</v>
      </c>
      <c r="C287" t="s">
        <v>868</v>
      </c>
      <c r="D287">
        <v>67552640</v>
      </c>
      <c r="E287">
        <v>0.45</v>
      </c>
      <c r="F287">
        <v>1</v>
      </c>
      <c r="G287" t="s">
        <v>872</v>
      </c>
      <c r="H287" t="s">
        <v>873</v>
      </c>
      <c r="I287">
        <f>_xlfn.XLOOKUP(B287,[1]selection!$B$2:$B$427,[1]selection!$D$2:$D$427,0)</f>
        <v>67552640</v>
      </c>
      <c r="J287" t="b">
        <f t="shared" si="4"/>
        <v>1</v>
      </c>
    </row>
    <row r="288" spans="1:10" hidden="1" x14ac:dyDescent="0.25">
      <c r="A288" t="s">
        <v>294</v>
      </c>
      <c r="B288" t="s">
        <v>720</v>
      </c>
      <c r="C288" t="s">
        <v>867</v>
      </c>
      <c r="D288">
        <v>473016850</v>
      </c>
      <c r="E288">
        <v>0.8</v>
      </c>
      <c r="F288">
        <v>1</v>
      </c>
      <c r="G288" t="s">
        <v>872</v>
      </c>
      <c r="H288" t="s">
        <v>873</v>
      </c>
      <c r="I288">
        <f>_xlfn.XLOOKUP(B288,[1]selection!$B$2:$B$427,[1]selection!$D$2:$D$427,0)</f>
        <v>473016850</v>
      </c>
      <c r="J288" t="b">
        <f t="shared" si="4"/>
        <v>1</v>
      </c>
    </row>
    <row r="289" spans="1:10" hidden="1" x14ac:dyDescent="0.25">
      <c r="A289" t="s">
        <v>295</v>
      </c>
      <c r="B289" t="s">
        <v>721</v>
      </c>
      <c r="C289" t="s">
        <v>861</v>
      </c>
      <c r="D289">
        <v>255032123</v>
      </c>
      <c r="E289">
        <v>0.70000000000000007</v>
      </c>
      <c r="F289">
        <v>1</v>
      </c>
      <c r="G289" t="s">
        <v>872</v>
      </c>
      <c r="H289" t="s">
        <v>873</v>
      </c>
      <c r="I289">
        <f>_xlfn.XLOOKUP(B289,[1]selection!$B$2:$B$427,[1]selection!$D$2:$D$427,0)</f>
        <v>255032123</v>
      </c>
      <c r="J289" t="b">
        <f t="shared" si="4"/>
        <v>1</v>
      </c>
    </row>
    <row r="290" spans="1:10" hidden="1" x14ac:dyDescent="0.25">
      <c r="A290" t="s">
        <v>296</v>
      </c>
      <c r="B290" t="s">
        <v>722</v>
      </c>
      <c r="C290" t="s">
        <v>868</v>
      </c>
      <c r="D290">
        <v>37593258</v>
      </c>
      <c r="E290">
        <v>0.45</v>
      </c>
      <c r="F290">
        <v>1</v>
      </c>
      <c r="G290" t="s">
        <v>872</v>
      </c>
      <c r="H290" t="s">
        <v>873</v>
      </c>
      <c r="I290">
        <f>_xlfn.XLOOKUP(B290,[1]selection!$B$2:$B$427,[1]selection!$D$2:$D$427,0)</f>
        <v>37593258</v>
      </c>
      <c r="J290" t="b">
        <f t="shared" si="4"/>
        <v>1</v>
      </c>
    </row>
    <row r="291" spans="1:10" hidden="1" x14ac:dyDescent="0.25">
      <c r="A291" t="s">
        <v>297</v>
      </c>
      <c r="B291" t="s">
        <v>723</v>
      </c>
      <c r="C291" t="s">
        <v>863</v>
      </c>
      <c r="D291">
        <v>252269195</v>
      </c>
      <c r="E291">
        <v>0.8</v>
      </c>
      <c r="F291">
        <v>1</v>
      </c>
      <c r="G291" t="s">
        <v>872</v>
      </c>
      <c r="H291" t="s">
        <v>873</v>
      </c>
      <c r="I291">
        <f>_xlfn.XLOOKUP(B291,[1]selection!$B$2:$B$427,[1]selection!$D$2:$D$427,0)</f>
        <v>252269195</v>
      </c>
      <c r="J291" t="b">
        <f t="shared" si="4"/>
        <v>1</v>
      </c>
    </row>
    <row r="292" spans="1:10" hidden="1" x14ac:dyDescent="0.25">
      <c r="A292" t="s">
        <v>298</v>
      </c>
      <c r="B292" t="s">
        <v>724</v>
      </c>
      <c r="C292" t="s">
        <v>864</v>
      </c>
      <c r="D292">
        <v>18000000</v>
      </c>
      <c r="E292">
        <v>0.75</v>
      </c>
      <c r="F292">
        <v>1</v>
      </c>
      <c r="G292" t="s">
        <v>872</v>
      </c>
      <c r="H292" t="s">
        <v>873</v>
      </c>
      <c r="I292">
        <f>_xlfn.XLOOKUP(B292,[1]selection!$B$2:$B$427,[1]selection!$D$2:$D$427,0)</f>
        <v>18000000</v>
      </c>
      <c r="J292" t="b">
        <f t="shared" si="4"/>
        <v>1</v>
      </c>
    </row>
    <row r="293" spans="1:10" hidden="1" x14ac:dyDescent="0.25">
      <c r="A293" t="s">
        <v>299</v>
      </c>
      <c r="B293" t="s">
        <v>725</v>
      </c>
      <c r="C293" t="s">
        <v>862</v>
      </c>
      <c r="D293">
        <v>685147615</v>
      </c>
      <c r="E293">
        <v>1</v>
      </c>
      <c r="F293">
        <v>1</v>
      </c>
      <c r="G293" t="s">
        <v>872</v>
      </c>
      <c r="H293" t="s">
        <v>873</v>
      </c>
      <c r="I293">
        <f>_xlfn.XLOOKUP(B293,[1]selection!$B$2:$B$427,[1]selection!$D$2:$D$427,0)</f>
        <v>685147615</v>
      </c>
      <c r="J293" t="b">
        <f t="shared" si="4"/>
        <v>1</v>
      </c>
    </row>
    <row r="294" spans="1:10" hidden="1" x14ac:dyDescent="0.25">
      <c r="A294" t="s">
        <v>300</v>
      </c>
      <c r="B294" t="s">
        <v>726</v>
      </c>
      <c r="C294" t="s">
        <v>862</v>
      </c>
      <c r="D294">
        <v>962920132</v>
      </c>
      <c r="E294">
        <v>0.8</v>
      </c>
      <c r="F294">
        <v>1</v>
      </c>
      <c r="G294" t="s">
        <v>872</v>
      </c>
      <c r="H294" t="s">
        <v>873</v>
      </c>
      <c r="I294">
        <f>_xlfn.XLOOKUP(B294,[1]selection!$B$2:$B$427,[1]selection!$D$2:$D$427,0)</f>
        <v>962920132</v>
      </c>
      <c r="J294" t="b">
        <f t="shared" si="4"/>
        <v>1</v>
      </c>
    </row>
    <row r="295" spans="1:10" hidden="1" x14ac:dyDescent="0.25">
      <c r="A295" t="s">
        <v>301</v>
      </c>
      <c r="B295" t="s">
        <v>727</v>
      </c>
      <c r="C295" t="s">
        <v>867</v>
      </c>
      <c r="D295">
        <v>22620136</v>
      </c>
      <c r="E295">
        <v>0.65</v>
      </c>
      <c r="F295">
        <v>1</v>
      </c>
      <c r="G295" t="s">
        <v>872</v>
      </c>
      <c r="H295" t="s">
        <v>873</v>
      </c>
      <c r="I295">
        <f>_xlfn.XLOOKUP(B295,[1]selection!$B$2:$B$427,[1]selection!$D$2:$D$427,0)</f>
        <v>22620136</v>
      </c>
      <c r="J295" t="b">
        <f t="shared" si="4"/>
        <v>1</v>
      </c>
    </row>
    <row r="296" spans="1:10" hidden="1" x14ac:dyDescent="0.25">
      <c r="A296" t="s">
        <v>302</v>
      </c>
      <c r="B296" t="s">
        <v>728</v>
      </c>
      <c r="C296" t="s">
        <v>861</v>
      </c>
      <c r="D296">
        <v>1000000000</v>
      </c>
      <c r="E296">
        <v>0.35</v>
      </c>
      <c r="F296">
        <v>1</v>
      </c>
      <c r="G296" t="s">
        <v>872</v>
      </c>
      <c r="H296" t="s">
        <v>873</v>
      </c>
      <c r="I296">
        <f>_xlfn.XLOOKUP(B296,[1]selection!$B$2:$B$427,[1]selection!$D$2:$D$427,0)</f>
        <v>1000000000</v>
      </c>
      <c r="J296" t="b">
        <f t="shared" si="4"/>
        <v>1</v>
      </c>
    </row>
    <row r="297" spans="1:10" hidden="1" x14ac:dyDescent="0.25">
      <c r="A297" t="s">
        <v>303</v>
      </c>
      <c r="B297" t="s">
        <v>729</v>
      </c>
      <c r="C297" t="s">
        <v>863</v>
      </c>
      <c r="D297">
        <v>147174692</v>
      </c>
      <c r="E297">
        <v>0.55000000000000004</v>
      </c>
      <c r="F297">
        <v>1</v>
      </c>
      <c r="G297" t="s">
        <v>872</v>
      </c>
      <c r="H297" t="s">
        <v>873</v>
      </c>
      <c r="I297">
        <f>_xlfn.XLOOKUP(B297,[1]selection!$B$2:$B$427,[1]selection!$D$2:$D$427,0)</f>
        <v>147174692</v>
      </c>
      <c r="J297" t="b">
        <f t="shared" si="4"/>
        <v>1</v>
      </c>
    </row>
    <row r="298" spans="1:10" hidden="1" x14ac:dyDescent="0.25">
      <c r="A298" t="s">
        <v>304</v>
      </c>
      <c r="B298" t="s">
        <v>730</v>
      </c>
      <c r="C298" t="s">
        <v>868</v>
      </c>
      <c r="D298">
        <v>39278250</v>
      </c>
      <c r="E298">
        <v>0.4</v>
      </c>
      <c r="F298">
        <v>1</v>
      </c>
      <c r="G298" t="s">
        <v>872</v>
      </c>
      <c r="H298" t="s">
        <v>873</v>
      </c>
      <c r="I298">
        <f>_xlfn.XLOOKUP(B298,[1]selection!$B$2:$B$427,[1]selection!$D$2:$D$427,0)</f>
        <v>39278250</v>
      </c>
      <c r="J298" t="b">
        <f t="shared" si="4"/>
        <v>1</v>
      </c>
    </row>
    <row r="299" spans="1:10" hidden="1" x14ac:dyDescent="0.25">
      <c r="A299" t="s">
        <v>305</v>
      </c>
      <c r="B299" t="s">
        <v>731</v>
      </c>
      <c r="C299" t="s">
        <v>860</v>
      </c>
      <c r="D299">
        <v>455500000</v>
      </c>
      <c r="E299">
        <v>0.25</v>
      </c>
      <c r="F299">
        <v>1</v>
      </c>
      <c r="G299" t="s">
        <v>872</v>
      </c>
      <c r="H299" t="s">
        <v>873</v>
      </c>
      <c r="I299">
        <f>_xlfn.XLOOKUP(B299,[1]selection!$B$2:$B$427,[1]selection!$D$2:$D$427,0)</f>
        <v>455500000</v>
      </c>
      <c r="J299" t="b">
        <f t="shared" si="4"/>
        <v>1</v>
      </c>
    </row>
    <row r="300" spans="1:10" hidden="1" x14ac:dyDescent="0.25">
      <c r="A300" t="s">
        <v>306</v>
      </c>
      <c r="B300" t="s">
        <v>732</v>
      </c>
      <c r="C300" t="s">
        <v>860</v>
      </c>
      <c r="D300">
        <v>153124980</v>
      </c>
      <c r="E300">
        <v>1</v>
      </c>
      <c r="F300">
        <v>1</v>
      </c>
      <c r="G300" t="s">
        <v>872</v>
      </c>
      <c r="H300" t="s">
        <v>873</v>
      </c>
      <c r="I300">
        <f>_xlfn.XLOOKUP(B300,[1]selection!$B$2:$B$427,[1]selection!$D$2:$D$427,0)</f>
        <v>153124980</v>
      </c>
      <c r="J300" t="b">
        <f t="shared" si="4"/>
        <v>1</v>
      </c>
    </row>
    <row r="301" spans="1:10" hidden="1" x14ac:dyDescent="0.25">
      <c r="A301" t="s">
        <v>307</v>
      </c>
      <c r="B301" t="s">
        <v>733</v>
      </c>
      <c r="C301" t="s">
        <v>861</v>
      </c>
      <c r="D301">
        <v>1306110000</v>
      </c>
      <c r="E301">
        <v>0.35</v>
      </c>
      <c r="F301">
        <v>1</v>
      </c>
      <c r="G301" t="s">
        <v>872</v>
      </c>
      <c r="H301" t="s">
        <v>873</v>
      </c>
      <c r="I301">
        <f>_xlfn.XLOOKUP(B301,[1]selection!$B$2:$B$427,[1]selection!$D$2:$D$427,0)</f>
        <v>1306110000</v>
      </c>
      <c r="J301" t="b">
        <f t="shared" si="4"/>
        <v>1</v>
      </c>
    </row>
    <row r="302" spans="1:10" hidden="1" x14ac:dyDescent="0.25">
      <c r="A302" t="s">
        <v>308</v>
      </c>
      <c r="B302" t="s">
        <v>734</v>
      </c>
      <c r="C302" t="s">
        <v>865</v>
      </c>
      <c r="D302">
        <v>338025135</v>
      </c>
      <c r="E302">
        <v>0.4</v>
      </c>
      <c r="F302">
        <v>1</v>
      </c>
      <c r="G302" t="s">
        <v>872</v>
      </c>
      <c r="H302" t="s">
        <v>873</v>
      </c>
      <c r="I302">
        <f>_xlfn.XLOOKUP(B302,[1]selection!$B$2:$B$427,[1]selection!$D$2:$D$427,0)</f>
        <v>338025135</v>
      </c>
      <c r="J302" t="b">
        <f t="shared" si="4"/>
        <v>1</v>
      </c>
    </row>
    <row r="303" spans="1:10" hidden="1" x14ac:dyDescent="0.25">
      <c r="A303" t="s">
        <v>309</v>
      </c>
      <c r="B303" t="s">
        <v>735</v>
      </c>
      <c r="C303" t="s">
        <v>863</v>
      </c>
      <c r="D303">
        <v>254311860</v>
      </c>
      <c r="E303">
        <v>0.95000000000000007</v>
      </c>
      <c r="F303">
        <v>1</v>
      </c>
      <c r="G303" t="s">
        <v>872</v>
      </c>
      <c r="H303" t="s">
        <v>873</v>
      </c>
      <c r="I303">
        <f>_xlfn.XLOOKUP(B303,[1]selection!$B$2:$B$427,[1]selection!$D$2:$D$427,0)</f>
        <v>254311860</v>
      </c>
      <c r="J303" t="b">
        <f t="shared" si="4"/>
        <v>1</v>
      </c>
    </row>
    <row r="304" spans="1:10" hidden="1" x14ac:dyDescent="0.25">
      <c r="A304" t="s">
        <v>310</v>
      </c>
      <c r="B304" t="s">
        <v>736</v>
      </c>
      <c r="C304" t="s">
        <v>864</v>
      </c>
      <c r="D304">
        <v>174819670</v>
      </c>
      <c r="E304">
        <v>0.7</v>
      </c>
      <c r="F304">
        <v>1</v>
      </c>
      <c r="G304" t="s">
        <v>872</v>
      </c>
      <c r="H304" t="s">
        <v>873</v>
      </c>
      <c r="I304">
        <f>_xlfn.XLOOKUP(B304,[1]selection!$B$2:$B$427,[1]selection!$D$2:$D$427,0)</f>
        <v>174819670</v>
      </c>
      <c r="J304" t="b">
        <f t="shared" si="4"/>
        <v>1</v>
      </c>
    </row>
    <row r="305" spans="1:10" hidden="1" x14ac:dyDescent="0.25">
      <c r="A305" t="s">
        <v>311</v>
      </c>
      <c r="B305" t="s">
        <v>737</v>
      </c>
      <c r="C305" t="s">
        <v>860</v>
      </c>
      <c r="D305">
        <v>148007920</v>
      </c>
      <c r="E305">
        <v>0.7</v>
      </c>
      <c r="F305">
        <v>1</v>
      </c>
      <c r="G305" t="s">
        <v>872</v>
      </c>
      <c r="H305" t="s">
        <v>873</v>
      </c>
      <c r="I305">
        <f>_xlfn.XLOOKUP(B305,[1]selection!$B$2:$B$427,[1]selection!$D$2:$D$427,0)</f>
        <v>148007920</v>
      </c>
      <c r="J305" t="b">
        <f t="shared" si="4"/>
        <v>1</v>
      </c>
    </row>
    <row r="306" spans="1:10" hidden="1" x14ac:dyDescent="0.25">
      <c r="A306" t="s">
        <v>312</v>
      </c>
      <c r="B306" t="s">
        <v>738</v>
      </c>
      <c r="C306" t="s">
        <v>867</v>
      </c>
      <c r="D306">
        <v>84776955</v>
      </c>
      <c r="E306">
        <v>1</v>
      </c>
      <c r="F306">
        <v>1</v>
      </c>
      <c r="G306" t="s">
        <v>872</v>
      </c>
      <c r="H306" t="s">
        <v>873</v>
      </c>
      <c r="I306">
        <f>_xlfn.XLOOKUP(B306,[1]selection!$B$2:$B$427,[1]selection!$D$2:$D$427,0)</f>
        <v>84776955</v>
      </c>
      <c r="J306" t="b">
        <f t="shared" si="4"/>
        <v>1</v>
      </c>
    </row>
    <row r="307" spans="1:10" hidden="1" x14ac:dyDescent="0.25">
      <c r="A307" t="s">
        <v>313</v>
      </c>
      <c r="B307" t="s">
        <v>739</v>
      </c>
      <c r="C307" t="s">
        <v>860</v>
      </c>
      <c r="D307">
        <v>216841000</v>
      </c>
      <c r="E307">
        <v>1</v>
      </c>
      <c r="F307">
        <v>1</v>
      </c>
      <c r="G307" t="s">
        <v>872</v>
      </c>
      <c r="H307" t="s">
        <v>873</v>
      </c>
      <c r="I307">
        <f>_xlfn.XLOOKUP(B307,[1]selection!$B$2:$B$427,[1]selection!$D$2:$D$427,0)</f>
        <v>216841000</v>
      </c>
      <c r="J307" t="b">
        <f t="shared" si="4"/>
        <v>1</v>
      </c>
    </row>
    <row r="308" spans="1:10" hidden="1" x14ac:dyDescent="0.25">
      <c r="A308" t="s">
        <v>314</v>
      </c>
      <c r="B308" t="s">
        <v>740</v>
      </c>
      <c r="C308" t="s">
        <v>867</v>
      </c>
      <c r="D308">
        <v>25470211</v>
      </c>
      <c r="E308">
        <v>0.8</v>
      </c>
      <c r="F308">
        <v>1</v>
      </c>
      <c r="G308" t="s">
        <v>872</v>
      </c>
      <c r="H308" t="s">
        <v>873</v>
      </c>
      <c r="I308">
        <f>_xlfn.XLOOKUP(B308,[1]selection!$B$2:$B$427,[1]selection!$D$2:$D$427,0)</f>
        <v>25470211</v>
      </c>
      <c r="J308" t="b">
        <f t="shared" si="4"/>
        <v>1</v>
      </c>
    </row>
    <row r="309" spans="1:10" hidden="1" x14ac:dyDescent="0.25">
      <c r="A309" t="s">
        <v>315</v>
      </c>
      <c r="B309" t="s">
        <v>741</v>
      </c>
      <c r="C309" t="s">
        <v>861</v>
      </c>
      <c r="D309">
        <v>272000000</v>
      </c>
      <c r="E309">
        <v>0.35</v>
      </c>
      <c r="F309">
        <v>1</v>
      </c>
      <c r="G309" t="s">
        <v>872</v>
      </c>
      <c r="H309" t="s">
        <v>873</v>
      </c>
      <c r="I309">
        <f>_xlfn.XLOOKUP(B309,[1]selection!$B$2:$B$427,[1]selection!$D$2:$D$427,0)</f>
        <v>272000000</v>
      </c>
      <c r="J309" t="b">
        <f t="shared" si="4"/>
        <v>1</v>
      </c>
    </row>
    <row r="310" spans="1:10" hidden="1" x14ac:dyDescent="0.25">
      <c r="A310" t="s">
        <v>316</v>
      </c>
      <c r="B310" t="s">
        <v>742</v>
      </c>
      <c r="C310" t="s">
        <v>868</v>
      </c>
      <c r="D310">
        <v>328939640</v>
      </c>
      <c r="E310">
        <v>0.4</v>
      </c>
      <c r="F310">
        <v>1</v>
      </c>
      <c r="G310" t="s">
        <v>872</v>
      </c>
      <c r="H310" t="s">
        <v>873</v>
      </c>
      <c r="I310">
        <f>_xlfn.XLOOKUP(B310,[1]selection!$B$2:$B$427,[1]selection!$D$2:$D$427,0)</f>
        <v>328939640</v>
      </c>
      <c r="J310" t="b">
        <f t="shared" si="4"/>
        <v>1</v>
      </c>
    </row>
    <row r="311" spans="1:10" hidden="1" x14ac:dyDescent="0.25">
      <c r="A311" t="s">
        <v>317</v>
      </c>
      <c r="B311" t="s">
        <v>743</v>
      </c>
      <c r="C311" t="s">
        <v>867</v>
      </c>
      <c r="D311">
        <v>129162900</v>
      </c>
      <c r="E311">
        <v>1</v>
      </c>
      <c r="F311">
        <v>1</v>
      </c>
      <c r="G311" t="s">
        <v>872</v>
      </c>
      <c r="H311" t="s">
        <v>873</v>
      </c>
      <c r="I311">
        <f>_xlfn.XLOOKUP(B311,[1]selection!$B$2:$B$427,[1]selection!$D$2:$D$427,0)</f>
        <v>129162900</v>
      </c>
      <c r="J311" t="b">
        <f t="shared" si="4"/>
        <v>1</v>
      </c>
    </row>
    <row r="312" spans="1:10" hidden="1" x14ac:dyDescent="0.25">
      <c r="A312" t="s">
        <v>318</v>
      </c>
      <c r="B312" t="s">
        <v>744</v>
      </c>
      <c r="C312" t="s">
        <v>862</v>
      </c>
      <c r="D312">
        <v>175977424</v>
      </c>
      <c r="E312">
        <v>0.55000000000000004</v>
      </c>
      <c r="F312">
        <v>1</v>
      </c>
      <c r="G312" t="s">
        <v>872</v>
      </c>
      <c r="H312" t="s">
        <v>873</v>
      </c>
      <c r="I312">
        <f>_xlfn.XLOOKUP(B312,[1]selection!$B$2:$B$427,[1]selection!$D$2:$D$427,0)</f>
        <v>175977424</v>
      </c>
      <c r="J312" t="b">
        <f t="shared" si="4"/>
        <v>1</v>
      </c>
    </row>
    <row r="313" spans="1:10" hidden="1" x14ac:dyDescent="0.25">
      <c r="A313" t="s">
        <v>319</v>
      </c>
      <c r="B313" t="s">
        <v>745</v>
      </c>
      <c r="C313" t="s">
        <v>860</v>
      </c>
      <c r="D313">
        <v>11370000</v>
      </c>
      <c r="E313">
        <v>0.45</v>
      </c>
      <c r="F313">
        <v>1</v>
      </c>
      <c r="G313" t="s">
        <v>872</v>
      </c>
      <c r="H313" t="s">
        <v>873</v>
      </c>
      <c r="I313">
        <f>_xlfn.XLOOKUP(B313,[1]selection!$B$2:$B$427,[1]selection!$D$2:$D$427,0)</f>
        <v>11370000</v>
      </c>
      <c r="J313" t="b">
        <f t="shared" si="4"/>
        <v>1</v>
      </c>
    </row>
    <row r="314" spans="1:10" hidden="1" x14ac:dyDescent="0.25">
      <c r="A314" t="s">
        <v>320</v>
      </c>
      <c r="B314" t="s">
        <v>746</v>
      </c>
      <c r="C314" t="s">
        <v>861</v>
      </c>
      <c r="D314">
        <v>209125156</v>
      </c>
      <c r="E314">
        <v>0.55000000000000004</v>
      </c>
      <c r="F314">
        <v>1</v>
      </c>
      <c r="G314" t="s">
        <v>872</v>
      </c>
      <c r="H314" t="s">
        <v>873</v>
      </c>
      <c r="I314">
        <f>_xlfn.XLOOKUP(B314,[1]selection!$B$2:$B$427,[1]selection!$D$2:$D$427,0)</f>
        <v>209125156</v>
      </c>
      <c r="J314" t="b">
        <f t="shared" si="4"/>
        <v>1</v>
      </c>
    </row>
    <row r="315" spans="1:10" hidden="1" x14ac:dyDescent="0.25">
      <c r="A315" t="s">
        <v>321</v>
      </c>
      <c r="B315" t="s">
        <v>747</v>
      </c>
      <c r="C315" t="s">
        <v>860</v>
      </c>
      <c r="D315">
        <v>20578390</v>
      </c>
      <c r="E315">
        <v>0.9</v>
      </c>
      <c r="F315">
        <v>1</v>
      </c>
      <c r="G315" t="s">
        <v>872</v>
      </c>
      <c r="H315" t="s">
        <v>873</v>
      </c>
      <c r="I315">
        <f>_xlfn.XLOOKUP(B315,[1]selection!$B$2:$B$427,[1]selection!$D$2:$D$427,0)</f>
        <v>20578390</v>
      </c>
      <c r="J315" t="b">
        <f t="shared" si="4"/>
        <v>1</v>
      </c>
    </row>
    <row r="316" spans="1:10" hidden="1" x14ac:dyDescent="0.25">
      <c r="A316" t="s">
        <v>322</v>
      </c>
      <c r="B316" t="s">
        <v>748</v>
      </c>
      <c r="C316" t="s">
        <v>864</v>
      </c>
      <c r="D316">
        <v>541080000</v>
      </c>
      <c r="E316">
        <v>0.75</v>
      </c>
      <c r="F316">
        <v>1</v>
      </c>
      <c r="G316" t="s">
        <v>872</v>
      </c>
      <c r="H316" t="s">
        <v>873</v>
      </c>
      <c r="I316">
        <f>_xlfn.XLOOKUP(B316,[1]selection!$B$2:$B$427,[1]selection!$D$2:$D$427,0)</f>
        <v>541080000</v>
      </c>
      <c r="J316" t="b">
        <f t="shared" si="4"/>
        <v>1</v>
      </c>
    </row>
    <row r="317" spans="1:10" hidden="1" x14ac:dyDescent="0.25">
      <c r="A317" t="s">
        <v>323</v>
      </c>
      <c r="B317" t="s">
        <v>749</v>
      </c>
      <c r="C317" t="s">
        <v>863</v>
      </c>
      <c r="D317">
        <v>52589879</v>
      </c>
      <c r="E317">
        <v>0.4</v>
      </c>
      <c r="F317">
        <v>1</v>
      </c>
      <c r="G317" t="s">
        <v>872</v>
      </c>
      <c r="H317" t="s">
        <v>873</v>
      </c>
      <c r="I317">
        <f>_xlfn.XLOOKUP(B317,[1]selection!$B$2:$B$427,[1]selection!$D$2:$D$427,0)</f>
        <v>52589879</v>
      </c>
      <c r="J317" t="b">
        <f t="shared" si="4"/>
        <v>1</v>
      </c>
    </row>
    <row r="318" spans="1:10" hidden="1" x14ac:dyDescent="0.25">
      <c r="A318" t="s">
        <v>324</v>
      </c>
      <c r="B318" t="s">
        <v>750</v>
      </c>
      <c r="C318" t="s">
        <v>869</v>
      </c>
      <c r="D318">
        <v>667191262</v>
      </c>
      <c r="E318">
        <v>0.5</v>
      </c>
      <c r="F318">
        <v>1</v>
      </c>
      <c r="G318" t="s">
        <v>872</v>
      </c>
      <c r="H318" t="s">
        <v>873</v>
      </c>
      <c r="I318">
        <f>_xlfn.XLOOKUP(B318,[1]selection!$B$2:$B$427,[1]selection!$D$2:$D$427,0)</f>
        <v>667191262</v>
      </c>
      <c r="J318" t="b">
        <f t="shared" si="4"/>
        <v>1</v>
      </c>
    </row>
    <row r="319" spans="1:10" hidden="1" x14ac:dyDescent="0.25">
      <c r="A319" t="s">
        <v>325</v>
      </c>
      <c r="B319" t="s">
        <v>751</v>
      </c>
      <c r="C319" t="s">
        <v>863</v>
      </c>
      <c r="D319">
        <v>295722284</v>
      </c>
      <c r="E319">
        <v>0.65</v>
      </c>
      <c r="F319">
        <v>1</v>
      </c>
      <c r="G319" t="s">
        <v>872</v>
      </c>
      <c r="H319" t="s">
        <v>873</v>
      </c>
      <c r="I319">
        <f>_xlfn.XLOOKUP(B319,[1]selection!$B$2:$B$427,[1]selection!$D$2:$D$427,0)</f>
        <v>295722284</v>
      </c>
      <c r="J319" t="b">
        <f t="shared" si="4"/>
        <v>1</v>
      </c>
    </row>
    <row r="320" spans="1:10" hidden="1" x14ac:dyDescent="0.25">
      <c r="A320" t="s">
        <v>326</v>
      </c>
      <c r="B320" t="s">
        <v>752</v>
      </c>
      <c r="C320" t="s">
        <v>860</v>
      </c>
      <c r="D320">
        <v>100000000</v>
      </c>
      <c r="E320">
        <v>0.85</v>
      </c>
      <c r="F320">
        <v>1</v>
      </c>
      <c r="G320" t="s">
        <v>872</v>
      </c>
      <c r="H320" t="s">
        <v>873</v>
      </c>
      <c r="I320">
        <f>_xlfn.XLOOKUP(B320,[1]selection!$B$2:$B$427,[1]selection!$D$2:$D$427,0)</f>
        <v>100000000</v>
      </c>
      <c r="J320" t="b">
        <f t="shared" si="4"/>
        <v>1</v>
      </c>
    </row>
    <row r="321" spans="1:10" hidden="1" x14ac:dyDescent="0.25">
      <c r="A321" t="s">
        <v>327</v>
      </c>
      <c r="B321" t="s">
        <v>753</v>
      </c>
      <c r="C321" t="s">
        <v>861</v>
      </c>
      <c r="D321">
        <v>37411428</v>
      </c>
      <c r="E321">
        <v>0.65</v>
      </c>
      <c r="F321">
        <v>1</v>
      </c>
      <c r="G321" t="s">
        <v>872</v>
      </c>
      <c r="H321" t="s">
        <v>873</v>
      </c>
      <c r="I321">
        <f>_xlfn.XLOOKUP(B321,[1]selection!$B$2:$B$427,[1]selection!$D$2:$D$427,0)</f>
        <v>37411428</v>
      </c>
      <c r="J321" t="b">
        <f t="shared" si="4"/>
        <v>1</v>
      </c>
    </row>
    <row r="322" spans="1:10" hidden="1" x14ac:dyDescent="0.25">
      <c r="A322" t="s">
        <v>328</v>
      </c>
      <c r="B322" t="s">
        <v>754</v>
      </c>
      <c r="C322" t="s">
        <v>864</v>
      </c>
      <c r="D322">
        <v>1128372300</v>
      </c>
      <c r="E322">
        <v>1</v>
      </c>
      <c r="F322">
        <v>1</v>
      </c>
      <c r="G322" t="s">
        <v>872</v>
      </c>
      <c r="H322" t="s">
        <v>873</v>
      </c>
      <c r="I322">
        <f>_xlfn.XLOOKUP(B322,[1]selection!$B$2:$B$427,[1]selection!$D$2:$D$427,0)</f>
        <v>1128372300</v>
      </c>
      <c r="J322" t="b">
        <f t="shared" si="4"/>
        <v>1</v>
      </c>
    </row>
    <row r="323" spans="1:10" hidden="1" x14ac:dyDescent="0.25">
      <c r="A323" t="s">
        <v>329</v>
      </c>
      <c r="B323" t="s">
        <v>755</v>
      </c>
      <c r="C323" t="s">
        <v>865</v>
      </c>
      <c r="D323">
        <v>15026370</v>
      </c>
      <c r="E323">
        <v>0.8</v>
      </c>
      <c r="F323">
        <v>1</v>
      </c>
      <c r="G323" t="s">
        <v>872</v>
      </c>
      <c r="H323" t="s">
        <v>873</v>
      </c>
      <c r="I323">
        <f>_xlfn.XLOOKUP(B323,[1]selection!$B$2:$B$427,[1]selection!$D$2:$D$427,0)</f>
        <v>15026370</v>
      </c>
      <c r="J323" t="b">
        <f t="shared" ref="J323:J386" si="5">I323=D323</f>
        <v>1</v>
      </c>
    </row>
    <row r="324" spans="1:10" hidden="1" x14ac:dyDescent="0.25">
      <c r="A324" t="s">
        <v>330</v>
      </c>
      <c r="B324" t="s">
        <v>756</v>
      </c>
      <c r="C324" t="s">
        <v>867</v>
      </c>
      <c r="D324">
        <v>26681116</v>
      </c>
      <c r="E324">
        <v>0.8</v>
      </c>
      <c r="F324">
        <v>1</v>
      </c>
      <c r="G324" t="s">
        <v>872</v>
      </c>
      <c r="H324" t="s">
        <v>873</v>
      </c>
      <c r="I324">
        <f>_xlfn.XLOOKUP(B324,[1]selection!$B$2:$B$427,[1]selection!$D$2:$D$427,0)</f>
        <v>26681116</v>
      </c>
      <c r="J324" t="b">
        <f t="shared" si="5"/>
        <v>1</v>
      </c>
    </row>
    <row r="325" spans="1:10" hidden="1" x14ac:dyDescent="0.25">
      <c r="A325" t="s">
        <v>331</v>
      </c>
      <c r="B325" t="s">
        <v>757</v>
      </c>
      <c r="C325" t="s">
        <v>861</v>
      </c>
      <c r="D325">
        <v>29305985</v>
      </c>
      <c r="E325">
        <v>0.65</v>
      </c>
      <c r="F325">
        <v>1</v>
      </c>
      <c r="G325" t="s">
        <v>872</v>
      </c>
      <c r="H325" t="s">
        <v>873</v>
      </c>
      <c r="I325">
        <f>_xlfn.XLOOKUP(B325,[1]selection!$B$2:$B$427,[1]selection!$D$2:$D$427,0)</f>
        <v>29305985</v>
      </c>
      <c r="J325" t="b">
        <f t="shared" si="5"/>
        <v>1</v>
      </c>
    </row>
    <row r="326" spans="1:10" hidden="1" x14ac:dyDescent="0.25">
      <c r="A326" t="s">
        <v>332</v>
      </c>
      <c r="B326" t="s">
        <v>758</v>
      </c>
      <c r="C326" t="s">
        <v>863</v>
      </c>
      <c r="D326">
        <v>299036619</v>
      </c>
      <c r="E326">
        <v>0.75</v>
      </c>
      <c r="F326">
        <v>1</v>
      </c>
      <c r="G326" t="s">
        <v>872</v>
      </c>
      <c r="H326" t="s">
        <v>873</v>
      </c>
      <c r="I326">
        <f>_xlfn.XLOOKUP(B326,[1]selection!$B$2:$B$427,[1]selection!$D$2:$D$427,0)</f>
        <v>299036619</v>
      </c>
      <c r="J326" t="b">
        <f t="shared" si="5"/>
        <v>1</v>
      </c>
    </row>
    <row r="327" spans="1:10" hidden="1" x14ac:dyDescent="0.25">
      <c r="A327" t="s">
        <v>333</v>
      </c>
      <c r="B327" t="s">
        <v>759</v>
      </c>
      <c r="C327" t="s">
        <v>860</v>
      </c>
      <c r="D327">
        <v>154742800</v>
      </c>
      <c r="E327">
        <v>0.25</v>
      </c>
      <c r="F327">
        <v>1</v>
      </c>
      <c r="G327" t="s">
        <v>872</v>
      </c>
      <c r="H327" t="s">
        <v>873</v>
      </c>
      <c r="I327">
        <f>_xlfn.XLOOKUP(B327,[1]selection!$B$2:$B$427,[1]selection!$D$2:$D$427,0)</f>
        <v>154742800</v>
      </c>
      <c r="J327" t="b">
        <f t="shared" si="5"/>
        <v>1</v>
      </c>
    </row>
    <row r="328" spans="1:10" hidden="1" x14ac:dyDescent="0.25">
      <c r="A328" t="s">
        <v>334</v>
      </c>
      <c r="B328" t="s">
        <v>760</v>
      </c>
      <c r="C328" t="s">
        <v>863</v>
      </c>
      <c r="D328">
        <v>103361773</v>
      </c>
      <c r="E328">
        <v>0.8</v>
      </c>
      <c r="F328">
        <v>1</v>
      </c>
      <c r="G328" t="s">
        <v>872</v>
      </c>
      <c r="H328" t="s">
        <v>873</v>
      </c>
      <c r="I328">
        <f>_xlfn.XLOOKUP(B328,[1]selection!$B$2:$B$427,[1]selection!$D$2:$D$427,0)</f>
        <v>103361773</v>
      </c>
      <c r="J328" t="b">
        <f t="shared" si="5"/>
        <v>1</v>
      </c>
    </row>
    <row r="329" spans="1:10" hidden="1" x14ac:dyDescent="0.25">
      <c r="A329" t="s">
        <v>335</v>
      </c>
      <c r="B329" t="s">
        <v>761</v>
      </c>
      <c r="C329" t="s">
        <v>860</v>
      </c>
      <c r="D329">
        <v>743841200</v>
      </c>
      <c r="E329">
        <v>0.9</v>
      </c>
      <c r="F329">
        <v>1</v>
      </c>
      <c r="G329" t="s">
        <v>872</v>
      </c>
      <c r="H329" t="s">
        <v>873</v>
      </c>
      <c r="I329">
        <f>_xlfn.XLOOKUP(B329,[1]selection!$B$2:$B$427,[1]selection!$D$2:$D$427,0)</f>
        <v>743841200</v>
      </c>
      <c r="J329" t="b">
        <f t="shared" si="5"/>
        <v>1</v>
      </c>
    </row>
    <row r="330" spans="1:10" hidden="1" x14ac:dyDescent="0.25">
      <c r="A330" t="s">
        <v>336</v>
      </c>
      <c r="B330" t="s">
        <v>762</v>
      </c>
      <c r="C330" t="s">
        <v>863</v>
      </c>
      <c r="D330">
        <v>55337770</v>
      </c>
      <c r="E330">
        <v>0.55000000000000004</v>
      </c>
      <c r="F330">
        <v>1</v>
      </c>
      <c r="G330" t="s">
        <v>872</v>
      </c>
      <c r="H330" t="s">
        <v>873</v>
      </c>
      <c r="I330">
        <f>_xlfn.XLOOKUP(B330,[1]selection!$B$2:$B$427,[1]selection!$D$2:$D$427,0)</f>
        <v>55337770</v>
      </c>
      <c r="J330" t="b">
        <f t="shared" si="5"/>
        <v>1</v>
      </c>
    </row>
    <row r="331" spans="1:10" hidden="1" x14ac:dyDescent="0.25">
      <c r="A331" t="s">
        <v>337</v>
      </c>
      <c r="B331" t="s">
        <v>763</v>
      </c>
      <c r="C331" t="s">
        <v>864</v>
      </c>
      <c r="D331">
        <v>796857800</v>
      </c>
      <c r="E331">
        <v>0.65</v>
      </c>
      <c r="F331">
        <v>1</v>
      </c>
      <c r="G331" t="s">
        <v>872</v>
      </c>
      <c r="H331" t="s">
        <v>873</v>
      </c>
      <c r="I331">
        <f>_xlfn.XLOOKUP(B331,[1]selection!$B$2:$B$427,[1]selection!$D$2:$D$427,0)</f>
        <v>796857800</v>
      </c>
      <c r="J331" t="b">
        <f t="shared" si="5"/>
        <v>1</v>
      </c>
    </row>
    <row r="332" spans="1:10" hidden="1" x14ac:dyDescent="0.25">
      <c r="A332" t="s">
        <v>338</v>
      </c>
      <c r="B332" t="s">
        <v>764</v>
      </c>
      <c r="C332" t="s">
        <v>861</v>
      </c>
      <c r="D332">
        <v>415203472</v>
      </c>
      <c r="E332">
        <v>0.5</v>
      </c>
      <c r="F332">
        <v>1</v>
      </c>
      <c r="G332" t="s">
        <v>872</v>
      </c>
      <c r="H332" t="s">
        <v>873</v>
      </c>
      <c r="I332">
        <f>_xlfn.XLOOKUP(B332,[1]selection!$B$2:$B$427,[1]selection!$D$2:$D$427,0)</f>
        <v>415203472</v>
      </c>
      <c r="J332" t="b">
        <f t="shared" si="5"/>
        <v>1</v>
      </c>
    </row>
    <row r="333" spans="1:10" hidden="1" x14ac:dyDescent="0.25">
      <c r="A333" t="s">
        <v>339</v>
      </c>
      <c r="B333" t="s">
        <v>765</v>
      </c>
      <c r="C333" t="s">
        <v>863</v>
      </c>
      <c r="D333">
        <v>499067417</v>
      </c>
      <c r="E333">
        <v>0.9</v>
      </c>
      <c r="F333">
        <v>1</v>
      </c>
      <c r="G333" t="s">
        <v>872</v>
      </c>
      <c r="H333" t="s">
        <v>873</v>
      </c>
      <c r="I333">
        <f>_xlfn.XLOOKUP(B333,[1]selection!$B$2:$B$427,[1]selection!$D$2:$D$427,0)</f>
        <v>499067417</v>
      </c>
      <c r="J333" t="b">
        <f t="shared" si="5"/>
        <v>1</v>
      </c>
    </row>
    <row r="334" spans="1:10" hidden="1" x14ac:dyDescent="0.25">
      <c r="A334" t="s">
        <v>340</v>
      </c>
      <c r="B334" t="s">
        <v>766</v>
      </c>
      <c r="C334" t="s">
        <v>861</v>
      </c>
      <c r="D334">
        <v>1995631862</v>
      </c>
      <c r="E334">
        <v>0.65</v>
      </c>
      <c r="F334">
        <v>1</v>
      </c>
      <c r="G334" t="s">
        <v>872</v>
      </c>
      <c r="H334" t="s">
        <v>873</v>
      </c>
      <c r="I334">
        <f>_xlfn.XLOOKUP(B334,[1]selection!$B$2:$B$427,[1]selection!$D$2:$D$427,0)</f>
        <v>1995631862</v>
      </c>
      <c r="J334" t="b">
        <f t="shared" si="5"/>
        <v>1</v>
      </c>
    </row>
    <row r="335" spans="1:10" hidden="1" x14ac:dyDescent="0.25">
      <c r="A335" t="s">
        <v>341</v>
      </c>
      <c r="B335" t="s">
        <v>767</v>
      </c>
      <c r="C335" t="s">
        <v>861</v>
      </c>
      <c r="D335">
        <v>168790000</v>
      </c>
      <c r="E335">
        <v>0.35</v>
      </c>
      <c r="F335">
        <v>1</v>
      </c>
      <c r="G335" t="s">
        <v>872</v>
      </c>
      <c r="H335" t="s">
        <v>873</v>
      </c>
      <c r="I335">
        <f>_xlfn.XLOOKUP(B335,[1]selection!$B$2:$B$427,[1]selection!$D$2:$D$427,0)</f>
        <v>168790000</v>
      </c>
      <c r="J335" t="b">
        <f t="shared" si="5"/>
        <v>1</v>
      </c>
    </row>
    <row r="336" spans="1:10" hidden="1" x14ac:dyDescent="0.25">
      <c r="A336" t="s">
        <v>342</v>
      </c>
      <c r="B336" t="s">
        <v>768</v>
      </c>
      <c r="C336" t="s">
        <v>861</v>
      </c>
      <c r="D336">
        <v>35624570</v>
      </c>
      <c r="E336">
        <v>0.4</v>
      </c>
      <c r="F336">
        <v>1</v>
      </c>
      <c r="G336" t="s">
        <v>872</v>
      </c>
      <c r="H336" t="s">
        <v>873</v>
      </c>
      <c r="I336">
        <f>_xlfn.XLOOKUP(B336,[1]selection!$B$2:$B$427,[1]selection!$D$2:$D$427,0)</f>
        <v>35624570</v>
      </c>
      <c r="J336" t="b">
        <f t="shared" si="5"/>
        <v>1</v>
      </c>
    </row>
    <row r="337" spans="1:10" hidden="1" x14ac:dyDescent="0.25">
      <c r="A337" t="s">
        <v>343</v>
      </c>
      <c r="B337" t="s">
        <v>769</v>
      </c>
      <c r="C337" t="s">
        <v>860</v>
      </c>
      <c r="D337">
        <v>37440000</v>
      </c>
      <c r="E337">
        <v>0.65</v>
      </c>
      <c r="F337">
        <v>1</v>
      </c>
      <c r="G337" t="s">
        <v>872</v>
      </c>
      <c r="H337" t="s">
        <v>873</v>
      </c>
      <c r="I337">
        <f>_xlfn.XLOOKUP(B337,[1]selection!$B$2:$B$427,[1]selection!$D$2:$D$427,0)</f>
        <v>37440000</v>
      </c>
      <c r="J337" t="b">
        <f t="shared" si="5"/>
        <v>1</v>
      </c>
    </row>
    <row r="338" spans="1:10" hidden="1" x14ac:dyDescent="0.25">
      <c r="A338" t="s">
        <v>344</v>
      </c>
      <c r="B338" t="s">
        <v>770</v>
      </c>
      <c r="C338" t="s">
        <v>863</v>
      </c>
      <c r="D338">
        <v>97330405</v>
      </c>
      <c r="E338">
        <v>0.3</v>
      </c>
      <c r="F338">
        <v>1</v>
      </c>
      <c r="G338" t="s">
        <v>872</v>
      </c>
      <c r="H338" t="s">
        <v>873</v>
      </c>
      <c r="I338">
        <f>_xlfn.XLOOKUP(B338,[1]selection!$B$2:$B$427,[1]selection!$D$2:$D$427,0)</f>
        <v>97330405</v>
      </c>
      <c r="J338" t="b">
        <f t="shared" si="5"/>
        <v>1</v>
      </c>
    </row>
    <row r="339" spans="1:10" hidden="1" x14ac:dyDescent="0.25">
      <c r="A339" t="s">
        <v>345</v>
      </c>
      <c r="B339" t="s">
        <v>771</v>
      </c>
      <c r="C339" t="s">
        <v>862</v>
      </c>
      <c r="D339">
        <v>171361365</v>
      </c>
      <c r="E339">
        <v>0.70000000000000007</v>
      </c>
      <c r="F339">
        <v>1</v>
      </c>
      <c r="G339" t="s">
        <v>872</v>
      </c>
      <c r="H339" t="s">
        <v>873</v>
      </c>
      <c r="I339">
        <f>_xlfn.XLOOKUP(B339,[1]selection!$B$2:$B$427,[1]selection!$D$2:$D$427,0)</f>
        <v>171361365</v>
      </c>
      <c r="J339" t="b">
        <f t="shared" si="5"/>
        <v>1</v>
      </c>
    </row>
    <row r="340" spans="1:10" hidden="1" x14ac:dyDescent="0.25">
      <c r="A340" t="s">
        <v>346</v>
      </c>
      <c r="B340" t="s">
        <v>772</v>
      </c>
      <c r="C340" t="s">
        <v>860</v>
      </c>
      <c r="D340">
        <v>944884640</v>
      </c>
      <c r="E340">
        <v>1</v>
      </c>
      <c r="F340">
        <v>1</v>
      </c>
      <c r="G340" t="s">
        <v>872</v>
      </c>
      <c r="H340" t="s">
        <v>873</v>
      </c>
      <c r="I340">
        <f>_xlfn.XLOOKUP(B340,[1]selection!$B$2:$B$427,[1]selection!$D$2:$D$427,0)</f>
        <v>944884640</v>
      </c>
      <c r="J340" t="b">
        <f t="shared" si="5"/>
        <v>1</v>
      </c>
    </row>
    <row r="341" spans="1:10" hidden="1" x14ac:dyDescent="0.25">
      <c r="A341" t="s">
        <v>347</v>
      </c>
      <c r="B341" t="s">
        <v>773</v>
      </c>
      <c r="C341" t="s">
        <v>863</v>
      </c>
      <c r="D341">
        <v>179363695</v>
      </c>
      <c r="E341">
        <v>0.85000000000000009</v>
      </c>
      <c r="F341">
        <v>1</v>
      </c>
      <c r="G341" t="s">
        <v>872</v>
      </c>
      <c r="H341" t="s">
        <v>873</v>
      </c>
      <c r="I341">
        <f>_xlfn.XLOOKUP(B341,[1]selection!$B$2:$B$427,[1]selection!$D$2:$D$427,0)</f>
        <v>179363695</v>
      </c>
      <c r="J341" t="b">
        <f t="shared" si="5"/>
        <v>1</v>
      </c>
    </row>
    <row r="342" spans="1:10" hidden="1" x14ac:dyDescent="0.25">
      <c r="A342" t="s">
        <v>348</v>
      </c>
      <c r="B342" t="s">
        <v>774</v>
      </c>
      <c r="C342" t="s">
        <v>860</v>
      </c>
      <c r="D342">
        <v>75000000</v>
      </c>
      <c r="E342">
        <v>0.95</v>
      </c>
      <c r="F342">
        <v>1</v>
      </c>
      <c r="G342" t="s">
        <v>872</v>
      </c>
      <c r="H342" t="s">
        <v>873</v>
      </c>
      <c r="I342">
        <f>_xlfn.XLOOKUP(B342,[1]selection!$B$2:$B$427,[1]selection!$D$2:$D$427,0)</f>
        <v>75000000</v>
      </c>
      <c r="J342" t="b">
        <f t="shared" si="5"/>
        <v>1</v>
      </c>
    </row>
    <row r="343" spans="1:10" hidden="1" x14ac:dyDescent="0.25">
      <c r="A343" t="s">
        <v>349</v>
      </c>
      <c r="B343" t="s">
        <v>775</v>
      </c>
      <c r="C343" t="s">
        <v>863</v>
      </c>
      <c r="D343">
        <v>383457600</v>
      </c>
      <c r="E343">
        <v>0.95000000000000007</v>
      </c>
      <c r="F343">
        <v>1</v>
      </c>
      <c r="G343" t="s">
        <v>872</v>
      </c>
      <c r="H343" t="s">
        <v>873</v>
      </c>
      <c r="I343">
        <f>_xlfn.XLOOKUP(B343,[1]selection!$B$2:$B$427,[1]selection!$D$2:$D$427,0)</f>
        <v>383457600</v>
      </c>
      <c r="J343" t="b">
        <f t="shared" si="5"/>
        <v>1</v>
      </c>
    </row>
    <row r="344" spans="1:10" hidden="1" x14ac:dyDescent="0.25">
      <c r="A344" t="s">
        <v>350</v>
      </c>
      <c r="B344" t="s">
        <v>776</v>
      </c>
      <c r="C344" t="s">
        <v>861</v>
      </c>
      <c r="D344">
        <v>15343112</v>
      </c>
      <c r="E344">
        <v>0.45</v>
      </c>
      <c r="F344">
        <v>1</v>
      </c>
      <c r="G344" t="s">
        <v>872</v>
      </c>
      <c r="H344" t="s">
        <v>873</v>
      </c>
      <c r="I344">
        <f>_xlfn.XLOOKUP(B344,[1]selection!$B$2:$B$427,[1]selection!$D$2:$D$427,0)</f>
        <v>15343112</v>
      </c>
      <c r="J344" t="b">
        <f t="shared" si="5"/>
        <v>1</v>
      </c>
    </row>
    <row r="345" spans="1:10" hidden="1" x14ac:dyDescent="0.25">
      <c r="A345" t="s">
        <v>351</v>
      </c>
      <c r="B345" t="s">
        <v>777</v>
      </c>
      <c r="C345" t="s">
        <v>865</v>
      </c>
      <c r="D345">
        <v>100972323</v>
      </c>
      <c r="E345">
        <v>0.3</v>
      </c>
      <c r="F345">
        <v>1</v>
      </c>
      <c r="G345" t="s">
        <v>872</v>
      </c>
      <c r="H345" t="s">
        <v>873</v>
      </c>
      <c r="I345">
        <f>_xlfn.XLOOKUP(B345,[1]selection!$B$2:$B$427,[1]selection!$D$2:$D$427,0)</f>
        <v>100972323</v>
      </c>
      <c r="J345" t="b">
        <f t="shared" si="5"/>
        <v>1</v>
      </c>
    </row>
    <row r="346" spans="1:10" hidden="1" x14ac:dyDescent="0.25">
      <c r="A346" t="s">
        <v>352</v>
      </c>
      <c r="B346" t="s">
        <v>778</v>
      </c>
      <c r="C346" t="s">
        <v>860</v>
      </c>
      <c r="D346">
        <v>1128000000</v>
      </c>
      <c r="E346">
        <v>0.3</v>
      </c>
      <c r="F346">
        <v>1</v>
      </c>
      <c r="G346" t="s">
        <v>872</v>
      </c>
      <c r="H346" t="s">
        <v>873</v>
      </c>
      <c r="I346">
        <f>_xlfn.XLOOKUP(B346,[1]selection!$B$2:$B$427,[1]selection!$D$2:$D$427,0)</f>
        <v>1128000000</v>
      </c>
      <c r="J346" t="b">
        <f t="shared" si="5"/>
        <v>1</v>
      </c>
    </row>
    <row r="347" spans="1:10" hidden="1" x14ac:dyDescent="0.25">
      <c r="A347" t="s">
        <v>353</v>
      </c>
      <c r="B347" t="s">
        <v>779</v>
      </c>
      <c r="C347" t="s">
        <v>862</v>
      </c>
      <c r="D347">
        <v>128344238</v>
      </c>
      <c r="E347">
        <v>0.85000000000000009</v>
      </c>
      <c r="F347">
        <v>1</v>
      </c>
      <c r="G347" t="s">
        <v>872</v>
      </c>
      <c r="H347" t="s">
        <v>873</v>
      </c>
      <c r="I347">
        <f>_xlfn.XLOOKUP(B347,[1]selection!$B$2:$B$427,[1]selection!$D$2:$D$427,0)</f>
        <v>128344238</v>
      </c>
      <c r="J347" t="b">
        <f t="shared" si="5"/>
        <v>1</v>
      </c>
    </row>
    <row r="348" spans="1:10" hidden="1" x14ac:dyDescent="0.25">
      <c r="A348" t="s">
        <v>354</v>
      </c>
      <c r="B348" t="s">
        <v>780</v>
      </c>
      <c r="C348" t="s">
        <v>860</v>
      </c>
      <c r="D348">
        <v>30367110</v>
      </c>
      <c r="E348">
        <v>0.4</v>
      </c>
      <c r="F348">
        <v>1</v>
      </c>
      <c r="G348" t="s">
        <v>872</v>
      </c>
      <c r="H348" t="s">
        <v>873</v>
      </c>
      <c r="I348">
        <f>_xlfn.XLOOKUP(B348,[1]selection!$B$2:$B$427,[1]selection!$D$2:$D$427,0)</f>
        <v>30367110</v>
      </c>
      <c r="J348" t="b">
        <f t="shared" si="5"/>
        <v>1</v>
      </c>
    </row>
    <row r="349" spans="1:10" hidden="1" x14ac:dyDescent="0.25">
      <c r="A349" t="s">
        <v>355</v>
      </c>
      <c r="B349" t="s">
        <v>781</v>
      </c>
      <c r="C349" t="s">
        <v>860</v>
      </c>
      <c r="D349">
        <v>16567245</v>
      </c>
      <c r="E349">
        <v>1</v>
      </c>
      <c r="F349">
        <v>1</v>
      </c>
      <c r="G349" t="s">
        <v>872</v>
      </c>
      <c r="H349" t="s">
        <v>873</v>
      </c>
      <c r="I349">
        <f>_xlfn.XLOOKUP(B349,[1]selection!$B$2:$B$427,[1]selection!$D$2:$D$427,0)</f>
        <v>16567245</v>
      </c>
      <c r="J349" t="b">
        <f t="shared" si="5"/>
        <v>1</v>
      </c>
    </row>
    <row r="350" spans="1:10" hidden="1" x14ac:dyDescent="0.25">
      <c r="A350" t="s">
        <v>356</v>
      </c>
      <c r="B350" t="s">
        <v>782</v>
      </c>
      <c r="C350" t="s">
        <v>860</v>
      </c>
      <c r="D350">
        <v>34700000</v>
      </c>
      <c r="E350">
        <v>1</v>
      </c>
      <c r="F350">
        <v>1</v>
      </c>
      <c r="G350" t="s">
        <v>872</v>
      </c>
      <c r="H350" t="s">
        <v>873</v>
      </c>
      <c r="I350">
        <f>_xlfn.XLOOKUP(B350,[1]selection!$B$2:$B$427,[1]selection!$D$2:$D$427,0)</f>
        <v>34700000</v>
      </c>
      <c r="J350" t="b">
        <f t="shared" si="5"/>
        <v>1</v>
      </c>
    </row>
    <row r="351" spans="1:10" hidden="1" x14ac:dyDescent="0.25">
      <c r="A351" t="s">
        <v>357</v>
      </c>
      <c r="B351" t="s">
        <v>783</v>
      </c>
      <c r="C351" t="s">
        <v>861</v>
      </c>
      <c r="D351">
        <v>3360857809</v>
      </c>
      <c r="E351">
        <v>0.60000000000000009</v>
      </c>
      <c r="F351">
        <v>1</v>
      </c>
      <c r="G351" t="s">
        <v>872</v>
      </c>
      <c r="H351" t="s">
        <v>873</v>
      </c>
      <c r="I351">
        <f>_xlfn.XLOOKUP(B351,[1]selection!$B$2:$B$427,[1]selection!$D$2:$D$427,0)</f>
        <v>3360857809</v>
      </c>
      <c r="J351" t="b">
        <f t="shared" si="5"/>
        <v>1</v>
      </c>
    </row>
    <row r="352" spans="1:10" hidden="1" x14ac:dyDescent="0.25">
      <c r="A352" t="s">
        <v>358</v>
      </c>
      <c r="B352" t="s">
        <v>784</v>
      </c>
      <c r="C352" t="s">
        <v>863</v>
      </c>
      <c r="D352">
        <v>766894786</v>
      </c>
      <c r="E352">
        <v>0.9</v>
      </c>
      <c r="F352">
        <v>1</v>
      </c>
      <c r="G352" t="s">
        <v>872</v>
      </c>
      <c r="H352" t="s">
        <v>873</v>
      </c>
      <c r="I352">
        <f>_xlfn.XLOOKUP(B352,[1]selection!$B$2:$B$427,[1]selection!$D$2:$D$427,0)</f>
        <v>766894786</v>
      </c>
      <c r="J352" t="b">
        <f t="shared" si="5"/>
        <v>1</v>
      </c>
    </row>
    <row r="353" spans="1:10" hidden="1" x14ac:dyDescent="0.25">
      <c r="A353" t="s">
        <v>359</v>
      </c>
      <c r="B353" t="s">
        <v>785</v>
      </c>
      <c r="C353" t="s">
        <v>863</v>
      </c>
      <c r="D353">
        <v>147454887</v>
      </c>
      <c r="E353">
        <v>0.55000000000000004</v>
      </c>
      <c r="F353">
        <v>1</v>
      </c>
      <c r="G353" t="s">
        <v>872</v>
      </c>
      <c r="H353" t="s">
        <v>873</v>
      </c>
      <c r="I353">
        <f>_xlfn.XLOOKUP(B353,[1]selection!$B$2:$B$427,[1]selection!$D$2:$D$427,0)</f>
        <v>147454887</v>
      </c>
      <c r="J353" t="b">
        <f t="shared" si="5"/>
        <v>1</v>
      </c>
    </row>
    <row r="354" spans="1:10" hidden="1" x14ac:dyDescent="0.25">
      <c r="A354" t="s">
        <v>360</v>
      </c>
      <c r="B354" t="s">
        <v>786</v>
      </c>
      <c r="C354" t="s">
        <v>865</v>
      </c>
      <c r="D354">
        <v>36696428</v>
      </c>
      <c r="E354">
        <v>0.4</v>
      </c>
      <c r="F354">
        <v>1</v>
      </c>
      <c r="G354" t="s">
        <v>872</v>
      </c>
      <c r="H354" t="s">
        <v>873</v>
      </c>
      <c r="I354">
        <f>_xlfn.XLOOKUP(B354,[1]selection!$B$2:$B$427,[1]selection!$D$2:$D$427,0)</f>
        <v>36696428</v>
      </c>
      <c r="J354" t="b">
        <f t="shared" si="5"/>
        <v>1</v>
      </c>
    </row>
    <row r="355" spans="1:10" hidden="1" x14ac:dyDescent="0.25">
      <c r="A355" t="s">
        <v>361</v>
      </c>
      <c r="B355" t="s">
        <v>787</v>
      </c>
      <c r="C355" t="s">
        <v>861</v>
      </c>
      <c r="D355">
        <v>90700000</v>
      </c>
      <c r="E355">
        <v>0.4</v>
      </c>
      <c r="F355">
        <v>1</v>
      </c>
      <c r="G355" t="s">
        <v>872</v>
      </c>
      <c r="H355" t="s">
        <v>873</v>
      </c>
      <c r="I355">
        <f>_xlfn.XLOOKUP(B355,[1]selection!$B$2:$B$427,[1]selection!$D$2:$D$427,0)</f>
        <v>90700000</v>
      </c>
      <c r="J355" t="b">
        <f t="shared" si="5"/>
        <v>1</v>
      </c>
    </row>
    <row r="356" spans="1:10" hidden="1" x14ac:dyDescent="0.25">
      <c r="A356" t="s">
        <v>362</v>
      </c>
      <c r="B356" t="s">
        <v>788</v>
      </c>
      <c r="C356" t="s">
        <v>865</v>
      </c>
      <c r="D356">
        <v>105876416</v>
      </c>
      <c r="E356">
        <v>0.65</v>
      </c>
      <c r="F356">
        <v>1</v>
      </c>
      <c r="G356" t="s">
        <v>872</v>
      </c>
      <c r="H356" t="s">
        <v>873</v>
      </c>
      <c r="I356">
        <f>_xlfn.XLOOKUP(B356,[1]selection!$B$2:$B$427,[1]selection!$D$2:$D$427,0)</f>
        <v>105876416</v>
      </c>
      <c r="J356" t="b">
        <f t="shared" si="5"/>
        <v>1</v>
      </c>
    </row>
    <row r="357" spans="1:10" hidden="1" x14ac:dyDescent="0.25">
      <c r="A357" t="s">
        <v>363</v>
      </c>
      <c r="B357" t="s">
        <v>789</v>
      </c>
      <c r="C357" t="s">
        <v>869</v>
      </c>
      <c r="D357">
        <v>2000000000</v>
      </c>
      <c r="E357">
        <v>0.4</v>
      </c>
      <c r="F357">
        <v>1</v>
      </c>
      <c r="G357" t="s">
        <v>872</v>
      </c>
      <c r="H357" t="s">
        <v>873</v>
      </c>
      <c r="I357">
        <f>_xlfn.XLOOKUP(B357,[1]selection!$B$2:$B$427,[1]selection!$D$2:$D$427,0)</f>
        <v>2000000000</v>
      </c>
      <c r="J357" t="b">
        <f t="shared" si="5"/>
        <v>1</v>
      </c>
    </row>
    <row r="358" spans="1:10" hidden="1" x14ac:dyDescent="0.25">
      <c r="A358" t="s">
        <v>364</v>
      </c>
      <c r="B358" t="s">
        <v>790</v>
      </c>
      <c r="C358" t="s">
        <v>863</v>
      </c>
      <c r="D358">
        <v>20547701</v>
      </c>
      <c r="E358">
        <v>0.70000000000000007</v>
      </c>
      <c r="F358">
        <v>1</v>
      </c>
      <c r="G358" t="s">
        <v>872</v>
      </c>
      <c r="H358" t="s">
        <v>873</v>
      </c>
      <c r="I358">
        <f>_xlfn.XLOOKUP(B358,[1]selection!$B$2:$B$427,[1]selection!$D$2:$D$427,0)</f>
        <v>20547701</v>
      </c>
      <c r="J358" t="b">
        <f t="shared" si="5"/>
        <v>1</v>
      </c>
    </row>
    <row r="359" spans="1:10" hidden="1" x14ac:dyDescent="0.25">
      <c r="A359" t="s">
        <v>365</v>
      </c>
      <c r="B359" t="s">
        <v>791</v>
      </c>
      <c r="C359" t="s">
        <v>863</v>
      </c>
      <c r="D359">
        <v>168073514</v>
      </c>
      <c r="E359">
        <v>0.9</v>
      </c>
      <c r="F359">
        <v>1</v>
      </c>
      <c r="G359" t="s">
        <v>872</v>
      </c>
      <c r="H359" t="s">
        <v>873</v>
      </c>
      <c r="I359">
        <f>_xlfn.XLOOKUP(B359,[1]selection!$B$2:$B$427,[1]selection!$D$2:$D$427,0)</f>
        <v>168073514</v>
      </c>
      <c r="J359" t="b">
        <f t="shared" si="5"/>
        <v>1</v>
      </c>
    </row>
    <row r="360" spans="1:10" hidden="1" x14ac:dyDescent="0.25">
      <c r="A360" t="s">
        <v>366</v>
      </c>
      <c r="B360" t="s">
        <v>792</v>
      </c>
      <c r="C360" t="s">
        <v>863</v>
      </c>
      <c r="D360">
        <v>911281920</v>
      </c>
      <c r="E360">
        <v>0.70000000000000007</v>
      </c>
      <c r="F360">
        <v>1</v>
      </c>
      <c r="G360" t="s">
        <v>872</v>
      </c>
      <c r="H360" t="s">
        <v>873</v>
      </c>
      <c r="I360">
        <f>_xlfn.XLOOKUP(B360,[1]selection!$B$2:$B$427,[1]selection!$D$2:$D$427,0)</f>
        <v>911281920</v>
      </c>
      <c r="J360" t="b">
        <f t="shared" si="5"/>
        <v>1</v>
      </c>
    </row>
    <row r="361" spans="1:10" hidden="1" x14ac:dyDescent="0.25">
      <c r="A361" t="s">
        <v>367</v>
      </c>
      <c r="B361" t="s">
        <v>793</v>
      </c>
      <c r="C361" t="s">
        <v>867</v>
      </c>
      <c r="D361">
        <v>164041400</v>
      </c>
      <c r="E361">
        <v>0.8</v>
      </c>
      <c r="F361">
        <v>1</v>
      </c>
      <c r="G361" t="s">
        <v>872</v>
      </c>
      <c r="H361" t="s">
        <v>873</v>
      </c>
      <c r="I361">
        <f>_xlfn.XLOOKUP(B361,[1]selection!$B$2:$B$427,[1]selection!$D$2:$D$427,0)</f>
        <v>164041400</v>
      </c>
      <c r="J361" t="b">
        <f t="shared" si="5"/>
        <v>1</v>
      </c>
    </row>
    <row r="362" spans="1:10" hidden="1" x14ac:dyDescent="0.25">
      <c r="A362" t="s">
        <v>368</v>
      </c>
      <c r="B362" t="s">
        <v>794</v>
      </c>
      <c r="C362" t="s">
        <v>867</v>
      </c>
      <c r="D362">
        <v>613077400</v>
      </c>
      <c r="E362">
        <v>1</v>
      </c>
      <c r="F362">
        <v>1</v>
      </c>
      <c r="G362" t="s">
        <v>872</v>
      </c>
      <c r="H362" t="s">
        <v>873</v>
      </c>
      <c r="I362">
        <f>_xlfn.XLOOKUP(B362,[1]selection!$B$2:$B$427,[1]selection!$D$2:$D$427,0)</f>
        <v>613077400</v>
      </c>
      <c r="J362" t="b">
        <f t="shared" si="5"/>
        <v>1</v>
      </c>
    </row>
    <row r="363" spans="1:10" hidden="1" x14ac:dyDescent="0.25">
      <c r="A363" t="s">
        <v>369</v>
      </c>
      <c r="B363" t="s">
        <v>795</v>
      </c>
      <c r="C363" t="s">
        <v>860</v>
      </c>
      <c r="D363">
        <v>55843310</v>
      </c>
      <c r="E363">
        <v>0.45</v>
      </c>
      <c r="F363">
        <v>1</v>
      </c>
      <c r="G363" t="s">
        <v>872</v>
      </c>
      <c r="H363" t="s">
        <v>873</v>
      </c>
      <c r="I363">
        <f>_xlfn.XLOOKUP(B363,[1]selection!$B$2:$B$427,[1]selection!$D$2:$D$427,0)</f>
        <v>55843310</v>
      </c>
      <c r="J363" t="b">
        <f t="shared" si="5"/>
        <v>1</v>
      </c>
    </row>
    <row r="364" spans="1:10" hidden="1" x14ac:dyDescent="0.25">
      <c r="A364" t="s">
        <v>370</v>
      </c>
      <c r="B364" t="s">
        <v>796</v>
      </c>
      <c r="C364" t="s">
        <v>865</v>
      </c>
      <c r="D364">
        <v>103921273</v>
      </c>
      <c r="E364">
        <v>0.70000000000000007</v>
      </c>
      <c r="F364">
        <v>1</v>
      </c>
      <c r="G364" t="s">
        <v>872</v>
      </c>
      <c r="H364" t="s">
        <v>873</v>
      </c>
      <c r="I364">
        <f>_xlfn.XLOOKUP(B364,[1]selection!$B$2:$B$427,[1]selection!$D$2:$D$427,0)</f>
        <v>103921273</v>
      </c>
      <c r="J364" t="b">
        <f t="shared" si="5"/>
        <v>1</v>
      </c>
    </row>
    <row r="365" spans="1:10" hidden="1" x14ac:dyDescent="0.25">
      <c r="A365" t="s">
        <v>371</v>
      </c>
      <c r="B365" t="s">
        <v>797</v>
      </c>
      <c r="C365" t="s">
        <v>860</v>
      </c>
      <c r="D365">
        <v>139772050</v>
      </c>
      <c r="E365">
        <v>0.95</v>
      </c>
      <c r="F365">
        <v>1</v>
      </c>
      <c r="G365" t="s">
        <v>872</v>
      </c>
      <c r="H365" t="s">
        <v>873</v>
      </c>
      <c r="I365">
        <f>_xlfn.XLOOKUP(B365,[1]selection!$B$2:$B$427,[1]selection!$D$2:$D$427,0)</f>
        <v>139772050</v>
      </c>
      <c r="J365" t="b">
        <f t="shared" si="5"/>
        <v>1</v>
      </c>
    </row>
    <row r="366" spans="1:10" hidden="1" x14ac:dyDescent="0.25">
      <c r="A366" t="s">
        <v>372</v>
      </c>
      <c r="B366" t="s">
        <v>798</v>
      </c>
      <c r="C366" t="s">
        <v>860</v>
      </c>
      <c r="D366">
        <v>189034940</v>
      </c>
      <c r="E366">
        <v>1</v>
      </c>
      <c r="F366">
        <v>1</v>
      </c>
      <c r="G366" t="s">
        <v>872</v>
      </c>
      <c r="H366" t="s">
        <v>873</v>
      </c>
      <c r="I366">
        <f>_xlfn.XLOOKUP(B366,[1]selection!$B$2:$B$427,[1]selection!$D$2:$D$427,0)</f>
        <v>189034940</v>
      </c>
      <c r="J366" t="b">
        <f t="shared" si="5"/>
        <v>1</v>
      </c>
    </row>
    <row r="367" spans="1:10" hidden="1" x14ac:dyDescent="0.25">
      <c r="A367" t="s">
        <v>373</v>
      </c>
      <c r="B367" t="s">
        <v>799</v>
      </c>
      <c r="C367" t="s">
        <v>860</v>
      </c>
      <c r="D367">
        <v>258229000</v>
      </c>
      <c r="E367">
        <v>0.25</v>
      </c>
      <c r="F367">
        <v>1</v>
      </c>
      <c r="G367" t="s">
        <v>872</v>
      </c>
      <c r="H367" t="s">
        <v>873</v>
      </c>
      <c r="I367">
        <f>_xlfn.XLOOKUP(B367,[1]selection!$B$2:$B$427,[1]selection!$D$2:$D$427,0)</f>
        <v>258229000</v>
      </c>
      <c r="J367" t="b">
        <f t="shared" si="5"/>
        <v>1</v>
      </c>
    </row>
    <row r="368" spans="1:10" hidden="1" x14ac:dyDescent="0.25">
      <c r="A368" t="s">
        <v>374</v>
      </c>
      <c r="B368" t="s">
        <v>800</v>
      </c>
      <c r="C368" t="s">
        <v>861</v>
      </c>
      <c r="D368">
        <v>184379301</v>
      </c>
      <c r="E368">
        <v>0.55000000000000004</v>
      </c>
      <c r="F368">
        <v>1</v>
      </c>
      <c r="G368" t="s">
        <v>872</v>
      </c>
      <c r="H368" t="s">
        <v>873</v>
      </c>
      <c r="I368">
        <f>_xlfn.XLOOKUP(B368,[1]selection!$B$2:$B$427,[1]selection!$D$2:$D$427,0)</f>
        <v>184379301</v>
      </c>
      <c r="J368" t="b">
        <f t="shared" si="5"/>
        <v>1</v>
      </c>
    </row>
    <row r="369" spans="1:10" hidden="1" x14ac:dyDescent="0.25">
      <c r="A369" t="s">
        <v>375</v>
      </c>
      <c r="B369" t="s">
        <v>801</v>
      </c>
      <c r="C369" t="s">
        <v>860</v>
      </c>
      <c r="D369">
        <v>170000000</v>
      </c>
      <c r="E369">
        <v>0.9</v>
      </c>
      <c r="F369">
        <v>1</v>
      </c>
      <c r="G369" t="s">
        <v>872</v>
      </c>
      <c r="H369" t="s">
        <v>873</v>
      </c>
      <c r="I369">
        <f>_xlfn.XLOOKUP(B369,[1]selection!$B$2:$B$427,[1]selection!$D$2:$D$427,0)</f>
        <v>170000000</v>
      </c>
      <c r="J369" t="b">
        <f t="shared" si="5"/>
        <v>1</v>
      </c>
    </row>
    <row r="370" spans="1:10" hidden="1" x14ac:dyDescent="0.25">
      <c r="A370" t="s">
        <v>376</v>
      </c>
      <c r="B370" t="s">
        <v>802</v>
      </c>
      <c r="C370" t="s">
        <v>863</v>
      </c>
      <c r="D370">
        <v>178378708</v>
      </c>
      <c r="E370">
        <v>0.75</v>
      </c>
      <c r="F370">
        <v>1</v>
      </c>
      <c r="G370" t="s">
        <v>872</v>
      </c>
      <c r="H370" t="s">
        <v>873</v>
      </c>
      <c r="I370">
        <f>_xlfn.XLOOKUP(B370,[1]selection!$B$2:$B$427,[1]selection!$D$2:$D$427,0)</f>
        <v>178378708</v>
      </c>
      <c r="J370" t="b">
        <f t="shared" si="5"/>
        <v>1</v>
      </c>
    </row>
    <row r="371" spans="1:10" hidden="1" x14ac:dyDescent="0.25">
      <c r="A371" t="s">
        <v>377</v>
      </c>
      <c r="B371" t="s">
        <v>803</v>
      </c>
      <c r="C371" t="s">
        <v>861</v>
      </c>
      <c r="D371">
        <v>201327500</v>
      </c>
      <c r="E371">
        <v>0.55000000000000004</v>
      </c>
      <c r="F371">
        <v>1</v>
      </c>
      <c r="G371" t="s">
        <v>872</v>
      </c>
      <c r="H371" t="s">
        <v>873</v>
      </c>
      <c r="I371">
        <f>_xlfn.XLOOKUP(B371,[1]selection!$B$2:$B$427,[1]selection!$D$2:$D$427,0)</f>
        <v>201327500</v>
      </c>
      <c r="J371" t="b">
        <f t="shared" si="5"/>
        <v>1</v>
      </c>
    </row>
    <row r="372" spans="1:10" hidden="1" x14ac:dyDescent="0.25">
      <c r="A372" t="s">
        <v>378</v>
      </c>
      <c r="B372" t="s">
        <v>804</v>
      </c>
      <c r="C372" t="s">
        <v>861</v>
      </c>
      <c r="D372">
        <v>653260870</v>
      </c>
      <c r="E372">
        <v>0.25</v>
      </c>
      <c r="F372">
        <v>1</v>
      </c>
      <c r="G372" t="s">
        <v>872</v>
      </c>
      <c r="H372" t="s">
        <v>873</v>
      </c>
      <c r="I372">
        <f>_xlfn.XLOOKUP(B372,[1]selection!$B$2:$B$427,[1]selection!$D$2:$D$427,0)</f>
        <v>653260870</v>
      </c>
      <c r="J372" t="b">
        <f t="shared" si="5"/>
        <v>1</v>
      </c>
    </row>
    <row r="373" spans="1:10" hidden="1" x14ac:dyDescent="0.25">
      <c r="A373" t="s">
        <v>379</v>
      </c>
      <c r="B373" t="s">
        <v>805</v>
      </c>
      <c r="C373" t="s">
        <v>864</v>
      </c>
      <c r="D373">
        <v>80301260</v>
      </c>
      <c r="E373">
        <v>0.55000000000000004</v>
      </c>
      <c r="F373">
        <v>1</v>
      </c>
      <c r="G373" t="s">
        <v>872</v>
      </c>
      <c r="H373" t="s">
        <v>873</v>
      </c>
      <c r="I373">
        <f>_xlfn.XLOOKUP(B373,[1]selection!$B$2:$B$427,[1]selection!$D$2:$D$427,0)</f>
        <v>80301260</v>
      </c>
      <c r="J373" t="b">
        <f t="shared" si="5"/>
        <v>1</v>
      </c>
    </row>
    <row r="374" spans="1:10" hidden="1" x14ac:dyDescent="0.25">
      <c r="A374" t="s">
        <v>380</v>
      </c>
      <c r="B374" t="s">
        <v>806</v>
      </c>
      <c r="C374" t="s">
        <v>861</v>
      </c>
      <c r="D374">
        <v>15329466496</v>
      </c>
      <c r="E374">
        <v>0.75</v>
      </c>
      <c r="F374">
        <v>1</v>
      </c>
      <c r="G374" t="s">
        <v>872</v>
      </c>
      <c r="H374" t="s">
        <v>873</v>
      </c>
      <c r="I374">
        <f>_xlfn.XLOOKUP(B374,[1]selection!$B$2:$B$427,[1]selection!$D$2:$D$427,0)</f>
        <v>15329466496</v>
      </c>
      <c r="J374" t="b">
        <f t="shared" si="5"/>
        <v>1</v>
      </c>
    </row>
    <row r="375" spans="1:10" hidden="1" x14ac:dyDescent="0.25">
      <c r="A375" t="s">
        <v>381</v>
      </c>
      <c r="B375" t="s">
        <v>807</v>
      </c>
      <c r="C375" t="s">
        <v>861</v>
      </c>
      <c r="D375">
        <v>6027791699</v>
      </c>
      <c r="E375">
        <v>1</v>
      </c>
      <c r="F375">
        <v>1</v>
      </c>
      <c r="G375" t="s">
        <v>872</v>
      </c>
      <c r="H375" t="s">
        <v>873</v>
      </c>
      <c r="I375">
        <f>_xlfn.XLOOKUP(B375,[1]selection!$B$2:$B$427,[1]selection!$D$2:$D$427,0)</f>
        <v>6027791699</v>
      </c>
      <c r="J375" t="b">
        <f t="shared" si="5"/>
        <v>1</v>
      </c>
    </row>
    <row r="376" spans="1:10" hidden="1" x14ac:dyDescent="0.25">
      <c r="A376" t="s">
        <v>382</v>
      </c>
      <c r="B376" t="s">
        <v>808</v>
      </c>
      <c r="C376" t="s">
        <v>864</v>
      </c>
      <c r="D376">
        <v>5670161600</v>
      </c>
      <c r="E376">
        <v>0.65</v>
      </c>
      <c r="F376">
        <v>1</v>
      </c>
      <c r="G376" t="s">
        <v>872</v>
      </c>
      <c r="H376" t="s">
        <v>873</v>
      </c>
      <c r="I376">
        <f>_xlfn.XLOOKUP(B376,[1]selection!$B$2:$B$427,[1]selection!$D$2:$D$427,0)</f>
        <v>5670161600</v>
      </c>
      <c r="J376" t="b">
        <f t="shared" si="5"/>
        <v>1</v>
      </c>
    </row>
    <row r="377" spans="1:10" hidden="1" x14ac:dyDescent="0.25">
      <c r="A377" t="s">
        <v>383</v>
      </c>
      <c r="B377" t="s">
        <v>809</v>
      </c>
      <c r="C377" t="s">
        <v>863</v>
      </c>
      <c r="D377">
        <v>59874365</v>
      </c>
      <c r="E377">
        <v>1</v>
      </c>
      <c r="F377">
        <v>1</v>
      </c>
      <c r="G377" t="s">
        <v>872</v>
      </c>
      <c r="H377" t="s">
        <v>873</v>
      </c>
      <c r="I377">
        <f>_xlfn.XLOOKUP(B377,[1]selection!$B$2:$B$427,[1]selection!$D$2:$D$427,0)</f>
        <v>59874365</v>
      </c>
      <c r="J377" t="b">
        <f t="shared" si="5"/>
        <v>1</v>
      </c>
    </row>
    <row r="378" spans="1:10" hidden="1" x14ac:dyDescent="0.25">
      <c r="A378" t="s">
        <v>384</v>
      </c>
      <c r="B378" t="s">
        <v>810</v>
      </c>
      <c r="C378" t="s">
        <v>861</v>
      </c>
      <c r="D378">
        <v>1071994930</v>
      </c>
      <c r="E378">
        <v>0.35</v>
      </c>
      <c r="F378">
        <v>1</v>
      </c>
      <c r="G378" t="s">
        <v>872</v>
      </c>
      <c r="H378" t="s">
        <v>873</v>
      </c>
      <c r="I378">
        <f>_xlfn.XLOOKUP(B378,[1]selection!$B$2:$B$427,[1]selection!$D$2:$D$427,0)</f>
        <v>1071994930</v>
      </c>
      <c r="J378" t="b">
        <f t="shared" si="5"/>
        <v>1</v>
      </c>
    </row>
    <row r="379" spans="1:10" hidden="1" x14ac:dyDescent="0.25">
      <c r="A379" t="s">
        <v>385</v>
      </c>
      <c r="B379" t="s">
        <v>811</v>
      </c>
      <c r="C379" t="s">
        <v>861</v>
      </c>
      <c r="D379">
        <v>2009992000</v>
      </c>
      <c r="E379">
        <v>0.70000000000000007</v>
      </c>
      <c r="F379">
        <v>1</v>
      </c>
      <c r="G379" t="s">
        <v>872</v>
      </c>
      <c r="H379" t="s">
        <v>873</v>
      </c>
      <c r="I379">
        <f>_xlfn.XLOOKUP(B379,[1]selection!$B$2:$B$427,[1]selection!$D$2:$D$427,0)</f>
        <v>2009992000</v>
      </c>
      <c r="J379" t="b">
        <f t="shared" si="5"/>
        <v>1</v>
      </c>
    </row>
    <row r="380" spans="1:10" hidden="1" x14ac:dyDescent="0.25">
      <c r="A380" t="s">
        <v>386</v>
      </c>
      <c r="B380" t="s">
        <v>812</v>
      </c>
      <c r="C380" t="s">
        <v>867</v>
      </c>
      <c r="D380">
        <v>127036530</v>
      </c>
      <c r="E380">
        <v>0.7</v>
      </c>
      <c r="F380">
        <v>1</v>
      </c>
      <c r="G380" t="s">
        <v>872</v>
      </c>
      <c r="H380" t="s">
        <v>873</v>
      </c>
      <c r="I380">
        <f>_xlfn.XLOOKUP(B380,[1]selection!$B$2:$B$427,[1]selection!$D$2:$D$427,0)</f>
        <v>127036530</v>
      </c>
      <c r="J380" t="b">
        <f t="shared" si="5"/>
        <v>1</v>
      </c>
    </row>
    <row r="381" spans="1:10" hidden="1" x14ac:dyDescent="0.25">
      <c r="A381" t="s">
        <v>387</v>
      </c>
      <c r="B381" t="s">
        <v>813</v>
      </c>
      <c r="C381" t="s">
        <v>865</v>
      </c>
      <c r="D381">
        <v>60159303</v>
      </c>
      <c r="E381">
        <v>0.35</v>
      </c>
      <c r="F381">
        <v>1</v>
      </c>
      <c r="G381" t="s">
        <v>872</v>
      </c>
      <c r="H381" t="s">
        <v>873</v>
      </c>
      <c r="I381">
        <f>_xlfn.XLOOKUP(B381,[1]selection!$B$2:$B$427,[1]selection!$D$2:$D$427,0)</f>
        <v>60159303</v>
      </c>
      <c r="J381" t="b">
        <f t="shared" si="5"/>
        <v>1</v>
      </c>
    </row>
    <row r="382" spans="1:10" hidden="1" x14ac:dyDescent="0.25">
      <c r="A382" t="s">
        <v>388</v>
      </c>
      <c r="B382" t="s">
        <v>814</v>
      </c>
      <c r="C382" t="s">
        <v>863</v>
      </c>
      <c r="D382">
        <v>211284237</v>
      </c>
      <c r="E382">
        <v>0.45</v>
      </c>
      <c r="F382">
        <v>1</v>
      </c>
      <c r="G382" t="s">
        <v>872</v>
      </c>
      <c r="H382" t="s">
        <v>873</v>
      </c>
      <c r="I382">
        <f>_xlfn.XLOOKUP(B382,[1]selection!$B$2:$B$427,[1]selection!$D$2:$D$427,0)</f>
        <v>211284237</v>
      </c>
      <c r="J382" t="b">
        <f t="shared" si="5"/>
        <v>1</v>
      </c>
    </row>
    <row r="383" spans="1:10" hidden="1" x14ac:dyDescent="0.25">
      <c r="A383" t="s">
        <v>389</v>
      </c>
      <c r="B383" t="s">
        <v>815</v>
      </c>
      <c r="C383" t="s">
        <v>863</v>
      </c>
      <c r="D383">
        <v>205941913</v>
      </c>
      <c r="E383">
        <v>0.45</v>
      </c>
      <c r="F383">
        <v>1</v>
      </c>
      <c r="G383" t="s">
        <v>872</v>
      </c>
      <c r="H383" t="s">
        <v>873</v>
      </c>
      <c r="I383">
        <f>_xlfn.XLOOKUP(B383,[1]selection!$B$2:$B$427,[1]selection!$D$2:$D$427,0)</f>
        <v>205941913</v>
      </c>
      <c r="J383" t="b">
        <f t="shared" si="5"/>
        <v>1</v>
      </c>
    </row>
    <row r="384" spans="1:10" hidden="1" x14ac:dyDescent="0.25">
      <c r="A384" t="s">
        <v>390</v>
      </c>
      <c r="B384" t="s">
        <v>816</v>
      </c>
      <c r="C384" t="s">
        <v>869</v>
      </c>
      <c r="D384">
        <v>711183069</v>
      </c>
      <c r="E384">
        <v>0.3</v>
      </c>
      <c r="F384">
        <v>1</v>
      </c>
      <c r="G384" t="s">
        <v>872</v>
      </c>
      <c r="H384" t="s">
        <v>873</v>
      </c>
      <c r="I384">
        <f>_xlfn.XLOOKUP(B384,[1]selection!$B$2:$B$427,[1]selection!$D$2:$D$427,0)</f>
        <v>711183069</v>
      </c>
      <c r="J384" t="b">
        <f t="shared" si="5"/>
        <v>1</v>
      </c>
    </row>
    <row r="385" spans="1:10" hidden="1" x14ac:dyDescent="0.25">
      <c r="A385" t="s">
        <v>391</v>
      </c>
      <c r="B385" t="s">
        <v>817</v>
      </c>
      <c r="C385" t="s">
        <v>860</v>
      </c>
      <c r="D385">
        <v>622531741</v>
      </c>
      <c r="E385">
        <v>0.8</v>
      </c>
      <c r="F385">
        <v>1</v>
      </c>
      <c r="G385" t="s">
        <v>872</v>
      </c>
      <c r="H385" t="s">
        <v>873</v>
      </c>
      <c r="I385">
        <f>_xlfn.XLOOKUP(B385,[1]selection!$B$2:$B$427,[1]selection!$D$2:$D$427,0)</f>
        <v>622531741</v>
      </c>
      <c r="J385" t="b">
        <f t="shared" si="5"/>
        <v>1</v>
      </c>
    </row>
    <row r="386" spans="1:10" hidden="1" x14ac:dyDescent="0.25">
      <c r="A386" t="s">
        <v>392</v>
      </c>
      <c r="B386" t="s">
        <v>818</v>
      </c>
      <c r="C386" t="s">
        <v>867</v>
      </c>
      <c r="D386">
        <v>118640150</v>
      </c>
      <c r="E386">
        <v>0.7</v>
      </c>
      <c r="F386">
        <v>1</v>
      </c>
      <c r="G386" t="s">
        <v>872</v>
      </c>
      <c r="H386" t="s">
        <v>873</v>
      </c>
      <c r="I386">
        <f>_xlfn.XLOOKUP(B386,[1]selection!$B$2:$B$427,[1]selection!$D$2:$D$427,0)</f>
        <v>118640150</v>
      </c>
      <c r="J386" t="b">
        <f t="shared" si="5"/>
        <v>1</v>
      </c>
    </row>
    <row r="387" spans="1:10" hidden="1" x14ac:dyDescent="0.25">
      <c r="A387" t="s">
        <v>393</v>
      </c>
      <c r="B387" t="s">
        <v>819</v>
      </c>
      <c r="C387" t="s">
        <v>862</v>
      </c>
      <c r="D387">
        <v>42198429</v>
      </c>
      <c r="E387">
        <v>0.70000000000000007</v>
      </c>
      <c r="F387">
        <v>1</v>
      </c>
      <c r="G387" t="s">
        <v>872</v>
      </c>
      <c r="H387" t="s">
        <v>873</v>
      </c>
      <c r="I387">
        <f>_xlfn.XLOOKUP(B387,[1]selection!$B$2:$B$427,[1]selection!$D$2:$D$427,0)</f>
        <v>42198429</v>
      </c>
      <c r="J387" t="b">
        <f t="shared" ref="J387:J427" si="6">I387=D387</f>
        <v>1</v>
      </c>
    </row>
    <row r="388" spans="1:10" hidden="1" x14ac:dyDescent="0.25">
      <c r="A388" t="s">
        <v>394</v>
      </c>
      <c r="B388" t="s">
        <v>820</v>
      </c>
      <c r="C388" t="s">
        <v>867</v>
      </c>
      <c r="D388">
        <v>58868750</v>
      </c>
      <c r="E388">
        <v>0.8</v>
      </c>
      <c r="F388">
        <v>1</v>
      </c>
      <c r="G388" t="s">
        <v>872</v>
      </c>
      <c r="H388" t="s">
        <v>873</v>
      </c>
      <c r="I388">
        <f>_xlfn.XLOOKUP(B388,[1]selection!$B$2:$B$427,[1]selection!$D$2:$D$427,0)</f>
        <v>58868750</v>
      </c>
      <c r="J388" t="b">
        <f t="shared" si="6"/>
        <v>1</v>
      </c>
    </row>
    <row r="389" spans="1:10" hidden="1" x14ac:dyDescent="0.25">
      <c r="A389" t="s">
        <v>395</v>
      </c>
      <c r="B389" t="s">
        <v>821</v>
      </c>
      <c r="C389" t="s">
        <v>860</v>
      </c>
      <c r="D389">
        <v>500000000</v>
      </c>
      <c r="E389">
        <v>0.1</v>
      </c>
      <c r="F389">
        <v>1</v>
      </c>
      <c r="G389" t="s">
        <v>872</v>
      </c>
      <c r="H389" t="s">
        <v>873</v>
      </c>
      <c r="I389">
        <f>_xlfn.XLOOKUP(B389,[1]selection!$B$2:$B$427,[1]selection!$D$2:$D$427,0)</f>
        <v>500000000</v>
      </c>
      <c r="J389" t="b">
        <f t="shared" si="6"/>
        <v>1</v>
      </c>
    </row>
    <row r="390" spans="1:10" hidden="1" x14ac:dyDescent="0.25">
      <c r="A390" t="s">
        <v>396</v>
      </c>
      <c r="B390" t="s">
        <v>822</v>
      </c>
      <c r="C390" t="s">
        <v>863</v>
      </c>
      <c r="D390">
        <v>19336269</v>
      </c>
      <c r="E390">
        <v>0.4</v>
      </c>
      <c r="F390">
        <v>1</v>
      </c>
      <c r="G390" t="s">
        <v>872</v>
      </c>
      <c r="H390" t="s">
        <v>873</v>
      </c>
      <c r="I390">
        <f>_xlfn.XLOOKUP(B390,[1]selection!$B$2:$B$427,[1]selection!$D$2:$D$427,0)</f>
        <v>19336269</v>
      </c>
      <c r="J390" t="b">
        <f t="shared" si="6"/>
        <v>1</v>
      </c>
    </row>
    <row r="391" spans="1:10" hidden="1" x14ac:dyDescent="0.25">
      <c r="A391" t="s">
        <v>397</v>
      </c>
      <c r="B391" t="s">
        <v>823</v>
      </c>
      <c r="C391" t="s">
        <v>865</v>
      </c>
      <c r="D391">
        <v>44512598</v>
      </c>
      <c r="E391">
        <v>0.45</v>
      </c>
      <c r="F391">
        <v>1</v>
      </c>
      <c r="G391" t="s">
        <v>872</v>
      </c>
      <c r="H391" t="s">
        <v>873</v>
      </c>
      <c r="I391">
        <f>_xlfn.XLOOKUP(B391,[1]selection!$B$2:$B$427,[1]selection!$D$2:$D$427,0)</f>
        <v>44512598</v>
      </c>
      <c r="J391" t="b">
        <f t="shared" si="6"/>
        <v>1</v>
      </c>
    </row>
    <row r="392" spans="1:10" hidden="1" x14ac:dyDescent="0.25">
      <c r="A392" t="s">
        <v>398</v>
      </c>
      <c r="B392" t="s">
        <v>824</v>
      </c>
      <c r="C392" t="s">
        <v>860</v>
      </c>
      <c r="D392">
        <v>507431033</v>
      </c>
      <c r="E392">
        <v>0.9</v>
      </c>
      <c r="F392">
        <v>1</v>
      </c>
      <c r="G392" t="s">
        <v>872</v>
      </c>
      <c r="H392" t="s">
        <v>873</v>
      </c>
      <c r="I392">
        <f>_xlfn.XLOOKUP(B392,[1]selection!$B$2:$B$427,[1]selection!$D$2:$D$427,0)</f>
        <v>507431033</v>
      </c>
      <c r="J392" t="b">
        <f t="shared" si="6"/>
        <v>1</v>
      </c>
    </row>
    <row r="393" spans="1:10" hidden="1" x14ac:dyDescent="0.25">
      <c r="A393" t="s">
        <v>399</v>
      </c>
      <c r="B393" t="s">
        <v>825</v>
      </c>
      <c r="C393" t="s">
        <v>862</v>
      </c>
      <c r="D393">
        <v>1834181554</v>
      </c>
      <c r="E393">
        <v>0.60000000000000009</v>
      </c>
      <c r="F393">
        <v>1</v>
      </c>
      <c r="G393" t="s">
        <v>872</v>
      </c>
      <c r="H393" t="s">
        <v>873</v>
      </c>
      <c r="I393">
        <f>_xlfn.XLOOKUP(B393,[1]selection!$B$2:$B$427,[1]selection!$D$2:$D$427,0)</f>
        <v>1834181554</v>
      </c>
      <c r="J393" t="b">
        <f t="shared" si="6"/>
        <v>1</v>
      </c>
    </row>
    <row r="394" spans="1:10" hidden="1" x14ac:dyDescent="0.25">
      <c r="A394" t="s">
        <v>400</v>
      </c>
      <c r="B394" t="s">
        <v>826</v>
      </c>
      <c r="C394" t="s">
        <v>865</v>
      </c>
      <c r="D394">
        <v>246400000</v>
      </c>
      <c r="E394">
        <v>0.75</v>
      </c>
      <c r="F394">
        <v>1</v>
      </c>
      <c r="G394" t="s">
        <v>872</v>
      </c>
      <c r="H394" t="s">
        <v>873</v>
      </c>
      <c r="I394">
        <f>_xlfn.XLOOKUP(B394,[1]selection!$B$2:$B$427,[1]selection!$D$2:$D$427,0)</f>
        <v>246400000</v>
      </c>
      <c r="J394" t="b">
        <f t="shared" si="6"/>
        <v>1</v>
      </c>
    </row>
    <row r="395" spans="1:10" hidden="1" x14ac:dyDescent="0.25">
      <c r="A395" t="s">
        <v>401</v>
      </c>
      <c r="B395" t="s">
        <v>827</v>
      </c>
      <c r="C395" t="s">
        <v>863</v>
      </c>
      <c r="D395">
        <v>143244727</v>
      </c>
      <c r="E395">
        <v>0.85000000000000009</v>
      </c>
      <c r="F395">
        <v>1</v>
      </c>
      <c r="G395" t="s">
        <v>872</v>
      </c>
      <c r="H395" t="s">
        <v>873</v>
      </c>
      <c r="I395">
        <f>_xlfn.XLOOKUP(B395,[1]selection!$B$2:$B$427,[1]selection!$D$2:$D$427,0)</f>
        <v>143244727</v>
      </c>
      <c r="J395" t="b">
        <f t="shared" si="6"/>
        <v>1</v>
      </c>
    </row>
    <row r="396" spans="1:10" hidden="1" x14ac:dyDescent="0.25">
      <c r="A396" t="s">
        <v>402</v>
      </c>
      <c r="B396" t="s">
        <v>828</v>
      </c>
      <c r="C396" t="s">
        <v>864</v>
      </c>
      <c r="D396">
        <v>2571434600</v>
      </c>
      <c r="E396">
        <v>0.3</v>
      </c>
      <c r="F396">
        <v>1</v>
      </c>
      <c r="G396" t="s">
        <v>872</v>
      </c>
      <c r="H396" t="s">
        <v>873</v>
      </c>
      <c r="I396">
        <f>_xlfn.XLOOKUP(B396,[1]selection!$B$2:$B$427,[1]selection!$D$2:$D$427,0)</f>
        <v>2571434600</v>
      </c>
      <c r="J396" t="b">
        <f t="shared" si="6"/>
        <v>1</v>
      </c>
    </row>
    <row r="397" spans="1:10" hidden="1" x14ac:dyDescent="0.25">
      <c r="A397" t="s">
        <v>403</v>
      </c>
      <c r="B397" t="s">
        <v>829</v>
      </c>
      <c r="C397" t="s">
        <v>861</v>
      </c>
      <c r="D397">
        <v>717473508</v>
      </c>
      <c r="E397">
        <v>0.55000000000000004</v>
      </c>
      <c r="F397">
        <v>1</v>
      </c>
      <c r="G397" t="s">
        <v>872</v>
      </c>
      <c r="H397" t="s">
        <v>873</v>
      </c>
      <c r="I397">
        <f>_xlfn.XLOOKUP(B397,[1]selection!$B$2:$B$427,[1]selection!$D$2:$D$427,0)</f>
        <v>717473508</v>
      </c>
      <c r="J397" t="b">
        <f t="shared" si="6"/>
        <v>1</v>
      </c>
    </row>
    <row r="398" spans="1:10" hidden="1" x14ac:dyDescent="0.25">
      <c r="A398" t="s">
        <v>404</v>
      </c>
      <c r="B398" t="s">
        <v>830</v>
      </c>
      <c r="C398" t="s">
        <v>868</v>
      </c>
      <c r="D398">
        <v>309000000</v>
      </c>
      <c r="E398">
        <v>0.4</v>
      </c>
      <c r="F398">
        <v>1</v>
      </c>
      <c r="G398" t="s">
        <v>872</v>
      </c>
      <c r="H398" t="s">
        <v>873</v>
      </c>
      <c r="I398">
        <f>_xlfn.XLOOKUP(B398,[1]selection!$B$2:$B$427,[1]selection!$D$2:$D$427,0)</f>
        <v>309000000</v>
      </c>
      <c r="J398" t="b">
        <f t="shared" si="6"/>
        <v>1</v>
      </c>
    </row>
    <row r="399" spans="1:10" hidden="1" x14ac:dyDescent="0.25">
      <c r="A399" t="s">
        <v>405</v>
      </c>
      <c r="B399" t="s">
        <v>831</v>
      </c>
      <c r="C399" t="s">
        <v>860</v>
      </c>
      <c r="D399">
        <v>192000000</v>
      </c>
      <c r="E399">
        <v>0.4</v>
      </c>
      <c r="F399">
        <v>1</v>
      </c>
      <c r="G399" t="s">
        <v>872</v>
      </c>
      <c r="H399" t="s">
        <v>873</v>
      </c>
      <c r="I399">
        <f>_xlfn.XLOOKUP(B399,[1]selection!$B$2:$B$427,[1]selection!$D$2:$D$427,0)</f>
        <v>192000000</v>
      </c>
      <c r="J399" t="b">
        <f t="shared" si="6"/>
        <v>1</v>
      </c>
    </row>
    <row r="400" spans="1:10" hidden="1" x14ac:dyDescent="0.25">
      <c r="A400" t="s">
        <v>406</v>
      </c>
      <c r="B400" t="s">
        <v>832</v>
      </c>
      <c r="C400" t="s">
        <v>862</v>
      </c>
      <c r="D400">
        <v>43036928</v>
      </c>
      <c r="E400">
        <v>0.70000000000000007</v>
      </c>
      <c r="F400">
        <v>1</v>
      </c>
      <c r="G400" t="s">
        <v>872</v>
      </c>
      <c r="H400" t="s">
        <v>873</v>
      </c>
      <c r="I400">
        <f>_xlfn.XLOOKUP(B400,[1]selection!$B$2:$B$427,[1]selection!$D$2:$D$427,0)</f>
        <v>43036928</v>
      </c>
      <c r="J400" t="b">
        <f t="shared" si="6"/>
        <v>1</v>
      </c>
    </row>
    <row r="401" spans="1:10" hidden="1" x14ac:dyDescent="0.25">
      <c r="A401" t="s">
        <v>407</v>
      </c>
      <c r="B401" t="s">
        <v>833</v>
      </c>
      <c r="C401" t="s">
        <v>867</v>
      </c>
      <c r="D401">
        <v>33343600</v>
      </c>
      <c r="E401">
        <v>0.85</v>
      </c>
      <c r="F401">
        <v>1</v>
      </c>
      <c r="G401" t="s">
        <v>872</v>
      </c>
      <c r="H401" t="s">
        <v>873</v>
      </c>
      <c r="I401">
        <f>_xlfn.XLOOKUP(B401,[1]selection!$B$2:$B$427,[1]selection!$D$2:$D$427,0)</f>
        <v>33343600</v>
      </c>
      <c r="J401" t="b">
        <f t="shared" si="6"/>
        <v>1</v>
      </c>
    </row>
    <row r="402" spans="1:10" hidden="1" x14ac:dyDescent="0.25">
      <c r="A402" t="s">
        <v>408</v>
      </c>
      <c r="B402" t="s">
        <v>834</v>
      </c>
      <c r="C402" t="s">
        <v>863</v>
      </c>
      <c r="D402">
        <v>245607624</v>
      </c>
      <c r="E402">
        <v>0.9</v>
      </c>
      <c r="F402">
        <v>1</v>
      </c>
      <c r="G402" t="s">
        <v>872</v>
      </c>
      <c r="H402" t="s">
        <v>873</v>
      </c>
      <c r="I402">
        <f>_xlfn.XLOOKUP(B402,[1]selection!$B$2:$B$427,[1]selection!$D$2:$D$427,0)</f>
        <v>245607624</v>
      </c>
      <c r="J402" t="b">
        <f t="shared" si="6"/>
        <v>1</v>
      </c>
    </row>
    <row r="403" spans="1:10" hidden="1" x14ac:dyDescent="0.25">
      <c r="A403" t="s">
        <v>409</v>
      </c>
      <c r="B403" t="s">
        <v>835</v>
      </c>
      <c r="C403" t="s">
        <v>863</v>
      </c>
      <c r="D403">
        <v>234359146</v>
      </c>
      <c r="E403">
        <v>0.70000000000000007</v>
      </c>
      <c r="F403">
        <v>1</v>
      </c>
      <c r="G403" t="s">
        <v>872</v>
      </c>
      <c r="H403" t="s">
        <v>873</v>
      </c>
      <c r="I403">
        <f>_xlfn.XLOOKUP(B403,[1]selection!$B$2:$B$427,[1]selection!$D$2:$D$427,0)</f>
        <v>234359146</v>
      </c>
      <c r="J403" t="b">
        <f t="shared" si="6"/>
        <v>1</v>
      </c>
    </row>
    <row r="404" spans="1:10" hidden="1" x14ac:dyDescent="0.25">
      <c r="A404" t="s">
        <v>410</v>
      </c>
      <c r="B404" t="s">
        <v>836</v>
      </c>
      <c r="C404" t="s">
        <v>867</v>
      </c>
      <c r="D404">
        <v>184529605</v>
      </c>
      <c r="E404">
        <v>0.8</v>
      </c>
      <c r="F404">
        <v>1</v>
      </c>
      <c r="G404" t="s">
        <v>872</v>
      </c>
      <c r="H404" t="s">
        <v>873</v>
      </c>
      <c r="I404">
        <f>_xlfn.XLOOKUP(B404,[1]selection!$B$2:$B$427,[1]selection!$D$2:$D$427,0)</f>
        <v>184529605</v>
      </c>
      <c r="J404" t="b">
        <f t="shared" si="6"/>
        <v>1</v>
      </c>
    </row>
    <row r="405" spans="1:10" hidden="1" x14ac:dyDescent="0.25">
      <c r="A405" t="s">
        <v>411</v>
      </c>
      <c r="B405" t="s">
        <v>837</v>
      </c>
      <c r="C405" t="s">
        <v>863</v>
      </c>
      <c r="D405">
        <v>741723437</v>
      </c>
      <c r="E405">
        <v>0.85000000000000009</v>
      </c>
      <c r="F405">
        <v>1</v>
      </c>
      <c r="G405" t="s">
        <v>872</v>
      </c>
      <c r="H405" t="s">
        <v>873</v>
      </c>
      <c r="I405">
        <f>_xlfn.XLOOKUP(B405,[1]selection!$B$2:$B$427,[1]selection!$D$2:$D$427,0)</f>
        <v>741723437</v>
      </c>
      <c r="J405" t="b">
        <f t="shared" si="6"/>
        <v>1</v>
      </c>
    </row>
    <row r="406" spans="1:10" hidden="1" x14ac:dyDescent="0.25">
      <c r="A406" t="s">
        <v>412</v>
      </c>
      <c r="B406" t="s">
        <v>838</v>
      </c>
      <c r="C406" t="s">
        <v>868</v>
      </c>
      <c r="D406">
        <v>170233686</v>
      </c>
      <c r="E406">
        <v>0.4</v>
      </c>
      <c r="F406">
        <v>1</v>
      </c>
      <c r="G406" t="s">
        <v>872</v>
      </c>
      <c r="H406" t="s">
        <v>873</v>
      </c>
      <c r="I406">
        <f>_xlfn.XLOOKUP(B406,[1]selection!$B$2:$B$427,[1]selection!$D$2:$D$427,0)</f>
        <v>170233686</v>
      </c>
      <c r="J406" t="b">
        <f t="shared" si="6"/>
        <v>1</v>
      </c>
    </row>
    <row r="407" spans="1:10" hidden="1" x14ac:dyDescent="0.25">
      <c r="A407" t="s">
        <v>413</v>
      </c>
      <c r="B407" t="s">
        <v>839</v>
      </c>
      <c r="C407" t="s">
        <v>865</v>
      </c>
      <c r="D407">
        <v>27291312</v>
      </c>
      <c r="E407">
        <v>0.5</v>
      </c>
      <c r="F407">
        <v>1</v>
      </c>
      <c r="G407" t="s">
        <v>872</v>
      </c>
      <c r="H407" t="s">
        <v>873</v>
      </c>
      <c r="I407">
        <f>_xlfn.XLOOKUP(B407,[1]selection!$B$2:$B$427,[1]selection!$D$2:$D$427,0)</f>
        <v>27291312</v>
      </c>
      <c r="J407" t="b">
        <f t="shared" si="6"/>
        <v>1</v>
      </c>
    </row>
    <row r="408" spans="1:10" hidden="1" x14ac:dyDescent="0.25">
      <c r="A408" t="s">
        <v>414</v>
      </c>
      <c r="B408" t="s">
        <v>840</v>
      </c>
      <c r="C408" t="s">
        <v>863</v>
      </c>
      <c r="D408">
        <v>44900000</v>
      </c>
      <c r="E408">
        <v>0.35</v>
      </c>
      <c r="F408">
        <v>1</v>
      </c>
      <c r="G408" t="s">
        <v>872</v>
      </c>
      <c r="H408" t="s">
        <v>873</v>
      </c>
      <c r="I408">
        <f>_xlfn.XLOOKUP(B408,[1]selection!$B$2:$B$427,[1]selection!$D$2:$D$427,0)</f>
        <v>44900000</v>
      </c>
      <c r="J408" t="b">
        <f t="shared" si="6"/>
        <v>1</v>
      </c>
    </row>
    <row r="409" spans="1:10" hidden="1" x14ac:dyDescent="0.25">
      <c r="A409" t="s">
        <v>415</v>
      </c>
      <c r="B409" t="s">
        <v>841</v>
      </c>
      <c r="C409" t="s">
        <v>864</v>
      </c>
      <c r="D409">
        <v>35206257</v>
      </c>
      <c r="E409">
        <v>0.65</v>
      </c>
      <c r="F409">
        <v>1</v>
      </c>
      <c r="G409" t="s">
        <v>872</v>
      </c>
      <c r="H409" t="s">
        <v>873</v>
      </c>
      <c r="I409">
        <f>_xlfn.XLOOKUP(B409,[1]selection!$B$2:$B$427,[1]selection!$D$2:$D$427,0)</f>
        <v>35206257</v>
      </c>
      <c r="J409" t="b">
        <f t="shared" si="6"/>
        <v>1</v>
      </c>
    </row>
    <row r="410" spans="1:10" hidden="1" x14ac:dyDescent="0.25">
      <c r="A410" t="s">
        <v>416</v>
      </c>
      <c r="B410" t="s">
        <v>842</v>
      </c>
      <c r="C410" t="s">
        <v>863</v>
      </c>
      <c r="D410">
        <v>8390660</v>
      </c>
      <c r="E410">
        <v>0.5</v>
      </c>
      <c r="F410">
        <v>1</v>
      </c>
      <c r="G410" t="s">
        <v>872</v>
      </c>
      <c r="H410" t="s">
        <v>873</v>
      </c>
      <c r="I410">
        <f>_xlfn.XLOOKUP(B410,[1]selection!$B$2:$B$427,[1]selection!$D$2:$D$427,0)</f>
        <v>8390660</v>
      </c>
      <c r="J410" t="b">
        <f t="shared" si="6"/>
        <v>1</v>
      </c>
    </row>
    <row r="411" spans="1:10" hidden="1" x14ac:dyDescent="0.25">
      <c r="A411" t="s">
        <v>417</v>
      </c>
      <c r="B411" t="s">
        <v>843</v>
      </c>
      <c r="C411" t="s">
        <v>864</v>
      </c>
      <c r="D411">
        <v>46500000</v>
      </c>
      <c r="E411">
        <v>0.8</v>
      </c>
      <c r="F411">
        <v>1</v>
      </c>
      <c r="G411" t="s">
        <v>872</v>
      </c>
      <c r="H411" t="s">
        <v>873</v>
      </c>
      <c r="I411">
        <f>_xlfn.XLOOKUP(B411,[1]selection!$B$2:$B$427,[1]selection!$D$2:$D$427,0)</f>
        <v>46500000</v>
      </c>
      <c r="J411" t="b">
        <f t="shared" si="6"/>
        <v>1</v>
      </c>
    </row>
    <row r="412" spans="1:10" hidden="1" x14ac:dyDescent="0.25">
      <c r="A412" t="s">
        <v>418</v>
      </c>
      <c r="B412" t="s">
        <v>844</v>
      </c>
      <c r="C412" t="s">
        <v>863</v>
      </c>
      <c r="D412">
        <v>1029918125</v>
      </c>
      <c r="E412">
        <v>0.70000000000000007</v>
      </c>
      <c r="F412">
        <v>1</v>
      </c>
      <c r="G412" t="s">
        <v>872</v>
      </c>
      <c r="H412" t="s">
        <v>873</v>
      </c>
      <c r="I412">
        <f>_xlfn.XLOOKUP(B412,[1]selection!$B$2:$B$427,[1]selection!$D$2:$D$427,0)</f>
        <v>1029918125</v>
      </c>
      <c r="J412" t="b">
        <f t="shared" si="6"/>
        <v>1</v>
      </c>
    </row>
    <row r="413" spans="1:10" hidden="1" x14ac:dyDescent="0.25">
      <c r="A413" t="s">
        <v>419</v>
      </c>
      <c r="B413" t="s">
        <v>845</v>
      </c>
      <c r="C413" t="s">
        <v>868</v>
      </c>
      <c r="D413">
        <v>178549160</v>
      </c>
      <c r="E413">
        <v>0.6</v>
      </c>
      <c r="F413">
        <v>1</v>
      </c>
      <c r="G413" t="s">
        <v>872</v>
      </c>
      <c r="H413" t="s">
        <v>873</v>
      </c>
      <c r="I413">
        <f>_xlfn.XLOOKUP(B413,[1]selection!$B$2:$B$427,[1]selection!$D$2:$D$427,0)</f>
        <v>178549160</v>
      </c>
      <c r="J413" t="b">
        <f t="shared" si="6"/>
        <v>1</v>
      </c>
    </row>
    <row r="414" spans="1:10" hidden="1" x14ac:dyDescent="0.25">
      <c r="A414" t="s">
        <v>420</v>
      </c>
      <c r="B414" t="s">
        <v>846</v>
      </c>
      <c r="C414" t="s">
        <v>860</v>
      </c>
      <c r="D414">
        <v>206205440</v>
      </c>
      <c r="E414">
        <v>1</v>
      </c>
      <c r="F414">
        <v>1</v>
      </c>
      <c r="G414" t="s">
        <v>872</v>
      </c>
      <c r="H414" t="s">
        <v>873</v>
      </c>
      <c r="I414">
        <f>_xlfn.XLOOKUP(B414,[1]selection!$B$2:$B$427,[1]selection!$D$2:$D$427,0)</f>
        <v>206205440</v>
      </c>
      <c r="J414" t="b">
        <f t="shared" si="6"/>
        <v>1</v>
      </c>
    </row>
    <row r="415" spans="1:10" hidden="1" x14ac:dyDescent="0.25">
      <c r="A415" t="s">
        <v>421</v>
      </c>
      <c r="B415" t="s">
        <v>847</v>
      </c>
      <c r="C415" t="s">
        <v>860</v>
      </c>
      <c r="D415">
        <v>847785030</v>
      </c>
      <c r="E415">
        <v>0.85</v>
      </c>
      <c r="F415">
        <v>1</v>
      </c>
      <c r="G415" t="s">
        <v>872</v>
      </c>
      <c r="H415" t="s">
        <v>873</v>
      </c>
      <c r="I415">
        <f>_xlfn.XLOOKUP(B415,[1]selection!$B$2:$B$427,[1]selection!$D$2:$D$427,0)</f>
        <v>847785030</v>
      </c>
      <c r="J415" t="b">
        <f t="shared" si="6"/>
        <v>1</v>
      </c>
    </row>
    <row r="416" spans="1:10" hidden="1" x14ac:dyDescent="0.25">
      <c r="A416" t="s">
        <v>422</v>
      </c>
      <c r="B416" t="s">
        <v>848</v>
      </c>
      <c r="C416" t="s">
        <v>862</v>
      </c>
      <c r="D416">
        <v>115264199</v>
      </c>
      <c r="E416">
        <v>0.45</v>
      </c>
      <c r="F416">
        <v>1</v>
      </c>
      <c r="G416" t="s">
        <v>872</v>
      </c>
      <c r="H416" t="s">
        <v>873</v>
      </c>
      <c r="I416">
        <f>_xlfn.XLOOKUP(B416,[1]selection!$B$2:$B$427,[1]selection!$D$2:$D$427,0)</f>
        <v>115264199</v>
      </c>
      <c r="J416" t="b">
        <f t="shared" si="6"/>
        <v>1</v>
      </c>
    </row>
    <row r="417" spans="1:10" hidden="1" x14ac:dyDescent="0.25">
      <c r="A417" t="s">
        <v>423</v>
      </c>
      <c r="B417" t="s">
        <v>849</v>
      </c>
      <c r="C417" t="s">
        <v>863</v>
      </c>
      <c r="D417">
        <v>16843782</v>
      </c>
      <c r="E417">
        <v>0.55000000000000004</v>
      </c>
      <c r="F417">
        <v>1</v>
      </c>
      <c r="G417" t="s">
        <v>872</v>
      </c>
      <c r="H417" t="s">
        <v>873</v>
      </c>
      <c r="I417">
        <f>_xlfn.XLOOKUP(B417,[1]selection!$B$2:$B$427,[1]selection!$D$2:$D$427,0)</f>
        <v>16843782</v>
      </c>
      <c r="J417" t="b">
        <f t="shared" si="6"/>
        <v>1</v>
      </c>
    </row>
    <row r="418" spans="1:10" hidden="1" x14ac:dyDescent="0.25">
      <c r="A418" t="s">
        <v>424</v>
      </c>
      <c r="B418" t="s">
        <v>850</v>
      </c>
      <c r="C418" t="s">
        <v>860</v>
      </c>
      <c r="D418">
        <v>52152600</v>
      </c>
      <c r="E418">
        <v>0.4</v>
      </c>
      <c r="F418">
        <v>1</v>
      </c>
      <c r="G418" t="s">
        <v>872</v>
      </c>
      <c r="H418" t="s">
        <v>873</v>
      </c>
      <c r="I418">
        <f>_xlfn.XLOOKUP(B418,[1]selection!$B$2:$B$427,[1]selection!$D$2:$D$427,0)</f>
        <v>52152600</v>
      </c>
      <c r="J418" t="b">
        <f t="shared" si="6"/>
        <v>1</v>
      </c>
    </row>
    <row r="419" spans="1:10" hidden="1" x14ac:dyDescent="0.25">
      <c r="A419" t="s">
        <v>425</v>
      </c>
      <c r="B419" t="s">
        <v>851</v>
      </c>
      <c r="C419" t="s">
        <v>865</v>
      </c>
      <c r="D419">
        <v>235139589</v>
      </c>
      <c r="E419">
        <v>0.8</v>
      </c>
      <c r="F419">
        <v>1</v>
      </c>
      <c r="G419" t="s">
        <v>872</v>
      </c>
      <c r="H419" t="s">
        <v>873</v>
      </c>
      <c r="I419">
        <f>_xlfn.XLOOKUP(B419,[1]selection!$B$2:$B$427,[1]selection!$D$2:$D$427,0)</f>
        <v>235139589</v>
      </c>
      <c r="J419" t="b">
        <f t="shared" si="6"/>
        <v>1</v>
      </c>
    </row>
    <row r="420" spans="1:10" hidden="1" x14ac:dyDescent="0.25">
      <c r="A420" t="s">
        <v>426</v>
      </c>
      <c r="B420" t="s">
        <v>852</v>
      </c>
      <c r="C420" t="s">
        <v>861</v>
      </c>
      <c r="D420">
        <v>1017681493</v>
      </c>
      <c r="E420">
        <v>0.45</v>
      </c>
      <c r="F420">
        <v>1</v>
      </c>
      <c r="G420" t="s">
        <v>872</v>
      </c>
      <c r="H420" t="s">
        <v>873</v>
      </c>
      <c r="I420">
        <f>_xlfn.XLOOKUP(B420,[1]selection!$B$2:$B$427,[1]selection!$D$2:$D$427,0)</f>
        <v>1017681493</v>
      </c>
      <c r="J420" t="b">
        <f t="shared" si="6"/>
        <v>1</v>
      </c>
    </row>
    <row r="421" spans="1:10" hidden="1" x14ac:dyDescent="0.25">
      <c r="A421" t="s">
        <v>427</v>
      </c>
      <c r="B421" t="s">
        <v>853</v>
      </c>
      <c r="C421" t="s">
        <v>863</v>
      </c>
      <c r="D421">
        <v>44512038</v>
      </c>
      <c r="E421">
        <v>0.60000000000000009</v>
      </c>
      <c r="F421">
        <v>1</v>
      </c>
      <c r="G421" t="s">
        <v>872</v>
      </c>
      <c r="H421" t="s">
        <v>873</v>
      </c>
      <c r="I421">
        <f>_xlfn.XLOOKUP(B421,[1]selection!$B$2:$B$427,[1]selection!$D$2:$D$427,0)</f>
        <v>44512038</v>
      </c>
      <c r="J421" t="b">
        <f t="shared" si="6"/>
        <v>1</v>
      </c>
    </row>
    <row r="422" spans="1:10" hidden="1" x14ac:dyDescent="0.25">
      <c r="A422" t="s">
        <v>428</v>
      </c>
      <c r="B422" t="s">
        <v>854</v>
      </c>
      <c r="C422" t="s">
        <v>868</v>
      </c>
      <c r="D422">
        <v>109497696</v>
      </c>
      <c r="E422">
        <v>1</v>
      </c>
      <c r="F422">
        <v>1</v>
      </c>
      <c r="G422" t="s">
        <v>872</v>
      </c>
      <c r="H422" t="s">
        <v>873</v>
      </c>
      <c r="I422">
        <f>_xlfn.XLOOKUP(B422,[1]selection!$B$2:$B$427,[1]selection!$D$2:$D$427,0)</f>
        <v>109497696</v>
      </c>
      <c r="J422" t="b">
        <f t="shared" si="6"/>
        <v>1</v>
      </c>
    </row>
    <row r="423" spans="1:10" hidden="1" x14ac:dyDescent="0.25">
      <c r="A423" t="s">
        <v>429</v>
      </c>
      <c r="B423" t="s">
        <v>855</v>
      </c>
      <c r="C423" t="s">
        <v>867</v>
      </c>
      <c r="D423">
        <v>174673170</v>
      </c>
      <c r="E423">
        <v>0.95</v>
      </c>
      <c r="F423">
        <v>1</v>
      </c>
      <c r="G423" t="s">
        <v>872</v>
      </c>
      <c r="H423" t="s">
        <v>873</v>
      </c>
      <c r="I423">
        <f>_xlfn.XLOOKUP(B423,[1]selection!$B$2:$B$427,[1]selection!$D$2:$D$427,0)</f>
        <v>174673170</v>
      </c>
      <c r="J423" t="b">
        <f t="shared" si="6"/>
        <v>1</v>
      </c>
    </row>
    <row r="424" spans="1:10" hidden="1" x14ac:dyDescent="0.25">
      <c r="A424" t="s">
        <v>430</v>
      </c>
      <c r="B424" t="s">
        <v>856</v>
      </c>
      <c r="C424" t="s">
        <v>862</v>
      </c>
      <c r="D424">
        <v>232516153</v>
      </c>
      <c r="E424">
        <v>1</v>
      </c>
      <c r="F424">
        <v>1</v>
      </c>
      <c r="G424" t="s">
        <v>872</v>
      </c>
      <c r="H424" t="s">
        <v>873</v>
      </c>
      <c r="I424">
        <f>_xlfn.XLOOKUP(B424,[1]selection!$B$2:$B$427,[1]selection!$D$2:$D$427,0)</f>
        <v>232516153</v>
      </c>
      <c r="J424" t="b">
        <f t="shared" si="6"/>
        <v>1</v>
      </c>
    </row>
    <row r="425" spans="1:10" hidden="1" x14ac:dyDescent="0.25">
      <c r="A425" t="s">
        <v>431</v>
      </c>
      <c r="B425" t="s">
        <v>857</v>
      </c>
      <c r="C425" t="s">
        <v>865</v>
      </c>
      <c r="D425">
        <v>46695094</v>
      </c>
      <c r="E425">
        <v>0.85000000000000009</v>
      </c>
      <c r="F425">
        <v>1</v>
      </c>
      <c r="G425" t="s">
        <v>872</v>
      </c>
      <c r="H425" t="s">
        <v>873</v>
      </c>
      <c r="I425">
        <f>_xlfn.XLOOKUP(B425,[1]selection!$B$2:$B$427,[1]selection!$D$2:$D$427,0)</f>
        <v>46695094</v>
      </c>
      <c r="J425" t="b">
        <f t="shared" si="6"/>
        <v>1</v>
      </c>
    </row>
    <row r="426" spans="1:10" hidden="1" x14ac:dyDescent="0.25">
      <c r="A426" t="s">
        <v>432</v>
      </c>
      <c r="B426" t="s">
        <v>858</v>
      </c>
      <c r="C426" t="s">
        <v>867</v>
      </c>
      <c r="D426">
        <v>232059860</v>
      </c>
      <c r="E426">
        <v>0.7</v>
      </c>
      <c r="F426">
        <v>1</v>
      </c>
      <c r="G426" t="s">
        <v>872</v>
      </c>
      <c r="H426" t="s">
        <v>873</v>
      </c>
      <c r="I426">
        <f>_xlfn.XLOOKUP(B426,[1]selection!$B$2:$B$427,[1]selection!$D$2:$D$427,0)</f>
        <v>232059860</v>
      </c>
      <c r="J426" t="b">
        <f t="shared" si="6"/>
        <v>1</v>
      </c>
    </row>
    <row r="427" spans="1:10" hidden="1" x14ac:dyDescent="0.25">
      <c r="A427" t="s">
        <v>433</v>
      </c>
      <c r="B427" t="s">
        <v>859</v>
      </c>
      <c r="C427" t="s">
        <v>860</v>
      </c>
      <c r="D427">
        <v>264169980</v>
      </c>
      <c r="E427">
        <v>0.9</v>
      </c>
      <c r="F427">
        <v>1</v>
      </c>
      <c r="G427" t="s">
        <v>872</v>
      </c>
      <c r="H427" t="s">
        <v>873</v>
      </c>
      <c r="I427">
        <f>_xlfn.XLOOKUP(B427,[1]selection!$B$2:$B$427,[1]selection!$D$2:$D$427,0)</f>
        <v>264169980</v>
      </c>
      <c r="J427" t="b">
        <f t="shared" si="6"/>
        <v>1</v>
      </c>
    </row>
  </sheetData>
  <autoFilter ref="A1:J427" xr:uid="{00000000-0001-0000-0000-000000000000}">
    <filterColumn colId="9">
      <filters>
        <filter val="FALSE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874</v>
      </c>
    </row>
    <row r="2" spans="1:4" x14ac:dyDescent="0.25">
      <c r="A2" t="s">
        <v>8</v>
      </c>
      <c r="B2" t="s">
        <v>434</v>
      </c>
      <c r="C2" t="s">
        <v>860</v>
      </c>
      <c r="D2" t="s">
        <v>875</v>
      </c>
    </row>
    <row r="3" spans="1:4" x14ac:dyDescent="0.25">
      <c r="A3" t="s">
        <v>19</v>
      </c>
      <c r="B3" t="s">
        <v>445</v>
      </c>
      <c r="C3" t="s">
        <v>860</v>
      </c>
      <c r="D3" t="s">
        <v>875</v>
      </c>
    </row>
    <row r="4" spans="1:4" x14ac:dyDescent="0.25">
      <c r="A4" t="s">
        <v>20</v>
      </c>
      <c r="B4" t="s">
        <v>446</v>
      </c>
      <c r="C4" t="s">
        <v>866</v>
      </c>
      <c r="D4" t="s">
        <v>875</v>
      </c>
    </row>
    <row r="5" spans="1:4" x14ac:dyDescent="0.25">
      <c r="A5" t="s">
        <v>22</v>
      </c>
      <c r="B5" t="s">
        <v>448</v>
      </c>
      <c r="C5" t="s">
        <v>862</v>
      </c>
      <c r="D5" t="s">
        <v>875</v>
      </c>
    </row>
    <row r="6" spans="1:4" x14ac:dyDescent="0.25">
      <c r="A6" t="s">
        <v>35</v>
      </c>
      <c r="B6" t="s">
        <v>461</v>
      </c>
      <c r="C6" t="s">
        <v>862</v>
      </c>
      <c r="D6" t="s">
        <v>875</v>
      </c>
    </row>
    <row r="7" spans="1:4" x14ac:dyDescent="0.25">
      <c r="A7" t="s">
        <v>49</v>
      </c>
      <c r="B7" t="s">
        <v>475</v>
      </c>
      <c r="C7" t="s">
        <v>860</v>
      </c>
      <c r="D7" t="s">
        <v>875</v>
      </c>
    </row>
    <row r="8" spans="1:4" x14ac:dyDescent="0.25">
      <c r="A8" t="s">
        <v>67</v>
      </c>
      <c r="B8" t="s">
        <v>493</v>
      </c>
      <c r="C8" t="s">
        <v>861</v>
      </c>
      <c r="D8" t="s">
        <v>875</v>
      </c>
    </row>
    <row r="9" spans="1:4" x14ac:dyDescent="0.25">
      <c r="A9" t="s">
        <v>95</v>
      </c>
      <c r="B9" t="s">
        <v>521</v>
      </c>
      <c r="C9" t="s">
        <v>860</v>
      </c>
      <c r="D9" t="s">
        <v>875</v>
      </c>
    </row>
    <row r="10" spans="1:4" x14ac:dyDescent="0.25">
      <c r="A10" t="s">
        <v>102</v>
      </c>
      <c r="B10" t="s">
        <v>528</v>
      </c>
      <c r="C10" t="s">
        <v>865</v>
      </c>
      <c r="D10" t="s">
        <v>875</v>
      </c>
    </row>
    <row r="11" spans="1:4" x14ac:dyDescent="0.25">
      <c r="A11" t="s">
        <v>112</v>
      </c>
      <c r="B11" t="s">
        <v>538</v>
      </c>
      <c r="C11" t="s">
        <v>869</v>
      </c>
      <c r="D11" t="s">
        <v>875</v>
      </c>
    </row>
    <row r="12" spans="1:4" x14ac:dyDescent="0.25">
      <c r="A12" t="s">
        <v>113</v>
      </c>
      <c r="B12" t="s">
        <v>539</v>
      </c>
      <c r="C12" t="s">
        <v>860</v>
      </c>
      <c r="D12" t="s">
        <v>875</v>
      </c>
    </row>
    <row r="13" spans="1:4" x14ac:dyDescent="0.25">
      <c r="A13" t="s">
        <v>128</v>
      </c>
      <c r="B13" t="s">
        <v>554</v>
      </c>
      <c r="C13" t="s">
        <v>865</v>
      </c>
      <c r="D13" t="s">
        <v>875</v>
      </c>
    </row>
    <row r="14" spans="1:4" x14ac:dyDescent="0.25">
      <c r="A14" t="s">
        <v>157</v>
      </c>
      <c r="B14" t="s">
        <v>583</v>
      </c>
      <c r="C14" t="s">
        <v>860</v>
      </c>
      <c r="D14" t="s">
        <v>875</v>
      </c>
    </row>
    <row r="15" spans="1:4" x14ac:dyDescent="0.25">
      <c r="A15" t="s">
        <v>162</v>
      </c>
      <c r="B15" t="s">
        <v>588</v>
      </c>
      <c r="C15" t="s">
        <v>866</v>
      </c>
      <c r="D15" t="s">
        <v>875</v>
      </c>
    </row>
    <row r="16" spans="1:4" x14ac:dyDescent="0.25">
      <c r="A16" t="s">
        <v>181</v>
      </c>
      <c r="B16" t="s">
        <v>607</v>
      </c>
      <c r="C16" t="s">
        <v>861</v>
      </c>
      <c r="D16" t="s">
        <v>875</v>
      </c>
    </row>
    <row r="17" spans="1:4" x14ac:dyDescent="0.25">
      <c r="A17" t="s">
        <v>187</v>
      </c>
      <c r="B17" t="s">
        <v>613</v>
      </c>
      <c r="C17" t="s">
        <v>860</v>
      </c>
      <c r="D17" t="s">
        <v>875</v>
      </c>
    </row>
    <row r="18" spans="1:4" x14ac:dyDescent="0.25">
      <c r="A18" t="s">
        <v>189</v>
      </c>
      <c r="B18" t="s">
        <v>615</v>
      </c>
      <c r="C18" t="s">
        <v>864</v>
      </c>
      <c r="D18" t="s">
        <v>875</v>
      </c>
    </row>
    <row r="19" spans="1:4" x14ac:dyDescent="0.25">
      <c r="A19" t="s">
        <v>204</v>
      </c>
      <c r="B19" t="s">
        <v>630</v>
      </c>
      <c r="C19" t="s">
        <v>860</v>
      </c>
      <c r="D19" t="s">
        <v>875</v>
      </c>
    </row>
    <row r="20" spans="1:4" x14ac:dyDescent="0.25">
      <c r="A20" t="s">
        <v>245</v>
      </c>
      <c r="B20" t="s">
        <v>671</v>
      </c>
      <c r="C20" t="s">
        <v>860</v>
      </c>
      <c r="D20" t="s">
        <v>875</v>
      </c>
    </row>
    <row r="21" spans="1:4" x14ac:dyDescent="0.25">
      <c r="A21" t="s">
        <v>257</v>
      </c>
      <c r="B21" t="s">
        <v>683</v>
      </c>
      <c r="C21" t="s">
        <v>861</v>
      </c>
      <c r="D21" t="s">
        <v>875</v>
      </c>
    </row>
    <row r="22" spans="1:4" x14ac:dyDescent="0.25">
      <c r="A22" t="s">
        <v>259</v>
      </c>
      <c r="B22" t="s">
        <v>685</v>
      </c>
      <c r="C22" t="s">
        <v>862</v>
      </c>
      <c r="D22" t="s">
        <v>875</v>
      </c>
    </row>
    <row r="23" spans="1:4" x14ac:dyDescent="0.25">
      <c r="A23" t="s">
        <v>264</v>
      </c>
      <c r="B23" t="s">
        <v>690</v>
      </c>
      <c r="C23" t="s">
        <v>863</v>
      </c>
      <c r="D23" t="s">
        <v>875</v>
      </c>
    </row>
    <row r="24" spans="1:4" x14ac:dyDescent="0.25">
      <c r="A24" t="s">
        <v>265</v>
      </c>
      <c r="B24" t="s">
        <v>691</v>
      </c>
      <c r="C24" t="s">
        <v>861</v>
      </c>
      <c r="D24" t="s">
        <v>875</v>
      </c>
    </row>
    <row r="25" spans="1:4" x14ac:dyDescent="0.25">
      <c r="A25" t="s">
        <v>278</v>
      </c>
      <c r="B25" t="s">
        <v>704</v>
      </c>
      <c r="C25" t="s">
        <v>864</v>
      </c>
      <c r="D25" t="s">
        <v>875</v>
      </c>
    </row>
    <row r="26" spans="1:4" x14ac:dyDescent="0.25">
      <c r="A26" t="s">
        <v>281</v>
      </c>
      <c r="B26" t="s">
        <v>707</v>
      </c>
      <c r="C26" t="s">
        <v>861</v>
      </c>
      <c r="D26" t="s">
        <v>875</v>
      </c>
    </row>
    <row r="27" spans="1:4" x14ac:dyDescent="0.25">
      <c r="A27" t="s">
        <v>289</v>
      </c>
      <c r="B27" t="s">
        <v>715</v>
      </c>
      <c r="C27" t="s">
        <v>863</v>
      </c>
      <c r="D27" t="s">
        <v>875</v>
      </c>
    </row>
    <row r="28" spans="1:4" x14ac:dyDescent="0.25">
      <c r="A28" t="s">
        <v>291</v>
      </c>
      <c r="B28" t="s">
        <v>717</v>
      </c>
      <c r="C28" t="s">
        <v>870</v>
      </c>
      <c r="D28" t="s">
        <v>875</v>
      </c>
    </row>
    <row r="29" spans="1:4" x14ac:dyDescent="0.25">
      <c r="A29" t="s">
        <v>292</v>
      </c>
      <c r="B29" t="s">
        <v>718</v>
      </c>
      <c r="C29" t="s">
        <v>867</v>
      </c>
      <c r="D29" t="s">
        <v>875</v>
      </c>
    </row>
    <row r="30" spans="1:4" x14ac:dyDescent="0.25">
      <c r="A30" t="s">
        <v>299</v>
      </c>
      <c r="B30" t="s">
        <v>725</v>
      </c>
      <c r="C30" t="s">
        <v>862</v>
      </c>
      <c r="D30" t="s">
        <v>875</v>
      </c>
    </row>
    <row r="31" spans="1:4" x14ac:dyDescent="0.25">
      <c r="A31" t="s">
        <v>338</v>
      </c>
      <c r="B31" t="s">
        <v>764</v>
      </c>
      <c r="C31" t="s">
        <v>861</v>
      </c>
      <c r="D31" t="s">
        <v>875</v>
      </c>
    </row>
    <row r="32" spans="1:4" x14ac:dyDescent="0.25">
      <c r="A32" t="s">
        <v>341</v>
      </c>
      <c r="B32" t="s">
        <v>767</v>
      </c>
      <c r="C32" t="s">
        <v>861</v>
      </c>
      <c r="D32" t="s">
        <v>875</v>
      </c>
    </row>
    <row r="33" spans="1:4" x14ac:dyDescent="0.25">
      <c r="A33" t="s">
        <v>356</v>
      </c>
      <c r="B33" t="s">
        <v>782</v>
      </c>
      <c r="C33" t="s">
        <v>860</v>
      </c>
      <c r="D33" t="s">
        <v>875</v>
      </c>
    </row>
    <row r="34" spans="1:4" x14ac:dyDescent="0.25">
      <c r="A34" t="s">
        <v>361</v>
      </c>
      <c r="B34" t="s">
        <v>787</v>
      </c>
      <c r="C34" t="s">
        <v>861</v>
      </c>
      <c r="D34" t="s">
        <v>875</v>
      </c>
    </row>
    <row r="35" spans="1:4" x14ac:dyDescent="0.25">
      <c r="A35" t="s">
        <v>388</v>
      </c>
      <c r="B35" t="s">
        <v>814</v>
      </c>
      <c r="C35" t="s">
        <v>863</v>
      </c>
      <c r="D35" t="s">
        <v>875</v>
      </c>
    </row>
    <row r="36" spans="1:4" x14ac:dyDescent="0.25">
      <c r="A36" t="s">
        <v>412</v>
      </c>
      <c r="B36" t="s">
        <v>838</v>
      </c>
      <c r="C36" t="s">
        <v>868</v>
      </c>
      <c r="D36" t="s">
        <v>875</v>
      </c>
    </row>
    <row r="37" spans="1:4" x14ac:dyDescent="0.25">
      <c r="A37" t="s">
        <v>429</v>
      </c>
      <c r="B37" t="s">
        <v>855</v>
      </c>
      <c r="C37" t="s">
        <v>867</v>
      </c>
      <c r="D37" t="s">
        <v>875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3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874</v>
      </c>
    </row>
    <row r="2" spans="1:4" x14ac:dyDescent="0.25">
      <c r="A2" t="s">
        <v>876</v>
      </c>
      <c r="B2" t="s">
        <v>908</v>
      </c>
      <c r="C2" t="s">
        <v>869</v>
      </c>
      <c r="D2" t="s">
        <v>941</v>
      </c>
    </row>
    <row r="3" spans="1:4" x14ac:dyDescent="0.25">
      <c r="A3" t="s">
        <v>877</v>
      </c>
      <c r="B3" t="s">
        <v>909</v>
      </c>
      <c r="C3" t="s">
        <v>861</v>
      </c>
      <c r="D3" t="s">
        <v>941</v>
      </c>
    </row>
    <row r="4" spans="1:4" x14ac:dyDescent="0.25">
      <c r="A4" t="s">
        <v>878</v>
      </c>
      <c r="B4" t="s">
        <v>910</v>
      </c>
      <c r="C4" t="s">
        <v>863</v>
      </c>
      <c r="D4" t="s">
        <v>941</v>
      </c>
    </row>
    <row r="5" spans="1:4" x14ac:dyDescent="0.25">
      <c r="A5" t="s">
        <v>879</v>
      </c>
      <c r="B5" t="s">
        <v>911</v>
      </c>
      <c r="C5" t="s">
        <v>861</v>
      </c>
      <c r="D5" t="s">
        <v>941</v>
      </c>
    </row>
    <row r="6" spans="1:4" x14ac:dyDescent="0.25">
      <c r="A6" t="s">
        <v>880</v>
      </c>
      <c r="B6" t="s">
        <v>912</v>
      </c>
      <c r="C6" t="s">
        <v>863</v>
      </c>
      <c r="D6" t="s">
        <v>941</v>
      </c>
    </row>
    <row r="7" spans="1:4" x14ac:dyDescent="0.25">
      <c r="A7" t="s">
        <v>881</v>
      </c>
      <c r="B7" t="s">
        <v>913</v>
      </c>
      <c r="C7" t="s">
        <v>940</v>
      </c>
      <c r="D7" t="s">
        <v>941</v>
      </c>
    </row>
    <row r="8" spans="1:4" x14ac:dyDescent="0.25">
      <c r="A8" t="s">
        <v>882</v>
      </c>
      <c r="B8" t="s">
        <v>914</v>
      </c>
      <c r="C8" t="s">
        <v>867</v>
      </c>
      <c r="D8" t="s">
        <v>941</v>
      </c>
    </row>
    <row r="9" spans="1:4" x14ac:dyDescent="0.25">
      <c r="A9" t="s">
        <v>883</v>
      </c>
      <c r="B9" t="s">
        <v>915</v>
      </c>
      <c r="C9" t="s">
        <v>865</v>
      </c>
      <c r="D9" t="s">
        <v>941</v>
      </c>
    </row>
    <row r="10" spans="1:4" x14ac:dyDescent="0.25">
      <c r="A10" t="s">
        <v>884</v>
      </c>
      <c r="B10" t="s">
        <v>916</v>
      </c>
      <c r="C10" t="s">
        <v>863</v>
      </c>
      <c r="D10" t="s">
        <v>941</v>
      </c>
    </row>
    <row r="11" spans="1:4" x14ac:dyDescent="0.25">
      <c r="A11" t="s">
        <v>885</v>
      </c>
      <c r="B11" t="s">
        <v>917</v>
      </c>
      <c r="C11" t="s">
        <v>868</v>
      </c>
      <c r="D11" t="s">
        <v>941</v>
      </c>
    </row>
    <row r="12" spans="1:4" x14ac:dyDescent="0.25">
      <c r="A12" t="s">
        <v>886</v>
      </c>
      <c r="B12" t="s">
        <v>918</v>
      </c>
      <c r="C12" t="s">
        <v>864</v>
      </c>
      <c r="D12" t="s">
        <v>941</v>
      </c>
    </row>
    <row r="13" spans="1:4" x14ac:dyDescent="0.25">
      <c r="A13" t="s">
        <v>887</v>
      </c>
      <c r="B13" t="s">
        <v>919</v>
      </c>
      <c r="C13" t="s">
        <v>863</v>
      </c>
      <c r="D13" t="s">
        <v>941</v>
      </c>
    </row>
    <row r="14" spans="1:4" x14ac:dyDescent="0.25">
      <c r="A14" t="s">
        <v>888</v>
      </c>
      <c r="B14" t="s">
        <v>920</v>
      </c>
      <c r="C14" t="s">
        <v>861</v>
      </c>
      <c r="D14" t="s">
        <v>941</v>
      </c>
    </row>
    <row r="15" spans="1:4" x14ac:dyDescent="0.25">
      <c r="A15" t="s">
        <v>889</v>
      </c>
      <c r="B15" t="s">
        <v>921</v>
      </c>
      <c r="C15" t="s">
        <v>868</v>
      </c>
      <c r="D15" t="s">
        <v>941</v>
      </c>
    </row>
    <row r="16" spans="1:4" x14ac:dyDescent="0.25">
      <c r="A16" t="s">
        <v>890</v>
      </c>
      <c r="B16" t="s">
        <v>922</v>
      </c>
      <c r="C16" t="s">
        <v>862</v>
      </c>
      <c r="D16" t="s">
        <v>941</v>
      </c>
    </row>
    <row r="17" spans="1:4" x14ac:dyDescent="0.25">
      <c r="A17" t="s">
        <v>891</v>
      </c>
      <c r="B17" t="s">
        <v>923</v>
      </c>
      <c r="C17" t="s">
        <v>860</v>
      </c>
      <c r="D17" t="s">
        <v>941</v>
      </c>
    </row>
    <row r="18" spans="1:4" x14ac:dyDescent="0.25">
      <c r="A18" t="s">
        <v>892</v>
      </c>
      <c r="B18" t="s">
        <v>924</v>
      </c>
      <c r="C18" t="s">
        <v>940</v>
      </c>
      <c r="D18" t="s">
        <v>941</v>
      </c>
    </row>
    <row r="19" spans="1:4" x14ac:dyDescent="0.25">
      <c r="A19" t="s">
        <v>893</v>
      </c>
      <c r="B19" t="s">
        <v>925</v>
      </c>
      <c r="C19" t="s">
        <v>940</v>
      </c>
      <c r="D19" t="s">
        <v>941</v>
      </c>
    </row>
    <row r="20" spans="1:4" x14ac:dyDescent="0.25">
      <c r="A20" t="s">
        <v>894</v>
      </c>
      <c r="B20" t="s">
        <v>926</v>
      </c>
      <c r="C20" t="s">
        <v>864</v>
      </c>
      <c r="D20" t="s">
        <v>941</v>
      </c>
    </row>
    <row r="21" spans="1:4" x14ac:dyDescent="0.25">
      <c r="A21" t="s">
        <v>895</v>
      </c>
      <c r="B21" t="s">
        <v>927</v>
      </c>
      <c r="C21" t="s">
        <v>860</v>
      </c>
      <c r="D21" t="s">
        <v>941</v>
      </c>
    </row>
    <row r="22" spans="1:4" x14ac:dyDescent="0.25">
      <c r="A22" t="s">
        <v>896</v>
      </c>
      <c r="B22" t="s">
        <v>928</v>
      </c>
      <c r="C22" t="s">
        <v>860</v>
      </c>
      <c r="D22" t="s">
        <v>941</v>
      </c>
    </row>
    <row r="23" spans="1:4" x14ac:dyDescent="0.25">
      <c r="A23" t="s">
        <v>897</v>
      </c>
      <c r="B23" t="s">
        <v>929</v>
      </c>
      <c r="C23" t="s">
        <v>940</v>
      </c>
      <c r="D23" t="s">
        <v>941</v>
      </c>
    </row>
    <row r="24" spans="1:4" x14ac:dyDescent="0.25">
      <c r="A24" t="s">
        <v>898</v>
      </c>
      <c r="B24" t="s">
        <v>930</v>
      </c>
      <c r="C24" t="s">
        <v>940</v>
      </c>
      <c r="D24" t="s">
        <v>941</v>
      </c>
    </row>
    <row r="25" spans="1:4" x14ac:dyDescent="0.25">
      <c r="A25" t="s">
        <v>899</v>
      </c>
      <c r="B25" t="s">
        <v>931</v>
      </c>
      <c r="C25" t="s">
        <v>865</v>
      </c>
      <c r="D25" t="s">
        <v>941</v>
      </c>
    </row>
    <row r="26" spans="1:4" x14ac:dyDescent="0.25">
      <c r="A26" t="s">
        <v>900</v>
      </c>
      <c r="B26" t="s">
        <v>932</v>
      </c>
      <c r="C26" t="s">
        <v>940</v>
      </c>
      <c r="D26" t="s">
        <v>941</v>
      </c>
    </row>
    <row r="27" spans="1:4" x14ac:dyDescent="0.25">
      <c r="A27" t="s">
        <v>901</v>
      </c>
      <c r="B27" t="s">
        <v>933</v>
      </c>
      <c r="C27" t="s">
        <v>861</v>
      </c>
      <c r="D27" t="s">
        <v>941</v>
      </c>
    </row>
    <row r="28" spans="1:4" x14ac:dyDescent="0.25">
      <c r="A28" t="s">
        <v>902</v>
      </c>
      <c r="B28" t="s">
        <v>934</v>
      </c>
      <c r="C28" t="s">
        <v>861</v>
      </c>
      <c r="D28" t="s">
        <v>941</v>
      </c>
    </row>
    <row r="29" spans="1:4" x14ac:dyDescent="0.25">
      <c r="A29" t="s">
        <v>903</v>
      </c>
      <c r="B29" t="s">
        <v>935</v>
      </c>
      <c r="C29" t="s">
        <v>860</v>
      </c>
      <c r="D29" t="s">
        <v>941</v>
      </c>
    </row>
    <row r="30" spans="1:4" x14ac:dyDescent="0.25">
      <c r="A30" t="s">
        <v>904</v>
      </c>
      <c r="B30" t="s">
        <v>936</v>
      </c>
      <c r="C30" t="s">
        <v>863</v>
      </c>
      <c r="D30" t="s">
        <v>941</v>
      </c>
    </row>
    <row r="31" spans="1:4" x14ac:dyDescent="0.25">
      <c r="A31" t="s">
        <v>905</v>
      </c>
      <c r="B31" t="s">
        <v>937</v>
      </c>
      <c r="C31" t="s">
        <v>863</v>
      </c>
      <c r="D31" t="s">
        <v>941</v>
      </c>
    </row>
    <row r="32" spans="1:4" x14ac:dyDescent="0.25">
      <c r="A32" t="s">
        <v>906</v>
      </c>
      <c r="B32" t="s">
        <v>938</v>
      </c>
      <c r="C32" t="s">
        <v>870</v>
      </c>
      <c r="D32" t="s">
        <v>941</v>
      </c>
    </row>
    <row r="33" spans="1:4" x14ac:dyDescent="0.25">
      <c r="A33" t="s">
        <v>907</v>
      </c>
      <c r="B33" t="s">
        <v>939</v>
      </c>
      <c r="C33" t="s">
        <v>860</v>
      </c>
      <c r="D33" t="s">
        <v>941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496"/>
  <sheetViews>
    <sheetView workbookViewId="0"/>
  </sheetViews>
  <sheetFormatPr defaultRowHeight="15" x14ac:dyDescent="0.25"/>
  <sheetData>
    <row r="1" spans="1:23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942</v>
      </c>
      <c r="G1" s="1" t="s">
        <v>6</v>
      </c>
      <c r="H1" s="1" t="s">
        <v>943</v>
      </c>
      <c r="I1" s="1" t="s">
        <v>944</v>
      </c>
      <c r="J1" s="1" t="s">
        <v>945</v>
      </c>
      <c r="K1" s="1" t="s">
        <v>946</v>
      </c>
      <c r="L1" s="1" t="s">
        <v>4</v>
      </c>
      <c r="M1" s="1" t="s">
        <v>947</v>
      </c>
      <c r="N1" s="1" t="s">
        <v>948</v>
      </c>
      <c r="O1" s="1" t="s">
        <v>949</v>
      </c>
      <c r="P1" s="1" t="s">
        <v>950</v>
      </c>
      <c r="Q1" s="1" t="s">
        <v>951</v>
      </c>
      <c r="R1" s="1" t="s">
        <v>952</v>
      </c>
      <c r="S1" s="1" t="s">
        <v>953</v>
      </c>
      <c r="T1" s="1" t="s">
        <v>954</v>
      </c>
      <c r="U1" s="1" t="s">
        <v>955</v>
      </c>
      <c r="V1" s="1" t="s">
        <v>5</v>
      </c>
      <c r="W1" s="1" t="s">
        <v>956</v>
      </c>
    </row>
    <row r="2" spans="1:23" x14ac:dyDescent="0.25">
      <c r="A2" t="s">
        <v>957</v>
      </c>
      <c r="B2" t="s">
        <v>1024</v>
      </c>
      <c r="C2" t="s">
        <v>868</v>
      </c>
      <c r="D2">
        <v>410514370</v>
      </c>
      <c r="E2" t="s">
        <v>873</v>
      </c>
      <c r="F2">
        <v>89.1</v>
      </c>
      <c r="G2" t="s">
        <v>872</v>
      </c>
      <c r="H2" t="s">
        <v>1091</v>
      </c>
      <c r="I2">
        <v>1</v>
      </c>
      <c r="J2">
        <v>99.55</v>
      </c>
      <c r="K2">
        <v>89.1</v>
      </c>
      <c r="L2">
        <v>0.8</v>
      </c>
      <c r="M2" t="s">
        <v>1586</v>
      </c>
      <c r="N2">
        <v>0</v>
      </c>
      <c r="O2">
        <v>29261464293.599998</v>
      </c>
      <c r="P2">
        <v>71294974733.930008</v>
      </c>
      <c r="Q2">
        <v>29261464293.599998</v>
      </c>
      <c r="R2">
        <v>41.042814592196173</v>
      </c>
      <c r="S2">
        <v>0</v>
      </c>
      <c r="V2">
        <v>1</v>
      </c>
      <c r="W2" t="b">
        <v>0</v>
      </c>
    </row>
    <row r="3" spans="1:23" x14ac:dyDescent="0.25">
      <c r="A3" t="s">
        <v>958</v>
      </c>
      <c r="B3" t="s">
        <v>1025</v>
      </c>
      <c r="C3" t="s">
        <v>868</v>
      </c>
      <c r="D3">
        <v>77000000</v>
      </c>
      <c r="E3" t="s">
        <v>873</v>
      </c>
      <c r="F3">
        <v>111</v>
      </c>
      <c r="G3" t="s">
        <v>872</v>
      </c>
      <c r="H3" t="s">
        <v>1092</v>
      </c>
      <c r="I3">
        <v>1</v>
      </c>
      <c r="J3">
        <v>123.4</v>
      </c>
      <c r="K3">
        <v>111</v>
      </c>
      <c r="L3">
        <v>1</v>
      </c>
      <c r="M3" t="s">
        <v>1586</v>
      </c>
      <c r="N3">
        <v>0</v>
      </c>
      <c r="O3">
        <v>8547000000</v>
      </c>
      <c r="P3">
        <v>71294974733.930008</v>
      </c>
      <c r="Q3">
        <v>37808464293.600014</v>
      </c>
      <c r="R3">
        <v>53.03103680827391</v>
      </c>
      <c r="S3">
        <v>0</v>
      </c>
      <c r="V3">
        <v>1</v>
      </c>
      <c r="W3" t="b">
        <v>0</v>
      </c>
    </row>
    <row r="4" spans="1:23" x14ac:dyDescent="0.25">
      <c r="A4" t="s">
        <v>959</v>
      </c>
      <c r="B4" t="s">
        <v>1026</v>
      </c>
      <c r="C4" t="s">
        <v>868</v>
      </c>
      <c r="D4">
        <v>327272740</v>
      </c>
      <c r="E4" t="s">
        <v>873</v>
      </c>
      <c r="F4">
        <v>47.86</v>
      </c>
      <c r="G4" t="s">
        <v>872</v>
      </c>
      <c r="H4" t="s">
        <v>1093</v>
      </c>
      <c r="I4">
        <v>1</v>
      </c>
      <c r="J4">
        <v>47.24</v>
      </c>
      <c r="K4">
        <v>47.86</v>
      </c>
      <c r="L4">
        <v>0.45</v>
      </c>
      <c r="M4" t="s">
        <v>1586</v>
      </c>
      <c r="N4">
        <v>0</v>
      </c>
      <c r="O4">
        <v>7048473001.3800001</v>
      </c>
      <c r="P4">
        <v>71294974733.930008</v>
      </c>
      <c r="Q4">
        <v>44856937294.980003</v>
      </c>
      <c r="R4">
        <v>62.917389987701512</v>
      </c>
      <c r="S4">
        <v>0</v>
      </c>
      <c r="V4">
        <v>1</v>
      </c>
      <c r="W4" t="b">
        <v>0</v>
      </c>
    </row>
    <row r="5" spans="1:23" x14ac:dyDescent="0.25">
      <c r="A5" t="s">
        <v>742</v>
      </c>
      <c r="B5" t="s">
        <v>316</v>
      </c>
      <c r="C5" t="s">
        <v>868</v>
      </c>
      <c r="D5">
        <v>328939640</v>
      </c>
      <c r="E5" t="s">
        <v>873</v>
      </c>
      <c r="F5">
        <v>33</v>
      </c>
      <c r="G5" t="s">
        <v>872</v>
      </c>
      <c r="H5" t="s">
        <v>1094</v>
      </c>
      <c r="I5">
        <v>1</v>
      </c>
      <c r="J5">
        <v>37.72</v>
      </c>
      <c r="K5">
        <v>33</v>
      </c>
      <c r="L5">
        <v>0.4</v>
      </c>
      <c r="M5" t="s">
        <v>1586</v>
      </c>
      <c r="N5">
        <v>1</v>
      </c>
      <c r="O5">
        <v>4342003248</v>
      </c>
      <c r="P5">
        <v>71294974733.930008</v>
      </c>
      <c r="Q5">
        <v>49198940542.980003</v>
      </c>
      <c r="R5">
        <v>69.007585354491638</v>
      </c>
      <c r="S5">
        <v>1</v>
      </c>
      <c r="T5">
        <v>2.0479523843630158E-3</v>
      </c>
      <c r="U5">
        <v>2.0479523843630158E-3</v>
      </c>
      <c r="V5">
        <v>1</v>
      </c>
      <c r="W5" t="b">
        <v>0</v>
      </c>
    </row>
    <row r="6" spans="1:23" x14ac:dyDescent="0.25">
      <c r="A6" t="s">
        <v>838</v>
      </c>
      <c r="B6" t="s">
        <v>412</v>
      </c>
      <c r="C6" t="s">
        <v>868</v>
      </c>
      <c r="D6">
        <v>170233686</v>
      </c>
      <c r="E6" t="s">
        <v>873</v>
      </c>
      <c r="F6">
        <v>62.4</v>
      </c>
      <c r="G6" t="s">
        <v>872</v>
      </c>
      <c r="H6" t="s">
        <v>1095</v>
      </c>
      <c r="I6">
        <v>1</v>
      </c>
      <c r="J6">
        <v>61.55</v>
      </c>
      <c r="K6">
        <v>62.4</v>
      </c>
      <c r="L6">
        <v>0.4</v>
      </c>
      <c r="M6" t="s">
        <v>1586</v>
      </c>
      <c r="N6">
        <v>0</v>
      </c>
      <c r="O6">
        <v>4249032802.5599999</v>
      </c>
      <c r="P6">
        <v>71294974733.930008</v>
      </c>
      <c r="Q6">
        <v>53447973345.540001</v>
      </c>
      <c r="R6">
        <v>74.967378198822146</v>
      </c>
      <c r="S6">
        <v>1</v>
      </c>
      <c r="T6">
        <v>2.0041018769959749E-3</v>
      </c>
      <c r="U6">
        <v>2.0041018769959749E-3</v>
      </c>
      <c r="V6">
        <v>1</v>
      </c>
      <c r="W6" t="b">
        <v>0</v>
      </c>
    </row>
    <row r="7" spans="1:23" x14ac:dyDescent="0.25">
      <c r="A7" t="s">
        <v>464</v>
      </c>
      <c r="B7" t="s">
        <v>38</v>
      </c>
      <c r="C7" t="s">
        <v>868</v>
      </c>
      <c r="D7">
        <v>104000000</v>
      </c>
      <c r="E7" t="s">
        <v>873</v>
      </c>
      <c r="F7">
        <v>61.35</v>
      </c>
      <c r="G7" t="s">
        <v>872</v>
      </c>
      <c r="H7" t="s">
        <v>1096</v>
      </c>
      <c r="I7">
        <v>1</v>
      </c>
      <c r="J7">
        <v>63.9</v>
      </c>
      <c r="K7">
        <v>61.35</v>
      </c>
      <c r="L7">
        <v>0.6</v>
      </c>
      <c r="M7" t="s">
        <v>1586</v>
      </c>
      <c r="N7">
        <v>1</v>
      </c>
      <c r="O7">
        <v>3828240000</v>
      </c>
      <c r="P7">
        <v>71294974733.930008</v>
      </c>
      <c r="Q7">
        <v>57276213345.540001</v>
      </c>
      <c r="R7">
        <v>80.336957210929015</v>
      </c>
      <c r="S7">
        <v>1</v>
      </c>
      <c r="T7">
        <v>1.805630440171857E-3</v>
      </c>
      <c r="U7">
        <v>1.805630440171857E-3</v>
      </c>
      <c r="V7">
        <v>1</v>
      </c>
      <c r="W7" t="b">
        <v>0</v>
      </c>
    </row>
    <row r="8" spans="1:23" x14ac:dyDescent="0.25">
      <c r="A8" t="s">
        <v>845</v>
      </c>
      <c r="B8" t="s">
        <v>419</v>
      </c>
      <c r="C8" t="s">
        <v>868</v>
      </c>
      <c r="D8">
        <v>178549160</v>
      </c>
      <c r="E8" t="s">
        <v>873</v>
      </c>
      <c r="F8">
        <v>34.28</v>
      </c>
      <c r="G8" t="s">
        <v>872</v>
      </c>
      <c r="H8" t="s">
        <v>1097</v>
      </c>
      <c r="I8">
        <v>1</v>
      </c>
      <c r="J8">
        <v>39</v>
      </c>
      <c r="K8">
        <v>34.28</v>
      </c>
      <c r="L8">
        <v>0.6</v>
      </c>
      <c r="M8" t="s">
        <v>1586</v>
      </c>
      <c r="N8">
        <v>1</v>
      </c>
      <c r="O8">
        <v>3672399122.8800001</v>
      </c>
      <c r="P8">
        <v>71294974733.930008</v>
      </c>
      <c r="Q8">
        <v>60948612468.420013</v>
      </c>
      <c r="R8">
        <v>85.487950161814055</v>
      </c>
      <c r="S8">
        <v>1</v>
      </c>
      <c r="T8">
        <v>1.732126419642592E-3</v>
      </c>
      <c r="U8">
        <v>1.732126419642592E-3</v>
      </c>
      <c r="V8">
        <v>1</v>
      </c>
      <c r="W8" t="b">
        <v>0</v>
      </c>
    </row>
    <row r="9" spans="1:23" x14ac:dyDescent="0.25">
      <c r="A9" t="s">
        <v>854</v>
      </c>
      <c r="B9" t="s">
        <v>428</v>
      </c>
      <c r="C9" t="s">
        <v>868</v>
      </c>
      <c r="D9">
        <v>109497696</v>
      </c>
      <c r="E9" t="s">
        <v>873</v>
      </c>
      <c r="F9">
        <v>27.5</v>
      </c>
      <c r="G9" t="s">
        <v>872</v>
      </c>
      <c r="H9" t="s">
        <v>1098</v>
      </c>
      <c r="I9">
        <v>1</v>
      </c>
      <c r="J9">
        <v>29.5</v>
      </c>
      <c r="K9">
        <v>27.5</v>
      </c>
      <c r="L9">
        <v>1</v>
      </c>
      <c r="M9" t="s">
        <v>1586</v>
      </c>
      <c r="N9">
        <v>1</v>
      </c>
      <c r="O9">
        <v>3011186640</v>
      </c>
      <c r="P9">
        <v>71294974733.930008</v>
      </c>
      <c r="Q9">
        <v>63959799108.420013</v>
      </c>
      <c r="R9">
        <v>89.711511010580224</v>
      </c>
      <c r="S9">
        <v>1</v>
      </c>
      <c r="T9">
        <v>1.4202584629549909E-3</v>
      </c>
      <c r="U9">
        <v>1.4202584629549909E-3</v>
      </c>
      <c r="V9">
        <v>1</v>
      </c>
      <c r="W9" t="b">
        <v>0</v>
      </c>
    </row>
    <row r="10" spans="1:23" x14ac:dyDescent="0.25">
      <c r="A10" t="s">
        <v>830</v>
      </c>
      <c r="B10" t="s">
        <v>404</v>
      </c>
      <c r="C10" t="s">
        <v>868</v>
      </c>
      <c r="D10">
        <v>309000000</v>
      </c>
      <c r="E10" t="s">
        <v>873</v>
      </c>
      <c r="F10">
        <v>13.92</v>
      </c>
      <c r="G10" t="s">
        <v>872</v>
      </c>
      <c r="H10" t="s">
        <v>1099</v>
      </c>
      <c r="I10">
        <v>1</v>
      </c>
      <c r="J10">
        <v>14.9</v>
      </c>
      <c r="K10">
        <v>13.92</v>
      </c>
      <c r="L10">
        <v>0.4</v>
      </c>
      <c r="M10" t="s">
        <v>1586</v>
      </c>
      <c r="N10">
        <v>1</v>
      </c>
      <c r="O10">
        <v>1720512000</v>
      </c>
      <c r="P10">
        <v>71294974733.930008</v>
      </c>
      <c r="Q10">
        <v>65680311108.420013</v>
      </c>
      <c r="R10">
        <v>92.124741405037724</v>
      </c>
      <c r="S10">
        <v>1</v>
      </c>
      <c r="T10">
        <v>8.1149793113309565E-4</v>
      </c>
      <c r="U10">
        <v>8.1149793113309565E-4</v>
      </c>
      <c r="V10">
        <v>1</v>
      </c>
      <c r="W10" t="b">
        <v>0</v>
      </c>
    </row>
    <row r="11" spans="1:23" x14ac:dyDescent="0.25">
      <c r="A11" t="s">
        <v>558</v>
      </c>
      <c r="B11" t="s">
        <v>132</v>
      </c>
      <c r="C11" t="s">
        <v>868</v>
      </c>
      <c r="D11">
        <v>10983458</v>
      </c>
      <c r="E11" t="s">
        <v>873</v>
      </c>
      <c r="F11">
        <v>180</v>
      </c>
      <c r="G11" t="s">
        <v>872</v>
      </c>
      <c r="H11" t="s">
        <v>1100</v>
      </c>
      <c r="I11">
        <v>1</v>
      </c>
      <c r="J11">
        <v>195.4</v>
      </c>
      <c r="K11">
        <v>180</v>
      </c>
      <c r="L11">
        <v>0.7</v>
      </c>
      <c r="M11" t="s">
        <v>1586</v>
      </c>
      <c r="N11">
        <v>1</v>
      </c>
      <c r="O11">
        <v>1383915708</v>
      </c>
      <c r="P11">
        <v>71294974733.930008</v>
      </c>
      <c r="Q11">
        <v>67064226816.420013</v>
      </c>
      <c r="R11">
        <v>94.065853963341766</v>
      </c>
      <c r="S11">
        <v>1</v>
      </c>
      <c r="T11">
        <v>6.5273868122081872E-4</v>
      </c>
      <c r="U11">
        <v>6.5273868122081872E-4</v>
      </c>
      <c r="V11">
        <v>1</v>
      </c>
      <c r="W11" t="b">
        <v>0</v>
      </c>
    </row>
    <row r="12" spans="1:23" x14ac:dyDescent="0.25">
      <c r="A12" t="s">
        <v>719</v>
      </c>
      <c r="B12" t="s">
        <v>293</v>
      </c>
      <c r="C12" t="s">
        <v>868</v>
      </c>
      <c r="D12">
        <v>67552640</v>
      </c>
      <c r="E12" t="s">
        <v>873</v>
      </c>
      <c r="F12">
        <v>29.6</v>
      </c>
      <c r="G12" t="s">
        <v>872</v>
      </c>
      <c r="H12" t="s">
        <v>1101</v>
      </c>
      <c r="I12">
        <v>1</v>
      </c>
      <c r="J12">
        <v>31</v>
      </c>
      <c r="K12">
        <v>29.6</v>
      </c>
      <c r="L12">
        <v>0.45</v>
      </c>
      <c r="M12" t="s">
        <v>1586</v>
      </c>
      <c r="N12">
        <v>1</v>
      </c>
      <c r="O12">
        <v>899801164.80000007</v>
      </c>
      <c r="P12">
        <v>71294974733.930008</v>
      </c>
      <c r="Q12">
        <v>67964027981.220001</v>
      </c>
      <c r="R12">
        <v>95.327936134151159</v>
      </c>
      <c r="S12">
        <v>1</v>
      </c>
      <c r="T12">
        <v>4.244008665248192E-4</v>
      </c>
      <c r="U12">
        <v>4.244008665248192E-4</v>
      </c>
      <c r="V12">
        <v>1</v>
      </c>
      <c r="W12" t="b">
        <v>0</v>
      </c>
    </row>
    <row r="13" spans="1:23" x14ac:dyDescent="0.25">
      <c r="A13" t="s">
        <v>512</v>
      </c>
      <c r="B13" t="s">
        <v>86</v>
      </c>
      <c r="C13" t="s">
        <v>868</v>
      </c>
      <c r="D13">
        <v>101171600</v>
      </c>
      <c r="E13" t="s">
        <v>873</v>
      </c>
      <c r="F13">
        <v>22.92</v>
      </c>
      <c r="G13" t="s">
        <v>872</v>
      </c>
      <c r="H13" t="s">
        <v>1102</v>
      </c>
      <c r="I13">
        <v>1</v>
      </c>
      <c r="J13">
        <v>22.56</v>
      </c>
      <c r="K13">
        <v>22.92</v>
      </c>
      <c r="L13">
        <v>0.3</v>
      </c>
      <c r="M13" t="s">
        <v>1586</v>
      </c>
      <c r="N13">
        <v>1</v>
      </c>
      <c r="O13">
        <v>695655921.60000002</v>
      </c>
      <c r="P13">
        <v>71294974733.930008</v>
      </c>
      <c r="Q13">
        <v>68659683902.82</v>
      </c>
      <c r="R13">
        <v>96.303679409460756</v>
      </c>
      <c r="S13">
        <v>1</v>
      </c>
      <c r="T13">
        <v>3.2811357384248822E-4</v>
      </c>
      <c r="U13">
        <v>3.2811357384248822E-4</v>
      </c>
      <c r="V13">
        <v>1</v>
      </c>
      <c r="W13" t="b">
        <v>0</v>
      </c>
    </row>
    <row r="14" spans="1:23" x14ac:dyDescent="0.25">
      <c r="A14" t="s">
        <v>473</v>
      </c>
      <c r="B14" t="s">
        <v>47</v>
      </c>
      <c r="C14" t="s">
        <v>868</v>
      </c>
      <c r="D14">
        <v>38850000</v>
      </c>
      <c r="E14" t="s">
        <v>873</v>
      </c>
      <c r="F14">
        <v>26.8</v>
      </c>
      <c r="G14" t="s">
        <v>872</v>
      </c>
      <c r="H14" t="s">
        <v>1103</v>
      </c>
      <c r="I14">
        <v>1</v>
      </c>
      <c r="J14">
        <v>30.55</v>
      </c>
      <c r="K14">
        <v>26.8</v>
      </c>
      <c r="L14">
        <v>0.65</v>
      </c>
      <c r="M14" t="s">
        <v>1586</v>
      </c>
      <c r="N14">
        <v>1</v>
      </c>
      <c r="O14">
        <v>676767000</v>
      </c>
      <c r="P14">
        <v>71294974733.930008</v>
      </c>
      <c r="Q14">
        <v>69336450902.820007</v>
      </c>
      <c r="R14">
        <v>97.252928641297459</v>
      </c>
      <c r="S14">
        <v>1</v>
      </c>
      <c r="T14">
        <v>3.1920441145377168E-4</v>
      </c>
      <c r="U14">
        <v>3.1920441145377168E-4</v>
      </c>
      <c r="V14">
        <v>1</v>
      </c>
      <c r="W14" t="b">
        <v>0</v>
      </c>
    </row>
    <row r="15" spans="1:23" x14ac:dyDescent="0.25">
      <c r="A15" t="s">
        <v>689</v>
      </c>
      <c r="B15" t="s">
        <v>263</v>
      </c>
      <c r="C15" t="s">
        <v>868</v>
      </c>
      <c r="D15">
        <v>20000000</v>
      </c>
      <c r="E15" t="s">
        <v>873</v>
      </c>
      <c r="F15">
        <v>75.5</v>
      </c>
      <c r="G15" t="s">
        <v>872</v>
      </c>
      <c r="H15" t="s">
        <v>1104</v>
      </c>
      <c r="I15">
        <v>1</v>
      </c>
      <c r="J15">
        <v>82.7</v>
      </c>
      <c r="K15">
        <v>75.5</v>
      </c>
      <c r="L15">
        <v>0.4</v>
      </c>
      <c r="M15" t="s">
        <v>1586</v>
      </c>
      <c r="N15">
        <v>1</v>
      </c>
      <c r="O15">
        <v>604000000</v>
      </c>
      <c r="P15">
        <v>71294974733.930008</v>
      </c>
      <c r="Q15">
        <v>69940450902.820007</v>
      </c>
      <c r="R15">
        <v>98.10011317604777</v>
      </c>
      <c r="S15">
        <v>1</v>
      </c>
      <c r="T15">
        <v>2.8488307573814638E-4</v>
      </c>
      <c r="U15">
        <v>2.8488307573814638E-4</v>
      </c>
      <c r="V15">
        <v>1</v>
      </c>
      <c r="W15" t="b">
        <v>0</v>
      </c>
    </row>
    <row r="16" spans="1:23" x14ac:dyDescent="0.25">
      <c r="A16" t="s">
        <v>722</v>
      </c>
      <c r="B16" t="s">
        <v>296</v>
      </c>
      <c r="C16" t="s">
        <v>868</v>
      </c>
      <c r="D16">
        <v>37593258</v>
      </c>
      <c r="E16" t="s">
        <v>873</v>
      </c>
      <c r="F16">
        <v>30.1</v>
      </c>
      <c r="G16" t="s">
        <v>872</v>
      </c>
      <c r="H16" t="s">
        <v>1105</v>
      </c>
      <c r="I16">
        <v>1</v>
      </c>
      <c r="J16">
        <v>33.450000000000003</v>
      </c>
      <c r="K16">
        <v>30.1</v>
      </c>
      <c r="L16">
        <v>0.45</v>
      </c>
      <c r="M16" t="s">
        <v>1586</v>
      </c>
      <c r="N16">
        <v>1</v>
      </c>
      <c r="O16">
        <v>509200679.61000001</v>
      </c>
      <c r="P16">
        <v>71294974733.930008</v>
      </c>
      <c r="Q16">
        <v>70449651582.430008</v>
      </c>
      <c r="R16">
        <v>98.814329965534441</v>
      </c>
      <c r="S16">
        <v>1</v>
      </c>
      <c r="T16">
        <v>2.401699598928001E-4</v>
      </c>
      <c r="U16">
        <v>2.401699598928001E-4</v>
      </c>
      <c r="V16">
        <v>1</v>
      </c>
      <c r="W16" t="b">
        <v>0</v>
      </c>
    </row>
    <row r="17" spans="1:23" x14ac:dyDescent="0.25">
      <c r="A17" t="s">
        <v>730</v>
      </c>
      <c r="B17" t="s">
        <v>304</v>
      </c>
      <c r="C17" t="s">
        <v>868</v>
      </c>
      <c r="D17">
        <v>39278250</v>
      </c>
      <c r="E17" t="s">
        <v>873</v>
      </c>
      <c r="F17">
        <v>26.95</v>
      </c>
      <c r="G17" t="s">
        <v>872</v>
      </c>
      <c r="H17" t="s">
        <v>1106</v>
      </c>
      <c r="I17">
        <v>1</v>
      </c>
      <c r="J17">
        <v>30.55</v>
      </c>
      <c r="K17">
        <v>26.95</v>
      </c>
      <c r="L17">
        <v>0.4</v>
      </c>
      <c r="M17" t="s">
        <v>1586</v>
      </c>
      <c r="N17">
        <v>1</v>
      </c>
      <c r="O17">
        <v>423419535</v>
      </c>
      <c r="P17">
        <v>71294974733.930008</v>
      </c>
      <c r="Q17">
        <v>70873071117.430008</v>
      </c>
      <c r="R17">
        <v>99.408228114148955</v>
      </c>
      <c r="S17">
        <v>1</v>
      </c>
      <c r="T17">
        <v>1.9971036334174791E-4</v>
      </c>
      <c r="U17">
        <v>1.9971036334174791E-4</v>
      </c>
      <c r="V17">
        <v>1</v>
      </c>
      <c r="W17" t="b">
        <v>0</v>
      </c>
    </row>
    <row r="18" spans="1:23" x14ac:dyDescent="0.25">
      <c r="A18" t="s">
        <v>677</v>
      </c>
      <c r="B18" t="s">
        <v>251</v>
      </c>
      <c r="C18" t="s">
        <v>868</v>
      </c>
      <c r="D18">
        <v>38618180</v>
      </c>
      <c r="E18" t="s">
        <v>873</v>
      </c>
      <c r="F18">
        <v>21.85</v>
      </c>
      <c r="G18" t="s">
        <v>872</v>
      </c>
      <c r="H18" t="s">
        <v>1107</v>
      </c>
      <c r="I18">
        <v>1</v>
      </c>
      <c r="J18">
        <v>22.5</v>
      </c>
      <c r="K18">
        <v>21.85</v>
      </c>
      <c r="L18">
        <v>0.5</v>
      </c>
      <c r="M18" t="s">
        <v>1586</v>
      </c>
      <c r="N18">
        <v>1</v>
      </c>
      <c r="O18">
        <v>421903616.5</v>
      </c>
      <c r="P18">
        <v>71294974733.930008</v>
      </c>
      <c r="Q18">
        <v>71294974733.930008</v>
      </c>
      <c r="R18">
        <v>100</v>
      </c>
      <c r="S18">
        <v>1</v>
      </c>
      <c r="T18">
        <v>1.989953641284228E-4</v>
      </c>
      <c r="U18">
        <v>1.989953641284228E-4</v>
      </c>
      <c r="V18">
        <v>1</v>
      </c>
      <c r="W18" t="b">
        <v>0</v>
      </c>
    </row>
    <row r="19" spans="1:23" x14ac:dyDescent="0.25">
      <c r="A19" t="s">
        <v>960</v>
      </c>
      <c r="B19" t="s">
        <v>1027</v>
      </c>
      <c r="C19" t="s">
        <v>865</v>
      </c>
      <c r="D19">
        <v>1797199973</v>
      </c>
      <c r="E19" t="s">
        <v>873</v>
      </c>
      <c r="F19">
        <v>54.4</v>
      </c>
      <c r="G19" t="s">
        <v>872</v>
      </c>
      <c r="H19" t="s">
        <v>1108</v>
      </c>
      <c r="I19">
        <v>1</v>
      </c>
      <c r="J19">
        <v>54.12</v>
      </c>
      <c r="K19">
        <v>54.4</v>
      </c>
      <c r="L19">
        <v>0.55000000000000004</v>
      </c>
      <c r="M19" t="s">
        <v>1587</v>
      </c>
      <c r="N19">
        <v>0</v>
      </c>
      <c r="O19">
        <v>53772223192.160004</v>
      </c>
      <c r="P19">
        <v>234114755739.89951</v>
      </c>
      <c r="Q19">
        <v>53772223192.160004</v>
      </c>
      <c r="R19">
        <v>22.96831868722564</v>
      </c>
      <c r="S19">
        <v>0</v>
      </c>
      <c r="V19">
        <v>1</v>
      </c>
      <c r="W19" t="b">
        <v>0</v>
      </c>
    </row>
    <row r="20" spans="1:23" x14ac:dyDescent="0.25">
      <c r="A20" t="s">
        <v>961</v>
      </c>
      <c r="B20" t="s">
        <v>1028</v>
      </c>
      <c r="C20" t="s">
        <v>865</v>
      </c>
      <c r="D20">
        <v>61568926</v>
      </c>
      <c r="E20" t="s">
        <v>873</v>
      </c>
      <c r="F20">
        <v>800.4</v>
      </c>
      <c r="G20" t="s">
        <v>872</v>
      </c>
      <c r="H20" t="s">
        <v>1109</v>
      </c>
      <c r="I20">
        <v>1</v>
      </c>
      <c r="J20">
        <v>756.8</v>
      </c>
      <c r="K20">
        <v>800.4</v>
      </c>
      <c r="L20">
        <v>1</v>
      </c>
      <c r="M20" t="s">
        <v>1587</v>
      </c>
      <c r="N20">
        <v>0</v>
      </c>
      <c r="O20">
        <v>49279768370.400002</v>
      </c>
      <c r="P20">
        <v>234114755739.89951</v>
      </c>
      <c r="Q20">
        <v>103051991562.56</v>
      </c>
      <c r="R20">
        <v>44.017725938236168</v>
      </c>
      <c r="S20">
        <v>0</v>
      </c>
      <c r="V20">
        <v>1</v>
      </c>
      <c r="W20" t="b">
        <v>0</v>
      </c>
    </row>
    <row r="21" spans="1:23" x14ac:dyDescent="0.25">
      <c r="A21" t="s">
        <v>962</v>
      </c>
      <c r="B21" t="s">
        <v>1029</v>
      </c>
      <c r="C21" t="s">
        <v>865</v>
      </c>
      <c r="D21">
        <v>194505658</v>
      </c>
      <c r="E21" t="s">
        <v>873</v>
      </c>
      <c r="F21">
        <v>233</v>
      </c>
      <c r="G21" t="s">
        <v>872</v>
      </c>
      <c r="H21" t="s">
        <v>1110</v>
      </c>
      <c r="I21">
        <v>1</v>
      </c>
      <c r="J21">
        <v>240.7</v>
      </c>
      <c r="K21">
        <v>233</v>
      </c>
      <c r="L21">
        <v>0.65</v>
      </c>
      <c r="M21" t="s">
        <v>1587</v>
      </c>
      <c r="N21">
        <v>0</v>
      </c>
      <c r="O21">
        <v>29457881904.099998</v>
      </c>
      <c r="P21">
        <v>234114755739.89951</v>
      </c>
      <c r="Q21">
        <v>132509873466.66</v>
      </c>
      <c r="R21">
        <v>56.600393703452809</v>
      </c>
      <c r="S21">
        <v>0</v>
      </c>
      <c r="V21">
        <v>1</v>
      </c>
      <c r="W21" t="b">
        <v>0</v>
      </c>
    </row>
    <row r="22" spans="1:23" x14ac:dyDescent="0.25">
      <c r="A22" t="s">
        <v>963</v>
      </c>
      <c r="B22" t="s">
        <v>1030</v>
      </c>
      <c r="C22" t="s">
        <v>865</v>
      </c>
      <c r="D22">
        <v>417544151</v>
      </c>
      <c r="E22" t="s">
        <v>873</v>
      </c>
      <c r="F22">
        <v>105.35</v>
      </c>
      <c r="G22" t="s">
        <v>872</v>
      </c>
      <c r="H22" t="s">
        <v>1111</v>
      </c>
      <c r="I22">
        <v>1</v>
      </c>
      <c r="J22">
        <v>109.15</v>
      </c>
      <c r="K22">
        <v>105.35</v>
      </c>
      <c r="L22">
        <v>0.55000000000000004</v>
      </c>
      <c r="M22" t="s">
        <v>1587</v>
      </c>
      <c r="N22">
        <v>0</v>
      </c>
      <c r="O22">
        <v>24193551969.317501</v>
      </c>
      <c r="P22">
        <v>234114755739.89951</v>
      </c>
      <c r="Q22">
        <v>156703425435.97751</v>
      </c>
      <c r="R22">
        <v>66.934450560679025</v>
      </c>
      <c r="S22">
        <v>0</v>
      </c>
      <c r="V22">
        <v>1</v>
      </c>
      <c r="W22" t="b">
        <v>0</v>
      </c>
    </row>
    <row r="23" spans="1:23" x14ac:dyDescent="0.25">
      <c r="A23" t="s">
        <v>964</v>
      </c>
      <c r="B23" t="s">
        <v>1031</v>
      </c>
      <c r="C23" t="s">
        <v>865</v>
      </c>
      <c r="D23">
        <v>198938286</v>
      </c>
      <c r="E23" t="s">
        <v>873</v>
      </c>
      <c r="F23">
        <v>58.2</v>
      </c>
      <c r="G23" t="s">
        <v>872</v>
      </c>
      <c r="H23" t="s">
        <v>1112</v>
      </c>
      <c r="I23">
        <v>1</v>
      </c>
      <c r="J23">
        <v>57.4</v>
      </c>
      <c r="K23">
        <v>58.2</v>
      </c>
      <c r="L23">
        <v>0.8</v>
      </c>
      <c r="M23" t="s">
        <v>1587</v>
      </c>
      <c r="N23">
        <v>0</v>
      </c>
      <c r="O23">
        <v>9262566596.1600018</v>
      </c>
      <c r="P23">
        <v>234114755739.89951</v>
      </c>
      <c r="Q23">
        <v>165965992032.13751</v>
      </c>
      <c r="R23">
        <v>70.890872088611545</v>
      </c>
      <c r="S23">
        <v>0</v>
      </c>
      <c r="V23">
        <v>1</v>
      </c>
      <c r="W23" t="b">
        <v>0</v>
      </c>
    </row>
    <row r="24" spans="1:23" x14ac:dyDescent="0.25">
      <c r="A24" t="s">
        <v>608</v>
      </c>
      <c r="B24" t="s">
        <v>182</v>
      </c>
      <c r="C24" t="s">
        <v>865</v>
      </c>
      <c r="D24">
        <v>133200000</v>
      </c>
      <c r="E24" t="s">
        <v>873</v>
      </c>
      <c r="F24">
        <v>72.8</v>
      </c>
      <c r="G24" t="s">
        <v>872</v>
      </c>
      <c r="H24" t="s">
        <v>1113</v>
      </c>
      <c r="I24">
        <v>1</v>
      </c>
      <c r="J24">
        <v>73.45</v>
      </c>
      <c r="K24">
        <v>72.8</v>
      </c>
      <c r="L24">
        <v>0.55000000000000004</v>
      </c>
      <c r="M24" t="s">
        <v>1587</v>
      </c>
      <c r="N24">
        <v>1</v>
      </c>
      <c r="O24">
        <v>5333328000</v>
      </c>
      <c r="P24">
        <v>234114755739.89951</v>
      </c>
      <c r="Q24">
        <v>171299320032.13751</v>
      </c>
      <c r="R24">
        <v>73.168954895970046</v>
      </c>
      <c r="S24">
        <v>1</v>
      </c>
      <c r="T24">
        <v>2.515521332053604E-3</v>
      </c>
      <c r="U24">
        <v>2.515521332053604E-3</v>
      </c>
      <c r="V24">
        <v>1</v>
      </c>
      <c r="W24" t="b">
        <v>0</v>
      </c>
    </row>
    <row r="25" spans="1:23" x14ac:dyDescent="0.25">
      <c r="A25" t="s">
        <v>567</v>
      </c>
      <c r="B25" t="s">
        <v>141</v>
      </c>
      <c r="C25" t="s">
        <v>865</v>
      </c>
      <c r="D25">
        <v>109072607</v>
      </c>
      <c r="E25" t="s">
        <v>873</v>
      </c>
      <c r="F25">
        <v>103.9</v>
      </c>
      <c r="G25" t="s">
        <v>872</v>
      </c>
      <c r="H25" t="s">
        <v>1114</v>
      </c>
      <c r="I25">
        <v>1</v>
      </c>
      <c r="J25">
        <v>100.6</v>
      </c>
      <c r="K25">
        <v>103.9</v>
      </c>
      <c r="L25">
        <v>0.45</v>
      </c>
      <c r="M25" t="s">
        <v>1587</v>
      </c>
      <c r="N25">
        <v>1</v>
      </c>
      <c r="O25">
        <v>5099689740.2850008</v>
      </c>
      <c r="P25">
        <v>234114755739.89951</v>
      </c>
      <c r="Q25">
        <v>176399009772.42249</v>
      </c>
      <c r="R25">
        <v>75.34724123429497</v>
      </c>
      <c r="S25">
        <v>1</v>
      </c>
      <c r="T25">
        <v>2.4053233419249341E-3</v>
      </c>
      <c r="U25">
        <v>2.4053233419249341E-3</v>
      </c>
      <c r="V25">
        <v>1</v>
      </c>
      <c r="W25" t="b">
        <v>0</v>
      </c>
    </row>
    <row r="26" spans="1:23" x14ac:dyDescent="0.25">
      <c r="A26" t="s">
        <v>796</v>
      </c>
      <c r="B26" t="s">
        <v>370</v>
      </c>
      <c r="C26" t="s">
        <v>865</v>
      </c>
      <c r="D26">
        <v>103921273</v>
      </c>
      <c r="E26" t="s">
        <v>873</v>
      </c>
      <c r="F26">
        <v>68.540000000000006</v>
      </c>
      <c r="G26" t="s">
        <v>872</v>
      </c>
      <c r="H26" t="s">
        <v>1115</v>
      </c>
      <c r="I26">
        <v>1</v>
      </c>
      <c r="J26">
        <v>70.12</v>
      </c>
      <c r="K26">
        <v>68.540000000000006</v>
      </c>
      <c r="L26">
        <v>0.70000000000000007</v>
      </c>
      <c r="M26" t="s">
        <v>1587</v>
      </c>
      <c r="N26">
        <v>1</v>
      </c>
      <c r="O26">
        <v>4985934835.9940014</v>
      </c>
      <c r="P26">
        <v>234114755739.89951</v>
      </c>
      <c r="Q26">
        <v>181384944608.4165</v>
      </c>
      <c r="R26">
        <v>77.476938194333371</v>
      </c>
      <c r="S26">
        <v>1</v>
      </c>
      <c r="T26">
        <v>2.3516696217018899E-3</v>
      </c>
      <c r="U26">
        <v>2.3516696217018899E-3</v>
      </c>
      <c r="V26">
        <v>1</v>
      </c>
      <c r="W26" t="b">
        <v>0</v>
      </c>
    </row>
    <row r="27" spans="1:23" x14ac:dyDescent="0.25">
      <c r="A27" t="s">
        <v>443</v>
      </c>
      <c r="B27" t="s">
        <v>17</v>
      </c>
      <c r="C27" t="s">
        <v>865</v>
      </c>
      <c r="D27">
        <v>33157750</v>
      </c>
      <c r="E27" t="s">
        <v>873</v>
      </c>
      <c r="F27">
        <v>212.6</v>
      </c>
      <c r="G27" t="s">
        <v>872</v>
      </c>
      <c r="H27" t="s">
        <v>1116</v>
      </c>
      <c r="I27">
        <v>1</v>
      </c>
      <c r="J27">
        <v>228</v>
      </c>
      <c r="K27">
        <v>212.6</v>
      </c>
      <c r="L27">
        <v>0.65</v>
      </c>
      <c r="M27" t="s">
        <v>1587</v>
      </c>
      <c r="N27">
        <v>1</v>
      </c>
      <c r="O27">
        <v>4582069472.5</v>
      </c>
      <c r="P27">
        <v>234114755739.89951</v>
      </c>
      <c r="Q27">
        <v>185967014080.9165</v>
      </c>
      <c r="R27">
        <v>79.43412771791499</v>
      </c>
      <c r="S27">
        <v>1</v>
      </c>
      <c r="T27">
        <v>2.1611821929994469E-3</v>
      </c>
      <c r="U27">
        <v>2.1611821929994469E-3</v>
      </c>
      <c r="V27">
        <v>1</v>
      </c>
      <c r="W27" t="b">
        <v>0</v>
      </c>
    </row>
    <row r="28" spans="1:23" x14ac:dyDescent="0.25">
      <c r="A28" t="s">
        <v>851</v>
      </c>
      <c r="B28" t="s">
        <v>425</v>
      </c>
      <c r="C28" t="s">
        <v>865</v>
      </c>
      <c r="D28">
        <v>235139589</v>
      </c>
      <c r="E28" t="s">
        <v>873</v>
      </c>
      <c r="F28">
        <v>21.88</v>
      </c>
      <c r="G28" t="s">
        <v>872</v>
      </c>
      <c r="H28" t="s">
        <v>1117</v>
      </c>
      <c r="I28">
        <v>1</v>
      </c>
      <c r="J28">
        <v>20.74</v>
      </c>
      <c r="K28">
        <v>21.88</v>
      </c>
      <c r="L28">
        <v>0.8</v>
      </c>
      <c r="M28" t="s">
        <v>1587</v>
      </c>
      <c r="N28">
        <v>1</v>
      </c>
      <c r="O28">
        <v>4115883365.8559999</v>
      </c>
      <c r="P28">
        <v>234114755739.89951</v>
      </c>
      <c r="Q28">
        <v>190082897446.77249</v>
      </c>
      <c r="R28">
        <v>81.192190063386619</v>
      </c>
      <c r="S28">
        <v>1</v>
      </c>
      <c r="T28">
        <v>1.941300517623397E-3</v>
      </c>
      <c r="U28">
        <v>1.941300517623397E-3</v>
      </c>
      <c r="V28">
        <v>1</v>
      </c>
      <c r="W28" t="b">
        <v>0</v>
      </c>
    </row>
    <row r="29" spans="1:23" x14ac:dyDescent="0.25">
      <c r="A29" t="s">
        <v>823</v>
      </c>
      <c r="B29" t="s">
        <v>397</v>
      </c>
      <c r="C29" t="s">
        <v>865</v>
      </c>
      <c r="D29">
        <v>44512598</v>
      </c>
      <c r="E29" t="s">
        <v>873</v>
      </c>
      <c r="F29">
        <v>201</v>
      </c>
      <c r="G29" t="s">
        <v>872</v>
      </c>
      <c r="H29" t="s">
        <v>1118</v>
      </c>
      <c r="I29">
        <v>1</v>
      </c>
      <c r="J29">
        <v>215.5</v>
      </c>
      <c r="K29">
        <v>201</v>
      </c>
      <c r="L29">
        <v>0.45</v>
      </c>
      <c r="M29" t="s">
        <v>1587</v>
      </c>
      <c r="N29">
        <v>1</v>
      </c>
      <c r="O29">
        <v>4026164489.0999999</v>
      </c>
      <c r="P29">
        <v>234114755739.89951</v>
      </c>
      <c r="Q29">
        <v>194109061935.8725</v>
      </c>
      <c r="R29">
        <v>82.911929802291851</v>
      </c>
      <c r="S29">
        <v>1</v>
      </c>
      <c r="T29">
        <v>1.898983647487601E-3</v>
      </c>
      <c r="U29">
        <v>1.898983647487601E-3</v>
      </c>
      <c r="V29">
        <v>1</v>
      </c>
      <c r="W29" t="b">
        <v>0</v>
      </c>
    </row>
    <row r="30" spans="1:23" x14ac:dyDescent="0.25">
      <c r="A30" t="s">
        <v>786</v>
      </c>
      <c r="B30" t="s">
        <v>360</v>
      </c>
      <c r="C30" t="s">
        <v>865</v>
      </c>
      <c r="D30">
        <v>36696428</v>
      </c>
      <c r="E30" t="s">
        <v>873</v>
      </c>
      <c r="F30">
        <v>239.4</v>
      </c>
      <c r="G30" t="s">
        <v>872</v>
      </c>
      <c r="H30" t="s">
        <v>1119</v>
      </c>
      <c r="I30">
        <v>1</v>
      </c>
      <c r="J30">
        <v>237.2</v>
      </c>
      <c r="K30">
        <v>239.4</v>
      </c>
      <c r="L30">
        <v>0.4</v>
      </c>
      <c r="M30" t="s">
        <v>1587</v>
      </c>
      <c r="N30">
        <v>1</v>
      </c>
      <c r="O30">
        <v>3514049945.2800012</v>
      </c>
      <c r="P30">
        <v>234114755739.89951</v>
      </c>
      <c r="Q30">
        <v>197623111881.1525</v>
      </c>
      <c r="R30">
        <v>84.41292444663803</v>
      </c>
      <c r="S30">
        <v>1</v>
      </c>
      <c r="T30">
        <v>1.65743933229939E-3</v>
      </c>
      <c r="U30">
        <v>1.65743933229939E-3</v>
      </c>
      <c r="V30">
        <v>1</v>
      </c>
      <c r="W30" t="b">
        <v>0</v>
      </c>
    </row>
    <row r="31" spans="1:23" x14ac:dyDescent="0.25">
      <c r="A31" t="s">
        <v>546</v>
      </c>
      <c r="B31" t="s">
        <v>120</v>
      </c>
      <c r="C31" t="s">
        <v>865</v>
      </c>
      <c r="D31">
        <v>53690082</v>
      </c>
      <c r="E31" t="s">
        <v>873</v>
      </c>
      <c r="F31">
        <v>147</v>
      </c>
      <c r="G31" t="s">
        <v>872</v>
      </c>
      <c r="H31" t="s">
        <v>1120</v>
      </c>
      <c r="I31">
        <v>1</v>
      </c>
      <c r="J31">
        <v>144.69999999999999</v>
      </c>
      <c r="K31">
        <v>147</v>
      </c>
      <c r="L31">
        <v>0.4</v>
      </c>
      <c r="M31" t="s">
        <v>1587</v>
      </c>
      <c r="N31">
        <v>1</v>
      </c>
      <c r="O31">
        <v>3156976821.5999999</v>
      </c>
      <c r="P31">
        <v>234114755739.89951</v>
      </c>
      <c r="Q31">
        <v>200780088702.7525</v>
      </c>
      <c r="R31">
        <v>85.761398536458898</v>
      </c>
      <c r="S31">
        <v>1</v>
      </c>
      <c r="T31">
        <v>1.4890219651845129E-3</v>
      </c>
      <c r="U31">
        <v>1.4890219651845129E-3</v>
      </c>
      <c r="V31">
        <v>1</v>
      </c>
      <c r="W31" t="b">
        <v>0</v>
      </c>
    </row>
    <row r="32" spans="1:23" x14ac:dyDescent="0.25">
      <c r="A32" t="s">
        <v>681</v>
      </c>
      <c r="B32" t="s">
        <v>255</v>
      </c>
      <c r="C32" t="s">
        <v>865</v>
      </c>
      <c r="D32">
        <v>816013</v>
      </c>
      <c r="E32" t="s">
        <v>873</v>
      </c>
      <c r="F32">
        <v>7710</v>
      </c>
      <c r="G32" t="s">
        <v>872</v>
      </c>
      <c r="H32" t="s">
        <v>1121</v>
      </c>
      <c r="I32">
        <v>1</v>
      </c>
      <c r="J32">
        <v>7700</v>
      </c>
      <c r="K32">
        <v>7710</v>
      </c>
      <c r="L32">
        <v>0.5</v>
      </c>
      <c r="M32" t="s">
        <v>1587</v>
      </c>
      <c r="N32">
        <v>1</v>
      </c>
      <c r="O32">
        <v>3145730115</v>
      </c>
      <c r="P32">
        <v>234114755739.89951</v>
      </c>
      <c r="Q32">
        <v>203925818817.7525</v>
      </c>
      <c r="R32">
        <v>87.105068697298691</v>
      </c>
      <c r="S32">
        <v>1</v>
      </c>
      <c r="T32">
        <v>1.483717335435949E-3</v>
      </c>
      <c r="U32">
        <v>1.483717335435949E-3</v>
      </c>
      <c r="V32">
        <v>1</v>
      </c>
      <c r="W32" t="b">
        <v>0</v>
      </c>
    </row>
    <row r="33" spans="1:23" x14ac:dyDescent="0.25">
      <c r="A33" t="s">
        <v>449</v>
      </c>
      <c r="B33" t="s">
        <v>23</v>
      </c>
      <c r="C33" t="s">
        <v>865</v>
      </c>
      <c r="D33">
        <v>47550119</v>
      </c>
      <c r="E33" t="s">
        <v>873</v>
      </c>
      <c r="F33">
        <v>65.5</v>
      </c>
      <c r="G33" t="s">
        <v>872</v>
      </c>
      <c r="H33" t="s">
        <v>1122</v>
      </c>
      <c r="I33">
        <v>1</v>
      </c>
      <c r="J33">
        <v>63.3</v>
      </c>
      <c r="K33">
        <v>65.5</v>
      </c>
      <c r="L33">
        <v>1</v>
      </c>
      <c r="M33" t="s">
        <v>1587</v>
      </c>
      <c r="N33">
        <v>1</v>
      </c>
      <c r="O33">
        <v>3114532794.5</v>
      </c>
      <c r="P33">
        <v>234114755739.89951</v>
      </c>
      <c r="Q33">
        <v>207040351612.2525</v>
      </c>
      <c r="R33">
        <v>88.435413204912834</v>
      </c>
      <c r="S33">
        <v>1</v>
      </c>
      <c r="T33">
        <v>1.4690027847425241E-3</v>
      </c>
      <c r="U33">
        <v>1.4690027847425241E-3</v>
      </c>
      <c r="V33">
        <v>1</v>
      </c>
      <c r="W33" t="b">
        <v>0</v>
      </c>
    </row>
    <row r="34" spans="1:23" x14ac:dyDescent="0.25">
      <c r="A34" t="s">
        <v>530</v>
      </c>
      <c r="B34" t="s">
        <v>104</v>
      </c>
      <c r="C34" t="s">
        <v>865</v>
      </c>
      <c r="D34">
        <v>38096217</v>
      </c>
      <c r="E34" t="s">
        <v>873</v>
      </c>
      <c r="F34">
        <v>76.95</v>
      </c>
      <c r="G34" t="s">
        <v>872</v>
      </c>
      <c r="H34" t="s">
        <v>1123</v>
      </c>
      <c r="I34">
        <v>1</v>
      </c>
      <c r="J34">
        <v>74.5</v>
      </c>
      <c r="K34">
        <v>76.95</v>
      </c>
      <c r="L34">
        <v>1</v>
      </c>
      <c r="M34" t="s">
        <v>1587</v>
      </c>
      <c r="N34">
        <v>1</v>
      </c>
      <c r="O34">
        <v>2931503898.1500001</v>
      </c>
      <c r="P34">
        <v>234114755739.89951</v>
      </c>
      <c r="Q34">
        <v>209971855510.4025</v>
      </c>
      <c r="R34">
        <v>89.687578575218197</v>
      </c>
      <c r="S34">
        <v>1</v>
      </c>
      <c r="T34">
        <v>1.382675243449235E-3</v>
      </c>
      <c r="U34">
        <v>1.382675243449235E-3</v>
      </c>
      <c r="V34">
        <v>1</v>
      </c>
      <c r="W34" t="b">
        <v>0</v>
      </c>
    </row>
    <row r="35" spans="1:23" x14ac:dyDescent="0.25">
      <c r="A35" t="s">
        <v>658</v>
      </c>
      <c r="B35" t="s">
        <v>232</v>
      </c>
      <c r="C35" t="s">
        <v>865</v>
      </c>
      <c r="D35">
        <v>77011844</v>
      </c>
      <c r="E35" t="s">
        <v>873</v>
      </c>
      <c r="F35">
        <v>71.099999999999994</v>
      </c>
      <c r="G35" t="s">
        <v>872</v>
      </c>
      <c r="H35" t="s">
        <v>1124</v>
      </c>
      <c r="I35">
        <v>1</v>
      </c>
      <c r="J35">
        <v>73</v>
      </c>
      <c r="K35">
        <v>71.099999999999994</v>
      </c>
      <c r="L35">
        <v>0.5</v>
      </c>
      <c r="M35" t="s">
        <v>1587</v>
      </c>
      <c r="N35">
        <v>1</v>
      </c>
      <c r="O35">
        <v>2737771054.1999998</v>
      </c>
      <c r="P35">
        <v>234114755739.89951</v>
      </c>
      <c r="Q35">
        <v>212709626564.60251</v>
      </c>
      <c r="R35">
        <v>90.856992713830479</v>
      </c>
      <c r="S35">
        <v>1</v>
      </c>
      <c r="T35">
        <v>1.2912990705088801E-3</v>
      </c>
      <c r="U35">
        <v>1.2912990705088801E-3</v>
      </c>
      <c r="V35">
        <v>1</v>
      </c>
      <c r="W35" t="b">
        <v>0</v>
      </c>
    </row>
    <row r="36" spans="1:23" x14ac:dyDescent="0.25">
      <c r="A36" t="s">
        <v>826</v>
      </c>
      <c r="B36" t="s">
        <v>400</v>
      </c>
      <c r="C36" t="s">
        <v>865</v>
      </c>
      <c r="D36">
        <v>246400000</v>
      </c>
      <c r="E36" t="s">
        <v>873</v>
      </c>
      <c r="F36">
        <v>14.52</v>
      </c>
      <c r="G36" t="s">
        <v>872</v>
      </c>
      <c r="H36" t="s">
        <v>1125</v>
      </c>
      <c r="I36">
        <v>1</v>
      </c>
      <c r="J36">
        <v>15.85</v>
      </c>
      <c r="K36">
        <v>14.52</v>
      </c>
      <c r="L36">
        <v>0.75</v>
      </c>
      <c r="M36" t="s">
        <v>1587</v>
      </c>
      <c r="N36">
        <v>1</v>
      </c>
      <c r="O36">
        <v>2683296000</v>
      </c>
      <c r="P36">
        <v>234114755739.89951</v>
      </c>
      <c r="Q36">
        <v>215392922564.60251</v>
      </c>
      <c r="R36">
        <v>92.003138325848681</v>
      </c>
      <c r="S36">
        <v>1</v>
      </c>
      <c r="T36">
        <v>1.2656053271454719E-3</v>
      </c>
      <c r="U36">
        <v>1.2656053271454719E-3</v>
      </c>
      <c r="V36">
        <v>1</v>
      </c>
      <c r="W36" t="b">
        <v>0</v>
      </c>
    </row>
    <row r="37" spans="1:23" x14ac:dyDescent="0.25">
      <c r="A37" t="s">
        <v>480</v>
      </c>
      <c r="B37" t="s">
        <v>54</v>
      </c>
      <c r="C37" t="s">
        <v>865</v>
      </c>
      <c r="D37">
        <v>243921719</v>
      </c>
      <c r="E37" t="s">
        <v>873</v>
      </c>
      <c r="F37">
        <v>9.3800000000000008</v>
      </c>
      <c r="G37" t="s">
        <v>872</v>
      </c>
      <c r="H37" t="s">
        <v>1126</v>
      </c>
      <c r="I37">
        <v>1</v>
      </c>
      <c r="J37">
        <v>9.2349999999999994</v>
      </c>
      <c r="K37">
        <v>9.3800000000000008</v>
      </c>
      <c r="L37">
        <v>0.85000000000000009</v>
      </c>
      <c r="M37" t="s">
        <v>1587</v>
      </c>
      <c r="N37">
        <v>1</v>
      </c>
      <c r="O37">
        <v>1944787865.5869999</v>
      </c>
      <c r="P37">
        <v>234114755739.89951</v>
      </c>
      <c r="Q37">
        <v>217337710430.18951</v>
      </c>
      <c r="R37">
        <v>92.833836869150957</v>
      </c>
      <c r="S37">
        <v>1</v>
      </c>
      <c r="T37">
        <v>9.1728004769312844E-4</v>
      </c>
      <c r="U37">
        <v>9.1728004769312844E-4</v>
      </c>
      <c r="V37">
        <v>1</v>
      </c>
      <c r="W37" t="b">
        <v>0</v>
      </c>
    </row>
    <row r="38" spans="1:23" x14ac:dyDescent="0.25">
      <c r="A38" t="s">
        <v>788</v>
      </c>
      <c r="B38" t="s">
        <v>362</v>
      </c>
      <c r="C38" t="s">
        <v>865</v>
      </c>
      <c r="D38">
        <v>105876416</v>
      </c>
      <c r="E38" t="s">
        <v>873</v>
      </c>
      <c r="F38">
        <v>27.76</v>
      </c>
      <c r="G38" t="s">
        <v>872</v>
      </c>
      <c r="H38" t="s">
        <v>1127</v>
      </c>
      <c r="I38">
        <v>1</v>
      </c>
      <c r="J38">
        <v>26.92</v>
      </c>
      <c r="K38">
        <v>27.76</v>
      </c>
      <c r="L38">
        <v>0.65</v>
      </c>
      <c r="M38" t="s">
        <v>1587</v>
      </c>
      <c r="N38">
        <v>1</v>
      </c>
      <c r="O38">
        <v>1910434050.3039999</v>
      </c>
      <c r="P38">
        <v>234114755739.89951</v>
      </c>
      <c r="Q38">
        <v>219248144480.4935</v>
      </c>
      <c r="R38">
        <v>93.649861491036162</v>
      </c>
      <c r="S38">
        <v>1</v>
      </c>
      <c r="T38">
        <v>9.0107670239319266E-4</v>
      </c>
      <c r="U38">
        <v>9.0107670239319266E-4</v>
      </c>
      <c r="V38">
        <v>1</v>
      </c>
      <c r="W38" t="b">
        <v>0</v>
      </c>
    </row>
    <row r="39" spans="1:23" x14ac:dyDescent="0.25">
      <c r="A39" t="s">
        <v>701</v>
      </c>
      <c r="B39" t="s">
        <v>275</v>
      </c>
      <c r="C39" t="s">
        <v>865</v>
      </c>
      <c r="D39">
        <v>23131212</v>
      </c>
      <c r="E39" t="s">
        <v>873</v>
      </c>
      <c r="F39">
        <v>69.7</v>
      </c>
      <c r="G39" t="s">
        <v>872</v>
      </c>
      <c r="H39" t="s">
        <v>1128</v>
      </c>
      <c r="I39">
        <v>1</v>
      </c>
      <c r="J39">
        <v>69</v>
      </c>
      <c r="K39">
        <v>69.7</v>
      </c>
      <c r="L39">
        <v>0.9</v>
      </c>
      <c r="M39" t="s">
        <v>1587</v>
      </c>
      <c r="N39">
        <v>1</v>
      </c>
      <c r="O39">
        <v>1451020928.76</v>
      </c>
      <c r="P39">
        <v>234114755739.89951</v>
      </c>
      <c r="Q39">
        <v>220699165409.25351</v>
      </c>
      <c r="R39">
        <v>94.269651954125152</v>
      </c>
      <c r="S39">
        <v>1</v>
      </c>
      <c r="T39">
        <v>6.843895780555806E-4</v>
      </c>
      <c r="U39">
        <v>6.843895780555806E-4</v>
      </c>
      <c r="V39">
        <v>1</v>
      </c>
      <c r="W39" t="b">
        <v>0</v>
      </c>
    </row>
    <row r="40" spans="1:23" x14ac:dyDescent="0.25">
      <c r="A40" t="s">
        <v>587</v>
      </c>
      <c r="B40" t="s">
        <v>161</v>
      </c>
      <c r="C40" t="s">
        <v>865</v>
      </c>
      <c r="D40">
        <v>73668904</v>
      </c>
      <c r="E40" t="s">
        <v>873</v>
      </c>
      <c r="F40">
        <v>20.7</v>
      </c>
      <c r="G40" t="s">
        <v>872</v>
      </c>
      <c r="H40" t="s">
        <v>1129</v>
      </c>
      <c r="I40">
        <v>1</v>
      </c>
      <c r="J40">
        <v>20.55</v>
      </c>
      <c r="K40">
        <v>20.7</v>
      </c>
      <c r="L40">
        <v>0.9</v>
      </c>
      <c r="M40" t="s">
        <v>1587</v>
      </c>
      <c r="N40">
        <v>1</v>
      </c>
      <c r="O40">
        <v>1372451681.52</v>
      </c>
      <c r="P40">
        <v>234114755739.89951</v>
      </c>
      <c r="Q40">
        <v>222071617090.7735</v>
      </c>
      <c r="R40">
        <v>94.855882274030662</v>
      </c>
      <c r="S40">
        <v>1</v>
      </c>
      <c r="T40">
        <v>6.4733155022087517E-4</v>
      </c>
      <c r="U40">
        <v>6.4733155022087517E-4</v>
      </c>
      <c r="V40">
        <v>1</v>
      </c>
      <c r="W40" t="b">
        <v>0</v>
      </c>
    </row>
    <row r="41" spans="1:23" x14ac:dyDescent="0.25">
      <c r="A41" t="s">
        <v>839</v>
      </c>
      <c r="B41" t="s">
        <v>413</v>
      </c>
      <c r="C41" t="s">
        <v>865</v>
      </c>
      <c r="D41">
        <v>27291312</v>
      </c>
      <c r="E41" t="s">
        <v>873</v>
      </c>
      <c r="F41">
        <v>100</v>
      </c>
      <c r="G41" t="s">
        <v>872</v>
      </c>
      <c r="H41" t="s">
        <v>1130</v>
      </c>
      <c r="I41">
        <v>1</v>
      </c>
      <c r="J41">
        <v>98.1</v>
      </c>
      <c r="K41">
        <v>100</v>
      </c>
      <c r="L41">
        <v>0.5</v>
      </c>
      <c r="M41" t="s">
        <v>1587</v>
      </c>
      <c r="N41">
        <v>1</v>
      </c>
      <c r="O41">
        <v>1364565600</v>
      </c>
      <c r="P41">
        <v>234114755739.89951</v>
      </c>
      <c r="Q41">
        <v>223436182690.7735</v>
      </c>
      <c r="R41">
        <v>95.43874412555617</v>
      </c>
      <c r="S41">
        <v>1</v>
      </c>
      <c r="T41">
        <v>6.4361199532196893E-4</v>
      </c>
      <c r="U41">
        <v>6.4361199532196893E-4</v>
      </c>
      <c r="V41">
        <v>1</v>
      </c>
      <c r="W41" t="b">
        <v>0</v>
      </c>
    </row>
    <row r="42" spans="1:23" x14ac:dyDescent="0.25">
      <c r="A42" t="s">
        <v>498</v>
      </c>
      <c r="B42" t="s">
        <v>72</v>
      </c>
      <c r="C42" t="s">
        <v>865</v>
      </c>
      <c r="D42">
        <v>51839461</v>
      </c>
      <c r="E42" t="s">
        <v>873</v>
      </c>
      <c r="F42">
        <v>36.049999999999997</v>
      </c>
      <c r="G42" t="s">
        <v>872</v>
      </c>
      <c r="H42" t="s">
        <v>1131</v>
      </c>
      <c r="I42">
        <v>1</v>
      </c>
      <c r="J42">
        <v>37</v>
      </c>
      <c r="K42">
        <v>36.049999999999997</v>
      </c>
      <c r="L42">
        <v>0.65</v>
      </c>
      <c r="M42" t="s">
        <v>1587</v>
      </c>
      <c r="N42">
        <v>1</v>
      </c>
      <c r="O42">
        <v>1214728169.8824999</v>
      </c>
      <c r="P42">
        <v>234114755739.89951</v>
      </c>
      <c r="Q42">
        <v>224650910860.65601</v>
      </c>
      <c r="R42">
        <v>95.957604274308196</v>
      </c>
      <c r="S42">
        <v>1</v>
      </c>
      <c r="T42">
        <v>5.7293956493691426E-4</v>
      </c>
      <c r="U42">
        <v>5.7293956493691426E-4</v>
      </c>
      <c r="V42">
        <v>1</v>
      </c>
      <c r="W42" t="b">
        <v>0</v>
      </c>
    </row>
    <row r="43" spans="1:23" x14ac:dyDescent="0.25">
      <c r="A43" t="s">
        <v>857</v>
      </c>
      <c r="B43" t="s">
        <v>431</v>
      </c>
      <c r="C43" t="s">
        <v>865</v>
      </c>
      <c r="D43">
        <v>46695094</v>
      </c>
      <c r="E43" t="s">
        <v>873</v>
      </c>
      <c r="F43">
        <v>28.05</v>
      </c>
      <c r="G43" t="s">
        <v>872</v>
      </c>
      <c r="H43" t="s">
        <v>1132</v>
      </c>
      <c r="I43">
        <v>1</v>
      </c>
      <c r="J43">
        <v>27.8</v>
      </c>
      <c r="K43">
        <v>28.05</v>
      </c>
      <c r="L43">
        <v>0.85000000000000009</v>
      </c>
      <c r="M43" t="s">
        <v>1587</v>
      </c>
      <c r="N43">
        <v>1</v>
      </c>
      <c r="O43">
        <v>1113327778.6949999</v>
      </c>
      <c r="P43">
        <v>234114755739.89951</v>
      </c>
      <c r="Q43">
        <v>225764238639.35101</v>
      </c>
      <c r="R43">
        <v>96.433152163281036</v>
      </c>
      <c r="S43">
        <v>1</v>
      </c>
      <c r="T43">
        <v>5.2511298327706968E-4</v>
      </c>
      <c r="U43">
        <v>5.2511298327706968E-4</v>
      </c>
      <c r="V43">
        <v>1</v>
      </c>
      <c r="W43" t="b">
        <v>0</v>
      </c>
    </row>
    <row r="44" spans="1:23" x14ac:dyDescent="0.25">
      <c r="A44" t="s">
        <v>612</v>
      </c>
      <c r="B44" t="s">
        <v>186</v>
      </c>
      <c r="C44" t="s">
        <v>865</v>
      </c>
      <c r="D44">
        <v>36810933</v>
      </c>
      <c r="E44" t="s">
        <v>873</v>
      </c>
      <c r="F44">
        <v>45.85</v>
      </c>
      <c r="G44" t="s">
        <v>872</v>
      </c>
      <c r="H44" t="s">
        <v>1133</v>
      </c>
      <c r="I44">
        <v>1</v>
      </c>
      <c r="J44">
        <v>43.25</v>
      </c>
      <c r="K44">
        <v>45.85</v>
      </c>
      <c r="L44">
        <v>0.65</v>
      </c>
      <c r="M44" t="s">
        <v>1587</v>
      </c>
      <c r="N44">
        <v>1</v>
      </c>
      <c r="O44">
        <v>1097057830.7325001</v>
      </c>
      <c r="P44">
        <v>234114755739.89951</v>
      </c>
      <c r="Q44">
        <v>226861296470.0835</v>
      </c>
      <c r="R44">
        <v>96.901750491167434</v>
      </c>
      <c r="S44">
        <v>1</v>
      </c>
      <c r="T44">
        <v>5.1743908788359837E-4</v>
      </c>
      <c r="U44">
        <v>5.1743908788359837E-4</v>
      </c>
      <c r="V44">
        <v>1</v>
      </c>
      <c r="W44" t="b">
        <v>0</v>
      </c>
    </row>
    <row r="45" spans="1:23" x14ac:dyDescent="0.25">
      <c r="A45" t="s">
        <v>692</v>
      </c>
      <c r="B45" t="s">
        <v>266</v>
      </c>
      <c r="C45" t="s">
        <v>865</v>
      </c>
      <c r="D45">
        <v>40400000</v>
      </c>
      <c r="E45" t="s">
        <v>873</v>
      </c>
      <c r="F45">
        <v>50.45</v>
      </c>
      <c r="G45" t="s">
        <v>872</v>
      </c>
      <c r="H45" t="s">
        <v>1134</v>
      </c>
      <c r="I45">
        <v>1</v>
      </c>
      <c r="J45">
        <v>58.25</v>
      </c>
      <c r="K45">
        <v>50.45</v>
      </c>
      <c r="L45">
        <v>0.5</v>
      </c>
      <c r="M45" t="s">
        <v>1587</v>
      </c>
      <c r="N45">
        <v>1</v>
      </c>
      <c r="O45">
        <v>1019090000</v>
      </c>
      <c r="P45">
        <v>234114755739.89951</v>
      </c>
      <c r="Q45">
        <v>227880386470.0835</v>
      </c>
      <c r="R45">
        <v>97.337045565490826</v>
      </c>
      <c r="S45">
        <v>1</v>
      </c>
      <c r="T45">
        <v>4.8066472459269482E-4</v>
      </c>
      <c r="U45">
        <v>4.8066472459269482E-4</v>
      </c>
      <c r="V45">
        <v>1</v>
      </c>
      <c r="W45" t="b">
        <v>0</v>
      </c>
    </row>
    <row r="46" spans="1:23" x14ac:dyDescent="0.25">
      <c r="A46" t="s">
        <v>734</v>
      </c>
      <c r="B46" t="s">
        <v>308</v>
      </c>
      <c r="C46" t="s">
        <v>865</v>
      </c>
      <c r="D46">
        <v>338025135</v>
      </c>
      <c r="E46" t="s">
        <v>873</v>
      </c>
      <c r="F46">
        <v>6.89</v>
      </c>
      <c r="G46" t="s">
        <v>872</v>
      </c>
      <c r="H46" t="s">
        <v>1135</v>
      </c>
      <c r="I46">
        <v>1</v>
      </c>
      <c r="J46">
        <v>6.9749999999999996</v>
      </c>
      <c r="K46">
        <v>6.89</v>
      </c>
      <c r="L46">
        <v>0.4</v>
      </c>
      <c r="M46" t="s">
        <v>1587</v>
      </c>
      <c r="N46">
        <v>1</v>
      </c>
      <c r="O46">
        <v>931597272.06000006</v>
      </c>
      <c r="P46">
        <v>234114755739.89951</v>
      </c>
      <c r="Q46">
        <v>228811983742.14349</v>
      </c>
      <c r="R46">
        <v>97.734968912575795</v>
      </c>
      <c r="S46">
        <v>1</v>
      </c>
      <c r="T46">
        <v>4.3939784141344311E-4</v>
      </c>
      <c r="U46">
        <v>4.3939784141344311E-4</v>
      </c>
      <c r="V46">
        <v>1</v>
      </c>
      <c r="W46" t="b">
        <v>0</v>
      </c>
    </row>
    <row r="47" spans="1:23" x14ac:dyDescent="0.25">
      <c r="A47" t="s">
        <v>777</v>
      </c>
      <c r="B47" t="s">
        <v>351</v>
      </c>
      <c r="C47" t="s">
        <v>865</v>
      </c>
      <c r="D47">
        <v>100972323</v>
      </c>
      <c r="E47" t="s">
        <v>873</v>
      </c>
      <c r="F47">
        <v>30.4</v>
      </c>
      <c r="G47" t="s">
        <v>872</v>
      </c>
      <c r="H47" t="s">
        <v>1136</v>
      </c>
      <c r="I47">
        <v>1</v>
      </c>
      <c r="J47">
        <v>29.45</v>
      </c>
      <c r="K47">
        <v>30.4</v>
      </c>
      <c r="L47">
        <v>0.3</v>
      </c>
      <c r="M47" t="s">
        <v>1587</v>
      </c>
      <c r="N47">
        <v>1</v>
      </c>
      <c r="O47">
        <v>920867585.76000011</v>
      </c>
      <c r="P47">
        <v>234114755739.89951</v>
      </c>
      <c r="Q47">
        <v>229732851327.9035</v>
      </c>
      <c r="R47">
        <v>98.128309171223577</v>
      </c>
      <c r="S47">
        <v>1</v>
      </c>
      <c r="T47">
        <v>4.3433706983256651E-4</v>
      </c>
      <c r="U47">
        <v>4.3433706983256651E-4</v>
      </c>
      <c r="V47">
        <v>1</v>
      </c>
      <c r="W47" t="b">
        <v>0</v>
      </c>
    </row>
    <row r="48" spans="1:23" x14ac:dyDescent="0.25">
      <c r="A48" t="s">
        <v>554</v>
      </c>
      <c r="B48" t="s">
        <v>128</v>
      </c>
      <c r="C48" t="s">
        <v>865</v>
      </c>
      <c r="D48">
        <v>25314482</v>
      </c>
      <c r="E48" t="s">
        <v>873</v>
      </c>
      <c r="F48">
        <v>135.6</v>
      </c>
      <c r="G48" t="s">
        <v>872</v>
      </c>
      <c r="H48" t="s">
        <v>1137</v>
      </c>
      <c r="I48">
        <v>1</v>
      </c>
      <c r="J48">
        <v>142</v>
      </c>
      <c r="L48">
        <v>0.25</v>
      </c>
      <c r="M48" t="s">
        <v>1587</v>
      </c>
      <c r="N48">
        <v>0</v>
      </c>
      <c r="O48">
        <v>858160939.79999995</v>
      </c>
      <c r="P48">
        <v>234114755739.89951</v>
      </c>
      <c r="Q48">
        <v>230591012267.70349</v>
      </c>
      <c r="R48">
        <v>98.494864853323961</v>
      </c>
      <c r="S48">
        <v>1</v>
      </c>
      <c r="T48">
        <v>4.0476080796119588E-4</v>
      </c>
      <c r="U48">
        <v>4.0476080796119588E-4</v>
      </c>
      <c r="V48">
        <v>1</v>
      </c>
      <c r="W48" t="b">
        <v>0</v>
      </c>
    </row>
    <row r="49" spans="1:23" x14ac:dyDescent="0.25">
      <c r="A49" t="s">
        <v>532</v>
      </c>
      <c r="B49" t="s">
        <v>106</v>
      </c>
      <c r="C49" t="s">
        <v>865</v>
      </c>
      <c r="D49">
        <v>124497858</v>
      </c>
      <c r="E49" t="s">
        <v>873</v>
      </c>
      <c r="F49">
        <v>33.06</v>
      </c>
      <c r="G49" t="s">
        <v>872</v>
      </c>
      <c r="H49" t="s">
        <v>1138</v>
      </c>
      <c r="I49">
        <v>1</v>
      </c>
      <c r="J49">
        <v>32.86</v>
      </c>
      <c r="K49">
        <v>33.06</v>
      </c>
      <c r="L49">
        <v>0.2</v>
      </c>
      <c r="M49" t="s">
        <v>1587</v>
      </c>
      <c r="N49">
        <v>1</v>
      </c>
      <c r="O49">
        <v>823179837.09600019</v>
      </c>
      <c r="P49">
        <v>234114755739.89951</v>
      </c>
      <c r="Q49">
        <v>231414192104.7995</v>
      </c>
      <c r="R49">
        <v>98.846478673860133</v>
      </c>
      <c r="S49">
        <v>1</v>
      </c>
      <c r="T49">
        <v>3.8826159582373322E-4</v>
      </c>
      <c r="U49">
        <v>3.8826159582373322E-4</v>
      </c>
      <c r="V49">
        <v>1</v>
      </c>
      <c r="W49" t="b">
        <v>0</v>
      </c>
    </row>
    <row r="50" spans="1:23" x14ac:dyDescent="0.25">
      <c r="A50" t="s">
        <v>755</v>
      </c>
      <c r="B50" t="s">
        <v>329</v>
      </c>
      <c r="C50" t="s">
        <v>865</v>
      </c>
      <c r="D50">
        <v>15026370</v>
      </c>
      <c r="E50" t="s">
        <v>873</v>
      </c>
      <c r="F50">
        <v>63</v>
      </c>
      <c r="G50" t="s">
        <v>872</v>
      </c>
      <c r="H50" t="s">
        <v>1139</v>
      </c>
      <c r="I50">
        <v>1</v>
      </c>
      <c r="J50">
        <v>61.9</v>
      </c>
      <c r="K50">
        <v>63</v>
      </c>
      <c r="L50">
        <v>0.8</v>
      </c>
      <c r="M50" t="s">
        <v>1587</v>
      </c>
      <c r="N50">
        <v>1</v>
      </c>
      <c r="O50">
        <v>757329048</v>
      </c>
      <c r="P50">
        <v>234114755739.89951</v>
      </c>
      <c r="Q50">
        <v>232171521152.7995</v>
      </c>
      <c r="R50">
        <v>99.169964925551753</v>
      </c>
      <c r="S50">
        <v>1</v>
      </c>
      <c r="T50">
        <v>3.5720236513258659E-4</v>
      </c>
      <c r="U50">
        <v>3.5720236513258659E-4</v>
      </c>
      <c r="V50">
        <v>1</v>
      </c>
      <c r="W50" t="b">
        <v>0</v>
      </c>
    </row>
    <row r="51" spans="1:23" x14ac:dyDescent="0.25">
      <c r="A51" t="s">
        <v>490</v>
      </c>
      <c r="B51" t="s">
        <v>64</v>
      </c>
      <c r="C51" t="s">
        <v>865</v>
      </c>
      <c r="D51">
        <v>92916645</v>
      </c>
      <c r="E51" t="s">
        <v>873</v>
      </c>
      <c r="F51">
        <v>11.81</v>
      </c>
      <c r="G51" t="s">
        <v>872</v>
      </c>
      <c r="H51" t="s">
        <v>1140</v>
      </c>
      <c r="I51">
        <v>1</v>
      </c>
      <c r="J51">
        <v>12.24</v>
      </c>
      <c r="K51">
        <v>11.81</v>
      </c>
      <c r="L51">
        <v>0.65</v>
      </c>
      <c r="M51" t="s">
        <v>1587</v>
      </c>
      <c r="N51">
        <v>1</v>
      </c>
      <c r="O51">
        <v>713274625.34250009</v>
      </c>
      <c r="P51">
        <v>234114755739.89951</v>
      </c>
      <c r="Q51">
        <v>232884795778.142</v>
      </c>
      <c r="R51">
        <v>99.474633729142653</v>
      </c>
      <c r="S51">
        <v>1</v>
      </c>
      <c r="T51">
        <v>3.3642362436017459E-4</v>
      </c>
      <c r="U51">
        <v>3.3642362436017459E-4</v>
      </c>
      <c r="V51">
        <v>1</v>
      </c>
      <c r="W51" t="b">
        <v>0</v>
      </c>
    </row>
    <row r="52" spans="1:23" x14ac:dyDescent="0.25">
      <c r="A52" t="s">
        <v>528</v>
      </c>
      <c r="B52" t="s">
        <v>102</v>
      </c>
      <c r="C52" t="s">
        <v>865</v>
      </c>
      <c r="D52">
        <v>315977647</v>
      </c>
      <c r="E52" t="s">
        <v>873</v>
      </c>
      <c r="F52">
        <v>8.6</v>
      </c>
      <c r="G52" t="s">
        <v>872</v>
      </c>
      <c r="H52" t="s">
        <v>1141</v>
      </c>
      <c r="I52">
        <v>1</v>
      </c>
      <c r="J52">
        <v>8.3699999999999992</v>
      </c>
      <c r="K52">
        <v>8.6</v>
      </c>
      <c r="L52">
        <v>0.25</v>
      </c>
      <c r="M52" t="s">
        <v>1587</v>
      </c>
      <c r="N52">
        <v>0</v>
      </c>
      <c r="O52">
        <v>679351941.04999995</v>
      </c>
      <c r="P52">
        <v>234114755739.89951</v>
      </c>
      <c r="Q52">
        <v>233564147719.19199</v>
      </c>
      <c r="R52">
        <v>99.764812765018874</v>
      </c>
      <c r="S52">
        <v>1</v>
      </c>
      <c r="T52">
        <v>3.2042362661424489E-4</v>
      </c>
      <c r="U52">
        <v>3.2042362661424489E-4</v>
      </c>
      <c r="V52">
        <v>1</v>
      </c>
      <c r="W52" t="b">
        <v>0</v>
      </c>
    </row>
    <row r="53" spans="1:23" x14ac:dyDescent="0.25">
      <c r="A53" t="s">
        <v>813</v>
      </c>
      <c r="B53" t="s">
        <v>387</v>
      </c>
      <c r="C53" t="s">
        <v>865</v>
      </c>
      <c r="D53">
        <v>60159303</v>
      </c>
      <c r="E53" t="s">
        <v>873</v>
      </c>
      <c r="F53">
        <v>26.15</v>
      </c>
      <c r="G53" t="s">
        <v>872</v>
      </c>
      <c r="H53" t="s">
        <v>1142</v>
      </c>
      <c r="I53">
        <v>1</v>
      </c>
      <c r="J53">
        <v>25.3</v>
      </c>
      <c r="K53">
        <v>26.15</v>
      </c>
      <c r="L53">
        <v>0.35</v>
      </c>
      <c r="M53" t="s">
        <v>1587</v>
      </c>
      <c r="N53">
        <v>1</v>
      </c>
      <c r="O53">
        <v>550608020.70749998</v>
      </c>
      <c r="P53">
        <v>234114755739.89951</v>
      </c>
      <c r="Q53">
        <v>234114755739.89951</v>
      </c>
      <c r="R53">
        <v>100</v>
      </c>
      <c r="S53">
        <v>1</v>
      </c>
      <c r="T53">
        <v>2.5970017626696291E-4</v>
      </c>
      <c r="U53">
        <v>2.5970017626696291E-4</v>
      </c>
      <c r="V53">
        <v>1</v>
      </c>
      <c r="W53" t="b">
        <v>0</v>
      </c>
    </row>
    <row r="54" spans="1:23" x14ac:dyDescent="0.25">
      <c r="A54" t="s">
        <v>965</v>
      </c>
      <c r="B54" t="s">
        <v>1032</v>
      </c>
      <c r="C54" t="s">
        <v>867</v>
      </c>
      <c r="D54">
        <v>3442514600</v>
      </c>
      <c r="E54" t="s">
        <v>873</v>
      </c>
      <c r="F54">
        <v>14.69</v>
      </c>
      <c r="G54" t="s">
        <v>872</v>
      </c>
      <c r="H54" t="s">
        <v>1143</v>
      </c>
      <c r="I54">
        <v>1</v>
      </c>
      <c r="J54">
        <v>15.69</v>
      </c>
      <c r="K54">
        <v>14.69</v>
      </c>
      <c r="L54">
        <v>0.95</v>
      </c>
      <c r="M54" t="s">
        <v>1588</v>
      </c>
      <c r="N54">
        <v>0</v>
      </c>
      <c r="O54">
        <v>48042012500.300003</v>
      </c>
      <c r="P54">
        <v>234596653092.02499</v>
      </c>
      <c r="Q54">
        <v>48042012500.300003</v>
      </c>
      <c r="R54">
        <v>20.47855835413586</v>
      </c>
      <c r="S54">
        <v>0</v>
      </c>
      <c r="V54">
        <v>1</v>
      </c>
      <c r="W54" t="b">
        <v>0</v>
      </c>
    </row>
    <row r="55" spans="1:23" x14ac:dyDescent="0.25">
      <c r="A55" t="s">
        <v>966</v>
      </c>
      <c r="B55" t="s">
        <v>1033</v>
      </c>
      <c r="C55" t="s">
        <v>867</v>
      </c>
      <c r="D55">
        <v>5742239700</v>
      </c>
      <c r="E55" t="s">
        <v>873</v>
      </c>
      <c r="F55">
        <v>5.13</v>
      </c>
      <c r="G55" t="s">
        <v>872</v>
      </c>
      <c r="H55" t="s">
        <v>1144</v>
      </c>
      <c r="I55">
        <v>1</v>
      </c>
      <c r="J55">
        <v>5.4059999999999997</v>
      </c>
      <c r="K55">
        <v>5.13</v>
      </c>
      <c r="L55">
        <v>0.95</v>
      </c>
      <c r="M55" t="s">
        <v>1588</v>
      </c>
      <c r="N55">
        <v>0</v>
      </c>
      <c r="O55">
        <v>27984805177.950001</v>
      </c>
      <c r="P55">
        <v>234596653092.02499</v>
      </c>
      <c r="Q55">
        <v>76026817678.25</v>
      </c>
      <c r="R55">
        <v>32.407460497071547</v>
      </c>
      <c r="S55">
        <v>0</v>
      </c>
      <c r="V55">
        <v>1</v>
      </c>
      <c r="W55" t="b">
        <v>0</v>
      </c>
    </row>
    <row r="56" spans="1:23" x14ac:dyDescent="0.25">
      <c r="A56" t="s">
        <v>967</v>
      </c>
      <c r="B56" t="s">
        <v>1034</v>
      </c>
      <c r="C56" t="s">
        <v>867</v>
      </c>
      <c r="D56">
        <v>2669754000</v>
      </c>
      <c r="E56" t="s">
        <v>873</v>
      </c>
      <c r="F56">
        <v>9.9540000000000006</v>
      </c>
      <c r="G56" t="s">
        <v>872</v>
      </c>
      <c r="H56" t="s">
        <v>1145</v>
      </c>
      <c r="I56">
        <v>1</v>
      </c>
      <c r="J56">
        <v>10.01</v>
      </c>
      <c r="K56">
        <v>9.9540000000000006</v>
      </c>
      <c r="L56">
        <v>0.95</v>
      </c>
      <c r="M56" t="s">
        <v>1588</v>
      </c>
      <c r="N56">
        <v>0</v>
      </c>
      <c r="O56">
        <v>25245994750.200001</v>
      </c>
      <c r="P56">
        <v>234596653092.02499</v>
      </c>
      <c r="Q56">
        <v>101272812428.45</v>
      </c>
      <c r="R56">
        <v>43.168907609574383</v>
      </c>
      <c r="S56">
        <v>0</v>
      </c>
      <c r="V56">
        <v>1</v>
      </c>
      <c r="W56" t="b">
        <v>0</v>
      </c>
    </row>
    <row r="57" spans="1:23" x14ac:dyDescent="0.25">
      <c r="A57" t="s">
        <v>968</v>
      </c>
      <c r="B57" t="s">
        <v>1035</v>
      </c>
      <c r="C57" t="s">
        <v>867</v>
      </c>
      <c r="D57">
        <v>453187130</v>
      </c>
      <c r="E57" t="s">
        <v>873</v>
      </c>
      <c r="F57">
        <v>57.46</v>
      </c>
      <c r="G57" t="s">
        <v>872</v>
      </c>
      <c r="H57" t="s">
        <v>1146</v>
      </c>
      <c r="I57">
        <v>1</v>
      </c>
      <c r="J57">
        <v>58.9</v>
      </c>
      <c r="K57">
        <v>57.46</v>
      </c>
      <c r="L57">
        <v>0.85</v>
      </c>
      <c r="M57" t="s">
        <v>1588</v>
      </c>
      <c r="N57">
        <v>0</v>
      </c>
      <c r="O57">
        <v>22134112616.330002</v>
      </c>
      <c r="P57">
        <v>234596653092.02499</v>
      </c>
      <c r="Q57">
        <v>123406925044.78</v>
      </c>
      <c r="R57">
        <v>52.603872825232202</v>
      </c>
      <c r="S57">
        <v>0</v>
      </c>
      <c r="V57">
        <v>1</v>
      </c>
      <c r="W57" t="b">
        <v>0</v>
      </c>
    </row>
    <row r="58" spans="1:23" x14ac:dyDescent="0.25">
      <c r="A58" t="s">
        <v>969</v>
      </c>
      <c r="B58" t="s">
        <v>1036</v>
      </c>
      <c r="C58" t="s">
        <v>867</v>
      </c>
      <c r="D58">
        <v>591723400</v>
      </c>
      <c r="E58" t="s">
        <v>873</v>
      </c>
      <c r="F58">
        <v>26.54</v>
      </c>
      <c r="G58" t="s">
        <v>872</v>
      </c>
      <c r="H58" t="s">
        <v>1147</v>
      </c>
      <c r="I58">
        <v>1</v>
      </c>
      <c r="J58">
        <v>30.58</v>
      </c>
      <c r="K58">
        <v>26.54</v>
      </c>
      <c r="L58">
        <v>0.8</v>
      </c>
      <c r="M58" t="s">
        <v>1588</v>
      </c>
      <c r="N58">
        <v>0</v>
      </c>
      <c r="O58">
        <v>12563471228.799999</v>
      </c>
      <c r="P58">
        <v>234596653092.02499</v>
      </c>
      <c r="Q58">
        <v>135970396273.58</v>
      </c>
      <c r="R58">
        <v>57.959222555593328</v>
      </c>
      <c r="S58">
        <v>0</v>
      </c>
      <c r="V58">
        <v>1</v>
      </c>
      <c r="W58" t="b">
        <v>0</v>
      </c>
    </row>
    <row r="59" spans="1:23" x14ac:dyDescent="0.25">
      <c r="A59" t="s">
        <v>970</v>
      </c>
      <c r="B59" t="s">
        <v>1037</v>
      </c>
      <c r="C59" t="s">
        <v>867</v>
      </c>
      <c r="D59">
        <v>527735699</v>
      </c>
      <c r="E59" t="s">
        <v>873</v>
      </c>
      <c r="F59">
        <v>22.91</v>
      </c>
      <c r="G59" t="s">
        <v>872</v>
      </c>
      <c r="H59" t="s">
        <v>1148</v>
      </c>
      <c r="I59">
        <v>1</v>
      </c>
      <c r="J59">
        <v>23.7</v>
      </c>
      <c r="K59">
        <v>22.91</v>
      </c>
      <c r="L59">
        <v>1</v>
      </c>
      <c r="M59" t="s">
        <v>1588</v>
      </c>
      <c r="N59">
        <v>0</v>
      </c>
      <c r="O59">
        <v>12090424864.09</v>
      </c>
      <c r="P59">
        <v>234596653092.02499</v>
      </c>
      <c r="Q59">
        <v>148060821137.67001</v>
      </c>
      <c r="R59">
        <v>63.112929867584391</v>
      </c>
      <c r="S59">
        <v>0</v>
      </c>
      <c r="V59">
        <v>1</v>
      </c>
      <c r="W59" t="b">
        <v>0</v>
      </c>
    </row>
    <row r="60" spans="1:23" x14ac:dyDescent="0.25">
      <c r="A60" t="s">
        <v>971</v>
      </c>
      <c r="B60" t="s">
        <v>1038</v>
      </c>
      <c r="C60" t="s">
        <v>867</v>
      </c>
      <c r="D60">
        <v>828972400</v>
      </c>
      <c r="E60" t="s">
        <v>873</v>
      </c>
      <c r="F60">
        <v>13.45</v>
      </c>
      <c r="G60" t="s">
        <v>872</v>
      </c>
      <c r="H60" t="s">
        <v>1149</v>
      </c>
      <c r="I60">
        <v>1</v>
      </c>
      <c r="J60">
        <v>14.62</v>
      </c>
      <c r="K60">
        <v>13.45</v>
      </c>
      <c r="L60">
        <v>0.75</v>
      </c>
      <c r="M60" t="s">
        <v>1588</v>
      </c>
      <c r="N60">
        <v>0</v>
      </c>
      <c r="O60">
        <v>8362259085</v>
      </c>
      <c r="P60">
        <v>234596653092.02499</v>
      </c>
      <c r="Q60">
        <v>156423080222.67001</v>
      </c>
      <c r="R60">
        <v>66.677456033999789</v>
      </c>
      <c r="S60">
        <v>0</v>
      </c>
      <c r="V60">
        <v>1</v>
      </c>
      <c r="W60" t="b">
        <v>0</v>
      </c>
    </row>
    <row r="61" spans="1:23" x14ac:dyDescent="0.25">
      <c r="A61" t="s">
        <v>599</v>
      </c>
      <c r="B61" t="s">
        <v>173</v>
      </c>
      <c r="C61" t="s">
        <v>867</v>
      </c>
      <c r="D61">
        <v>897264470</v>
      </c>
      <c r="E61" t="s">
        <v>873</v>
      </c>
      <c r="F61">
        <v>18.195</v>
      </c>
      <c r="G61" t="s">
        <v>872</v>
      </c>
      <c r="H61" t="s">
        <v>1150</v>
      </c>
      <c r="I61">
        <v>1</v>
      </c>
      <c r="J61">
        <v>18.11</v>
      </c>
      <c r="K61">
        <v>18.195</v>
      </c>
      <c r="L61">
        <v>0.5</v>
      </c>
      <c r="M61" t="s">
        <v>1588</v>
      </c>
      <c r="N61">
        <v>1</v>
      </c>
      <c r="O61">
        <v>8162863515.8249998</v>
      </c>
      <c r="P61">
        <v>234596653092.02499</v>
      </c>
      <c r="Q61">
        <v>164585943738.495</v>
      </c>
      <c r="R61">
        <v>70.156987139084649</v>
      </c>
      <c r="S61">
        <v>1</v>
      </c>
      <c r="T61">
        <v>3.8501020947333199E-3</v>
      </c>
      <c r="U61">
        <v>3.8501020947333199E-3</v>
      </c>
      <c r="V61">
        <v>1</v>
      </c>
      <c r="W61" t="b">
        <v>0</v>
      </c>
    </row>
    <row r="62" spans="1:23" x14ac:dyDescent="0.25">
      <c r="A62" t="s">
        <v>706</v>
      </c>
      <c r="B62" t="s">
        <v>280</v>
      </c>
      <c r="C62" t="s">
        <v>867</v>
      </c>
      <c r="D62">
        <v>769211060</v>
      </c>
      <c r="E62" t="s">
        <v>873</v>
      </c>
      <c r="F62">
        <v>16.725000000000001</v>
      </c>
      <c r="G62" t="s">
        <v>872</v>
      </c>
      <c r="H62" t="s">
        <v>1151</v>
      </c>
      <c r="I62">
        <v>1</v>
      </c>
      <c r="J62">
        <v>18.98</v>
      </c>
      <c r="K62">
        <v>16.725000000000001</v>
      </c>
      <c r="L62">
        <v>0.55000000000000004</v>
      </c>
      <c r="M62" t="s">
        <v>1588</v>
      </c>
      <c r="N62">
        <v>1</v>
      </c>
      <c r="O62">
        <v>7075780238.1750011</v>
      </c>
      <c r="P62">
        <v>234596653092.02499</v>
      </c>
      <c r="Q62">
        <v>171661723976.67001</v>
      </c>
      <c r="R62">
        <v>73.173134277125612</v>
      </c>
      <c r="S62">
        <v>1</v>
      </c>
      <c r="T62">
        <v>3.337367611752465E-3</v>
      </c>
      <c r="U62">
        <v>3.337367611752465E-3</v>
      </c>
      <c r="V62">
        <v>1</v>
      </c>
      <c r="W62" t="b">
        <v>0</v>
      </c>
    </row>
    <row r="63" spans="1:23" x14ac:dyDescent="0.25">
      <c r="A63" t="s">
        <v>718</v>
      </c>
      <c r="B63" t="s">
        <v>292</v>
      </c>
      <c r="C63" t="s">
        <v>867</v>
      </c>
      <c r="D63">
        <v>109292460</v>
      </c>
      <c r="E63" t="s">
        <v>873</v>
      </c>
      <c r="F63">
        <v>59.95</v>
      </c>
      <c r="G63" t="s">
        <v>872</v>
      </c>
      <c r="H63" t="s">
        <v>1152</v>
      </c>
      <c r="I63">
        <v>1</v>
      </c>
      <c r="J63">
        <v>61.25</v>
      </c>
      <c r="K63">
        <v>59.95</v>
      </c>
      <c r="L63">
        <v>1</v>
      </c>
      <c r="M63" t="s">
        <v>1588</v>
      </c>
      <c r="N63">
        <v>0</v>
      </c>
      <c r="O63">
        <v>6552082977</v>
      </c>
      <c r="P63">
        <v>234596653092.02499</v>
      </c>
      <c r="Q63">
        <v>178213806953.67001</v>
      </c>
      <c r="R63">
        <v>75.966048366326106</v>
      </c>
      <c r="S63">
        <v>1</v>
      </c>
      <c r="T63">
        <v>3.0903601837405808E-3</v>
      </c>
      <c r="U63">
        <v>3.0903601837405808E-3</v>
      </c>
      <c r="V63">
        <v>1</v>
      </c>
      <c r="W63" t="b">
        <v>0</v>
      </c>
    </row>
    <row r="64" spans="1:23" x14ac:dyDescent="0.25">
      <c r="A64" t="s">
        <v>794</v>
      </c>
      <c r="B64" t="s">
        <v>368</v>
      </c>
      <c r="C64" t="s">
        <v>867</v>
      </c>
      <c r="D64">
        <v>613077400</v>
      </c>
      <c r="E64" t="s">
        <v>873</v>
      </c>
      <c r="F64">
        <v>9.6539999999999999</v>
      </c>
      <c r="G64" t="s">
        <v>872</v>
      </c>
      <c r="H64" t="s">
        <v>1153</v>
      </c>
      <c r="I64">
        <v>1</v>
      </c>
      <c r="J64">
        <v>10.26</v>
      </c>
      <c r="K64">
        <v>9.6539999999999999</v>
      </c>
      <c r="L64">
        <v>1</v>
      </c>
      <c r="M64" t="s">
        <v>1588</v>
      </c>
      <c r="N64">
        <v>1</v>
      </c>
      <c r="O64">
        <v>5918649219.6000004</v>
      </c>
      <c r="P64">
        <v>234596653092.02499</v>
      </c>
      <c r="Q64">
        <v>184132456173.26999</v>
      </c>
      <c r="R64">
        <v>78.488952739253506</v>
      </c>
      <c r="S64">
        <v>1</v>
      </c>
      <c r="T64">
        <v>2.791594360753027E-3</v>
      </c>
      <c r="U64">
        <v>2.791594360753027E-3</v>
      </c>
      <c r="V64">
        <v>1</v>
      </c>
      <c r="W64" t="b">
        <v>0</v>
      </c>
    </row>
    <row r="65" spans="1:23" x14ac:dyDescent="0.25">
      <c r="A65" t="s">
        <v>667</v>
      </c>
      <c r="B65" t="s">
        <v>241</v>
      </c>
      <c r="C65" t="s">
        <v>867</v>
      </c>
      <c r="D65">
        <v>79221900</v>
      </c>
      <c r="E65" t="s">
        <v>873</v>
      </c>
      <c r="F65">
        <v>81.75</v>
      </c>
      <c r="G65" t="s">
        <v>872</v>
      </c>
      <c r="H65" t="s">
        <v>1154</v>
      </c>
      <c r="I65">
        <v>1</v>
      </c>
      <c r="J65">
        <v>90.9</v>
      </c>
      <c r="K65">
        <v>81.75</v>
      </c>
      <c r="L65">
        <v>0.9</v>
      </c>
      <c r="M65" t="s">
        <v>1588</v>
      </c>
      <c r="N65">
        <v>1</v>
      </c>
      <c r="O65">
        <v>5828751292.5</v>
      </c>
      <c r="P65">
        <v>234596653092.02499</v>
      </c>
      <c r="Q65">
        <v>189961207465.76999</v>
      </c>
      <c r="R65">
        <v>80.973536903467291</v>
      </c>
      <c r="S65">
        <v>1</v>
      </c>
      <c r="T65">
        <v>2.749193039602808E-3</v>
      </c>
      <c r="U65">
        <v>2.749193039602808E-3</v>
      </c>
      <c r="V65">
        <v>1</v>
      </c>
      <c r="W65" t="b">
        <v>0</v>
      </c>
    </row>
    <row r="66" spans="1:23" x14ac:dyDescent="0.25">
      <c r="A66" t="s">
        <v>569</v>
      </c>
      <c r="B66" t="s">
        <v>143</v>
      </c>
      <c r="C66" t="s">
        <v>867</v>
      </c>
      <c r="D66">
        <v>167335070</v>
      </c>
      <c r="E66" t="s">
        <v>873</v>
      </c>
      <c r="F66">
        <v>38.340000000000003</v>
      </c>
      <c r="G66" t="s">
        <v>872</v>
      </c>
      <c r="H66" t="s">
        <v>1155</v>
      </c>
      <c r="I66">
        <v>1</v>
      </c>
      <c r="J66">
        <v>37.659999999999997</v>
      </c>
      <c r="K66">
        <v>38.340000000000003</v>
      </c>
      <c r="L66">
        <v>0.9</v>
      </c>
      <c r="M66" t="s">
        <v>1588</v>
      </c>
      <c r="N66">
        <v>1</v>
      </c>
      <c r="O66">
        <v>5774063925.4200001</v>
      </c>
      <c r="P66">
        <v>234596653092.02499</v>
      </c>
      <c r="Q66">
        <v>195735271391.19</v>
      </c>
      <c r="R66">
        <v>83.434809836954116</v>
      </c>
      <c r="S66">
        <v>1</v>
      </c>
      <c r="T66">
        <v>2.7233991565932532E-3</v>
      </c>
      <c r="U66">
        <v>2.7233991565932532E-3</v>
      </c>
      <c r="V66">
        <v>1</v>
      </c>
      <c r="W66" t="b">
        <v>0</v>
      </c>
    </row>
    <row r="67" spans="1:23" x14ac:dyDescent="0.25">
      <c r="A67" t="s">
        <v>662</v>
      </c>
      <c r="B67" t="s">
        <v>236</v>
      </c>
      <c r="C67" t="s">
        <v>867</v>
      </c>
      <c r="D67">
        <v>273130980</v>
      </c>
      <c r="E67" t="s">
        <v>873</v>
      </c>
      <c r="F67">
        <v>18.09</v>
      </c>
      <c r="G67" t="s">
        <v>872</v>
      </c>
      <c r="H67" t="s">
        <v>1156</v>
      </c>
      <c r="I67">
        <v>1</v>
      </c>
      <c r="J67">
        <v>18.38</v>
      </c>
      <c r="K67">
        <v>18.09</v>
      </c>
      <c r="L67">
        <v>1</v>
      </c>
      <c r="M67" t="s">
        <v>1588</v>
      </c>
      <c r="N67">
        <v>1</v>
      </c>
      <c r="O67">
        <v>4940939428.1999998</v>
      </c>
      <c r="P67">
        <v>234596653092.02499</v>
      </c>
      <c r="Q67">
        <v>200676210819.39001</v>
      </c>
      <c r="R67">
        <v>85.540952172353002</v>
      </c>
      <c r="S67">
        <v>1</v>
      </c>
      <c r="T67">
        <v>2.3304470552011499E-3</v>
      </c>
      <c r="U67">
        <v>2.3304470552011499E-3</v>
      </c>
      <c r="V67">
        <v>1</v>
      </c>
      <c r="W67" t="b">
        <v>0</v>
      </c>
    </row>
    <row r="68" spans="1:23" x14ac:dyDescent="0.25">
      <c r="A68" t="s">
        <v>836</v>
      </c>
      <c r="B68" t="s">
        <v>410</v>
      </c>
      <c r="C68" t="s">
        <v>867</v>
      </c>
      <c r="D68">
        <v>184529605</v>
      </c>
      <c r="E68" t="s">
        <v>873</v>
      </c>
      <c r="F68">
        <v>27.55</v>
      </c>
      <c r="G68" t="s">
        <v>872</v>
      </c>
      <c r="H68" t="s">
        <v>1157</v>
      </c>
      <c r="I68">
        <v>1</v>
      </c>
      <c r="J68">
        <v>27</v>
      </c>
      <c r="K68">
        <v>27.55</v>
      </c>
      <c r="L68">
        <v>0.8</v>
      </c>
      <c r="M68" t="s">
        <v>1588</v>
      </c>
      <c r="N68">
        <v>1</v>
      </c>
      <c r="O68">
        <v>4067032494.1999998</v>
      </c>
      <c r="P68">
        <v>234596653092.02499</v>
      </c>
      <c r="Q68">
        <v>204743243313.59</v>
      </c>
      <c r="R68">
        <v>87.274579843760847</v>
      </c>
      <c r="S68">
        <v>1</v>
      </c>
      <c r="T68">
        <v>1.9182594802560949E-3</v>
      </c>
      <c r="U68">
        <v>1.9182594802560949E-3</v>
      </c>
      <c r="V68">
        <v>1</v>
      </c>
      <c r="W68" t="b">
        <v>0</v>
      </c>
    </row>
    <row r="69" spans="1:23" x14ac:dyDescent="0.25">
      <c r="A69" t="s">
        <v>687</v>
      </c>
      <c r="B69" t="s">
        <v>261</v>
      </c>
      <c r="C69" t="s">
        <v>867</v>
      </c>
      <c r="D69">
        <v>502696750</v>
      </c>
      <c r="E69" t="s">
        <v>873</v>
      </c>
      <c r="F69">
        <v>6.3079999999999998</v>
      </c>
      <c r="G69" t="s">
        <v>872</v>
      </c>
      <c r="H69" t="s">
        <v>1158</v>
      </c>
      <c r="I69">
        <v>1</v>
      </c>
      <c r="J69">
        <v>6.56</v>
      </c>
      <c r="K69">
        <v>6.3079999999999998</v>
      </c>
      <c r="L69">
        <v>0.9</v>
      </c>
      <c r="M69" t="s">
        <v>1588</v>
      </c>
      <c r="N69">
        <v>1</v>
      </c>
      <c r="O69">
        <v>2853909989.0999999</v>
      </c>
      <c r="P69">
        <v>234596653092.02499</v>
      </c>
      <c r="Q69">
        <v>207597153302.69</v>
      </c>
      <c r="R69">
        <v>88.491097620755937</v>
      </c>
      <c r="S69">
        <v>1</v>
      </c>
      <c r="T69">
        <v>1.346077244328854E-3</v>
      </c>
      <c r="U69">
        <v>1.346077244328854E-3</v>
      </c>
      <c r="V69">
        <v>1</v>
      </c>
      <c r="W69" t="b">
        <v>0</v>
      </c>
    </row>
    <row r="70" spans="1:23" x14ac:dyDescent="0.25">
      <c r="A70" t="s">
        <v>636</v>
      </c>
      <c r="B70" t="s">
        <v>210</v>
      </c>
      <c r="C70" t="s">
        <v>867</v>
      </c>
      <c r="D70">
        <v>107760380</v>
      </c>
      <c r="E70" t="s">
        <v>873</v>
      </c>
      <c r="F70">
        <v>28.76</v>
      </c>
      <c r="G70" t="s">
        <v>872</v>
      </c>
      <c r="H70" t="s">
        <v>1159</v>
      </c>
      <c r="I70">
        <v>1</v>
      </c>
      <c r="J70">
        <v>28.72</v>
      </c>
      <c r="K70">
        <v>28.76</v>
      </c>
      <c r="L70">
        <v>0.9</v>
      </c>
      <c r="M70" t="s">
        <v>1588</v>
      </c>
      <c r="N70">
        <v>1</v>
      </c>
      <c r="O70">
        <v>2789269675.9200001</v>
      </c>
      <c r="P70">
        <v>234596653092.02499</v>
      </c>
      <c r="Q70">
        <v>210386422978.60999</v>
      </c>
      <c r="R70">
        <v>89.68006158897839</v>
      </c>
      <c r="S70">
        <v>1</v>
      </c>
      <c r="T70">
        <v>1.315588947581511E-3</v>
      </c>
      <c r="U70">
        <v>1.315588947581511E-3</v>
      </c>
      <c r="V70">
        <v>1</v>
      </c>
      <c r="W70" t="b">
        <v>0</v>
      </c>
    </row>
    <row r="71" spans="1:23" x14ac:dyDescent="0.25">
      <c r="A71" t="s">
        <v>659</v>
      </c>
      <c r="B71" t="s">
        <v>233</v>
      </c>
      <c r="C71" t="s">
        <v>867</v>
      </c>
      <c r="D71">
        <v>155342560</v>
      </c>
      <c r="E71" t="s">
        <v>873</v>
      </c>
      <c r="F71">
        <v>18.940000000000001</v>
      </c>
      <c r="G71" t="s">
        <v>872</v>
      </c>
      <c r="H71" t="s">
        <v>1160</v>
      </c>
      <c r="I71">
        <v>1</v>
      </c>
      <c r="J71">
        <v>19.38</v>
      </c>
      <c r="K71">
        <v>18.940000000000001</v>
      </c>
      <c r="L71">
        <v>0.75</v>
      </c>
      <c r="M71" t="s">
        <v>1588</v>
      </c>
      <c r="N71">
        <v>1</v>
      </c>
      <c r="O71">
        <v>2206641064.8000002</v>
      </c>
      <c r="P71">
        <v>234596653092.02499</v>
      </c>
      <c r="Q71">
        <v>212593064043.41</v>
      </c>
      <c r="R71">
        <v>90.620672222470418</v>
      </c>
      <c r="S71">
        <v>1</v>
      </c>
      <c r="T71">
        <v>1.040785916540269E-3</v>
      </c>
      <c r="U71">
        <v>1.040785916540269E-3</v>
      </c>
      <c r="V71">
        <v>1</v>
      </c>
      <c r="W71" t="b">
        <v>0</v>
      </c>
    </row>
    <row r="72" spans="1:23" x14ac:dyDescent="0.25">
      <c r="A72" t="s">
        <v>666</v>
      </c>
      <c r="B72" t="s">
        <v>240</v>
      </c>
      <c r="C72" t="s">
        <v>867</v>
      </c>
      <c r="D72">
        <v>247144400</v>
      </c>
      <c r="E72" t="s">
        <v>873</v>
      </c>
      <c r="F72">
        <v>10.49</v>
      </c>
      <c r="G72" t="s">
        <v>872</v>
      </c>
      <c r="H72" t="s">
        <v>1161</v>
      </c>
      <c r="I72">
        <v>1</v>
      </c>
      <c r="J72">
        <v>10.130000000000001</v>
      </c>
      <c r="K72">
        <v>10.49</v>
      </c>
      <c r="L72">
        <v>0.7</v>
      </c>
      <c r="M72" t="s">
        <v>1588</v>
      </c>
      <c r="N72">
        <v>1</v>
      </c>
      <c r="O72">
        <v>1814781329.2</v>
      </c>
      <c r="P72">
        <v>234596653092.02499</v>
      </c>
      <c r="Q72">
        <v>214407845372.60999</v>
      </c>
      <c r="R72">
        <v>91.394247337580055</v>
      </c>
      <c r="S72">
        <v>1</v>
      </c>
      <c r="T72">
        <v>8.559610709514199E-4</v>
      </c>
      <c r="U72">
        <v>8.559610709514199E-4</v>
      </c>
      <c r="V72">
        <v>1</v>
      </c>
      <c r="W72" t="b">
        <v>0</v>
      </c>
    </row>
    <row r="73" spans="1:23" x14ac:dyDescent="0.25">
      <c r="A73" t="s">
        <v>633</v>
      </c>
      <c r="B73" t="s">
        <v>207</v>
      </c>
      <c r="C73" t="s">
        <v>867</v>
      </c>
      <c r="D73">
        <v>55182080</v>
      </c>
      <c r="E73" t="s">
        <v>873</v>
      </c>
      <c r="F73">
        <v>45.54</v>
      </c>
      <c r="G73" t="s">
        <v>872</v>
      </c>
      <c r="H73" t="s">
        <v>1162</v>
      </c>
      <c r="I73">
        <v>1</v>
      </c>
      <c r="J73">
        <v>50.55</v>
      </c>
      <c r="K73">
        <v>45.54</v>
      </c>
      <c r="L73">
        <v>0.7</v>
      </c>
      <c r="M73" t="s">
        <v>1588</v>
      </c>
      <c r="N73">
        <v>1</v>
      </c>
      <c r="O73">
        <v>1759094346.24</v>
      </c>
      <c r="P73">
        <v>234596653092.02499</v>
      </c>
      <c r="Q73">
        <v>216166939718.85001</v>
      </c>
      <c r="R73">
        <v>92.14408512215833</v>
      </c>
      <c r="S73">
        <v>1</v>
      </c>
      <c r="T73">
        <v>8.2969570839475993E-4</v>
      </c>
      <c r="U73">
        <v>8.2969570839475993E-4</v>
      </c>
      <c r="V73">
        <v>1</v>
      </c>
      <c r="W73" t="b">
        <v>0</v>
      </c>
    </row>
    <row r="74" spans="1:23" x14ac:dyDescent="0.25">
      <c r="A74" t="s">
        <v>818</v>
      </c>
      <c r="B74" t="s">
        <v>392</v>
      </c>
      <c r="C74" t="s">
        <v>867</v>
      </c>
      <c r="D74">
        <v>118640150</v>
      </c>
      <c r="E74" t="s">
        <v>873</v>
      </c>
      <c r="F74">
        <v>17.8</v>
      </c>
      <c r="G74" t="s">
        <v>872</v>
      </c>
      <c r="H74" t="s">
        <v>1163</v>
      </c>
      <c r="I74">
        <v>1</v>
      </c>
      <c r="J74">
        <v>18.27</v>
      </c>
      <c r="K74">
        <v>17.8</v>
      </c>
      <c r="L74">
        <v>0.7</v>
      </c>
      <c r="M74" t="s">
        <v>1588</v>
      </c>
      <c r="N74">
        <v>1</v>
      </c>
      <c r="O74">
        <v>1478256269</v>
      </c>
      <c r="P74">
        <v>234596653092.02499</v>
      </c>
      <c r="Q74">
        <v>217645195987.85001</v>
      </c>
      <c r="R74">
        <v>92.774211873548978</v>
      </c>
      <c r="S74">
        <v>1</v>
      </c>
      <c r="T74">
        <v>6.9723541828131913E-4</v>
      </c>
      <c r="U74">
        <v>6.9723541828131913E-4</v>
      </c>
      <c r="V74">
        <v>1</v>
      </c>
      <c r="W74" t="b">
        <v>0</v>
      </c>
    </row>
    <row r="75" spans="1:23" x14ac:dyDescent="0.25">
      <c r="A75" t="s">
        <v>720</v>
      </c>
      <c r="B75" t="s">
        <v>294</v>
      </c>
      <c r="C75" t="s">
        <v>867</v>
      </c>
      <c r="D75">
        <v>473016850</v>
      </c>
      <c r="E75" t="s">
        <v>873</v>
      </c>
      <c r="F75">
        <v>3.8260000000000001</v>
      </c>
      <c r="G75" t="s">
        <v>872</v>
      </c>
      <c r="H75" t="s">
        <v>1164</v>
      </c>
      <c r="I75">
        <v>1</v>
      </c>
      <c r="J75">
        <v>4.12</v>
      </c>
      <c r="K75">
        <v>3.8260000000000001</v>
      </c>
      <c r="L75">
        <v>0.8</v>
      </c>
      <c r="M75" t="s">
        <v>1588</v>
      </c>
      <c r="N75">
        <v>1</v>
      </c>
      <c r="O75">
        <v>1447809974.48</v>
      </c>
      <c r="P75">
        <v>234596653092.02499</v>
      </c>
      <c r="Q75">
        <v>219093005962.32999</v>
      </c>
      <c r="R75">
        <v>93.391360479634201</v>
      </c>
      <c r="S75">
        <v>1</v>
      </c>
      <c r="T75">
        <v>6.8287509704342679E-4</v>
      </c>
      <c r="U75">
        <v>6.8287509704342679E-4</v>
      </c>
      <c r="V75">
        <v>1</v>
      </c>
      <c r="W75" t="b">
        <v>0</v>
      </c>
    </row>
    <row r="76" spans="1:23" x14ac:dyDescent="0.25">
      <c r="A76" t="s">
        <v>657</v>
      </c>
      <c r="B76" t="s">
        <v>231</v>
      </c>
      <c r="C76" t="s">
        <v>867</v>
      </c>
      <c r="D76">
        <v>54798030</v>
      </c>
      <c r="E76" t="s">
        <v>873</v>
      </c>
      <c r="F76">
        <v>36.54</v>
      </c>
      <c r="G76" t="s">
        <v>872</v>
      </c>
      <c r="H76" t="s">
        <v>1165</v>
      </c>
      <c r="I76">
        <v>1</v>
      </c>
      <c r="J76">
        <v>40.42</v>
      </c>
      <c r="K76">
        <v>36.54</v>
      </c>
      <c r="L76">
        <v>0.7</v>
      </c>
      <c r="M76" t="s">
        <v>1588</v>
      </c>
      <c r="N76">
        <v>1</v>
      </c>
      <c r="O76">
        <v>1401624011.3399999</v>
      </c>
      <c r="P76">
        <v>234596653092.02499</v>
      </c>
      <c r="Q76">
        <v>220494629973.67001</v>
      </c>
      <c r="R76">
        <v>93.988821693537446</v>
      </c>
      <c r="S76">
        <v>1</v>
      </c>
      <c r="T76">
        <v>6.6109099234930096E-4</v>
      </c>
      <c r="U76">
        <v>6.6109099234930096E-4</v>
      </c>
      <c r="V76">
        <v>1</v>
      </c>
      <c r="W76" t="b">
        <v>0</v>
      </c>
    </row>
    <row r="77" spans="1:23" x14ac:dyDescent="0.25">
      <c r="A77" t="s">
        <v>738</v>
      </c>
      <c r="B77" t="s">
        <v>312</v>
      </c>
      <c r="C77" t="s">
        <v>867</v>
      </c>
      <c r="D77">
        <v>84776955</v>
      </c>
      <c r="E77" t="s">
        <v>873</v>
      </c>
      <c r="F77">
        <v>14.56</v>
      </c>
      <c r="G77" t="s">
        <v>872</v>
      </c>
      <c r="H77" t="s">
        <v>1166</v>
      </c>
      <c r="I77">
        <v>1</v>
      </c>
      <c r="J77">
        <v>13</v>
      </c>
      <c r="K77">
        <v>14.56</v>
      </c>
      <c r="L77">
        <v>1</v>
      </c>
      <c r="M77" t="s">
        <v>1588</v>
      </c>
      <c r="N77">
        <v>1</v>
      </c>
      <c r="O77">
        <v>1234352464.8</v>
      </c>
      <c r="P77">
        <v>234596653092.02499</v>
      </c>
      <c r="Q77">
        <v>221728982438.47</v>
      </c>
      <c r="R77">
        <v>94.514981145742354</v>
      </c>
      <c r="S77">
        <v>1</v>
      </c>
      <c r="T77">
        <v>5.8219557403507629E-4</v>
      </c>
      <c r="U77">
        <v>5.8219557403507629E-4</v>
      </c>
      <c r="V77">
        <v>1</v>
      </c>
      <c r="W77" t="b">
        <v>0</v>
      </c>
    </row>
    <row r="78" spans="1:23" x14ac:dyDescent="0.25">
      <c r="A78" t="s">
        <v>833</v>
      </c>
      <c r="B78" t="s">
        <v>407</v>
      </c>
      <c r="C78" t="s">
        <v>867</v>
      </c>
      <c r="D78">
        <v>33343600</v>
      </c>
      <c r="E78" t="s">
        <v>873</v>
      </c>
      <c r="F78">
        <v>42</v>
      </c>
      <c r="G78" t="s">
        <v>872</v>
      </c>
      <c r="H78" t="s">
        <v>1167</v>
      </c>
      <c r="I78">
        <v>1</v>
      </c>
      <c r="J78">
        <v>42.8</v>
      </c>
      <c r="K78">
        <v>42</v>
      </c>
      <c r="L78">
        <v>0.85</v>
      </c>
      <c r="M78" t="s">
        <v>1588</v>
      </c>
      <c r="N78">
        <v>1</v>
      </c>
      <c r="O78">
        <v>1190366520</v>
      </c>
      <c r="P78">
        <v>234596653092.02499</v>
      </c>
      <c r="Q78">
        <v>222919348958.47</v>
      </c>
      <c r="R78">
        <v>95.022390993372625</v>
      </c>
      <c r="S78">
        <v>1</v>
      </c>
      <c r="T78">
        <v>5.6144913157833405E-4</v>
      </c>
      <c r="U78">
        <v>5.6144913157833405E-4</v>
      </c>
      <c r="V78">
        <v>1</v>
      </c>
      <c r="W78" t="b">
        <v>0</v>
      </c>
    </row>
    <row r="79" spans="1:23" x14ac:dyDescent="0.25">
      <c r="A79" t="s">
        <v>711</v>
      </c>
      <c r="B79" t="s">
        <v>285</v>
      </c>
      <c r="C79" t="s">
        <v>867</v>
      </c>
      <c r="D79">
        <v>138921740</v>
      </c>
      <c r="E79" t="s">
        <v>873</v>
      </c>
      <c r="F79">
        <v>8.2100000000000009</v>
      </c>
      <c r="G79" t="s">
        <v>872</v>
      </c>
      <c r="H79" t="s">
        <v>1168</v>
      </c>
      <c r="I79">
        <v>1</v>
      </c>
      <c r="J79">
        <v>8.7050000000000001</v>
      </c>
      <c r="K79">
        <v>8.2100000000000009</v>
      </c>
      <c r="L79">
        <v>0.9</v>
      </c>
      <c r="M79" t="s">
        <v>1588</v>
      </c>
      <c r="N79">
        <v>1</v>
      </c>
      <c r="O79">
        <v>1026492736.86</v>
      </c>
      <c r="P79">
        <v>234596653092.02499</v>
      </c>
      <c r="Q79">
        <v>223945841695.32999</v>
      </c>
      <c r="R79">
        <v>95.459947421962141</v>
      </c>
      <c r="S79">
        <v>1</v>
      </c>
      <c r="T79">
        <v>4.841563048005706E-4</v>
      </c>
      <c r="U79">
        <v>4.841563048005706E-4</v>
      </c>
      <c r="V79">
        <v>1</v>
      </c>
      <c r="W79" t="b">
        <v>0</v>
      </c>
    </row>
    <row r="80" spans="1:23" x14ac:dyDescent="0.25">
      <c r="A80" t="s">
        <v>812</v>
      </c>
      <c r="B80" t="s">
        <v>386</v>
      </c>
      <c r="C80" t="s">
        <v>867</v>
      </c>
      <c r="D80">
        <v>127036530</v>
      </c>
      <c r="E80" t="s">
        <v>873</v>
      </c>
      <c r="F80">
        <v>9.1</v>
      </c>
      <c r="G80" t="s">
        <v>872</v>
      </c>
      <c r="H80" t="s">
        <v>1169</v>
      </c>
      <c r="I80">
        <v>1</v>
      </c>
      <c r="J80">
        <v>9.18</v>
      </c>
      <c r="K80">
        <v>9.1</v>
      </c>
      <c r="L80">
        <v>0.7</v>
      </c>
      <c r="M80" t="s">
        <v>1588</v>
      </c>
      <c r="N80">
        <v>1</v>
      </c>
      <c r="O80">
        <v>809222696.0999999</v>
      </c>
      <c r="P80">
        <v>234596653092.02499</v>
      </c>
      <c r="Q80">
        <v>224755064391.42999</v>
      </c>
      <c r="R80">
        <v>95.804889553673874</v>
      </c>
      <c r="S80">
        <v>1</v>
      </c>
      <c r="T80">
        <v>3.816785606325883E-4</v>
      </c>
      <c r="U80">
        <v>3.816785606325883E-4</v>
      </c>
      <c r="V80">
        <v>1</v>
      </c>
      <c r="W80" t="b">
        <v>0</v>
      </c>
    </row>
    <row r="81" spans="1:23" x14ac:dyDescent="0.25">
      <c r="A81" t="s">
        <v>660</v>
      </c>
      <c r="B81" t="s">
        <v>234</v>
      </c>
      <c r="C81" t="s">
        <v>867</v>
      </c>
      <c r="D81">
        <v>55542920</v>
      </c>
      <c r="E81" t="s">
        <v>873</v>
      </c>
      <c r="F81">
        <v>14.37</v>
      </c>
      <c r="G81" t="s">
        <v>872</v>
      </c>
      <c r="H81" t="s">
        <v>1170</v>
      </c>
      <c r="I81">
        <v>1</v>
      </c>
      <c r="J81">
        <v>14.13</v>
      </c>
      <c r="K81">
        <v>14.37</v>
      </c>
      <c r="L81">
        <v>1</v>
      </c>
      <c r="M81" t="s">
        <v>1588</v>
      </c>
      <c r="N81">
        <v>1</v>
      </c>
      <c r="O81">
        <v>798151760.39999998</v>
      </c>
      <c r="P81">
        <v>234596653092.02499</v>
      </c>
      <c r="Q81">
        <v>225553216151.82999</v>
      </c>
      <c r="R81">
        <v>96.145112549134467</v>
      </c>
      <c r="S81">
        <v>1</v>
      </c>
      <c r="T81">
        <v>3.7645683511352331E-4</v>
      </c>
      <c r="U81">
        <v>3.7645683511352331E-4</v>
      </c>
      <c r="V81">
        <v>1</v>
      </c>
      <c r="W81" t="b">
        <v>0</v>
      </c>
    </row>
    <row r="82" spans="1:23" x14ac:dyDescent="0.25">
      <c r="A82" t="s">
        <v>622</v>
      </c>
      <c r="B82" t="s">
        <v>196</v>
      </c>
      <c r="C82" t="s">
        <v>867</v>
      </c>
      <c r="D82">
        <v>18694237</v>
      </c>
      <c r="E82" t="s">
        <v>873</v>
      </c>
      <c r="F82">
        <v>40.1</v>
      </c>
      <c r="G82" t="s">
        <v>872</v>
      </c>
      <c r="H82" t="s">
        <v>1171</v>
      </c>
      <c r="I82">
        <v>1</v>
      </c>
      <c r="J82">
        <v>42.45</v>
      </c>
      <c r="K82">
        <v>40.1</v>
      </c>
      <c r="L82">
        <v>1</v>
      </c>
      <c r="M82" t="s">
        <v>1588</v>
      </c>
      <c r="N82">
        <v>1</v>
      </c>
      <c r="O82">
        <v>749638903.70000005</v>
      </c>
      <c r="P82">
        <v>234596653092.02499</v>
      </c>
      <c r="Q82">
        <v>226302855055.53</v>
      </c>
      <c r="R82">
        <v>96.464656282525226</v>
      </c>
      <c r="S82">
        <v>1</v>
      </c>
      <c r="T82">
        <v>3.5357522612421881E-4</v>
      </c>
      <c r="U82">
        <v>3.5357522612421881E-4</v>
      </c>
      <c r="V82">
        <v>1</v>
      </c>
      <c r="W82" t="b">
        <v>0</v>
      </c>
    </row>
    <row r="83" spans="1:23" x14ac:dyDescent="0.25">
      <c r="A83" t="s">
        <v>740</v>
      </c>
      <c r="B83" t="s">
        <v>314</v>
      </c>
      <c r="C83" t="s">
        <v>867</v>
      </c>
      <c r="D83">
        <v>25470211</v>
      </c>
      <c r="E83" t="s">
        <v>873</v>
      </c>
      <c r="F83">
        <v>30.94</v>
      </c>
      <c r="G83" t="s">
        <v>872</v>
      </c>
      <c r="H83" t="s">
        <v>1172</v>
      </c>
      <c r="I83">
        <v>1</v>
      </c>
      <c r="J83">
        <v>32.04</v>
      </c>
      <c r="K83">
        <v>30.94</v>
      </c>
      <c r="L83">
        <v>0.8</v>
      </c>
      <c r="M83" t="s">
        <v>1588</v>
      </c>
      <c r="N83">
        <v>1</v>
      </c>
      <c r="O83">
        <v>630438662.67200005</v>
      </c>
      <c r="P83">
        <v>234596653092.02499</v>
      </c>
      <c r="Q83">
        <v>226933293718.202</v>
      </c>
      <c r="R83">
        <v>96.733389299114634</v>
      </c>
      <c r="S83">
        <v>1</v>
      </c>
      <c r="T83">
        <v>2.9735315444742239E-4</v>
      </c>
      <c r="U83">
        <v>2.9735315444742239E-4</v>
      </c>
      <c r="V83">
        <v>1</v>
      </c>
      <c r="W83" t="b">
        <v>0</v>
      </c>
    </row>
    <row r="84" spans="1:23" x14ac:dyDescent="0.25">
      <c r="A84" t="s">
        <v>502</v>
      </c>
      <c r="B84" t="s">
        <v>76</v>
      </c>
      <c r="C84" t="s">
        <v>867</v>
      </c>
      <c r="D84">
        <v>35702263</v>
      </c>
      <c r="E84" t="s">
        <v>873</v>
      </c>
      <c r="F84">
        <v>18.8</v>
      </c>
      <c r="G84" t="s">
        <v>872</v>
      </c>
      <c r="H84" t="s">
        <v>1173</v>
      </c>
      <c r="I84">
        <v>1</v>
      </c>
      <c r="J84">
        <v>20.7</v>
      </c>
      <c r="K84">
        <v>18.8</v>
      </c>
      <c r="L84">
        <v>0.9</v>
      </c>
      <c r="M84" t="s">
        <v>1588</v>
      </c>
      <c r="N84">
        <v>1</v>
      </c>
      <c r="O84">
        <v>604082289.96000004</v>
      </c>
      <c r="P84">
        <v>234596653092.02499</v>
      </c>
      <c r="Q84">
        <v>227537376008.16199</v>
      </c>
      <c r="R84">
        <v>96.99088755494995</v>
      </c>
      <c r="S84">
        <v>1</v>
      </c>
      <c r="T84">
        <v>2.8492188868004572E-4</v>
      </c>
      <c r="U84">
        <v>2.8492188868004572E-4</v>
      </c>
      <c r="V84">
        <v>1</v>
      </c>
      <c r="W84" t="b">
        <v>0</v>
      </c>
    </row>
    <row r="85" spans="1:23" x14ac:dyDescent="0.25">
      <c r="A85" t="s">
        <v>618</v>
      </c>
      <c r="B85" t="s">
        <v>192</v>
      </c>
      <c r="C85" t="s">
        <v>867</v>
      </c>
      <c r="D85">
        <v>43281322</v>
      </c>
      <c r="E85" t="s">
        <v>873</v>
      </c>
      <c r="F85">
        <v>12.818</v>
      </c>
      <c r="G85" t="s">
        <v>872</v>
      </c>
      <c r="H85" t="s">
        <v>1174</v>
      </c>
      <c r="I85">
        <v>1</v>
      </c>
      <c r="J85">
        <v>13.423999999999999</v>
      </c>
      <c r="K85">
        <v>12.818</v>
      </c>
      <c r="L85">
        <v>1</v>
      </c>
      <c r="M85" t="s">
        <v>1588</v>
      </c>
      <c r="N85">
        <v>1</v>
      </c>
      <c r="O85">
        <v>554779985.39600003</v>
      </c>
      <c r="P85">
        <v>234596653092.02499</v>
      </c>
      <c r="Q85">
        <v>228092155993.55801</v>
      </c>
      <c r="R85">
        <v>97.227370035873662</v>
      </c>
      <c r="S85">
        <v>1</v>
      </c>
      <c r="T85">
        <v>2.6166792814168291E-4</v>
      </c>
      <c r="U85">
        <v>2.6166792814168291E-4</v>
      </c>
      <c r="V85">
        <v>1</v>
      </c>
      <c r="W85" t="b">
        <v>0</v>
      </c>
    </row>
    <row r="86" spans="1:23" x14ac:dyDescent="0.25">
      <c r="A86" t="s">
        <v>455</v>
      </c>
      <c r="B86" t="s">
        <v>29</v>
      </c>
      <c r="C86" t="s">
        <v>867</v>
      </c>
      <c r="D86">
        <v>73372444</v>
      </c>
      <c r="E86" t="s">
        <v>873</v>
      </c>
      <c r="F86">
        <v>10.78</v>
      </c>
      <c r="G86" t="s">
        <v>872</v>
      </c>
      <c r="H86" t="s">
        <v>1175</v>
      </c>
      <c r="I86">
        <v>1</v>
      </c>
      <c r="J86">
        <v>11.46</v>
      </c>
      <c r="K86">
        <v>10.78</v>
      </c>
      <c r="L86">
        <v>0.7</v>
      </c>
      <c r="M86" t="s">
        <v>1588</v>
      </c>
      <c r="N86">
        <v>1</v>
      </c>
      <c r="O86">
        <v>553668462.42399991</v>
      </c>
      <c r="P86">
        <v>234596653092.02499</v>
      </c>
      <c r="Q86">
        <v>228645824455.98199</v>
      </c>
      <c r="R86">
        <v>97.463378715079671</v>
      </c>
      <c r="S86">
        <v>1</v>
      </c>
      <c r="T86">
        <v>2.611436664148335E-4</v>
      </c>
      <c r="U86">
        <v>2.611436664148335E-4</v>
      </c>
      <c r="V86">
        <v>1</v>
      </c>
      <c r="W86" t="b">
        <v>0</v>
      </c>
    </row>
    <row r="87" spans="1:23" x14ac:dyDescent="0.25">
      <c r="A87" t="s">
        <v>714</v>
      </c>
      <c r="B87" t="s">
        <v>288</v>
      </c>
      <c r="C87" t="s">
        <v>867</v>
      </c>
      <c r="D87">
        <v>16989977</v>
      </c>
      <c r="E87" t="s">
        <v>873</v>
      </c>
      <c r="F87">
        <v>29.25</v>
      </c>
      <c r="G87" t="s">
        <v>872</v>
      </c>
      <c r="H87" t="s">
        <v>1176</v>
      </c>
      <c r="I87">
        <v>1</v>
      </c>
      <c r="J87">
        <v>30.35</v>
      </c>
      <c r="K87">
        <v>29.25</v>
      </c>
      <c r="L87">
        <v>0.95</v>
      </c>
      <c r="M87" t="s">
        <v>1588</v>
      </c>
      <c r="N87">
        <v>1</v>
      </c>
      <c r="O87">
        <v>472108985.88749999</v>
      </c>
      <c r="P87">
        <v>234596653092.02499</v>
      </c>
      <c r="Q87">
        <v>229117933441.86951</v>
      </c>
      <c r="R87">
        <v>97.664621563033819</v>
      </c>
      <c r="S87">
        <v>1</v>
      </c>
      <c r="T87">
        <v>2.2267526487292739E-4</v>
      </c>
      <c r="U87">
        <v>2.2267526487292739E-4</v>
      </c>
      <c r="V87">
        <v>1</v>
      </c>
      <c r="W87" t="b">
        <v>0</v>
      </c>
    </row>
    <row r="88" spans="1:23" x14ac:dyDescent="0.25">
      <c r="A88" t="s">
        <v>858</v>
      </c>
      <c r="B88" t="s">
        <v>432</v>
      </c>
      <c r="C88" t="s">
        <v>867</v>
      </c>
      <c r="D88">
        <v>232059860</v>
      </c>
      <c r="E88" t="s">
        <v>873</v>
      </c>
      <c r="F88">
        <v>2.9</v>
      </c>
      <c r="G88" t="s">
        <v>872</v>
      </c>
      <c r="H88" t="s">
        <v>1177</v>
      </c>
      <c r="I88">
        <v>1</v>
      </c>
      <c r="J88">
        <v>3.2040000000000002</v>
      </c>
      <c r="K88">
        <v>2.9</v>
      </c>
      <c r="L88">
        <v>0.7</v>
      </c>
      <c r="M88" t="s">
        <v>1588</v>
      </c>
      <c r="N88">
        <v>1</v>
      </c>
      <c r="O88">
        <v>471081515.80000001</v>
      </c>
      <c r="P88">
        <v>234596653092.02499</v>
      </c>
      <c r="Q88">
        <v>229589014957.66949</v>
      </c>
      <c r="R88">
        <v>97.865426437950433</v>
      </c>
      <c r="S88">
        <v>1</v>
      </c>
      <c r="T88">
        <v>2.221906475902189E-4</v>
      </c>
      <c r="U88">
        <v>2.221906475902189E-4</v>
      </c>
      <c r="V88">
        <v>1</v>
      </c>
      <c r="W88" t="b">
        <v>0</v>
      </c>
    </row>
    <row r="89" spans="1:23" x14ac:dyDescent="0.25">
      <c r="A89" t="s">
        <v>756</v>
      </c>
      <c r="B89" t="s">
        <v>330</v>
      </c>
      <c r="C89" t="s">
        <v>867</v>
      </c>
      <c r="D89">
        <v>26681116</v>
      </c>
      <c r="E89" t="s">
        <v>873</v>
      </c>
      <c r="F89">
        <v>21.6</v>
      </c>
      <c r="G89" t="s">
        <v>872</v>
      </c>
      <c r="H89" t="s">
        <v>1178</v>
      </c>
      <c r="I89">
        <v>1</v>
      </c>
      <c r="J89">
        <v>22.55</v>
      </c>
      <c r="K89">
        <v>21.6</v>
      </c>
      <c r="L89">
        <v>0.8</v>
      </c>
      <c r="M89" t="s">
        <v>1588</v>
      </c>
      <c r="N89">
        <v>1</v>
      </c>
      <c r="O89">
        <v>461049684.48000002</v>
      </c>
      <c r="P89">
        <v>234596653092.02499</v>
      </c>
      <c r="Q89">
        <v>230050064642.14951</v>
      </c>
      <c r="R89">
        <v>98.06195510892816</v>
      </c>
      <c r="S89">
        <v>1</v>
      </c>
      <c r="T89">
        <v>2.1745902679265621E-4</v>
      </c>
      <c r="U89">
        <v>2.1745902679265621E-4</v>
      </c>
      <c r="V89">
        <v>1</v>
      </c>
      <c r="W89" t="b">
        <v>0</v>
      </c>
    </row>
    <row r="90" spans="1:23" x14ac:dyDescent="0.25">
      <c r="A90" t="s">
        <v>696</v>
      </c>
      <c r="B90" t="s">
        <v>270</v>
      </c>
      <c r="C90" t="s">
        <v>867</v>
      </c>
      <c r="D90">
        <v>322710570</v>
      </c>
      <c r="E90" t="s">
        <v>873</v>
      </c>
      <c r="F90">
        <v>2.8039999999999998</v>
      </c>
      <c r="G90" t="s">
        <v>872</v>
      </c>
      <c r="H90" t="s">
        <v>1179</v>
      </c>
      <c r="I90">
        <v>1</v>
      </c>
      <c r="J90">
        <v>2.9060000000000001</v>
      </c>
      <c r="K90">
        <v>2.8039999999999998</v>
      </c>
      <c r="L90">
        <v>0.5</v>
      </c>
      <c r="M90" t="s">
        <v>1588</v>
      </c>
      <c r="N90">
        <v>1</v>
      </c>
      <c r="O90">
        <v>452440219.13999999</v>
      </c>
      <c r="P90">
        <v>234596653092.02499</v>
      </c>
      <c r="Q90">
        <v>230502504861.28949</v>
      </c>
      <c r="R90">
        <v>98.254813878725926</v>
      </c>
      <c r="S90">
        <v>1</v>
      </c>
      <c r="T90">
        <v>2.133982801593447E-4</v>
      </c>
      <c r="U90">
        <v>2.133982801593447E-4</v>
      </c>
      <c r="V90">
        <v>1</v>
      </c>
      <c r="W90" t="b">
        <v>0</v>
      </c>
    </row>
    <row r="91" spans="1:23" x14ac:dyDescent="0.25">
      <c r="A91" t="s">
        <v>688</v>
      </c>
      <c r="B91" t="s">
        <v>262</v>
      </c>
      <c r="C91" t="s">
        <v>867</v>
      </c>
      <c r="D91">
        <v>40649170</v>
      </c>
      <c r="E91" t="s">
        <v>873</v>
      </c>
      <c r="F91">
        <v>12.66</v>
      </c>
      <c r="G91" t="s">
        <v>872</v>
      </c>
      <c r="H91" t="s">
        <v>1180</v>
      </c>
      <c r="I91">
        <v>1</v>
      </c>
      <c r="J91">
        <v>12.4</v>
      </c>
      <c r="K91">
        <v>12.66</v>
      </c>
      <c r="L91">
        <v>0.85</v>
      </c>
      <c r="M91" t="s">
        <v>1588</v>
      </c>
      <c r="N91">
        <v>1</v>
      </c>
      <c r="O91">
        <v>437425718.37</v>
      </c>
      <c r="P91">
        <v>234596653092.02499</v>
      </c>
      <c r="Q91">
        <v>230939930579.65948</v>
      </c>
      <c r="R91">
        <v>98.44127251426255</v>
      </c>
      <c r="S91">
        <v>1</v>
      </c>
      <c r="T91">
        <v>2.0631652989439381E-4</v>
      </c>
      <c r="U91">
        <v>2.0631652989439381E-4</v>
      </c>
      <c r="V91">
        <v>1</v>
      </c>
      <c r="W91" t="b">
        <v>0</v>
      </c>
    </row>
    <row r="92" spans="1:23" x14ac:dyDescent="0.25">
      <c r="A92" t="s">
        <v>527</v>
      </c>
      <c r="B92" t="s">
        <v>101</v>
      </c>
      <c r="C92" t="s">
        <v>867</v>
      </c>
      <c r="D92">
        <v>183569020</v>
      </c>
      <c r="E92" t="s">
        <v>873</v>
      </c>
      <c r="F92">
        <v>3.9820000000000002</v>
      </c>
      <c r="G92" t="s">
        <v>872</v>
      </c>
      <c r="H92" t="s">
        <v>1181</v>
      </c>
      <c r="I92">
        <v>1</v>
      </c>
      <c r="J92">
        <v>3.9860000000000002</v>
      </c>
      <c r="K92">
        <v>3.9820000000000002</v>
      </c>
      <c r="L92">
        <v>0.5</v>
      </c>
      <c r="M92" t="s">
        <v>1588</v>
      </c>
      <c r="N92">
        <v>1</v>
      </c>
      <c r="O92">
        <v>365485918.81999999</v>
      </c>
      <c r="P92">
        <v>234596653092.02499</v>
      </c>
      <c r="Q92">
        <v>231305416498.47949</v>
      </c>
      <c r="R92">
        <v>98.597065836120663</v>
      </c>
      <c r="S92">
        <v>1</v>
      </c>
      <c r="T92">
        <v>1.7238535213977499E-4</v>
      </c>
      <c r="U92">
        <v>1.7238535213977499E-4</v>
      </c>
      <c r="V92">
        <v>1</v>
      </c>
      <c r="W92" t="b">
        <v>0</v>
      </c>
    </row>
    <row r="93" spans="1:23" x14ac:dyDescent="0.25">
      <c r="A93" t="s">
        <v>793</v>
      </c>
      <c r="B93" t="s">
        <v>367</v>
      </c>
      <c r="C93" t="s">
        <v>867</v>
      </c>
      <c r="D93">
        <v>164041400</v>
      </c>
      <c r="E93" t="s">
        <v>873</v>
      </c>
      <c r="F93">
        <v>2.7050000000000001</v>
      </c>
      <c r="G93" t="s">
        <v>872</v>
      </c>
      <c r="H93" t="s">
        <v>1182</v>
      </c>
      <c r="I93">
        <v>1</v>
      </c>
      <c r="J93">
        <v>2.71</v>
      </c>
      <c r="K93">
        <v>2.7050000000000001</v>
      </c>
      <c r="L93">
        <v>0.8</v>
      </c>
      <c r="M93" t="s">
        <v>1588</v>
      </c>
      <c r="N93">
        <v>1</v>
      </c>
      <c r="O93">
        <v>354985589.60000002</v>
      </c>
      <c r="P93">
        <v>234596653092.02499</v>
      </c>
      <c r="Q93">
        <v>231660402088.0795</v>
      </c>
      <c r="R93">
        <v>98.748383250466205</v>
      </c>
      <c r="S93">
        <v>1</v>
      </c>
      <c r="T93">
        <v>1.674327592847142E-4</v>
      </c>
      <c r="U93">
        <v>1.674327592847142E-4</v>
      </c>
      <c r="V93">
        <v>1</v>
      </c>
      <c r="W93" t="b">
        <v>0</v>
      </c>
    </row>
    <row r="94" spans="1:23" x14ac:dyDescent="0.25">
      <c r="A94" t="s">
        <v>674</v>
      </c>
      <c r="B94" t="s">
        <v>248</v>
      </c>
      <c r="C94" t="s">
        <v>867</v>
      </c>
      <c r="D94">
        <v>38798874</v>
      </c>
      <c r="E94" t="s">
        <v>873</v>
      </c>
      <c r="F94">
        <v>9.9700000000000006</v>
      </c>
      <c r="G94" t="s">
        <v>872</v>
      </c>
      <c r="H94" t="s">
        <v>1183</v>
      </c>
      <c r="I94">
        <v>1</v>
      </c>
      <c r="J94">
        <v>10.02</v>
      </c>
      <c r="K94">
        <v>9.9700000000000006</v>
      </c>
      <c r="L94">
        <v>0.9</v>
      </c>
      <c r="M94" t="s">
        <v>1588</v>
      </c>
      <c r="N94">
        <v>1</v>
      </c>
      <c r="O94">
        <v>348142296.40200001</v>
      </c>
      <c r="P94">
        <v>234596653092.02499</v>
      </c>
      <c r="Q94">
        <v>232008544384.48151</v>
      </c>
      <c r="R94">
        <v>98.896783618422603</v>
      </c>
      <c r="S94">
        <v>1</v>
      </c>
      <c r="T94">
        <v>1.6420504667805159E-4</v>
      </c>
      <c r="U94">
        <v>1.6420504667805159E-4</v>
      </c>
      <c r="V94">
        <v>1</v>
      </c>
      <c r="W94" t="b">
        <v>0</v>
      </c>
    </row>
    <row r="95" spans="1:23" x14ac:dyDescent="0.25">
      <c r="A95" t="s">
        <v>743</v>
      </c>
      <c r="B95" t="s">
        <v>317</v>
      </c>
      <c r="C95" t="s">
        <v>867</v>
      </c>
      <c r="D95">
        <v>129162900</v>
      </c>
      <c r="E95" t="s">
        <v>873</v>
      </c>
      <c r="F95">
        <v>2.59</v>
      </c>
      <c r="G95" t="s">
        <v>872</v>
      </c>
      <c r="H95" t="s">
        <v>1184</v>
      </c>
      <c r="I95">
        <v>1</v>
      </c>
      <c r="J95">
        <v>2.645</v>
      </c>
      <c r="K95">
        <v>2.59</v>
      </c>
      <c r="L95">
        <v>1</v>
      </c>
      <c r="M95" t="s">
        <v>1588</v>
      </c>
      <c r="N95">
        <v>1</v>
      </c>
      <c r="O95">
        <v>334531911</v>
      </c>
      <c r="P95">
        <v>234596653092.02499</v>
      </c>
      <c r="Q95">
        <v>232343076295.48151</v>
      </c>
      <c r="R95">
        <v>99.039382375306303</v>
      </c>
      <c r="S95">
        <v>1</v>
      </c>
      <c r="T95">
        <v>1.577855624805296E-4</v>
      </c>
      <c r="U95">
        <v>1.577855624805296E-4</v>
      </c>
      <c r="V95">
        <v>1</v>
      </c>
      <c r="W95" t="b">
        <v>0</v>
      </c>
    </row>
    <row r="96" spans="1:23" x14ac:dyDescent="0.25">
      <c r="A96" t="s">
        <v>820</v>
      </c>
      <c r="B96" t="s">
        <v>394</v>
      </c>
      <c r="C96" t="s">
        <v>867</v>
      </c>
      <c r="D96">
        <v>58868750</v>
      </c>
      <c r="E96" t="s">
        <v>873</v>
      </c>
      <c r="F96">
        <v>7</v>
      </c>
      <c r="G96" t="s">
        <v>872</v>
      </c>
      <c r="H96" t="s">
        <v>1185</v>
      </c>
      <c r="I96">
        <v>1</v>
      </c>
      <c r="J96">
        <v>7.3449999999999998</v>
      </c>
      <c r="K96">
        <v>7</v>
      </c>
      <c r="L96">
        <v>0.8</v>
      </c>
      <c r="M96" t="s">
        <v>1588</v>
      </c>
      <c r="N96">
        <v>1</v>
      </c>
      <c r="O96">
        <v>329665000</v>
      </c>
      <c r="P96">
        <v>234596653092.02499</v>
      </c>
      <c r="Q96">
        <v>232672741295.48151</v>
      </c>
      <c r="R96">
        <v>99.179906545474523</v>
      </c>
      <c r="S96">
        <v>1</v>
      </c>
      <c r="T96">
        <v>1.554900317271789E-4</v>
      </c>
      <c r="U96">
        <v>1.554900317271789E-4</v>
      </c>
      <c r="V96">
        <v>1</v>
      </c>
      <c r="W96" t="b">
        <v>0</v>
      </c>
    </row>
    <row r="97" spans="1:23" x14ac:dyDescent="0.25">
      <c r="A97" t="s">
        <v>574</v>
      </c>
      <c r="B97" t="s">
        <v>148</v>
      </c>
      <c r="C97" t="s">
        <v>867</v>
      </c>
      <c r="D97">
        <v>11446895</v>
      </c>
      <c r="E97" t="s">
        <v>873</v>
      </c>
      <c r="F97">
        <v>25.9</v>
      </c>
      <c r="G97" t="s">
        <v>872</v>
      </c>
      <c r="H97" t="s">
        <v>1186</v>
      </c>
      <c r="I97">
        <v>1</v>
      </c>
      <c r="J97">
        <v>26.8</v>
      </c>
      <c r="K97">
        <v>25.9</v>
      </c>
      <c r="L97">
        <v>1</v>
      </c>
      <c r="M97" t="s">
        <v>1588</v>
      </c>
      <c r="N97">
        <v>1</v>
      </c>
      <c r="O97">
        <v>296474580.5</v>
      </c>
      <c r="P97">
        <v>234596653092.02499</v>
      </c>
      <c r="Q97">
        <v>232969215875.98151</v>
      </c>
      <c r="R97">
        <v>99.306282849907006</v>
      </c>
      <c r="S97">
        <v>1</v>
      </c>
      <c r="T97">
        <v>1.3983541452155081E-4</v>
      </c>
      <c r="U97">
        <v>1.3983541452155081E-4</v>
      </c>
      <c r="V97">
        <v>1</v>
      </c>
      <c r="W97" t="b">
        <v>0</v>
      </c>
    </row>
    <row r="98" spans="1:23" x14ac:dyDescent="0.25">
      <c r="A98" t="s">
        <v>855</v>
      </c>
      <c r="B98" t="s">
        <v>429</v>
      </c>
      <c r="C98" t="s">
        <v>867</v>
      </c>
      <c r="D98">
        <v>174673170</v>
      </c>
      <c r="E98" t="s">
        <v>873</v>
      </c>
      <c r="F98">
        <v>1.708</v>
      </c>
      <c r="G98" t="s">
        <v>872</v>
      </c>
      <c r="H98" t="s">
        <v>1187</v>
      </c>
      <c r="I98">
        <v>1</v>
      </c>
      <c r="J98">
        <v>1.712</v>
      </c>
      <c r="L98">
        <v>0.95</v>
      </c>
      <c r="M98" t="s">
        <v>1588</v>
      </c>
      <c r="N98">
        <v>0</v>
      </c>
      <c r="O98">
        <v>283424685.64200002</v>
      </c>
      <c r="P98">
        <v>234596653092.02499</v>
      </c>
      <c r="Q98">
        <v>233252640561.6235</v>
      </c>
      <c r="R98">
        <v>99.427096459950661</v>
      </c>
      <c r="S98">
        <v>1</v>
      </c>
      <c r="T98">
        <v>1.336802916983613E-4</v>
      </c>
      <c r="U98">
        <v>1.336802916983613E-4</v>
      </c>
      <c r="V98">
        <v>1</v>
      </c>
      <c r="W98" t="b">
        <v>0</v>
      </c>
    </row>
    <row r="99" spans="1:23" x14ac:dyDescent="0.25">
      <c r="A99" t="s">
        <v>595</v>
      </c>
      <c r="B99" t="s">
        <v>169</v>
      </c>
      <c r="C99" t="s">
        <v>867</v>
      </c>
      <c r="D99">
        <v>204811390</v>
      </c>
      <c r="E99" t="s">
        <v>873</v>
      </c>
      <c r="F99">
        <v>2.7280000000000002</v>
      </c>
      <c r="G99" t="s">
        <v>872</v>
      </c>
      <c r="H99" t="s">
        <v>1188</v>
      </c>
      <c r="I99">
        <v>1</v>
      </c>
      <c r="J99">
        <v>2.77</v>
      </c>
      <c r="K99">
        <v>2.7280000000000002</v>
      </c>
      <c r="L99">
        <v>0.45</v>
      </c>
      <c r="M99" t="s">
        <v>1588</v>
      </c>
      <c r="N99">
        <v>1</v>
      </c>
      <c r="O99">
        <v>251426462.36400011</v>
      </c>
      <c r="P99">
        <v>234596653092.02499</v>
      </c>
      <c r="Q99">
        <v>233504067023.98749</v>
      </c>
      <c r="R99">
        <v>99.534270394041428</v>
      </c>
      <c r="S99">
        <v>1</v>
      </c>
      <c r="T99">
        <v>1.185879866228769E-4</v>
      </c>
      <c r="U99">
        <v>1.185879866228769E-4</v>
      </c>
      <c r="V99">
        <v>1</v>
      </c>
      <c r="W99" t="b">
        <v>0</v>
      </c>
    </row>
    <row r="100" spans="1:23" x14ac:dyDescent="0.25">
      <c r="A100" t="s">
        <v>516</v>
      </c>
      <c r="B100" t="s">
        <v>90</v>
      </c>
      <c r="C100" t="s">
        <v>867</v>
      </c>
      <c r="D100">
        <v>176878200</v>
      </c>
      <c r="E100" t="s">
        <v>873</v>
      </c>
      <c r="F100">
        <v>1.8180000000000001</v>
      </c>
      <c r="G100" t="s">
        <v>872</v>
      </c>
      <c r="H100" t="s">
        <v>1189</v>
      </c>
      <c r="I100">
        <v>1</v>
      </c>
      <c r="J100">
        <v>1.8779999999999999</v>
      </c>
      <c r="K100">
        <v>1.8180000000000001</v>
      </c>
      <c r="L100">
        <v>0.75</v>
      </c>
      <c r="M100" t="s">
        <v>1588</v>
      </c>
      <c r="N100">
        <v>1</v>
      </c>
      <c r="O100">
        <v>241173425.69999999</v>
      </c>
      <c r="P100">
        <v>234596653092.02499</v>
      </c>
      <c r="Q100">
        <v>233745240449.6875</v>
      </c>
      <c r="R100">
        <v>99.637073832420143</v>
      </c>
      <c r="S100">
        <v>1</v>
      </c>
      <c r="T100">
        <v>1.13752031953181E-4</v>
      </c>
      <c r="U100">
        <v>1.13752031953181E-4</v>
      </c>
      <c r="V100">
        <v>1</v>
      </c>
      <c r="W100" t="b">
        <v>0</v>
      </c>
    </row>
    <row r="101" spans="1:23" x14ac:dyDescent="0.25">
      <c r="A101" t="s">
        <v>575</v>
      </c>
      <c r="B101" t="s">
        <v>149</v>
      </c>
      <c r="C101" t="s">
        <v>867</v>
      </c>
      <c r="D101">
        <v>23685590</v>
      </c>
      <c r="E101" t="s">
        <v>873</v>
      </c>
      <c r="F101">
        <v>14.5</v>
      </c>
      <c r="G101" t="s">
        <v>872</v>
      </c>
      <c r="H101" t="s">
        <v>1190</v>
      </c>
      <c r="I101">
        <v>1</v>
      </c>
      <c r="J101">
        <v>14.58</v>
      </c>
      <c r="K101">
        <v>14.5</v>
      </c>
      <c r="L101">
        <v>0.65</v>
      </c>
      <c r="M101" t="s">
        <v>1588</v>
      </c>
      <c r="N101">
        <v>1</v>
      </c>
      <c r="O101">
        <v>223236685.75</v>
      </c>
      <c r="P101">
        <v>234596653092.02499</v>
      </c>
      <c r="Q101">
        <v>233968477135.4375</v>
      </c>
      <c r="R101">
        <v>99.732231492517883</v>
      </c>
      <c r="S101">
        <v>1</v>
      </c>
      <c r="T101">
        <v>1.052919762484272E-4</v>
      </c>
      <c r="U101">
        <v>1.052919762484272E-4</v>
      </c>
      <c r="V101">
        <v>1</v>
      </c>
      <c r="W101" t="b">
        <v>0</v>
      </c>
    </row>
    <row r="102" spans="1:23" x14ac:dyDescent="0.25">
      <c r="A102" t="s">
        <v>727</v>
      </c>
      <c r="B102" t="s">
        <v>301</v>
      </c>
      <c r="C102" t="s">
        <v>867</v>
      </c>
      <c r="D102">
        <v>22620136</v>
      </c>
      <c r="E102" t="s">
        <v>873</v>
      </c>
      <c r="F102">
        <v>14.3</v>
      </c>
      <c r="G102" t="s">
        <v>872</v>
      </c>
      <c r="H102" t="s">
        <v>1191</v>
      </c>
      <c r="I102">
        <v>1</v>
      </c>
      <c r="J102">
        <v>13.65</v>
      </c>
      <c r="K102">
        <v>14.3</v>
      </c>
      <c r="L102">
        <v>0.65</v>
      </c>
      <c r="M102" t="s">
        <v>1588</v>
      </c>
      <c r="N102">
        <v>1</v>
      </c>
      <c r="O102">
        <v>210254164.12</v>
      </c>
      <c r="P102">
        <v>234596653092.02499</v>
      </c>
      <c r="Q102">
        <v>234178731299.5575</v>
      </c>
      <c r="R102">
        <v>99.821855176977508</v>
      </c>
      <c r="S102">
        <v>1</v>
      </c>
      <c r="T102">
        <v>9.9168630730560645E-5</v>
      </c>
      <c r="U102">
        <v>9.9168630730560645E-5</v>
      </c>
      <c r="V102">
        <v>1</v>
      </c>
      <c r="W102" t="b">
        <v>0</v>
      </c>
    </row>
    <row r="103" spans="1:23" x14ac:dyDescent="0.25">
      <c r="A103" t="s">
        <v>588</v>
      </c>
      <c r="B103" t="s">
        <v>162</v>
      </c>
      <c r="C103" t="s">
        <v>866</v>
      </c>
      <c r="D103">
        <v>113902670</v>
      </c>
      <c r="E103" t="s">
        <v>873</v>
      </c>
      <c r="F103">
        <v>2.165</v>
      </c>
      <c r="G103" t="s">
        <v>872</v>
      </c>
      <c r="H103" t="s">
        <v>1192</v>
      </c>
      <c r="I103">
        <v>1</v>
      </c>
      <c r="J103">
        <v>2</v>
      </c>
      <c r="K103">
        <v>2.165</v>
      </c>
      <c r="L103">
        <v>0.85</v>
      </c>
      <c r="M103" t="s">
        <v>1588</v>
      </c>
      <c r="N103">
        <v>0</v>
      </c>
      <c r="O103">
        <v>209609388.4675</v>
      </c>
      <c r="P103">
        <v>234596653092.02499</v>
      </c>
      <c r="Q103">
        <v>234388340688.02499</v>
      </c>
      <c r="R103">
        <v>99.911204017084458</v>
      </c>
      <c r="S103">
        <v>1</v>
      </c>
      <c r="T103">
        <v>9.8864515381147949E-5</v>
      </c>
      <c r="U103">
        <v>9.8864515381147949E-5</v>
      </c>
      <c r="V103">
        <v>1</v>
      </c>
      <c r="W103" t="b">
        <v>0</v>
      </c>
    </row>
    <row r="104" spans="1:23" x14ac:dyDescent="0.25">
      <c r="A104" t="s">
        <v>446</v>
      </c>
      <c r="B104" t="s">
        <v>20</v>
      </c>
      <c r="C104" t="s">
        <v>866</v>
      </c>
      <c r="D104">
        <v>5019576</v>
      </c>
      <c r="E104" t="s">
        <v>873</v>
      </c>
      <c r="F104">
        <v>41.5</v>
      </c>
      <c r="G104" t="s">
        <v>872</v>
      </c>
      <c r="H104" t="s">
        <v>1193</v>
      </c>
      <c r="I104">
        <v>1</v>
      </c>
      <c r="J104">
        <v>44.15</v>
      </c>
      <c r="K104">
        <v>41.5</v>
      </c>
      <c r="L104">
        <v>1</v>
      </c>
      <c r="M104" t="s">
        <v>1588</v>
      </c>
      <c r="N104">
        <v>0</v>
      </c>
      <c r="O104">
        <v>208312404</v>
      </c>
      <c r="P104">
        <v>234596653092.02499</v>
      </c>
      <c r="Q104">
        <v>234596653092.02499</v>
      </c>
      <c r="R104">
        <v>100</v>
      </c>
      <c r="S104">
        <v>1</v>
      </c>
      <c r="T104">
        <v>9.8252778751535351E-5</v>
      </c>
      <c r="U104">
        <v>9.8252778751535351E-5</v>
      </c>
      <c r="V104">
        <v>1</v>
      </c>
      <c r="W104" t="b">
        <v>0</v>
      </c>
    </row>
    <row r="105" spans="1:23" x14ac:dyDescent="0.25">
      <c r="A105" t="s">
        <v>972</v>
      </c>
      <c r="B105" t="s">
        <v>1039</v>
      </c>
      <c r="C105" t="s">
        <v>863</v>
      </c>
      <c r="D105">
        <v>497686940</v>
      </c>
      <c r="E105" t="s">
        <v>873</v>
      </c>
      <c r="F105">
        <v>623</v>
      </c>
      <c r="G105" t="s">
        <v>872</v>
      </c>
      <c r="H105" t="s">
        <v>1194</v>
      </c>
      <c r="I105">
        <v>1</v>
      </c>
      <c r="J105">
        <v>625.20000000000005</v>
      </c>
      <c r="K105">
        <v>623</v>
      </c>
      <c r="L105">
        <v>0.5</v>
      </c>
      <c r="M105" t="s">
        <v>1589</v>
      </c>
      <c r="N105">
        <v>0</v>
      </c>
      <c r="O105">
        <v>155029481810</v>
      </c>
      <c r="P105">
        <v>1907444059868.564</v>
      </c>
      <c r="Q105">
        <v>155029481810</v>
      </c>
      <c r="R105">
        <v>8.1276030616951669</v>
      </c>
      <c r="S105">
        <v>0</v>
      </c>
      <c r="V105">
        <v>1</v>
      </c>
      <c r="W105" t="b">
        <v>0</v>
      </c>
    </row>
    <row r="106" spans="1:23" x14ac:dyDescent="0.25">
      <c r="A106" t="s">
        <v>973</v>
      </c>
      <c r="B106" t="s">
        <v>1040</v>
      </c>
      <c r="C106" t="s">
        <v>863</v>
      </c>
      <c r="D106">
        <v>577122512</v>
      </c>
      <c r="E106" t="s">
        <v>873</v>
      </c>
      <c r="F106">
        <v>222.3</v>
      </c>
      <c r="G106" t="s">
        <v>872</v>
      </c>
      <c r="H106" t="s">
        <v>1195</v>
      </c>
      <c r="I106">
        <v>1</v>
      </c>
      <c r="J106">
        <v>239.15</v>
      </c>
      <c r="K106">
        <v>222.3</v>
      </c>
      <c r="L106">
        <v>1</v>
      </c>
      <c r="M106" t="s">
        <v>1589</v>
      </c>
      <c r="N106">
        <v>0</v>
      </c>
      <c r="O106">
        <v>128294334417.60001</v>
      </c>
      <c r="P106">
        <v>1907444059868.564</v>
      </c>
      <c r="Q106">
        <v>283323816227.59998</v>
      </c>
      <c r="R106">
        <v>14.853584552677409</v>
      </c>
      <c r="S106">
        <v>0</v>
      </c>
      <c r="V106">
        <v>1</v>
      </c>
      <c r="W106" t="b">
        <v>0</v>
      </c>
    </row>
    <row r="107" spans="1:23" x14ac:dyDescent="0.25">
      <c r="A107" t="s">
        <v>974</v>
      </c>
      <c r="B107" t="s">
        <v>1041</v>
      </c>
      <c r="C107" t="s">
        <v>863</v>
      </c>
      <c r="D107">
        <v>792283683</v>
      </c>
      <c r="E107" t="s">
        <v>873</v>
      </c>
      <c r="F107">
        <v>202.75</v>
      </c>
      <c r="G107" t="s">
        <v>872</v>
      </c>
      <c r="H107" t="s">
        <v>1196</v>
      </c>
      <c r="I107">
        <v>1</v>
      </c>
      <c r="J107">
        <v>193.28</v>
      </c>
      <c r="K107">
        <v>202.75</v>
      </c>
      <c r="L107">
        <v>0.75</v>
      </c>
      <c r="M107" t="s">
        <v>1589</v>
      </c>
      <c r="N107">
        <v>0</v>
      </c>
      <c r="O107">
        <v>120476637546.1875</v>
      </c>
      <c r="P107">
        <v>1907444059868.564</v>
      </c>
      <c r="Q107">
        <v>403800453773.78748</v>
      </c>
      <c r="R107">
        <v>21.16971408333789</v>
      </c>
      <c r="S107">
        <v>0</v>
      </c>
      <c r="V107">
        <v>1</v>
      </c>
      <c r="W107" t="b">
        <v>0</v>
      </c>
    </row>
    <row r="108" spans="1:23" x14ac:dyDescent="0.25">
      <c r="A108" t="s">
        <v>975</v>
      </c>
      <c r="B108" t="s">
        <v>1042</v>
      </c>
      <c r="C108" t="s">
        <v>863</v>
      </c>
      <c r="D108">
        <v>2206585543</v>
      </c>
      <c r="E108" t="s">
        <v>873</v>
      </c>
      <c r="F108">
        <v>55.97</v>
      </c>
      <c r="G108" t="s">
        <v>872</v>
      </c>
      <c r="H108" t="s">
        <v>1197</v>
      </c>
      <c r="I108">
        <v>1</v>
      </c>
      <c r="J108">
        <v>55.84</v>
      </c>
      <c r="K108">
        <v>55.97</v>
      </c>
      <c r="L108">
        <v>0.9</v>
      </c>
      <c r="M108" t="s">
        <v>1589</v>
      </c>
      <c r="N108">
        <v>0</v>
      </c>
      <c r="O108">
        <v>111152333557.539</v>
      </c>
      <c r="P108">
        <v>1907444059868.564</v>
      </c>
      <c r="Q108">
        <v>514952787331.32648</v>
      </c>
      <c r="R108">
        <v>26.997006002200159</v>
      </c>
      <c r="S108">
        <v>0</v>
      </c>
      <c r="V108">
        <v>1</v>
      </c>
      <c r="W108" t="b">
        <v>0</v>
      </c>
    </row>
    <row r="109" spans="1:23" x14ac:dyDescent="0.25">
      <c r="A109" t="s">
        <v>976</v>
      </c>
      <c r="B109" t="s">
        <v>1043</v>
      </c>
      <c r="C109" t="s">
        <v>863</v>
      </c>
      <c r="D109">
        <v>1227468973</v>
      </c>
      <c r="E109" t="s">
        <v>873</v>
      </c>
      <c r="F109">
        <v>86.32</v>
      </c>
      <c r="G109" t="s">
        <v>872</v>
      </c>
      <c r="H109" t="s">
        <v>1198</v>
      </c>
      <c r="I109">
        <v>1</v>
      </c>
      <c r="J109">
        <v>83.64</v>
      </c>
      <c r="K109">
        <v>86.32</v>
      </c>
      <c r="L109">
        <v>0.95000000000000007</v>
      </c>
      <c r="M109" t="s">
        <v>1589</v>
      </c>
      <c r="N109">
        <v>0</v>
      </c>
      <c r="O109">
        <v>100657365661.892</v>
      </c>
      <c r="P109">
        <v>1907444059868.564</v>
      </c>
      <c r="Q109">
        <v>615610152993.21851</v>
      </c>
      <c r="R109">
        <v>32.274086876007168</v>
      </c>
      <c r="S109">
        <v>0</v>
      </c>
      <c r="V109">
        <v>1</v>
      </c>
      <c r="W109" t="b">
        <v>0</v>
      </c>
    </row>
    <row r="110" spans="1:23" x14ac:dyDescent="0.25">
      <c r="A110" t="s">
        <v>977</v>
      </c>
      <c r="B110" t="s">
        <v>1044</v>
      </c>
      <c r="C110" t="s">
        <v>863</v>
      </c>
      <c r="D110">
        <v>463145529</v>
      </c>
      <c r="E110" t="s">
        <v>873</v>
      </c>
      <c r="F110">
        <v>306</v>
      </c>
      <c r="G110" t="s">
        <v>872</v>
      </c>
      <c r="H110" t="s">
        <v>1199</v>
      </c>
      <c r="I110">
        <v>1</v>
      </c>
      <c r="J110">
        <v>284.89999999999998</v>
      </c>
      <c r="K110">
        <v>306</v>
      </c>
      <c r="L110">
        <v>0.70000000000000007</v>
      </c>
      <c r="M110" t="s">
        <v>1589</v>
      </c>
      <c r="N110">
        <v>0</v>
      </c>
      <c r="O110">
        <v>99205772311.800003</v>
      </c>
      <c r="P110">
        <v>1907444059868.564</v>
      </c>
      <c r="Q110">
        <v>714815925305.01855</v>
      </c>
      <c r="R110">
        <v>37.475066259834342</v>
      </c>
      <c r="S110">
        <v>0</v>
      </c>
      <c r="V110">
        <v>1</v>
      </c>
      <c r="W110" t="b">
        <v>0</v>
      </c>
    </row>
    <row r="111" spans="1:23" x14ac:dyDescent="0.25">
      <c r="A111" t="s">
        <v>978</v>
      </c>
      <c r="B111" t="s">
        <v>1045</v>
      </c>
      <c r="C111" t="s">
        <v>863</v>
      </c>
      <c r="D111">
        <v>578534275</v>
      </c>
      <c r="E111" t="s">
        <v>873</v>
      </c>
      <c r="F111">
        <v>165.94</v>
      </c>
      <c r="G111" t="s">
        <v>872</v>
      </c>
      <c r="H111" t="s">
        <v>1200</v>
      </c>
      <c r="I111">
        <v>1</v>
      </c>
      <c r="J111">
        <v>158.46</v>
      </c>
      <c r="K111">
        <v>165.94</v>
      </c>
      <c r="L111">
        <v>1</v>
      </c>
      <c r="M111" t="s">
        <v>1589</v>
      </c>
      <c r="N111">
        <v>0</v>
      </c>
      <c r="O111">
        <v>96001977593.5</v>
      </c>
      <c r="P111">
        <v>1907444059868.564</v>
      </c>
      <c r="Q111">
        <v>810817902898.51855</v>
      </c>
      <c r="R111">
        <v>42.508082934520743</v>
      </c>
      <c r="S111">
        <v>0</v>
      </c>
      <c r="V111">
        <v>1</v>
      </c>
      <c r="W111" t="b">
        <v>0</v>
      </c>
    </row>
    <row r="112" spans="1:23" x14ac:dyDescent="0.25">
      <c r="A112" t="s">
        <v>979</v>
      </c>
      <c r="B112" t="s">
        <v>1046</v>
      </c>
      <c r="C112" t="s">
        <v>863</v>
      </c>
      <c r="D112">
        <v>423632587</v>
      </c>
      <c r="E112" t="s">
        <v>873</v>
      </c>
      <c r="F112">
        <v>289.39999999999998</v>
      </c>
      <c r="G112" t="s">
        <v>872</v>
      </c>
      <c r="H112" t="s">
        <v>1201</v>
      </c>
      <c r="I112">
        <v>1</v>
      </c>
      <c r="J112">
        <v>291.3</v>
      </c>
      <c r="K112">
        <v>289.39999999999998</v>
      </c>
      <c r="L112">
        <v>0.75</v>
      </c>
      <c r="M112" t="s">
        <v>1589</v>
      </c>
      <c r="N112">
        <v>0</v>
      </c>
      <c r="O112">
        <v>91949453008.349991</v>
      </c>
      <c r="P112">
        <v>1907444059868.564</v>
      </c>
      <c r="Q112">
        <v>902767355906.86853</v>
      </c>
      <c r="R112">
        <v>47.328641237797321</v>
      </c>
      <c r="S112">
        <v>0</v>
      </c>
      <c r="V112">
        <v>1</v>
      </c>
      <c r="W112" t="b">
        <v>0</v>
      </c>
    </row>
    <row r="113" spans="1:23" x14ac:dyDescent="0.25">
      <c r="A113" t="s">
        <v>980</v>
      </c>
      <c r="B113" t="s">
        <v>1047</v>
      </c>
      <c r="C113" t="s">
        <v>863</v>
      </c>
      <c r="D113">
        <v>533783024</v>
      </c>
      <c r="E113" t="s">
        <v>873</v>
      </c>
      <c r="F113">
        <v>361.5</v>
      </c>
      <c r="G113" t="s">
        <v>872</v>
      </c>
      <c r="H113" t="s">
        <v>1202</v>
      </c>
      <c r="I113">
        <v>1</v>
      </c>
      <c r="J113">
        <v>371.95</v>
      </c>
      <c r="K113">
        <v>361.5</v>
      </c>
      <c r="L113">
        <v>0.45</v>
      </c>
      <c r="M113" t="s">
        <v>1589</v>
      </c>
      <c r="N113">
        <v>0</v>
      </c>
      <c r="O113">
        <v>86833153429.199997</v>
      </c>
      <c r="P113">
        <v>1907444059868.564</v>
      </c>
      <c r="Q113">
        <v>989600509336.06848</v>
      </c>
      <c r="R113">
        <v>51.880971513484837</v>
      </c>
      <c r="S113">
        <v>0</v>
      </c>
      <c r="V113">
        <v>1</v>
      </c>
      <c r="W113" t="b">
        <v>0</v>
      </c>
    </row>
    <row r="114" spans="1:23" x14ac:dyDescent="0.25">
      <c r="A114" t="s">
        <v>981</v>
      </c>
      <c r="B114" t="s">
        <v>1048</v>
      </c>
      <c r="C114" t="s">
        <v>863</v>
      </c>
      <c r="D114">
        <v>1116784757</v>
      </c>
      <c r="E114" t="s">
        <v>873</v>
      </c>
      <c r="F114">
        <v>70.47</v>
      </c>
      <c r="G114" t="s">
        <v>872</v>
      </c>
      <c r="H114" t="s">
        <v>1203</v>
      </c>
      <c r="I114">
        <v>1</v>
      </c>
      <c r="J114">
        <v>78.67</v>
      </c>
      <c r="K114">
        <v>70.47</v>
      </c>
      <c r="L114">
        <v>0.95000000000000007</v>
      </c>
      <c r="M114" t="s">
        <v>1589</v>
      </c>
      <c r="N114">
        <v>0</v>
      </c>
      <c r="O114">
        <v>74764830734.500504</v>
      </c>
      <c r="P114">
        <v>1907444059868.564</v>
      </c>
      <c r="Q114">
        <v>1064365340070.569</v>
      </c>
      <c r="R114">
        <v>55.800605766855938</v>
      </c>
      <c r="S114">
        <v>0</v>
      </c>
      <c r="V114">
        <v>1</v>
      </c>
      <c r="W114" t="b">
        <v>0</v>
      </c>
    </row>
    <row r="115" spans="1:23" x14ac:dyDescent="0.25">
      <c r="A115" t="s">
        <v>982</v>
      </c>
      <c r="B115" t="s">
        <v>1049</v>
      </c>
      <c r="C115" t="s">
        <v>863</v>
      </c>
      <c r="D115">
        <v>2123594281</v>
      </c>
      <c r="E115" t="s">
        <v>873</v>
      </c>
      <c r="F115">
        <v>38.14</v>
      </c>
      <c r="G115" t="s">
        <v>872</v>
      </c>
      <c r="H115" t="s">
        <v>1204</v>
      </c>
      <c r="I115">
        <v>1</v>
      </c>
      <c r="J115">
        <v>39.909999999999997</v>
      </c>
      <c r="K115">
        <v>38.14</v>
      </c>
      <c r="L115">
        <v>0.85000000000000009</v>
      </c>
      <c r="M115" t="s">
        <v>1589</v>
      </c>
      <c r="N115">
        <v>0</v>
      </c>
      <c r="O115">
        <v>68844802995.738998</v>
      </c>
      <c r="P115">
        <v>1907444059868.564</v>
      </c>
      <c r="Q115">
        <v>1133210143066.3081</v>
      </c>
      <c r="R115">
        <v>59.409875597840291</v>
      </c>
      <c r="S115">
        <v>0</v>
      </c>
      <c r="V115">
        <v>1</v>
      </c>
      <c r="W115" t="b">
        <v>0</v>
      </c>
    </row>
    <row r="116" spans="1:23" x14ac:dyDescent="0.25">
      <c r="A116" t="s">
        <v>983</v>
      </c>
      <c r="B116" t="s">
        <v>1050</v>
      </c>
      <c r="C116" t="s">
        <v>863</v>
      </c>
      <c r="D116">
        <v>105569412</v>
      </c>
      <c r="E116" t="s">
        <v>873</v>
      </c>
      <c r="F116">
        <v>2124</v>
      </c>
      <c r="G116" t="s">
        <v>872</v>
      </c>
      <c r="H116" t="s">
        <v>1205</v>
      </c>
      <c r="I116">
        <v>1</v>
      </c>
      <c r="J116">
        <v>2131</v>
      </c>
      <c r="K116">
        <v>2124</v>
      </c>
      <c r="L116">
        <v>0.3</v>
      </c>
      <c r="M116" t="s">
        <v>1589</v>
      </c>
      <c r="N116">
        <v>0</v>
      </c>
      <c r="O116">
        <v>67268829326.400009</v>
      </c>
      <c r="P116">
        <v>1907444059868.564</v>
      </c>
      <c r="Q116">
        <v>1200478972392.708</v>
      </c>
      <c r="R116">
        <v>62.936523154206128</v>
      </c>
      <c r="S116">
        <v>0</v>
      </c>
      <c r="V116">
        <v>1</v>
      </c>
      <c r="W116" t="b">
        <v>0</v>
      </c>
    </row>
    <row r="117" spans="1:23" x14ac:dyDescent="0.25">
      <c r="A117" t="s">
        <v>984</v>
      </c>
      <c r="B117" t="s">
        <v>1051</v>
      </c>
      <c r="C117" t="s">
        <v>863</v>
      </c>
      <c r="D117">
        <v>586933775</v>
      </c>
      <c r="E117" t="s">
        <v>873</v>
      </c>
      <c r="F117">
        <v>119.2</v>
      </c>
      <c r="G117" t="s">
        <v>872</v>
      </c>
      <c r="H117" t="s">
        <v>1206</v>
      </c>
      <c r="I117">
        <v>1</v>
      </c>
      <c r="J117">
        <v>119.8</v>
      </c>
      <c r="K117">
        <v>119.2</v>
      </c>
      <c r="L117">
        <v>0.9</v>
      </c>
      <c r="M117" t="s">
        <v>1589</v>
      </c>
      <c r="N117">
        <v>0</v>
      </c>
      <c r="O117">
        <v>62966255382</v>
      </c>
      <c r="P117">
        <v>1907444059868.564</v>
      </c>
      <c r="Q117">
        <v>1263445227774.708</v>
      </c>
      <c r="R117">
        <v>66.237603207182289</v>
      </c>
      <c r="S117">
        <v>0</v>
      </c>
      <c r="V117">
        <v>1</v>
      </c>
      <c r="W117" t="b">
        <v>0</v>
      </c>
    </row>
    <row r="118" spans="1:23" x14ac:dyDescent="0.25">
      <c r="A118" t="s">
        <v>985</v>
      </c>
      <c r="B118" t="s">
        <v>1052</v>
      </c>
      <c r="C118" t="s">
        <v>863</v>
      </c>
      <c r="D118">
        <v>681394483</v>
      </c>
      <c r="E118" t="s">
        <v>873</v>
      </c>
      <c r="F118">
        <v>78.459999999999994</v>
      </c>
      <c r="G118" t="s">
        <v>872</v>
      </c>
      <c r="H118" t="s">
        <v>1207</v>
      </c>
      <c r="I118">
        <v>1</v>
      </c>
      <c r="J118">
        <v>75.760000000000005</v>
      </c>
      <c r="K118">
        <v>78.459999999999994</v>
      </c>
      <c r="L118">
        <v>0.95000000000000007</v>
      </c>
      <c r="M118" t="s">
        <v>1589</v>
      </c>
      <c r="N118">
        <v>0</v>
      </c>
      <c r="O118">
        <v>50789100579.370987</v>
      </c>
      <c r="P118">
        <v>1907444059868.564</v>
      </c>
      <c r="Q118">
        <v>1314234328354.0791</v>
      </c>
      <c r="R118">
        <v>68.900281586482748</v>
      </c>
      <c r="S118">
        <v>0</v>
      </c>
      <c r="V118">
        <v>1</v>
      </c>
      <c r="W118" t="b">
        <v>0</v>
      </c>
    </row>
    <row r="119" spans="1:23" x14ac:dyDescent="0.25">
      <c r="A119" t="s">
        <v>576</v>
      </c>
      <c r="B119" t="s">
        <v>150</v>
      </c>
      <c r="C119" t="s">
        <v>863</v>
      </c>
      <c r="D119">
        <v>2435285011</v>
      </c>
      <c r="E119" t="s">
        <v>873</v>
      </c>
      <c r="F119">
        <v>21.62</v>
      </c>
      <c r="G119" t="s">
        <v>872</v>
      </c>
      <c r="H119" t="s">
        <v>1208</v>
      </c>
      <c r="I119">
        <v>1</v>
      </c>
      <c r="J119">
        <v>21.46</v>
      </c>
      <c r="K119">
        <v>21.62</v>
      </c>
      <c r="L119">
        <v>0.75</v>
      </c>
      <c r="M119" t="s">
        <v>1589</v>
      </c>
      <c r="N119">
        <v>1</v>
      </c>
      <c r="O119">
        <v>39488146453.364998</v>
      </c>
      <c r="P119">
        <v>1907444059868.564</v>
      </c>
      <c r="Q119">
        <v>1353722474807.4441</v>
      </c>
      <c r="R119">
        <v>70.970494143913442</v>
      </c>
      <c r="S119">
        <v>1</v>
      </c>
      <c r="T119">
        <v>1.862500764376324E-2</v>
      </c>
      <c r="U119">
        <v>1.862500764376324E-2</v>
      </c>
      <c r="V119">
        <v>1</v>
      </c>
      <c r="W119" t="b">
        <v>0</v>
      </c>
    </row>
    <row r="120" spans="1:23" x14ac:dyDescent="0.25">
      <c r="A120" t="s">
        <v>784</v>
      </c>
      <c r="B120" t="s">
        <v>358</v>
      </c>
      <c r="C120" t="s">
        <v>863</v>
      </c>
      <c r="D120">
        <v>766894786</v>
      </c>
      <c r="E120" t="s">
        <v>873</v>
      </c>
      <c r="F120">
        <v>56.54</v>
      </c>
      <c r="G120" t="s">
        <v>872</v>
      </c>
      <c r="H120" t="s">
        <v>1209</v>
      </c>
      <c r="I120">
        <v>1</v>
      </c>
      <c r="J120">
        <v>64.36</v>
      </c>
      <c r="K120">
        <v>56.54</v>
      </c>
      <c r="L120">
        <v>0.9</v>
      </c>
      <c r="M120" t="s">
        <v>1589</v>
      </c>
      <c r="N120">
        <v>1</v>
      </c>
      <c r="O120">
        <v>39024208080.396004</v>
      </c>
      <c r="P120">
        <v>1907444059868.564</v>
      </c>
      <c r="Q120">
        <v>1392746682887.8401</v>
      </c>
      <c r="R120">
        <v>73.016384186061529</v>
      </c>
      <c r="S120">
        <v>1</v>
      </c>
      <c r="T120">
        <v>1.8406186136073911E-2</v>
      </c>
      <c r="U120">
        <v>1.8406186136073911E-2</v>
      </c>
      <c r="V120">
        <v>1</v>
      </c>
      <c r="W120" t="b">
        <v>0</v>
      </c>
    </row>
    <row r="121" spans="1:23" x14ac:dyDescent="0.25">
      <c r="A121" t="s">
        <v>765</v>
      </c>
      <c r="B121" t="s">
        <v>339</v>
      </c>
      <c r="C121" t="s">
        <v>863</v>
      </c>
      <c r="D121">
        <v>499067417</v>
      </c>
      <c r="E121" t="s">
        <v>873</v>
      </c>
      <c r="F121">
        <v>81.3</v>
      </c>
      <c r="G121" t="s">
        <v>872</v>
      </c>
      <c r="H121" t="s">
        <v>1210</v>
      </c>
      <c r="I121">
        <v>1</v>
      </c>
      <c r="J121">
        <v>87.14</v>
      </c>
      <c r="K121">
        <v>81.3</v>
      </c>
      <c r="L121">
        <v>0.9</v>
      </c>
      <c r="M121" t="s">
        <v>1589</v>
      </c>
      <c r="N121">
        <v>1</v>
      </c>
      <c r="O121">
        <v>36516762901.889999</v>
      </c>
      <c r="P121">
        <v>1907444059868.564</v>
      </c>
      <c r="Q121">
        <v>1429263445789.73</v>
      </c>
      <c r="R121">
        <v>74.930818463332344</v>
      </c>
      <c r="S121">
        <v>1</v>
      </c>
      <c r="T121">
        <v>1.722352273425673E-2</v>
      </c>
      <c r="U121">
        <v>1.722352273425673E-2</v>
      </c>
      <c r="V121">
        <v>1</v>
      </c>
      <c r="W121" t="b">
        <v>0</v>
      </c>
    </row>
    <row r="122" spans="1:23" x14ac:dyDescent="0.25">
      <c r="A122" t="s">
        <v>676</v>
      </c>
      <c r="B122" t="s">
        <v>250</v>
      </c>
      <c r="C122" t="s">
        <v>863</v>
      </c>
      <c r="D122">
        <v>262245733</v>
      </c>
      <c r="E122" t="s">
        <v>873</v>
      </c>
      <c r="F122">
        <v>126.85</v>
      </c>
      <c r="G122" t="s">
        <v>872</v>
      </c>
      <c r="H122" t="s">
        <v>1211</v>
      </c>
      <c r="I122">
        <v>1</v>
      </c>
      <c r="J122">
        <v>125.65</v>
      </c>
      <c r="K122">
        <v>126.85</v>
      </c>
      <c r="L122">
        <v>1</v>
      </c>
      <c r="M122" t="s">
        <v>1589</v>
      </c>
      <c r="N122">
        <v>1</v>
      </c>
      <c r="O122">
        <v>33265871231.049999</v>
      </c>
      <c r="P122">
        <v>1907444059868.564</v>
      </c>
      <c r="Q122">
        <v>1462529317020.78</v>
      </c>
      <c r="R122">
        <v>76.67482091828991</v>
      </c>
      <c r="S122">
        <v>1</v>
      </c>
      <c r="T122">
        <v>1.5690204823527551E-2</v>
      </c>
      <c r="U122">
        <v>1.5690204823527551E-2</v>
      </c>
      <c r="V122">
        <v>1</v>
      </c>
      <c r="W122" t="b">
        <v>0</v>
      </c>
    </row>
    <row r="123" spans="1:23" x14ac:dyDescent="0.25">
      <c r="A123" t="s">
        <v>716</v>
      </c>
      <c r="B123" t="s">
        <v>290</v>
      </c>
      <c r="C123" t="s">
        <v>863</v>
      </c>
      <c r="D123">
        <v>2660056599</v>
      </c>
      <c r="E123" t="s">
        <v>873</v>
      </c>
      <c r="F123">
        <v>13.945</v>
      </c>
      <c r="G123" t="s">
        <v>872</v>
      </c>
      <c r="H123" t="s">
        <v>1212</v>
      </c>
      <c r="I123">
        <v>1</v>
      </c>
      <c r="J123">
        <v>13.734999999999999</v>
      </c>
      <c r="K123">
        <v>13.945</v>
      </c>
      <c r="L123">
        <v>0.65</v>
      </c>
      <c r="M123" t="s">
        <v>1589</v>
      </c>
      <c r="N123">
        <v>1</v>
      </c>
      <c r="O123">
        <v>24111418027.485748</v>
      </c>
      <c r="P123">
        <v>1907444059868.564</v>
      </c>
      <c r="Q123">
        <v>1486640735048.2661</v>
      </c>
      <c r="R123">
        <v>77.938890388780564</v>
      </c>
      <c r="S123">
        <v>1</v>
      </c>
      <c r="T123">
        <v>1.137240882132174E-2</v>
      </c>
      <c r="U123">
        <v>1.137240882132174E-2</v>
      </c>
      <c r="V123">
        <v>1</v>
      </c>
      <c r="W123" t="b">
        <v>0</v>
      </c>
    </row>
    <row r="124" spans="1:23" x14ac:dyDescent="0.25">
      <c r="A124" t="s">
        <v>661</v>
      </c>
      <c r="B124" t="s">
        <v>235</v>
      </c>
      <c r="C124" t="s">
        <v>863</v>
      </c>
      <c r="D124">
        <v>123420778</v>
      </c>
      <c r="E124" t="s">
        <v>873</v>
      </c>
      <c r="F124">
        <v>296.2</v>
      </c>
      <c r="G124" t="s">
        <v>872</v>
      </c>
      <c r="H124" t="s">
        <v>1213</v>
      </c>
      <c r="I124">
        <v>1</v>
      </c>
      <c r="J124">
        <v>291.85000000000002</v>
      </c>
      <c r="K124">
        <v>296.2</v>
      </c>
      <c r="L124">
        <v>0.60000000000000009</v>
      </c>
      <c r="M124" t="s">
        <v>1589</v>
      </c>
      <c r="N124">
        <v>1</v>
      </c>
      <c r="O124">
        <v>21934340666.16</v>
      </c>
      <c r="P124">
        <v>1907444059868.564</v>
      </c>
      <c r="Q124">
        <v>1508575075714.426</v>
      </c>
      <c r="R124">
        <v>79.088824016069807</v>
      </c>
      <c r="S124">
        <v>1</v>
      </c>
      <c r="T124">
        <v>1.034556694249001E-2</v>
      </c>
      <c r="U124">
        <v>1.034556694249001E-2</v>
      </c>
      <c r="V124">
        <v>1</v>
      </c>
      <c r="W124" t="b">
        <v>0</v>
      </c>
    </row>
    <row r="125" spans="1:23" x14ac:dyDescent="0.25">
      <c r="A125" t="s">
        <v>815</v>
      </c>
      <c r="B125" t="s">
        <v>389</v>
      </c>
      <c r="C125" t="s">
        <v>863</v>
      </c>
      <c r="D125">
        <v>205941913</v>
      </c>
      <c r="E125" t="s">
        <v>873</v>
      </c>
      <c r="F125">
        <v>226.9</v>
      </c>
      <c r="G125" t="s">
        <v>872</v>
      </c>
      <c r="H125" t="s">
        <v>1214</v>
      </c>
      <c r="I125">
        <v>1</v>
      </c>
      <c r="J125">
        <v>228.4</v>
      </c>
      <c r="K125">
        <v>226.9</v>
      </c>
      <c r="L125">
        <v>0.45</v>
      </c>
      <c r="M125" t="s">
        <v>1589</v>
      </c>
      <c r="N125">
        <v>1</v>
      </c>
      <c r="O125">
        <v>21027699026.865002</v>
      </c>
      <c r="P125">
        <v>1907444059868.564</v>
      </c>
      <c r="Q125">
        <v>1529602774741.291</v>
      </c>
      <c r="R125">
        <v>80.191225888254408</v>
      </c>
      <c r="S125">
        <v>1</v>
      </c>
      <c r="T125">
        <v>9.9179396928300162E-3</v>
      </c>
      <c r="U125">
        <v>9.9179396928300162E-3</v>
      </c>
      <c r="V125">
        <v>1</v>
      </c>
      <c r="W125" t="b">
        <v>0</v>
      </c>
    </row>
    <row r="126" spans="1:23" x14ac:dyDescent="0.25">
      <c r="A126" t="s">
        <v>735</v>
      </c>
      <c r="B126" t="s">
        <v>309</v>
      </c>
      <c r="C126" t="s">
        <v>863</v>
      </c>
      <c r="D126">
        <v>254311860</v>
      </c>
      <c r="E126" t="s">
        <v>873</v>
      </c>
      <c r="F126">
        <v>84.1</v>
      </c>
      <c r="G126" t="s">
        <v>872</v>
      </c>
      <c r="H126" t="s">
        <v>1215</v>
      </c>
      <c r="I126">
        <v>1</v>
      </c>
      <c r="J126">
        <v>87.2</v>
      </c>
      <c r="K126">
        <v>84.1</v>
      </c>
      <c r="L126">
        <v>0.95000000000000007</v>
      </c>
      <c r="M126" t="s">
        <v>1589</v>
      </c>
      <c r="N126">
        <v>1</v>
      </c>
      <c r="O126">
        <v>20318246054.700001</v>
      </c>
      <c r="P126">
        <v>1907444059868.564</v>
      </c>
      <c r="Q126">
        <v>1549921020795.991</v>
      </c>
      <c r="R126">
        <v>81.256433853310014</v>
      </c>
      <c r="S126">
        <v>1</v>
      </c>
      <c r="T126">
        <v>9.5833185921645608E-3</v>
      </c>
      <c r="U126">
        <v>9.5833185921645608E-3</v>
      </c>
      <c r="V126">
        <v>1</v>
      </c>
      <c r="W126" t="b">
        <v>0</v>
      </c>
    </row>
    <row r="127" spans="1:23" x14ac:dyDescent="0.25">
      <c r="A127" t="s">
        <v>698</v>
      </c>
      <c r="B127" t="s">
        <v>272</v>
      </c>
      <c r="C127" t="s">
        <v>863</v>
      </c>
      <c r="D127">
        <v>710514537</v>
      </c>
      <c r="E127" t="s">
        <v>873</v>
      </c>
      <c r="F127">
        <v>27.66</v>
      </c>
      <c r="G127" t="s">
        <v>872</v>
      </c>
      <c r="H127" t="s">
        <v>1216</v>
      </c>
      <c r="I127">
        <v>1</v>
      </c>
      <c r="J127">
        <v>27.89</v>
      </c>
      <c r="K127">
        <v>27.66</v>
      </c>
      <c r="L127">
        <v>1</v>
      </c>
      <c r="M127" t="s">
        <v>1589</v>
      </c>
      <c r="N127">
        <v>1</v>
      </c>
      <c r="O127">
        <v>19652832093.419998</v>
      </c>
      <c r="P127">
        <v>1907444059868.564</v>
      </c>
      <c r="Q127">
        <v>1569573852889.4109</v>
      </c>
      <c r="R127">
        <v>82.286756708218491</v>
      </c>
      <c r="S127">
        <v>1</v>
      </c>
      <c r="T127">
        <v>9.2694689631437829E-3</v>
      </c>
      <c r="U127">
        <v>9.2694689631437829E-3</v>
      </c>
      <c r="V127">
        <v>1</v>
      </c>
      <c r="W127" t="b">
        <v>0</v>
      </c>
    </row>
    <row r="128" spans="1:23" x14ac:dyDescent="0.25">
      <c r="A128" t="s">
        <v>515</v>
      </c>
      <c r="B128" t="s">
        <v>89</v>
      </c>
      <c r="C128" t="s">
        <v>863</v>
      </c>
      <c r="D128">
        <v>171347471</v>
      </c>
      <c r="E128" t="s">
        <v>873</v>
      </c>
      <c r="F128">
        <v>131.5</v>
      </c>
      <c r="G128" t="s">
        <v>872</v>
      </c>
      <c r="H128" t="s">
        <v>1217</v>
      </c>
      <c r="I128">
        <v>1</v>
      </c>
      <c r="J128">
        <v>151.85</v>
      </c>
      <c r="K128">
        <v>131.5</v>
      </c>
      <c r="L128">
        <v>0.85000000000000009</v>
      </c>
      <c r="M128" t="s">
        <v>1589</v>
      </c>
      <c r="N128">
        <v>1</v>
      </c>
      <c r="O128">
        <v>19152363571.025002</v>
      </c>
      <c r="P128">
        <v>1907444059868.564</v>
      </c>
      <c r="Q128">
        <v>1588726216460.436</v>
      </c>
      <c r="R128">
        <v>83.290841911762797</v>
      </c>
      <c r="S128">
        <v>1</v>
      </c>
      <c r="T128">
        <v>9.0334176188225698E-3</v>
      </c>
      <c r="U128">
        <v>9.0334176188225698E-3</v>
      </c>
      <c r="V128">
        <v>1</v>
      </c>
      <c r="W128" t="b">
        <v>0</v>
      </c>
    </row>
    <row r="129" spans="1:23" x14ac:dyDescent="0.25">
      <c r="A129" t="s">
        <v>837</v>
      </c>
      <c r="B129" t="s">
        <v>411</v>
      </c>
      <c r="C129" t="s">
        <v>863</v>
      </c>
      <c r="D129">
        <v>741723437</v>
      </c>
      <c r="E129" t="s">
        <v>873</v>
      </c>
      <c r="F129">
        <v>28.5</v>
      </c>
      <c r="G129" t="s">
        <v>872</v>
      </c>
      <c r="H129" t="s">
        <v>1218</v>
      </c>
      <c r="I129">
        <v>1</v>
      </c>
      <c r="J129">
        <v>29.38</v>
      </c>
      <c r="K129">
        <v>28.5</v>
      </c>
      <c r="L129">
        <v>0.85000000000000009</v>
      </c>
      <c r="M129" t="s">
        <v>1589</v>
      </c>
      <c r="N129">
        <v>1</v>
      </c>
      <c r="O129">
        <v>17968250261.325001</v>
      </c>
      <c r="P129">
        <v>1907444059868.564</v>
      </c>
      <c r="Q129">
        <v>1606694466721.761</v>
      </c>
      <c r="R129">
        <v>84.232848581282809</v>
      </c>
      <c r="S129">
        <v>1</v>
      </c>
      <c r="T129">
        <v>8.4749178809255289E-3</v>
      </c>
      <c r="U129">
        <v>8.4749178809255289E-3</v>
      </c>
      <c r="V129">
        <v>1</v>
      </c>
      <c r="W129" t="b">
        <v>0</v>
      </c>
    </row>
    <row r="130" spans="1:23" x14ac:dyDescent="0.25">
      <c r="A130" t="s">
        <v>723</v>
      </c>
      <c r="B130" t="s">
        <v>297</v>
      </c>
      <c r="C130" t="s">
        <v>863</v>
      </c>
      <c r="D130">
        <v>252269195</v>
      </c>
      <c r="E130" t="s">
        <v>873</v>
      </c>
      <c r="F130">
        <v>81.22</v>
      </c>
      <c r="G130" t="s">
        <v>872</v>
      </c>
      <c r="H130" t="s">
        <v>1219</v>
      </c>
      <c r="I130">
        <v>1</v>
      </c>
      <c r="J130">
        <v>75.459999999999994</v>
      </c>
      <c r="K130">
        <v>81.22</v>
      </c>
      <c r="L130">
        <v>0.8</v>
      </c>
      <c r="M130" t="s">
        <v>1589</v>
      </c>
      <c r="N130">
        <v>1</v>
      </c>
      <c r="O130">
        <v>16391443214.32</v>
      </c>
      <c r="P130">
        <v>1907444059868.564</v>
      </c>
      <c r="Q130">
        <v>1623085909936.0811</v>
      </c>
      <c r="R130">
        <v>85.09218928537922</v>
      </c>
      <c r="S130">
        <v>1</v>
      </c>
      <c r="T130">
        <v>7.7311999315937937E-3</v>
      </c>
      <c r="U130">
        <v>7.7311999315937937E-3</v>
      </c>
      <c r="V130">
        <v>1</v>
      </c>
      <c r="W130" t="b">
        <v>0</v>
      </c>
    </row>
    <row r="131" spans="1:23" x14ac:dyDescent="0.25">
      <c r="A131" t="s">
        <v>551</v>
      </c>
      <c r="B131" t="s">
        <v>125</v>
      </c>
      <c r="C131" t="s">
        <v>863</v>
      </c>
      <c r="D131">
        <v>1341456065</v>
      </c>
      <c r="E131" t="s">
        <v>873</v>
      </c>
      <c r="F131">
        <v>23.49</v>
      </c>
      <c r="G131" t="s">
        <v>872</v>
      </c>
      <c r="H131" t="s">
        <v>1220</v>
      </c>
      <c r="I131">
        <v>1</v>
      </c>
      <c r="J131">
        <v>23.13</v>
      </c>
      <c r="K131">
        <v>23.49</v>
      </c>
      <c r="L131">
        <v>0.5</v>
      </c>
      <c r="M131" t="s">
        <v>1589</v>
      </c>
      <c r="N131">
        <v>1</v>
      </c>
      <c r="O131">
        <v>15755401483.424999</v>
      </c>
      <c r="P131">
        <v>1907444059868.564</v>
      </c>
      <c r="Q131">
        <v>1638841311419.5061</v>
      </c>
      <c r="R131">
        <v>85.918184753079117</v>
      </c>
      <c r="S131">
        <v>1</v>
      </c>
      <c r="T131">
        <v>7.4312040299461396E-3</v>
      </c>
      <c r="U131">
        <v>7.4312040299461396E-3</v>
      </c>
      <c r="V131">
        <v>1</v>
      </c>
      <c r="W131" t="b">
        <v>0</v>
      </c>
    </row>
    <row r="132" spans="1:23" x14ac:dyDescent="0.25">
      <c r="A132" t="s">
        <v>542</v>
      </c>
      <c r="B132" t="s">
        <v>116</v>
      </c>
      <c r="C132" t="s">
        <v>863</v>
      </c>
      <c r="D132">
        <v>3025902350</v>
      </c>
      <c r="E132" t="s">
        <v>873</v>
      </c>
      <c r="F132">
        <v>16.100000000000001</v>
      </c>
      <c r="G132" t="s">
        <v>872</v>
      </c>
      <c r="H132" t="s">
        <v>1221</v>
      </c>
      <c r="I132">
        <v>1</v>
      </c>
      <c r="J132">
        <v>17.28</v>
      </c>
      <c r="K132">
        <v>16.100000000000001</v>
      </c>
      <c r="L132">
        <v>0.3</v>
      </c>
      <c r="M132" t="s">
        <v>1589</v>
      </c>
      <c r="N132">
        <v>1</v>
      </c>
      <c r="O132">
        <v>14615108350.5</v>
      </c>
      <c r="P132">
        <v>1907444059868.564</v>
      </c>
      <c r="Q132">
        <v>1653456419770.0061</v>
      </c>
      <c r="R132">
        <v>86.684399011100766</v>
      </c>
      <c r="S132">
        <v>1</v>
      </c>
      <c r="T132">
        <v>6.893372548239584E-3</v>
      </c>
      <c r="U132">
        <v>6.893372548239584E-3</v>
      </c>
      <c r="V132">
        <v>1</v>
      </c>
      <c r="W132" t="b">
        <v>0</v>
      </c>
    </row>
    <row r="133" spans="1:23" x14ac:dyDescent="0.25">
      <c r="A133" t="s">
        <v>792</v>
      </c>
      <c r="B133" t="s">
        <v>366</v>
      </c>
      <c r="C133" t="s">
        <v>863</v>
      </c>
      <c r="D133">
        <v>911281920</v>
      </c>
      <c r="E133" t="s">
        <v>873</v>
      </c>
      <c r="F133">
        <v>18.809999999999999</v>
      </c>
      <c r="G133" t="s">
        <v>872</v>
      </c>
      <c r="H133" t="s">
        <v>1222</v>
      </c>
      <c r="I133">
        <v>1</v>
      </c>
      <c r="J133">
        <v>21.995000000000001</v>
      </c>
      <c r="K133">
        <v>18.809999999999999</v>
      </c>
      <c r="L133">
        <v>0.70000000000000007</v>
      </c>
      <c r="M133" t="s">
        <v>1589</v>
      </c>
      <c r="N133">
        <v>1</v>
      </c>
      <c r="O133">
        <v>11998849040.639999</v>
      </c>
      <c r="P133">
        <v>1907444059868.564</v>
      </c>
      <c r="Q133">
        <v>1665455268810.646</v>
      </c>
      <c r="R133">
        <v>87.313452795328999</v>
      </c>
      <c r="S133">
        <v>1</v>
      </c>
      <c r="T133">
        <v>5.6593857947272027E-3</v>
      </c>
      <c r="U133">
        <v>5.6593857947272027E-3</v>
      </c>
      <c r="V133">
        <v>1</v>
      </c>
      <c r="W133" t="b">
        <v>0</v>
      </c>
    </row>
    <row r="134" spans="1:23" x14ac:dyDescent="0.25">
      <c r="A134" t="s">
        <v>827</v>
      </c>
      <c r="B134" t="s">
        <v>401</v>
      </c>
      <c r="C134" t="s">
        <v>863</v>
      </c>
      <c r="D134">
        <v>143244727</v>
      </c>
      <c r="E134" t="s">
        <v>873</v>
      </c>
      <c r="F134">
        <v>89.4</v>
      </c>
      <c r="G134" t="s">
        <v>872</v>
      </c>
      <c r="H134" t="s">
        <v>1223</v>
      </c>
      <c r="I134">
        <v>1</v>
      </c>
      <c r="J134">
        <v>90.48</v>
      </c>
      <c r="K134">
        <v>89.4</v>
      </c>
      <c r="L134">
        <v>0.85000000000000009</v>
      </c>
      <c r="M134" t="s">
        <v>1589</v>
      </c>
      <c r="N134">
        <v>1</v>
      </c>
      <c r="O134">
        <v>10885166804.73</v>
      </c>
      <c r="P134">
        <v>1907444059868.564</v>
      </c>
      <c r="Q134">
        <v>1676340435615.376</v>
      </c>
      <c r="R134">
        <v>87.884120477477438</v>
      </c>
      <c r="S134">
        <v>1</v>
      </c>
      <c r="T134">
        <v>5.1341056279043942E-3</v>
      </c>
      <c r="U134">
        <v>5.1341056279043942E-3</v>
      </c>
      <c r="V134">
        <v>1</v>
      </c>
      <c r="W134" t="b">
        <v>0</v>
      </c>
    </row>
    <row r="135" spans="1:23" x14ac:dyDescent="0.25">
      <c r="A135" t="s">
        <v>581</v>
      </c>
      <c r="B135" t="s">
        <v>155</v>
      </c>
      <c r="C135" t="s">
        <v>863</v>
      </c>
      <c r="D135">
        <v>101542528</v>
      </c>
      <c r="E135" t="s">
        <v>873</v>
      </c>
      <c r="F135">
        <v>128.80000000000001</v>
      </c>
      <c r="G135" t="s">
        <v>872</v>
      </c>
      <c r="H135" t="s">
        <v>1224</v>
      </c>
      <c r="I135">
        <v>1</v>
      </c>
      <c r="J135">
        <v>122.5</v>
      </c>
      <c r="K135">
        <v>128.80000000000001</v>
      </c>
      <c r="L135">
        <v>0.75</v>
      </c>
      <c r="M135" t="s">
        <v>1589</v>
      </c>
      <c r="N135">
        <v>1</v>
      </c>
      <c r="O135">
        <v>9809008204.8000011</v>
      </c>
      <c r="P135">
        <v>1907444059868.564</v>
      </c>
      <c r="Q135">
        <v>1686149443820.176</v>
      </c>
      <c r="R135">
        <v>88.398369278329611</v>
      </c>
      <c r="S135">
        <v>1</v>
      </c>
      <c r="T135">
        <v>4.6265238862982427E-3</v>
      </c>
      <c r="U135">
        <v>4.6265238862982427E-3</v>
      </c>
      <c r="V135">
        <v>1</v>
      </c>
      <c r="W135" t="b">
        <v>0</v>
      </c>
    </row>
    <row r="136" spans="1:23" x14ac:dyDescent="0.25">
      <c r="A136" t="s">
        <v>510</v>
      </c>
      <c r="B136" t="s">
        <v>84</v>
      </c>
      <c r="C136" t="s">
        <v>863</v>
      </c>
      <c r="D136">
        <v>453871520</v>
      </c>
      <c r="E136" t="s">
        <v>873</v>
      </c>
      <c r="F136">
        <v>27.08</v>
      </c>
      <c r="G136" t="s">
        <v>872</v>
      </c>
      <c r="H136" t="s">
        <v>1225</v>
      </c>
      <c r="I136">
        <v>1</v>
      </c>
      <c r="J136">
        <v>26</v>
      </c>
      <c r="K136">
        <v>27.08</v>
      </c>
      <c r="L136">
        <v>0.75</v>
      </c>
      <c r="M136" t="s">
        <v>1589</v>
      </c>
      <c r="N136">
        <v>1</v>
      </c>
      <c r="O136">
        <v>9218130571.1999989</v>
      </c>
      <c r="P136">
        <v>1907444059868.564</v>
      </c>
      <c r="Q136">
        <v>1695367574391.376</v>
      </c>
      <c r="R136">
        <v>88.881640623746421</v>
      </c>
      <c r="S136">
        <v>1</v>
      </c>
      <c r="T136">
        <v>4.3478301153630668E-3</v>
      </c>
      <c r="U136">
        <v>4.3478301153630668E-3</v>
      </c>
      <c r="V136">
        <v>1</v>
      </c>
      <c r="W136" t="b">
        <v>0</v>
      </c>
    </row>
    <row r="137" spans="1:23" x14ac:dyDescent="0.25">
      <c r="A137" t="s">
        <v>520</v>
      </c>
      <c r="B137" t="s">
        <v>94</v>
      </c>
      <c r="C137" t="s">
        <v>863</v>
      </c>
      <c r="D137">
        <v>736314789</v>
      </c>
      <c r="E137" t="s">
        <v>873</v>
      </c>
      <c r="F137">
        <v>12.984999999999999</v>
      </c>
      <c r="G137" t="s">
        <v>872</v>
      </c>
      <c r="H137" t="s">
        <v>1226</v>
      </c>
      <c r="I137">
        <v>1</v>
      </c>
      <c r="J137">
        <v>14.115</v>
      </c>
      <c r="K137">
        <v>12.984999999999999</v>
      </c>
      <c r="L137">
        <v>0.95000000000000007</v>
      </c>
      <c r="M137" t="s">
        <v>1589</v>
      </c>
      <c r="N137">
        <v>1</v>
      </c>
      <c r="O137">
        <v>9082995158.4067497</v>
      </c>
      <c r="P137">
        <v>1907444059868.564</v>
      </c>
      <c r="Q137">
        <v>1704450569549.782</v>
      </c>
      <c r="R137">
        <v>89.357827336086117</v>
      </c>
      <c r="S137">
        <v>1</v>
      </c>
      <c r="T137">
        <v>4.284092049075509E-3</v>
      </c>
      <c r="U137">
        <v>4.284092049075509E-3</v>
      </c>
      <c r="V137">
        <v>1</v>
      </c>
      <c r="W137" t="b">
        <v>0</v>
      </c>
    </row>
    <row r="138" spans="1:23" x14ac:dyDescent="0.25">
      <c r="A138" t="s">
        <v>440</v>
      </c>
      <c r="B138" t="s">
        <v>14</v>
      </c>
      <c r="C138" t="s">
        <v>863</v>
      </c>
      <c r="D138">
        <v>245000143</v>
      </c>
      <c r="E138" t="s">
        <v>873</v>
      </c>
      <c r="F138">
        <v>45.58</v>
      </c>
      <c r="G138" t="s">
        <v>872</v>
      </c>
      <c r="H138" t="s">
        <v>1227</v>
      </c>
      <c r="I138">
        <v>1</v>
      </c>
      <c r="J138">
        <v>46.2</v>
      </c>
      <c r="K138">
        <v>45.58</v>
      </c>
      <c r="L138">
        <v>0.75</v>
      </c>
      <c r="M138" t="s">
        <v>1589</v>
      </c>
      <c r="N138">
        <v>1</v>
      </c>
      <c r="O138">
        <v>8375329888.4549999</v>
      </c>
      <c r="P138">
        <v>1907444059868.564</v>
      </c>
      <c r="Q138">
        <v>1712825899438.238</v>
      </c>
      <c r="R138">
        <v>89.796913863689568</v>
      </c>
      <c r="S138">
        <v>1</v>
      </c>
      <c r="T138">
        <v>3.9503141373256412E-3</v>
      </c>
      <c r="U138">
        <v>3.9503141373256412E-3</v>
      </c>
      <c r="V138">
        <v>1</v>
      </c>
      <c r="W138" t="b">
        <v>0</v>
      </c>
    </row>
    <row r="139" spans="1:23" x14ac:dyDescent="0.25">
      <c r="A139" t="s">
        <v>564</v>
      </c>
      <c r="B139" t="s">
        <v>138</v>
      </c>
      <c r="C139" t="s">
        <v>863</v>
      </c>
      <c r="D139">
        <v>98000000</v>
      </c>
      <c r="E139" t="s">
        <v>873</v>
      </c>
      <c r="F139">
        <v>112.45</v>
      </c>
      <c r="G139" t="s">
        <v>872</v>
      </c>
      <c r="H139" t="s">
        <v>1228</v>
      </c>
      <c r="I139">
        <v>1</v>
      </c>
      <c r="J139">
        <v>121.4</v>
      </c>
      <c r="K139">
        <v>112.45</v>
      </c>
      <c r="L139">
        <v>0.75</v>
      </c>
      <c r="M139" t="s">
        <v>1589</v>
      </c>
      <c r="N139">
        <v>1</v>
      </c>
      <c r="O139">
        <v>8265075000</v>
      </c>
      <c r="P139">
        <v>1907444059868.564</v>
      </c>
      <c r="Q139">
        <v>1721090974438.238</v>
      </c>
      <c r="R139">
        <v>90.230220148989986</v>
      </c>
      <c r="S139">
        <v>1</v>
      </c>
      <c r="T139">
        <v>3.898311237096789E-3</v>
      </c>
      <c r="U139">
        <v>3.898311237096789E-3</v>
      </c>
      <c r="V139">
        <v>1</v>
      </c>
      <c r="W139" t="b">
        <v>0</v>
      </c>
    </row>
    <row r="140" spans="1:23" x14ac:dyDescent="0.25">
      <c r="A140" t="s">
        <v>505</v>
      </c>
      <c r="B140" t="s">
        <v>79</v>
      </c>
      <c r="C140" t="s">
        <v>863</v>
      </c>
      <c r="D140">
        <v>383620188</v>
      </c>
      <c r="E140" t="s">
        <v>873</v>
      </c>
      <c r="F140">
        <v>41.75</v>
      </c>
      <c r="G140" t="s">
        <v>872</v>
      </c>
      <c r="H140" t="s">
        <v>1229</v>
      </c>
      <c r="I140">
        <v>1</v>
      </c>
      <c r="J140">
        <v>43.36</v>
      </c>
      <c r="K140">
        <v>41.75</v>
      </c>
      <c r="L140">
        <v>0.5</v>
      </c>
      <c r="M140" t="s">
        <v>1589</v>
      </c>
      <c r="N140">
        <v>1</v>
      </c>
      <c r="O140">
        <v>8008071424.5</v>
      </c>
      <c r="P140">
        <v>1907444059868.564</v>
      </c>
      <c r="Q140">
        <v>1729099045862.738</v>
      </c>
      <c r="R140">
        <v>90.650052719338163</v>
      </c>
      <c r="S140">
        <v>1</v>
      </c>
      <c r="T140">
        <v>3.7770927452687409E-3</v>
      </c>
      <c r="U140">
        <v>3.7770927452687409E-3</v>
      </c>
      <c r="V140">
        <v>1</v>
      </c>
      <c r="W140" t="b">
        <v>0</v>
      </c>
    </row>
    <row r="141" spans="1:23" x14ac:dyDescent="0.25">
      <c r="A141" t="s">
        <v>459</v>
      </c>
      <c r="B141" t="s">
        <v>33</v>
      </c>
      <c r="C141" t="s">
        <v>863</v>
      </c>
      <c r="D141">
        <v>462029966</v>
      </c>
      <c r="E141" t="s">
        <v>873</v>
      </c>
      <c r="F141">
        <v>22.48</v>
      </c>
      <c r="G141" t="s">
        <v>872</v>
      </c>
      <c r="H141" t="s">
        <v>1230</v>
      </c>
      <c r="I141">
        <v>1</v>
      </c>
      <c r="J141">
        <v>24.13</v>
      </c>
      <c r="K141">
        <v>22.48</v>
      </c>
      <c r="L141">
        <v>0.75</v>
      </c>
      <c r="M141" t="s">
        <v>1589</v>
      </c>
      <c r="N141">
        <v>1</v>
      </c>
      <c r="O141">
        <v>7789825226.7600002</v>
      </c>
      <c r="P141">
        <v>1907444059868.564</v>
      </c>
      <c r="Q141">
        <v>1736888871089.498</v>
      </c>
      <c r="R141">
        <v>91.058443475882655</v>
      </c>
      <c r="S141">
        <v>1</v>
      </c>
      <c r="T141">
        <v>3.674154586195352E-3</v>
      </c>
      <c r="U141">
        <v>3.674154586195352E-3</v>
      </c>
      <c r="V141">
        <v>1</v>
      </c>
      <c r="W141" t="b">
        <v>0</v>
      </c>
    </row>
    <row r="142" spans="1:23" x14ac:dyDescent="0.25">
      <c r="A142" t="s">
        <v>664</v>
      </c>
      <c r="B142" t="s">
        <v>238</v>
      </c>
      <c r="C142" t="s">
        <v>863</v>
      </c>
      <c r="D142">
        <v>286861172</v>
      </c>
      <c r="E142" t="s">
        <v>873</v>
      </c>
      <c r="F142">
        <v>32.840000000000003</v>
      </c>
      <c r="G142" t="s">
        <v>872</v>
      </c>
      <c r="H142" t="s">
        <v>1231</v>
      </c>
      <c r="I142">
        <v>1</v>
      </c>
      <c r="J142">
        <v>32.799999999999997</v>
      </c>
      <c r="K142">
        <v>32.840000000000003</v>
      </c>
      <c r="L142">
        <v>0.8</v>
      </c>
      <c r="M142" t="s">
        <v>1589</v>
      </c>
      <c r="N142">
        <v>1</v>
      </c>
      <c r="O142">
        <v>7536416710.7840014</v>
      </c>
      <c r="P142">
        <v>1907444059868.564</v>
      </c>
      <c r="Q142">
        <v>1744425287800.281</v>
      </c>
      <c r="R142">
        <v>91.453548992702011</v>
      </c>
      <c r="S142">
        <v>1</v>
      </c>
      <c r="T142">
        <v>3.554631742735946E-3</v>
      </c>
      <c r="U142">
        <v>3.554631742735946E-3</v>
      </c>
      <c r="V142">
        <v>1</v>
      </c>
      <c r="W142" t="b">
        <v>0</v>
      </c>
    </row>
    <row r="143" spans="1:23" x14ac:dyDescent="0.25">
      <c r="A143" t="s">
        <v>758</v>
      </c>
      <c r="B143" t="s">
        <v>332</v>
      </c>
      <c r="C143" t="s">
        <v>863</v>
      </c>
      <c r="D143">
        <v>299036619</v>
      </c>
      <c r="E143" t="s">
        <v>873</v>
      </c>
      <c r="F143">
        <v>30.81</v>
      </c>
      <c r="G143" t="s">
        <v>872</v>
      </c>
      <c r="H143" t="s">
        <v>1232</v>
      </c>
      <c r="I143">
        <v>1</v>
      </c>
      <c r="J143">
        <v>33.47</v>
      </c>
      <c r="K143">
        <v>30.81</v>
      </c>
      <c r="L143">
        <v>0.75</v>
      </c>
      <c r="M143" t="s">
        <v>1589</v>
      </c>
      <c r="N143">
        <v>1</v>
      </c>
      <c r="O143">
        <v>6909988673.5424995</v>
      </c>
      <c r="P143">
        <v>1907444059868.564</v>
      </c>
      <c r="Q143">
        <v>1751335276473.824</v>
      </c>
      <c r="R143">
        <v>91.815813282330438</v>
      </c>
      <c r="S143">
        <v>1</v>
      </c>
      <c r="T143">
        <v>3.2591702427724198E-3</v>
      </c>
      <c r="U143">
        <v>3.2591702427724198E-3</v>
      </c>
      <c r="V143">
        <v>1</v>
      </c>
      <c r="W143" t="b">
        <v>0</v>
      </c>
    </row>
    <row r="144" spans="1:23" x14ac:dyDescent="0.25">
      <c r="A144" t="s">
        <v>580</v>
      </c>
      <c r="B144" t="s">
        <v>154</v>
      </c>
      <c r="C144" t="s">
        <v>863</v>
      </c>
      <c r="D144">
        <v>182163000</v>
      </c>
      <c r="E144" t="s">
        <v>873</v>
      </c>
      <c r="F144">
        <v>57.78</v>
      </c>
      <c r="G144" t="s">
        <v>872</v>
      </c>
      <c r="H144" t="s">
        <v>1233</v>
      </c>
      <c r="I144">
        <v>1</v>
      </c>
      <c r="J144">
        <v>57.46</v>
      </c>
      <c r="K144">
        <v>57.78</v>
      </c>
      <c r="L144">
        <v>0.65</v>
      </c>
      <c r="M144" t="s">
        <v>1589</v>
      </c>
      <c r="N144">
        <v>1</v>
      </c>
      <c r="O144">
        <v>6841495791</v>
      </c>
      <c r="P144">
        <v>1907444059868.564</v>
      </c>
      <c r="Q144">
        <v>1758176772264.824</v>
      </c>
      <c r="R144">
        <v>92.17448675197187</v>
      </c>
      <c r="S144">
        <v>1</v>
      </c>
      <c r="T144">
        <v>3.226864840380237E-3</v>
      </c>
      <c r="U144">
        <v>3.226864840380237E-3</v>
      </c>
      <c r="V144">
        <v>1</v>
      </c>
      <c r="W144" t="b">
        <v>0</v>
      </c>
    </row>
    <row r="145" spans="1:23" x14ac:dyDescent="0.25">
      <c r="A145" t="s">
        <v>791</v>
      </c>
      <c r="B145" t="s">
        <v>365</v>
      </c>
      <c r="C145" t="s">
        <v>863</v>
      </c>
      <c r="D145">
        <v>168073514</v>
      </c>
      <c r="E145" t="s">
        <v>873</v>
      </c>
      <c r="F145">
        <v>43.88</v>
      </c>
      <c r="G145" t="s">
        <v>872</v>
      </c>
      <c r="H145" t="s">
        <v>1234</v>
      </c>
      <c r="I145">
        <v>1</v>
      </c>
      <c r="J145">
        <v>46.76</v>
      </c>
      <c r="K145">
        <v>43.88</v>
      </c>
      <c r="L145">
        <v>0.9</v>
      </c>
      <c r="M145" t="s">
        <v>1589</v>
      </c>
      <c r="N145">
        <v>1</v>
      </c>
      <c r="O145">
        <v>6637559214.8879995</v>
      </c>
      <c r="P145">
        <v>1907444059868.564</v>
      </c>
      <c r="Q145">
        <v>1764814331479.7119</v>
      </c>
      <c r="R145">
        <v>92.522468606566619</v>
      </c>
      <c r="S145">
        <v>1</v>
      </c>
      <c r="T145">
        <v>3.1306759677671688E-3</v>
      </c>
      <c r="U145">
        <v>3.1306759677671688E-3</v>
      </c>
      <c r="V145">
        <v>1</v>
      </c>
      <c r="W145" t="b">
        <v>0</v>
      </c>
    </row>
    <row r="146" spans="1:23" x14ac:dyDescent="0.25">
      <c r="A146" t="s">
        <v>751</v>
      </c>
      <c r="B146" t="s">
        <v>325</v>
      </c>
      <c r="C146" t="s">
        <v>863</v>
      </c>
      <c r="D146">
        <v>295722284</v>
      </c>
      <c r="E146" t="s">
        <v>873</v>
      </c>
      <c r="F146">
        <v>34.32</v>
      </c>
      <c r="G146" t="s">
        <v>872</v>
      </c>
      <c r="H146" t="s">
        <v>1235</v>
      </c>
      <c r="I146">
        <v>1</v>
      </c>
      <c r="J146">
        <v>36.25</v>
      </c>
      <c r="K146">
        <v>34.32</v>
      </c>
      <c r="L146">
        <v>0.65</v>
      </c>
      <c r="M146" t="s">
        <v>1589</v>
      </c>
      <c r="N146">
        <v>1</v>
      </c>
      <c r="O146">
        <v>6596972711.4720001</v>
      </c>
      <c r="P146">
        <v>1907444059868.564</v>
      </c>
      <c r="Q146">
        <v>1771411304191.1841</v>
      </c>
      <c r="R146">
        <v>92.86832266594736</v>
      </c>
      <c r="S146">
        <v>1</v>
      </c>
      <c r="T146">
        <v>3.1115329082860321E-3</v>
      </c>
      <c r="U146">
        <v>3.1115329082860321E-3</v>
      </c>
      <c r="V146">
        <v>1</v>
      </c>
      <c r="W146" t="b">
        <v>0</v>
      </c>
    </row>
    <row r="147" spans="1:23" x14ac:dyDescent="0.25">
      <c r="A147" t="s">
        <v>619</v>
      </c>
      <c r="B147" t="s">
        <v>193</v>
      </c>
      <c r="C147" t="s">
        <v>863</v>
      </c>
      <c r="D147">
        <v>37117772</v>
      </c>
      <c r="E147" t="s">
        <v>873</v>
      </c>
      <c r="F147">
        <v>171.5</v>
      </c>
      <c r="G147" t="s">
        <v>872</v>
      </c>
      <c r="H147" t="s">
        <v>1236</v>
      </c>
      <c r="I147">
        <v>1</v>
      </c>
      <c r="J147">
        <v>159.80000000000001</v>
      </c>
      <c r="K147">
        <v>171.5</v>
      </c>
      <c r="L147">
        <v>1</v>
      </c>
      <c r="M147" t="s">
        <v>1589</v>
      </c>
      <c r="N147">
        <v>1</v>
      </c>
      <c r="O147">
        <v>6365697898</v>
      </c>
      <c r="P147">
        <v>1907444059868.564</v>
      </c>
      <c r="Q147">
        <v>1777777002089.1841</v>
      </c>
      <c r="R147">
        <v>93.202051871009274</v>
      </c>
      <c r="S147">
        <v>1</v>
      </c>
      <c r="T147">
        <v>3.0024496629173728E-3</v>
      </c>
      <c r="U147">
        <v>3.0024496629173728E-3</v>
      </c>
      <c r="V147">
        <v>1</v>
      </c>
      <c r="W147" t="b">
        <v>0</v>
      </c>
    </row>
    <row r="148" spans="1:23" x14ac:dyDescent="0.25">
      <c r="A148" t="s">
        <v>437</v>
      </c>
      <c r="B148" t="s">
        <v>11</v>
      </c>
      <c r="C148" t="s">
        <v>863</v>
      </c>
      <c r="D148">
        <v>77828918</v>
      </c>
      <c r="E148" t="s">
        <v>873</v>
      </c>
      <c r="F148">
        <v>102.6</v>
      </c>
      <c r="G148" t="s">
        <v>872</v>
      </c>
      <c r="H148" t="s">
        <v>1237</v>
      </c>
      <c r="I148">
        <v>1</v>
      </c>
      <c r="J148">
        <v>115.8</v>
      </c>
      <c r="K148">
        <v>102.6</v>
      </c>
      <c r="L148">
        <v>0.75</v>
      </c>
      <c r="M148" t="s">
        <v>1589</v>
      </c>
      <c r="N148">
        <v>1</v>
      </c>
      <c r="O148">
        <v>5988935240.0999994</v>
      </c>
      <c r="P148">
        <v>1907444059868.564</v>
      </c>
      <c r="Q148">
        <v>1783765937329.2839</v>
      </c>
      <c r="R148">
        <v>93.516028850261407</v>
      </c>
      <c r="S148">
        <v>1</v>
      </c>
      <c r="T148">
        <v>2.824745515887852E-3</v>
      </c>
      <c r="U148">
        <v>2.824745515887852E-3</v>
      </c>
      <c r="V148">
        <v>1</v>
      </c>
      <c r="W148" t="b">
        <v>0</v>
      </c>
    </row>
    <row r="149" spans="1:23" x14ac:dyDescent="0.25">
      <c r="A149" t="s">
        <v>770</v>
      </c>
      <c r="B149" t="s">
        <v>344</v>
      </c>
      <c r="C149" t="s">
        <v>863</v>
      </c>
      <c r="D149">
        <v>97330405</v>
      </c>
      <c r="E149" t="s">
        <v>873</v>
      </c>
      <c r="F149">
        <v>190</v>
      </c>
      <c r="G149" t="s">
        <v>872</v>
      </c>
      <c r="H149" t="s">
        <v>1238</v>
      </c>
      <c r="I149">
        <v>1</v>
      </c>
      <c r="J149">
        <v>207.4</v>
      </c>
      <c r="K149">
        <v>190</v>
      </c>
      <c r="L149">
        <v>0.3</v>
      </c>
      <c r="M149" t="s">
        <v>1589</v>
      </c>
      <c r="N149">
        <v>1</v>
      </c>
      <c r="O149">
        <v>5547833085.000001</v>
      </c>
      <c r="P149">
        <v>1907444059868.564</v>
      </c>
      <c r="Q149">
        <v>1789313770414.2839</v>
      </c>
      <c r="R149">
        <v>93.806880529832156</v>
      </c>
      <c r="S149">
        <v>1</v>
      </c>
      <c r="T149">
        <v>2.6166949551931292E-3</v>
      </c>
      <c r="U149">
        <v>2.6166949551931292E-3</v>
      </c>
      <c r="V149">
        <v>1</v>
      </c>
      <c r="W149" t="b">
        <v>0</v>
      </c>
    </row>
    <row r="150" spans="1:23" x14ac:dyDescent="0.25">
      <c r="A150" t="s">
        <v>550</v>
      </c>
      <c r="B150" t="s">
        <v>124</v>
      </c>
      <c r="C150" t="s">
        <v>863</v>
      </c>
      <c r="D150">
        <v>78397034</v>
      </c>
      <c r="E150" t="s">
        <v>873</v>
      </c>
      <c r="F150">
        <v>265.8</v>
      </c>
      <c r="G150" t="s">
        <v>872</v>
      </c>
      <c r="H150" t="s">
        <v>1239</v>
      </c>
      <c r="I150">
        <v>1</v>
      </c>
      <c r="J150">
        <v>270.2</v>
      </c>
      <c r="K150">
        <v>265.8</v>
      </c>
      <c r="L150">
        <v>0.25</v>
      </c>
      <c r="M150" t="s">
        <v>1589</v>
      </c>
      <c r="N150">
        <v>1</v>
      </c>
      <c r="O150">
        <v>5209482909.3000002</v>
      </c>
      <c r="P150">
        <v>1907444059868.564</v>
      </c>
      <c r="Q150">
        <v>1794523253323.584</v>
      </c>
      <c r="R150">
        <v>94.079993803185985</v>
      </c>
      <c r="S150">
        <v>1</v>
      </c>
      <c r="T150">
        <v>2.4571084672296208E-3</v>
      </c>
      <c r="U150">
        <v>2.4571084672296208E-3</v>
      </c>
      <c r="V150">
        <v>1</v>
      </c>
      <c r="W150" t="b">
        <v>0</v>
      </c>
    </row>
    <row r="151" spans="1:23" x14ac:dyDescent="0.25">
      <c r="A151" t="s">
        <v>501</v>
      </c>
      <c r="B151" t="s">
        <v>75</v>
      </c>
      <c r="C151" t="s">
        <v>863</v>
      </c>
      <c r="D151">
        <v>118361220</v>
      </c>
      <c r="E151" t="s">
        <v>873</v>
      </c>
      <c r="F151">
        <v>107.7</v>
      </c>
      <c r="G151" t="s">
        <v>872</v>
      </c>
      <c r="H151" t="s">
        <v>1240</v>
      </c>
      <c r="I151">
        <v>1</v>
      </c>
      <c r="J151">
        <v>106.5</v>
      </c>
      <c r="K151">
        <v>107.7</v>
      </c>
      <c r="L151">
        <v>0.4</v>
      </c>
      <c r="M151" t="s">
        <v>1589</v>
      </c>
      <c r="N151">
        <v>1</v>
      </c>
      <c r="O151">
        <v>5099001357.6000004</v>
      </c>
      <c r="P151">
        <v>1907444059868.564</v>
      </c>
      <c r="Q151">
        <v>1799622254681.1841</v>
      </c>
      <c r="R151">
        <v>94.347314951149357</v>
      </c>
      <c r="S151">
        <v>1</v>
      </c>
      <c r="T151">
        <v>2.4049986588511132E-3</v>
      </c>
      <c r="U151">
        <v>2.4049986588511132E-3</v>
      </c>
      <c r="V151">
        <v>1</v>
      </c>
      <c r="W151" t="b">
        <v>0</v>
      </c>
    </row>
    <row r="152" spans="1:23" x14ac:dyDescent="0.25">
      <c r="A152" t="s">
        <v>611</v>
      </c>
      <c r="B152" t="s">
        <v>185</v>
      </c>
      <c r="C152" t="s">
        <v>863</v>
      </c>
      <c r="D152">
        <v>550000000</v>
      </c>
      <c r="E152" t="s">
        <v>873</v>
      </c>
      <c r="F152">
        <v>15.23</v>
      </c>
      <c r="G152" t="s">
        <v>872</v>
      </c>
      <c r="H152" t="s">
        <v>1241</v>
      </c>
      <c r="I152">
        <v>1</v>
      </c>
      <c r="J152">
        <v>15.3</v>
      </c>
      <c r="K152">
        <v>15.23</v>
      </c>
      <c r="L152">
        <v>0.55000000000000004</v>
      </c>
      <c r="M152" t="s">
        <v>1589</v>
      </c>
      <c r="N152">
        <v>1</v>
      </c>
      <c r="O152">
        <v>4607075000</v>
      </c>
      <c r="P152">
        <v>1907444059868.564</v>
      </c>
      <c r="Q152">
        <v>1804229329681.1841</v>
      </c>
      <c r="R152">
        <v>94.588846280792524</v>
      </c>
      <c r="S152">
        <v>1</v>
      </c>
      <c r="T152">
        <v>2.1729763181396041E-3</v>
      </c>
      <c r="U152">
        <v>2.1729763181396041E-3</v>
      </c>
      <c r="V152">
        <v>1</v>
      </c>
      <c r="W152" t="b">
        <v>0</v>
      </c>
    </row>
    <row r="153" spans="1:23" x14ac:dyDescent="0.25">
      <c r="A153" t="s">
        <v>802</v>
      </c>
      <c r="B153" t="s">
        <v>376</v>
      </c>
      <c r="C153" t="s">
        <v>863</v>
      </c>
      <c r="D153">
        <v>178378708</v>
      </c>
      <c r="E153" t="s">
        <v>873</v>
      </c>
      <c r="F153">
        <v>33.56</v>
      </c>
      <c r="G153" t="s">
        <v>872</v>
      </c>
      <c r="H153" t="s">
        <v>1242</v>
      </c>
      <c r="I153">
        <v>1</v>
      </c>
      <c r="J153">
        <v>32.479999999999997</v>
      </c>
      <c r="K153">
        <v>33.56</v>
      </c>
      <c r="L153">
        <v>0.75</v>
      </c>
      <c r="M153" t="s">
        <v>1589</v>
      </c>
      <c r="N153">
        <v>1</v>
      </c>
      <c r="O153">
        <v>4489792080.3600006</v>
      </c>
      <c r="P153">
        <v>1907444059868.564</v>
      </c>
      <c r="Q153">
        <v>1808719121761.5439</v>
      </c>
      <c r="R153">
        <v>94.824228915325421</v>
      </c>
      <c r="S153">
        <v>1</v>
      </c>
      <c r="T153">
        <v>2.117658571651867E-3</v>
      </c>
      <c r="U153">
        <v>2.117658571651867E-3</v>
      </c>
      <c r="V153">
        <v>1</v>
      </c>
      <c r="W153" t="b">
        <v>0</v>
      </c>
    </row>
    <row r="154" spans="1:23" x14ac:dyDescent="0.25">
      <c r="A154" t="s">
        <v>708</v>
      </c>
      <c r="B154" t="s">
        <v>282</v>
      </c>
      <c r="C154" t="s">
        <v>863</v>
      </c>
      <c r="D154">
        <v>43744779</v>
      </c>
      <c r="E154" t="s">
        <v>873</v>
      </c>
      <c r="F154">
        <v>119.6</v>
      </c>
      <c r="G154" t="s">
        <v>872</v>
      </c>
      <c r="H154" t="s">
        <v>1243</v>
      </c>
      <c r="I154">
        <v>1</v>
      </c>
      <c r="J154">
        <v>126</v>
      </c>
      <c r="K154">
        <v>119.6</v>
      </c>
      <c r="L154">
        <v>0.85000000000000009</v>
      </c>
      <c r="M154" t="s">
        <v>1589</v>
      </c>
      <c r="N154">
        <v>1</v>
      </c>
      <c r="O154">
        <v>4447094233.1400003</v>
      </c>
      <c r="P154">
        <v>1907444059868.564</v>
      </c>
      <c r="Q154">
        <v>1813166215994.6841</v>
      </c>
      <c r="R154">
        <v>95.057373064960231</v>
      </c>
      <c r="S154">
        <v>1</v>
      </c>
      <c r="T154">
        <v>2.097519674228969E-3</v>
      </c>
      <c r="U154">
        <v>2.097519674228969E-3</v>
      </c>
      <c r="V154">
        <v>1</v>
      </c>
      <c r="W154" t="b">
        <v>0</v>
      </c>
    </row>
    <row r="155" spans="1:23" x14ac:dyDescent="0.25">
      <c r="A155" t="s">
        <v>562</v>
      </c>
      <c r="B155" t="s">
        <v>136</v>
      </c>
      <c r="C155" t="s">
        <v>863</v>
      </c>
      <c r="D155">
        <v>239891064</v>
      </c>
      <c r="E155" t="s">
        <v>873</v>
      </c>
      <c r="F155">
        <v>18.425000000000001</v>
      </c>
      <c r="G155" t="s">
        <v>872</v>
      </c>
      <c r="H155" t="s">
        <v>1244</v>
      </c>
      <c r="I155">
        <v>1</v>
      </c>
      <c r="J155">
        <v>18.454999999999998</v>
      </c>
      <c r="K155">
        <v>18.425000000000001</v>
      </c>
      <c r="L155">
        <v>1</v>
      </c>
      <c r="M155" t="s">
        <v>1589</v>
      </c>
      <c r="N155">
        <v>1</v>
      </c>
      <c r="O155">
        <v>4419992854.1999998</v>
      </c>
      <c r="P155">
        <v>1907444059868.564</v>
      </c>
      <c r="Q155">
        <v>1817586208848.884</v>
      </c>
      <c r="R155">
        <v>95.289096392904355</v>
      </c>
      <c r="S155">
        <v>1</v>
      </c>
      <c r="T155">
        <v>2.0847370182866302E-3</v>
      </c>
      <c r="U155">
        <v>2.0847370182866302E-3</v>
      </c>
      <c r="V155">
        <v>1</v>
      </c>
      <c r="W155" t="b">
        <v>0</v>
      </c>
    </row>
    <row r="156" spans="1:23" x14ac:dyDescent="0.25">
      <c r="A156" t="s">
        <v>645</v>
      </c>
      <c r="B156" t="s">
        <v>219</v>
      </c>
      <c r="C156" t="s">
        <v>863</v>
      </c>
      <c r="D156">
        <v>83814526</v>
      </c>
      <c r="E156" t="s">
        <v>873</v>
      </c>
      <c r="F156">
        <v>127.1</v>
      </c>
      <c r="G156" t="s">
        <v>872</v>
      </c>
      <c r="H156" t="s">
        <v>1245</v>
      </c>
      <c r="I156">
        <v>1</v>
      </c>
      <c r="J156">
        <v>121.5</v>
      </c>
      <c r="K156">
        <v>127.1</v>
      </c>
      <c r="L156">
        <v>0.4</v>
      </c>
      <c r="M156" t="s">
        <v>1589</v>
      </c>
      <c r="N156">
        <v>1</v>
      </c>
      <c r="O156">
        <v>4261130501.8400002</v>
      </c>
      <c r="P156">
        <v>1907444059868.564</v>
      </c>
      <c r="Q156">
        <v>1821847339350.7241</v>
      </c>
      <c r="R156">
        <v>95.5124911750367</v>
      </c>
      <c r="S156">
        <v>1</v>
      </c>
      <c r="T156">
        <v>2.009807886565912E-3</v>
      </c>
      <c r="U156">
        <v>2.009807886565912E-3</v>
      </c>
      <c r="V156">
        <v>1</v>
      </c>
      <c r="W156" t="b">
        <v>0</v>
      </c>
    </row>
    <row r="157" spans="1:23" x14ac:dyDescent="0.25">
      <c r="A157" t="s">
        <v>773</v>
      </c>
      <c r="B157" t="s">
        <v>347</v>
      </c>
      <c r="C157" t="s">
        <v>863</v>
      </c>
      <c r="D157">
        <v>179363695</v>
      </c>
      <c r="E157" t="s">
        <v>873</v>
      </c>
      <c r="F157">
        <v>26.96</v>
      </c>
      <c r="G157" t="s">
        <v>872</v>
      </c>
      <c r="H157" t="s">
        <v>1246</v>
      </c>
      <c r="I157">
        <v>1</v>
      </c>
      <c r="J157">
        <v>27.12</v>
      </c>
      <c r="K157">
        <v>26.96</v>
      </c>
      <c r="L157">
        <v>0.85000000000000009</v>
      </c>
      <c r="M157" t="s">
        <v>1589</v>
      </c>
      <c r="N157">
        <v>1</v>
      </c>
      <c r="O157">
        <v>4110298434.6199999</v>
      </c>
      <c r="P157">
        <v>1907444059868.564</v>
      </c>
      <c r="Q157">
        <v>1825957637785.344</v>
      </c>
      <c r="R157">
        <v>95.727978408507823</v>
      </c>
      <c r="S157">
        <v>1</v>
      </c>
      <c r="T157">
        <v>1.9386663249275401E-3</v>
      </c>
      <c r="U157">
        <v>1.9386663249275401E-3</v>
      </c>
      <c r="V157">
        <v>1</v>
      </c>
      <c r="W157" t="b">
        <v>0</v>
      </c>
    </row>
    <row r="158" spans="1:23" x14ac:dyDescent="0.25">
      <c r="A158" t="s">
        <v>463</v>
      </c>
      <c r="B158" t="s">
        <v>37</v>
      </c>
      <c r="C158" t="s">
        <v>863</v>
      </c>
      <c r="D158">
        <v>206386326</v>
      </c>
      <c r="E158" t="s">
        <v>873</v>
      </c>
      <c r="F158">
        <v>66.25</v>
      </c>
      <c r="G158" t="s">
        <v>872</v>
      </c>
      <c r="H158" t="s">
        <v>1247</v>
      </c>
      <c r="I158">
        <v>1</v>
      </c>
      <c r="J158">
        <v>67</v>
      </c>
      <c r="K158">
        <v>66.25</v>
      </c>
      <c r="L158">
        <v>0.3</v>
      </c>
      <c r="M158" t="s">
        <v>1589</v>
      </c>
      <c r="N158">
        <v>1</v>
      </c>
      <c r="O158">
        <v>4101928229.25</v>
      </c>
      <c r="P158">
        <v>1907444059868.564</v>
      </c>
      <c r="Q158">
        <v>1830059566014.594</v>
      </c>
      <c r="R158">
        <v>95.943026824110262</v>
      </c>
      <c r="S158">
        <v>1</v>
      </c>
      <c r="T158">
        <v>1.934718427824286E-3</v>
      </c>
      <c r="U158">
        <v>1.934718427824286E-3</v>
      </c>
      <c r="V158">
        <v>1</v>
      </c>
      <c r="W158" t="b">
        <v>0</v>
      </c>
    </row>
    <row r="159" spans="1:23" x14ac:dyDescent="0.25">
      <c r="A159" t="s">
        <v>568</v>
      </c>
      <c r="B159" t="s">
        <v>142</v>
      </c>
      <c r="C159" t="s">
        <v>863</v>
      </c>
      <c r="D159">
        <v>237553695</v>
      </c>
      <c r="E159" t="s">
        <v>873</v>
      </c>
      <c r="F159">
        <v>24.64</v>
      </c>
      <c r="G159" t="s">
        <v>872</v>
      </c>
      <c r="H159" t="s">
        <v>1248</v>
      </c>
      <c r="I159">
        <v>1</v>
      </c>
      <c r="J159">
        <v>23.66</v>
      </c>
      <c r="K159">
        <v>24.64</v>
      </c>
      <c r="L159">
        <v>0.70000000000000007</v>
      </c>
      <c r="M159" t="s">
        <v>1589</v>
      </c>
      <c r="N159">
        <v>1</v>
      </c>
      <c r="O159">
        <v>4097326131.3600011</v>
      </c>
      <c r="P159">
        <v>1907444059868.564</v>
      </c>
      <c r="Q159">
        <v>1834156892145.9541</v>
      </c>
      <c r="R159">
        <v>96.157833969313899</v>
      </c>
      <c r="S159">
        <v>1</v>
      </c>
      <c r="T159">
        <v>1.93254779901344E-3</v>
      </c>
      <c r="U159">
        <v>1.93254779901344E-3</v>
      </c>
      <c r="V159">
        <v>1</v>
      </c>
      <c r="W159" t="b">
        <v>0</v>
      </c>
    </row>
    <row r="160" spans="1:23" x14ac:dyDescent="0.25">
      <c r="A160" t="s">
        <v>479</v>
      </c>
      <c r="B160" t="s">
        <v>53</v>
      </c>
      <c r="C160" t="s">
        <v>863</v>
      </c>
      <c r="D160">
        <v>816960428</v>
      </c>
      <c r="E160" t="s">
        <v>873</v>
      </c>
      <c r="F160">
        <v>10.65</v>
      </c>
      <c r="G160" t="s">
        <v>872</v>
      </c>
      <c r="H160" t="s">
        <v>1249</v>
      </c>
      <c r="I160">
        <v>1</v>
      </c>
      <c r="J160">
        <v>10.99</v>
      </c>
      <c r="K160">
        <v>10.65</v>
      </c>
      <c r="L160">
        <v>0.45</v>
      </c>
      <c r="M160" t="s">
        <v>1589</v>
      </c>
      <c r="N160">
        <v>1</v>
      </c>
      <c r="O160">
        <v>3915282851.190001</v>
      </c>
      <c r="P160">
        <v>1907444059868.564</v>
      </c>
      <c r="Q160">
        <v>1838072174997.144</v>
      </c>
      <c r="R160">
        <v>96.363097281280162</v>
      </c>
      <c r="S160">
        <v>1</v>
      </c>
      <c r="T160">
        <v>1.8466851341586541E-3</v>
      </c>
      <c r="U160">
        <v>1.8466851341586541E-3</v>
      </c>
      <c r="V160">
        <v>1</v>
      </c>
      <c r="W160" t="b">
        <v>0</v>
      </c>
    </row>
    <row r="161" spans="1:23" x14ac:dyDescent="0.25">
      <c r="A161" t="s">
        <v>785</v>
      </c>
      <c r="B161" t="s">
        <v>359</v>
      </c>
      <c r="C161" t="s">
        <v>863</v>
      </c>
      <c r="D161">
        <v>147454887</v>
      </c>
      <c r="E161" t="s">
        <v>873</v>
      </c>
      <c r="F161">
        <v>47.24</v>
      </c>
      <c r="G161" t="s">
        <v>872</v>
      </c>
      <c r="H161" t="s">
        <v>1250</v>
      </c>
      <c r="I161">
        <v>1</v>
      </c>
      <c r="J161">
        <v>45.18</v>
      </c>
      <c r="K161">
        <v>47.24</v>
      </c>
      <c r="L161">
        <v>0.55000000000000004</v>
      </c>
      <c r="M161" t="s">
        <v>1589</v>
      </c>
      <c r="N161">
        <v>1</v>
      </c>
      <c r="O161">
        <v>3831172874.0339999</v>
      </c>
      <c r="P161">
        <v>1907444059868.564</v>
      </c>
      <c r="Q161">
        <v>1841903347871.178</v>
      </c>
      <c r="R161">
        <v>96.563951028692173</v>
      </c>
      <c r="S161">
        <v>1</v>
      </c>
      <c r="T161">
        <v>1.80701376165457E-3</v>
      </c>
      <c r="U161">
        <v>1.80701376165457E-3</v>
      </c>
      <c r="V161">
        <v>1</v>
      </c>
      <c r="W161" t="b">
        <v>0</v>
      </c>
    </row>
    <row r="162" spans="1:23" x14ac:dyDescent="0.25">
      <c r="A162" t="s">
        <v>610</v>
      </c>
      <c r="B162" t="s">
        <v>184</v>
      </c>
      <c r="C162" t="s">
        <v>863</v>
      </c>
      <c r="D162">
        <v>76792337</v>
      </c>
      <c r="E162" t="s">
        <v>873</v>
      </c>
      <c r="F162">
        <v>78.8</v>
      </c>
      <c r="G162" t="s">
        <v>872</v>
      </c>
      <c r="H162" t="s">
        <v>1251</v>
      </c>
      <c r="I162">
        <v>1</v>
      </c>
      <c r="J162">
        <v>79.55</v>
      </c>
      <c r="K162">
        <v>78.8</v>
      </c>
      <c r="L162">
        <v>0.60000000000000009</v>
      </c>
      <c r="M162" t="s">
        <v>1589</v>
      </c>
      <c r="N162">
        <v>1</v>
      </c>
      <c r="O162">
        <v>3630741693.3600001</v>
      </c>
      <c r="P162">
        <v>1907444059868.564</v>
      </c>
      <c r="Q162">
        <v>1845534089564.5381</v>
      </c>
      <c r="R162">
        <v>96.754296935539386</v>
      </c>
      <c r="S162">
        <v>1</v>
      </c>
      <c r="T162">
        <v>1.712478246382654E-3</v>
      </c>
      <c r="U162">
        <v>1.712478246382654E-3</v>
      </c>
      <c r="V162">
        <v>1</v>
      </c>
      <c r="W162" t="b">
        <v>0</v>
      </c>
    </row>
    <row r="163" spans="1:23" x14ac:dyDescent="0.25">
      <c r="A163" t="s">
        <v>809</v>
      </c>
      <c r="B163" t="s">
        <v>383</v>
      </c>
      <c r="C163" t="s">
        <v>863</v>
      </c>
      <c r="D163">
        <v>59874365</v>
      </c>
      <c r="E163" t="s">
        <v>873</v>
      </c>
      <c r="F163">
        <v>59.8</v>
      </c>
      <c r="G163" t="s">
        <v>872</v>
      </c>
      <c r="H163" t="s">
        <v>1252</v>
      </c>
      <c r="I163">
        <v>1</v>
      </c>
      <c r="J163">
        <v>61.18</v>
      </c>
      <c r="K163">
        <v>59.8</v>
      </c>
      <c r="L163">
        <v>1</v>
      </c>
      <c r="M163" t="s">
        <v>1589</v>
      </c>
      <c r="N163">
        <v>1</v>
      </c>
      <c r="O163">
        <v>3580487027</v>
      </c>
      <c r="P163">
        <v>1907444059868.564</v>
      </c>
      <c r="Q163">
        <v>1849114576591.5381</v>
      </c>
      <c r="R163">
        <v>96.942008182350307</v>
      </c>
      <c r="S163">
        <v>1</v>
      </c>
      <c r="T163">
        <v>1.6887750941925359E-3</v>
      </c>
      <c r="U163">
        <v>1.6887750941925359E-3</v>
      </c>
      <c r="V163">
        <v>1</v>
      </c>
      <c r="W163" t="b">
        <v>0</v>
      </c>
    </row>
    <row r="164" spans="1:23" x14ac:dyDescent="0.25">
      <c r="A164" t="s">
        <v>447</v>
      </c>
      <c r="B164" t="s">
        <v>21</v>
      </c>
      <c r="C164" t="s">
        <v>863</v>
      </c>
      <c r="D164">
        <v>98960602</v>
      </c>
      <c r="E164" t="s">
        <v>873</v>
      </c>
      <c r="F164">
        <v>120.5</v>
      </c>
      <c r="G164" t="s">
        <v>872</v>
      </c>
      <c r="H164" t="s">
        <v>1253</v>
      </c>
      <c r="I164">
        <v>1</v>
      </c>
      <c r="J164">
        <v>130.19999999999999</v>
      </c>
      <c r="K164">
        <v>120.5</v>
      </c>
      <c r="L164">
        <v>0.3</v>
      </c>
      <c r="M164" t="s">
        <v>1589</v>
      </c>
      <c r="N164">
        <v>1</v>
      </c>
      <c r="O164">
        <v>3577425762.3000011</v>
      </c>
      <c r="P164">
        <v>1907444059868.564</v>
      </c>
      <c r="Q164">
        <v>1852692002353.8379</v>
      </c>
      <c r="R164">
        <v>97.129558938756048</v>
      </c>
      <c r="S164">
        <v>1</v>
      </c>
      <c r="T164">
        <v>1.6873312158756739E-3</v>
      </c>
      <c r="U164">
        <v>1.6873312158756739E-3</v>
      </c>
      <c r="V164">
        <v>1</v>
      </c>
      <c r="W164" t="b">
        <v>0</v>
      </c>
    </row>
    <row r="165" spans="1:23" x14ac:dyDescent="0.25">
      <c r="A165" t="s">
        <v>540</v>
      </c>
      <c r="B165" t="s">
        <v>114</v>
      </c>
      <c r="C165" t="s">
        <v>863</v>
      </c>
      <c r="D165">
        <v>111623468</v>
      </c>
      <c r="E165" t="s">
        <v>873</v>
      </c>
      <c r="F165">
        <v>54.95</v>
      </c>
      <c r="G165" t="s">
        <v>872</v>
      </c>
      <c r="H165" t="s">
        <v>1254</v>
      </c>
      <c r="I165">
        <v>1</v>
      </c>
      <c r="J165">
        <v>53.85</v>
      </c>
      <c r="K165">
        <v>54.95</v>
      </c>
      <c r="L165">
        <v>0.5</v>
      </c>
      <c r="M165" t="s">
        <v>1589</v>
      </c>
      <c r="N165">
        <v>1</v>
      </c>
      <c r="O165">
        <v>3066854783.3000002</v>
      </c>
      <c r="P165">
        <v>1907444059868.564</v>
      </c>
      <c r="Q165">
        <v>1855758857137.1379</v>
      </c>
      <c r="R165">
        <v>97.290342410618976</v>
      </c>
      <c r="S165">
        <v>1</v>
      </c>
      <c r="T165">
        <v>1.446514939584024E-3</v>
      </c>
      <c r="U165">
        <v>1.446514939584024E-3</v>
      </c>
      <c r="V165">
        <v>1</v>
      </c>
      <c r="W165" t="b">
        <v>0</v>
      </c>
    </row>
    <row r="166" spans="1:23" x14ac:dyDescent="0.25">
      <c r="A166" t="s">
        <v>589</v>
      </c>
      <c r="B166" t="s">
        <v>163</v>
      </c>
      <c r="C166" t="s">
        <v>863</v>
      </c>
      <c r="D166">
        <v>185270000</v>
      </c>
      <c r="E166" t="s">
        <v>873</v>
      </c>
      <c r="F166">
        <v>24.16</v>
      </c>
      <c r="G166" t="s">
        <v>872</v>
      </c>
      <c r="H166" t="s">
        <v>1255</v>
      </c>
      <c r="I166">
        <v>1</v>
      </c>
      <c r="J166">
        <v>22.92</v>
      </c>
      <c r="K166">
        <v>24.16</v>
      </c>
      <c r="L166">
        <v>0.65</v>
      </c>
      <c r="M166" t="s">
        <v>1589</v>
      </c>
      <c r="N166">
        <v>1</v>
      </c>
      <c r="O166">
        <v>2909480080</v>
      </c>
      <c r="P166">
        <v>1907444059868.564</v>
      </c>
      <c r="Q166">
        <v>1858668337217.1379</v>
      </c>
      <c r="R166">
        <v>97.442875328423156</v>
      </c>
      <c r="S166">
        <v>1</v>
      </c>
      <c r="T166">
        <v>1.3722874734921661E-3</v>
      </c>
      <c r="U166">
        <v>1.3722874734921661E-3</v>
      </c>
      <c r="V166">
        <v>1</v>
      </c>
      <c r="W166" t="b">
        <v>0</v>
      </c>
    </row>
    <row r="167" spans="1:23" x14ac:dyDescent="0.25">
      <c r="A167" t="s">
        <v>469</v>
      </c>
      <c r="B167" t="s">
        <v>43</v>
      </c>
      <c r="C167" t="s">
        <v>863</v>
      </c>
      <c r="D167">
        <v>76060831</v>
      </c>
      <c r="E167" t="s">
        <v>873</v>
      </c>
      <c r="F167">
        <v>50.85</v>
      </c>
      <c r="G167" t="s">
        <v>872</v>
      </c>
      <c r="H167" t="s">
        <v>1256</v>
      </c>
      <c r="I167">
        <v>1</v>
      </c>
      <c r="J167">
        <v>53.2</v>
      </c>
      <c r="K167">
        <v>50.85</v>
      </c>
      <c r="L167">
        <v>0.70000000000000007</v>
      </c>
      <c r="M167" t="s">
        <v>1589</v>
      </c>
      <c r="N167">
        <v>1</v>
      </c>
      <c r="O167">
        <v>2707385279.4450002</v>
      </c>
      <c r="P167">
        <v>1907444059868.564</v>
      </c>
      <c r="Q167">
        <v>1861375722496.583</v>
      </c>
      <c r="R167">
        <v>97.584813188432094</v>
      </c>
      <c r="S167">
        <v>1</v>
      </c>
      <c r="T167">
        <v>1.2769672940670081E-3</v>
      </c>
      <c r="U167">
        <v>1.2769672940670081E-3</v>
      </c>
      <c r="V167">
        <v>1</v>
      </c>
      <c r="W167" t="b">
        <v>0</v>
      </c>
    </row>
    <row r="168" spans="1:23" x14ac:dyDescent="0.25">
      <c r="A168" t="s">
        <v>578</v>
      </c>
      <c r="B168" t="s">
        <v>152</v>
      </c>
      <c r="C168" t="s">
        <v>863</v>
      </c>
      <c r="D168">
        <v>71925760</v>
      </c>
      <c r="E168" t="s">
        <v>873</v>
      </c>
      <c r="F168">
        <v>52.85</v>
      </c>
      <c r="G168" t="s">
        <v>872</v>
      </c>
      <c r="H168" t="s">
        <v>1257</v>
      </c>
      <c r="I168">
        <v>1</v>
      </c>
      <c r="J168">
        <v>53.7</v>
      </c>
      <c r="K168">
        <v>52.85</v>
      </c>
      <c r="L168">
        <v>0.70000000000000007</v>
      </c>
      <c r="M168" t="s">
        <v>1589</v>
      </c>
      <c r="N168">
        <v>1</v>
      </c>
      <c r="O168">
        <v>2660893491.1999998</v>
      </c>
      <c r="P168">
        <v>1907444059868.564</v>
      </c>
      <c r="Q168">
        <v>1864036615987.783</v>
      </c>
      <c r="R168">
        <v>97.724313661719023</v>
      </c>
      <c r="S168">
        <v>1</v>
      </c>
      <c r="T168">
        <v>1.255038943683229E-3</v>
      </c>
      <c r="U168">
        <v>1.255038943683229E-3</v>
      </c>
      <c r="V168">
        <v>1</v>
      </c>
      <c r="W168" t="b">
        <v>0</v>
      </c>
    </row>
    <row r="169" spans="1:23" x14ac:dyDescent="0.25">
      <c r="A169" t="s">
        <v>760</v>
      </c>
      <c r="B169" t="s">
        <v>334</v>
      </c>
      <c r="C169" t="s">
        <v>863</v>
      </c>
      <c r="D169">
        <v>103361773</v>
      </c>
      <c r="E169" t="s">
        <v>873</v>
      </c>
      <c r="F169">
        <v>31.94</v>
      </c>
      <c r="G169" t="s">
        <v>872</v>
      </c>
      <c r="H169" t="s">
        <v>1258</v>
      </c>
      <c r="I169">
        <v>1</v>
      </c>
      <c r="J169">
        <v>31.82</v>
      </c>
      <c r="K169">
        <v>31.94</v>
      </c>
      <c r="L169">
        <v>0.8</v>
      </c>
      <c r="M169" t="s">
        <v>1589</v>
      </c>
      <c r="N169">
        <v>1</v>
      </c>
      <c r="O169">
        <v>2641100023.6960011</v>
      </c>
      <c r="P169">
        <v>1907444059868.564</v>
      </c>
      <c r="Q169">
        <v>1866677716011.479</v>
      </c>
      <c r="R169">
        <v>97.862776439174098</v>
      </c>
      <c r="S169">
        <v>1</v>
      </c>
      <c r="T169">
        <v>1.2457031425208739E-3</v>
      </c>
      <c r="U169">
        <v>1.2457031425208739E-3</v>
      </c>
      <c r="V169">
        <v>1</v>
      </c>
      <c r="W169" t="b">
        <v>0</v>
      </c>
    </row>
    <row r="170" spans="1:23" x14ac:dyDescent="0.25">
      <c r="A170" t="s">
        <v>835</v>
      </c>
      <c r="B170" t="s">
        <v>409</v>
      </c>
      <c r="C170" t="s">
        <v>863</v>
      </c>
      <c r="D170">
        <v>234359146</v>
      </c>
      <c r="E170" t="s">
        <v>873</v>
      </c>
      <c r="F170">
        <v>15.654999999999999</v>
      </c>
      <c r="G170" t="s">
        <v>872</v>
      </c>
      <c r="H170" t="s">
        <v>1259</v>
      </c>
      <c r="I170">
        <v>1</v>
      </c>
      <c r="J170">
        <v>15.324999999999999</v>
      </c>
      <c r="K170">
        <v>15.654999999999999</v>
      </c>
      <c r="L170">
        <v>0.70000000000000007</v>
      </c>
      <c r="M170" t="s">
        <v>1589</v>
      </c>
      <c r="N170">
        <v>1</v>
      </c>
      <c r="O170">
        <v>2568224701.441</v>
      </c>
      <c r="P170">
        <v>1907444059868.564</v>
      </c>
      <c r="Q170">
        <v>1869245940712.9199</v>
      </c>
      <c r="R170">
        <v>97.997418642081897</v>
      </c>
      <c r="S170">
        <v>1</v>
      </c>
      <c r="T170">
        <v>1.211330715452309E-3</v>
      </c>
      <c r="U170">
        <v>1.211330715452309E-3</v>
      </c>
      <c r="V170">
        <v>1</v>
      </c>
      <c r="W170" t="b">
        <v>0</v>
      </c>
    </row>
    <row r="171" spans="1:23" x14ac:dyDescent="0.25">
      <c r="A171" t="s">
        <v>834</v>
      </c>
      <c r="B171" t="s">
        <v>408</v>
      </c>
      <c r="C171" t="s">
        <v>863</v>
      </c>
      <c r="D171">
        <v>245607624</v>
      </c>
      <c r="E171" t="s">
        <v>873</v>
      </c>
      <c r="F171">
        <v>10.505000000000001</v>
      </c>
      <c r="G171" t="s">
        <v>872</v>
      </c>
      <c r="H171" t="s">
        <v>1260</v>
      </c>
      <c r="I171">
        <v>1</v>
      </c>
      <c r="J171">
        <v>11.365</v>
      </c>
      <c r="K171">
        <v>10.505000000000001</v>
      </c>
      <c r="L171">
        <v>0.9</v>
      </c>
      <c r="M171" t="s">
        <v>1589</v>
      </c>
      <c r="N171">
        <v>1</v>
      </c>
      <c r="O171">
        <v>2322097281.1079998</v>
      </c>
      <c r="P171">
        <v>1907444059868.564</v>
      </c>
      <c r="Q171">
        <v>1871568037994.0281</v>
      </c>
      <c r="R171">
        <v>98.119157325273903</v>
      </c>
      <c r="S171">
        <v>1</v>
      </c>
      <c r="T171">
        <v>1.0952420788166129E-3</v>
      </c>
      <c r="U171">
        <v>1.0952420788166129E-3</v>
      </c>
      <c r="V171">
        <v>1</v>
      </c>
      <c r="W171" t="b">
        <v>0</v>
      </c>
    </row>
    <row r="172" spans="1:23" x14ac:dyDescent="0.25">
      <c r="A172" t="s">
        <v>853</v>
      </c>
      <c r="B172" t="s">
        <v>427</v>
      </c>
      <c r="C172" t="s">
        <v>863</v>
      </c>
      <c r="D172">
        <v>44512038</v>
      </c>
      <c r="E172" t="s">
        <v>873</v>
      </c>
      <c r="F172">
        <v>77.3</v>
      </c>
      <c r="G172" t="s">
        <v>872</v>
      </c>
      <c r="H172" t="s">
        <v>1261</v>
      </c>
      <c r="I172">
        <v>1</v>
      </c>
      <c r="J172">
        <v>77.25</v>
      </c>
      <c r="K172">
        <v>77.3</v>
      </c>
      <c r="L172">
        <v>0.60000000000000009</v>
      </c>
      <c r="M172" t="s">
        <v>1589</v>
      </c>
      <c r="N172">
        <v>1</v>
      </c>
      <c r="O172">
        <v>2064468322.4400001</v>
      </c>
      <c r="P172">
        <v>1907444059868.564</v>
      </c>
      <c r="Q172">
        <v>1873632506316.468</v>
      </c>
      <c r="R172">
        <v>98.22738950706497</v>
      </c>
      <c r="S172">
        <v>1</v>
      </c>
      <c r="T172">
        <v>9.7372861831238197E-4</v>
      </c>
      <c r="U172">
        <v>9.7372861831238197E-4</v>
      </c>
      <c r="V172">
        <v>1</v>
      </c>
      <c r="W172" t="b">
        <v>0</v>
      </c>
    </row>
    <row r="173" spans="1:23" x14ac:dyDescent="0.25">
      <c r="A173" t="s">
        <v>775</v>
      </c>
      <c r="B173" t="s">
        <v>349</v>
      </c>
      <c r="C173" t="s">
        <v>863</v>
      </c>
      <c r="D173">
        <v>383457600</v>
      </c>
      <c r="E173" t="s">
        <v>873</v>
      </c>
      <c r="F173">
        <v>5.6550000000000002</v>
      </c>
      <c r="G173" t="s">
        <v>872</v>
      </c>
      <c r="H173" t="s">
        <v>1262</v>
      </c>
      <c r="I173">
        <v>1</v>
      </c>
      <c r="J173">
        <v>5.38</v>
      </c>
      <c r="K173">
        <v>5.6550000000000002</v>
      </c>
      <c r="L173">
        <v>0.95000000000000007</v>
      </c>
      <c r="M173" t="s">
        <v>1589</v>
      </c>
      <c r="N173">
        <v>1</v>
      </c>
      <c r="O173">
        <v>2060030091.5999999</v>
      </c>
      <c r="P173">
        <v>1907444059868.564</v>
      </c>
      <c r="Q173">
        <v>1875692536408.0681</v>
      </c>
      <c r="R173">
        <v>98.335389009380236</v>
      </c>
      <c r="S173">
        <v>1</v>
      </c>
      <c r="T173">
        <v>9.7163527915255555E-4</v>
      </c>
      <c r="U173">
        <v>9.7163527915255555E-4</v>
      </c>
      <c r="V173">
        <v>1</v>
      </c>
      <c r="W173" t="b">
        <v>0</v>
      </c>
    </row>
    <row r="174" spans="1:23" x14ac:dyDescent="0.25">
      <c r="A174" t="s">
        <v>460</v>
      </c>
      <c r="B174" t="s">
        <v>34</v>
      </c>
      <c r="C174" t="s">
        <v>863</v>
      </c>
      <c r="D174">
        <v>35343326</v>
      </c>
      <c r="E174" t="s">
        <v>873</v>
      </c>
      <c r="F174">
        <v>64.8</v>
      </c>
      <c r="G174" t="s">
        <v>872</v>
      </c>
      <c r="H174" t="s">
        <v>1263</v>
      </c>
      <c r="I174">
        <v>1</v>
      </c>
      <c r="J174">
        <v>70.95</v>
      </c>
      <c r="K174">
        <v>64.8</v>
      </c>
      <c r="L174">
        <v>0.85000000000000009</v>
      </c>
      <c r="M174" t="s">
        <v>1589</v>
      </c>
      <c r="N174">
        <v>1</v>
      </c>
      <c r="O174">
        <v>1946710396.0799999</v>
      </c>
      <c r="P174">
        <v>1907444059868.564</v>
      </c>
      <c r="Q174">
        <v>1877639246804.1479</v>
      </c>
      <c r="R174">
        <v>98.437447593274655</v>
      </c>
      <c r="S174">
        <v>1</v>
      </c>
      <c r="T174">
        <v>9.1818682981240996E-4</v>
      </c>
      <c r="U174">
        <v>9.1818682981240996E-4</v>
      </c>
      <c r="V174">
        <v>1</v>
      </c>
      <c r="W174" t="b">
        <v>0</v>
      </c>
    </row>
    <row r="175" spans="1:23" x14ac:dyDescent="0.25">
      <c r="A175" t="s">
        <v>849</v>
      </c>
      <c r="B175" t="s">
        <v>423</v>
      </c>
      <c r="C175" t="s">
        <v>863</v>
      </c>
      <c r="D175">
        <v>16843782</v>
      </c>
      <c r="E175" t="s">
        <v>873</v>
      </c>
      <c r="F175">
        <v>199.9</v>
      </c>
      <c r="G175" t="s">
        <v>872</v>
      </c>
      <c r="H175" t="s">
        <v>1264</v>
      </c>
      <c r="I175">
        <v>1</v>
      </c>
      <c r="J175">
        <v>202.6</v>
      </c>
      <c r="K175">
        <v>199.9</v>
      </c>
      <c r="L175">
        <v>0.55000000000000004</v>
      </c>
      <c r="M175" t="s">
        <v>1589</v>
      </c>
      <c r="N175">
        <v>1</v>
      </c>
      <c r="O175">
        <v>1851889611.99</v>
      </c>
      <c r="P175">
        <v>1907444059868.564</v>
      </c>
      <c r="Q175">
        <v>1879491136416.1379</v>
      </c>
      <c r="R175">
        <v>98.534535085954118</v>
      </c>
      <c r="S175">
        <v>1</v>
      </c>
      <c r="T175">
        <v>8.7346359038283745E-4</v>
      </c>
      <c r="U175">
        <v>8.7346359038283745E-4</v>
      </c>
      <c r="V175">
        <v>1</v>
      </c>
      <c r="W175" t="b">
        <v>0</v>
      </c>
    </row>
    <row r="176" spans="1:23" x14ac:dyDescent="0.25">
      <c r="A176" t="s">
        <v>790</v>
      </c>
      <c r="B176" t="s">
        <v>364</v>
      </c>
      <c r="C176" t="s">
        <v>863</v>
      </c>
      <c r="D176">
        <v>20547701</v>
      </c>
      <c r="E176" t="s">
        <v>873</v>
      </c>
      <c r="F176">
        <v>128.5</v>
      </c>
      <c r="G176" t="s">
        <v>872</v>
      </c>
      <c r="H176" t="s">
        <v>1265</v>
      </c>
      <c r="I176">
        <v>1</v>
      </c>
      <c r="J176">
        <v>144.80000000000001</v>
      </c>
      <c r="K176">
        <v>128.5</v>
      </c>
      <c r="L176">
        <v>0.70000000000000007</v>
      </c>
      <c r="M176" t="s">
        <v>1589</v>
      </c>
      <c r="N176">
        <v>1</v>
      </c>
      <c r="O176">
        <v>1848265704.95</v>
      </c>
      <c r="P176">
        <v>1907444059868.564</v>
      </c>
      <c r="Q176">
        <v>1881339402121.0879</v>
      </c>
      <c r="R176">
        <v>98.631432591041516</v>
      </c>
      <c r="S176">
        <v>1</v>
      </c>
      <c r="T176">
        <v>8.7175433577398932E-4</v>
      </c>
      <c r="U176">
        <v>8.7175433577398932E-4</v>
      </c>
      <c r="V176">
        <v>1</v>
      </c>
      <c r="W176" t="b">
        <v>0</v>
      </c>
    </row>
    <row r="177" spans="1:23" x14ac:dyDescent="0.25">
      <c r="A177" t="s">
        <v>844</v>
      </c>
      <c r="B177" t="s">
        <v>418</v>
      </c>
      <c r="C177" t="s">
        <v>863</v>
      </c>
      <c r="D177">
        <v>1029918125</v>
      </c>
      <c r="E177" t="s">
        <v>873</v>
      </c>
      <c r="F177">
        <v>2.54</v>
      </c>
      <c r="G177" t="s">
        <v>872</v>
      </c>
      <c r="H177" t="s">
        <v>1266</v>
      </c>
      <c r="I177">
        <v>1</v>
      </c>
      <c r="J177">
        <v>2.3650000000000002</v>
      </c>
      <c r="K177">
        <v>2.54</v>
      </c>
      <c r="L177">
        <v>0.70000000000000007</v>
      </c>
      <c r="M177" t="s">
        <v>1589</v>
      </c>
      <c r="N177">
        <v>1</v>
      </c>
      <c r="O177">
        <v>1831194426.25</v>
      </c>
      <c r="P177">
        <v>1907444059868.564</v>
      </c>
      <c r="Q177">
        <v>1883170596547.3379</v>
      </c>
      <c r="R177">
        <v>98.727435114249246</v>
      </c>
      <c r="S177">
        <v>1</v>
      </c>
      <c r="T177">
        <v>8.637024841467722E-4</v>
      </c>
      <c r="U177">
        <v>8.637024841467722E-4</v>
      </c>
      <c r="V177">
        <v>1</v>
      </c>
      <c r="W177" t="b">
        <v>0</v>
      </c>
    </row>
    <row r="178" spans="1:23" x14ac:dyDescent="0.25">
      <c r="A178" t="s">
        <v>600</v>
      </c>
      <c r="B178" t="s">
        <v>174</v>
      </c>
      <c r="C178" t="s">
        <v>863</v>
      </c>
      <c r="D178">
        <v>197089340</v>
      </c>
      <c r="E178" t="s">
        <v>873</v>
      </c>
      <c r="F178">
        <v>10.265000000000001</v>
      </c>
      <c r="G178" t="s">
        <v>872</v>
      </c>
      <c r="H178" t="s">
        <v>1267</v>
      </c>
      <c r="I178">
        <v>1</v>
      </c>
      <c r="J178">
        <v>13</v>
      </c>
      <c r="K178">
        <v>10.265000000000001</v>
      </c>
      <c r="L178">
        <v>0.85000000000000009</v>
      </c>
      <c r="M178" t="s">
        <v>1589</v>
      </c>
      <c r="N178">
        <v>1</v>
      </c>
      <c r="O178">
        <v>1719653763.835</v>
      </c>
      <c r="P178">
        <v>1907444059868.564</v>
      </c>
      <c r="Q178">
        <v>1884890250311.1731</v>
      </c>
      <c r="R178">
        <v>98.817589986940689</v>
      </c>
      <c r="S178">
        <v>1</v>
      </c>
      <c r="T178">
        <v>8.1109313484436249E-4</v>
      </c>
      <c r="U178">
        <v>8.1109313484436249E-4</v>
      </c>
      <c r="V178">
        <v>1</v>
      </c>
      <c r="W178" t="b">
        <v>0</v>
      </c>
    </row>
    <row r="179" spans="1:23" x14ac:dyDescent="0.25">
      <c r="A179" t="s">
        <v>842</v>
      </c>
      <c r="B179" t="s">
        <v>416</v>
      </c>
      <c r="C179" t="s">
        <v>863</v>
      </c>
      <c r="D179">
        <v>8390660</v>
      </c>
      <c r="E179" t="s">
        <v>873</v>
      </c>
      <c r="F179">
        <v>356.5</v>
      </c>
      <c r="G179" t="s">
        <v>872</v>
      </c>
      <c r="H179" t="s">
        <v>1268</v>
      </c>
      <c r="I179">
        <v>1</v>
      </c>
      <c r="J179">
        <v>340.5</v>
      </c>
      <c r="K179">
        <v>356.5</v>
      </c>
      <c r="L179">
        <v>0.5</v>
      </c>
      <c r="M179" t="s">
        <v>1589</v>
      </c>
      <c r="N179">
        <v>1</v>
      </c>
      <c r="O179">
        <v>1495635145</v>
      </c>
      <c r="P179">
        <v>1907444059868.564</v>
      </c>
      <c r="Q179">
        <v>1886385885456.1731</v>
      </c>
      <c r="R179">
        <v>98.896000419858083</v>
      </c>
      <c r="S179">
        <v>1</v>
      </c>
      <c r="T179">
        <v>7.0543235147296128E-4</v>
      </c>
      <c r="U179">
        <v>7.0543235147296128E-4</v>
      </c>
      <c r="V179">
        <v>1</v>
      </c>
      <c r="W179" t="b">
        <v>0</v>
      </c>
    </row>
    <row r="180" spans="1:23" x14ac:dyDescent="0.25">
      <c r="A180" t="s">
        <v>453</v>
      </c>
      <c r="B180" t="s">
        <v>27</v>
      </c>
      <c r="C180" t="s">
        <v>863</v>
      </c>
      <c r="D180">
        <v>262769869</v>
      </c>
      <c r="E180" t="s">
        <v>873</v>
      </c>
      <c r="F180">
        <v>10.225</v>
      </c>
      <c r="G180" t="s">
        <v>872</v>
      </c>
      <c r="H180" t="s">
        <v>1269</v>
      </c>
      <c r="I180">
        <v>1</v>
      </c>
      <c r="J180">
        <v>10.69</v>
      </c>
      <c r="K180">
        <v>10.225</v>
      </c>
      <c r="L180">
        <v>0.55000000000000004</v>
      </c>
      <c r="M180" t="s">
        <v>1589</v>
      </c>
      <c r="N180">
        <v>1</v>
      </c>
      <c r="O180">
        <v>1477752050.7887499</v>
      </c>
      <c r="P180">
        <v>1907444059868.564</v>
      </c>
      <c r="Q180">
        <v>1887863637506.9619</v>
      </c>
      <c r="R180">
        <v>98.973473310512105</v>
      </c>
      <c r="S180">
        <v>1</v>
      </c>
      <c r="T180">
        <v>6.9699759835604753E-4</v>
      </c>
      <c r="U180">
        <v>6.9699759835604753E-4</v>
      </c>
      <c r="V180">
        <v>1</v>
      </c>
      <c r="W180" t="b">
        <v>0</v>
      </c>
    </row>
    <row r="181" spans="1:23" x14ac:dyDescent="0.25">
      <c r="A181" t="s">
        <v>762</v>
      </c>
      <c r="B181" t="s">
        <v>336</v>
      </c>
      <c r="C181" t="s">
        <v>863</v>
      </c>
      <c r="D181">
        <v>55337770</v>
      </c>
      <c r="E181" t="s">
        <v>873</v>
      </c>
      <c r="F181">
        <v>48</v>
      </c>
      <c r="G181" t="s">
        <v>872</v>
      </c>
      <c r="H181" t="s">
        <v>1270</v>
      </c>
      <c r="I181">
        <v>1</v>
      </c>
      <c r="J181">
        <v>49.86</v>
      </c>
      <c r="K181">
        <v>48</v>
      </c>
      <c r="L181">
        <v>0.55000000000000004</v>
      </c>
      <c r="M181" t="s">
        <v>1589</v>
      </c>
      <c r="N181">
        <v>1</v>
      </c>
      <c r="O181">
        <v>1460917128</v>
      </c>
      <c r="P181">
        <v>1907444059868.564</v>
      </c>
      <c r="Q181">
        <v>1889324554634.9619</v>
      </c>
      <c r="R181">
        <v>99.050063610523353</v>
      </c>
      <c r="S181">
        <v>1</v>
      </c>
      <c r="T181">
        <v>6.8905722652844268E-4</v>
      </c>
      <c r="U181">
        <v>6.8905722652844268E-4</v>
      </c>
      <c r="V181">
        <v>1</v>
      </c>
      <c r="W181" t="b">
        <v>0</v>
      </c>
    </row>
    <row r="182" spans="1:23" x14ac:dyDescent="0.25">
      <c r="A182" t="s">
        <v>529</v>
      </c>
      <c r="B182" t="s">
        <v>103</v>
      </c>
      <c r="C182" t="s">
        <v>863</v>
      </c>
      <c r="D182">
        <v>150179792</v>
      </c>
      <c r="E182" t="s">
        <v>873</v>
      </c>
      <c r="F182">
        <v>14.9</v>
      </c>
      <c r="G182" t="s">
        <v>872</v>
      </c>
      <c r="H182" t="s">
        <v>1271</v>
      </c>
      <c r="I182">
        <v>1</v>
      </c>
      <c r="J182">
        <v>14.97</v>
      </c>
      <c r="K182">
        <v>14.9</v>
      </c>
      <c r="L182">
        <v>0.65</v>
      </c>
      <c r="M182" t="s">
        <v>1589</v>
      </c>
      <c r="N182">
        <v>1</v>
      </c>
      <c r="O182">
        <v>1454491285.52</v>
      </c>
      <c r="P182">
        <v>1907444059868.564</v>
      </c>
      <c r="Q182">
        <v>1890779045920.4819</v>
      </c>
      <c r="R182">
        <v>99.126317028179017</v>
      </c>
      <c r="S182">
        <v>1</v>
      </c>
      <c r="T182">
        <v>6.8602640902858971E-4</v>
      </c>
      <c r="U182">
        <v>6.8602640902858971E-4</v>
      </c>
      <c r="V182">
        <v>1</v>
      </c>
      <c r="W182" t="b">
        <v>0</v>
      </c>
    </row>
    <row r="183" spans="1:23" x14ac:dyDescent="0.25">
      <c r="A183" t="s">
        <v>678</v>
      </c>
      <c r="B183" t="s">
        <v>252</v>
      </c>
      <c r="C183" t="s">
        <v>863</v>
      </c>
      <c r="D183">
        <v>46538313</v>
      </c>
      <c r="E183" t="s">
        <v>873</v>
      </c>
      <c r="F183">
        <v>48.45</v>
      </c>
      <c r="G183" t="s">
        <v>872</v>
      </c>
      <c r="H183" t="s">
        <v>1272</v>
      </c>
      <c r="I183">
        <v>1</v>
      </c>
      <c r="J183">
        <v>49.1</v>
      </c>
      <c r="K183">
        <v>48.45</v>
      </c>
      <c r="L183">
        <v>0.5</v>
      </c>
      <c r="M183" t="s">
        <v>1589</v>
      </c>
      <c r="N183">
        <v>1</v>
      </c>
      <c r="O183">
        <v>1127390632.425</v>
      </c>
      <c r="P183">
        <v>1907444059868.564</v>
      </c>
      <c r="Q183">
        <v>1891906436552.907</v>
      </c>
      <c r="R183">
        <v>99.185421809081632</v>
      </c>
      <c r="S183">
        <v>1</v>
      </c>
      <c r="T183">
        <v>5.3174587901259614E-4</v>
      </c>
      <c r="U183">
        <v>5.3174587901259614E-4</v>
      </c>
      <c r="V183">
        <v>1</v>
      </c>
      <c r="W183" t="b">
        <v>0</v>
      </c>
    </row>
    <row r="184" spans="1:23" x14ac:dyDescent="0.25">
      <c r="A184" t="s">
        <v>822</v>
      </c>
      <c r="B184" t="s">
        <v>396</v>
      </c>
      <c r="C184" t="s">
        <v>863</v>
      </c>
      <c r="D184">
        <v>19336269</v>
      </c>
      <c r="E184" t="s">
        <v>873</v>
      </c>
      <c r="F184">
        <v>144.30000000000001</v>
      </c>
      <c r="G184" t="s">
        <v>872</v>
      </c>
      <c r="H184" t="s">
        <v>1273</v>
      </c>
      <c r="I184">
        <v>1</v>
      </c>
      <c r="J184">
        <v>170</v>
      </c>
      <c r="K184">
        <v>144.30000000000001</v>
      </c>
      <c r="L184">
        <v>0.4</v>
      </c>
      <c r="M184" t="s">
        <v>1589</v>
      </c>
      <c r="N184">
        <v>1</v>
      </c>
      <c r="O184">
        <v>1116089446.6800001</v>
      </c>
      <c r="P184">
        <v>1907444059868.564</v>
      </c>
      <c r="Q184">
        <v>1893022525999.5869</v>
      </c>
      <c r="R184">
        <v>99.24393411201946</v>
      </c>
      <c r="S184">
        <v>1</v>
      </c>
      <c r="T184">
        <v>5.2641555359119938E-4</v>
      </c>
      <c r="U184">
        <v>5.2641555359119938E-4</v>
      </c>
      <c r="V184">
        <v>1</v>
      </c>
      <c r="W184" t="b">
        <v>0</v>
      </c>
    </row>
    <row r="185" spans="1:23" x14ac:dyDescent="0.25">
      <c r="A185" t="s">
        <v>729</v>
      </c>
      <c r="B185" t="s">
        <v>303</v>
      </c>
      <c r="C185" t="s">
        <v>863</v>
      </c>
      <c r="D185">
        <v>147174692</v>
      </c>
      <c r="E185" t="s">
        <v>873</v>
      </c>
      <c r="F185">
        <v>13.61</v>
      </c>
      <c r="G185" t="s">
        <v>872</v>
      </c>
      <c r="H185" t="s">
        <v>1274</v>
      </c>
      <c r="I185">
        <v>1</v>
      </c>
      <c r="J185">
        <v>13.31</v>
      </c>
      <c r="K185">
        <v>13.61</v>
      </c>
      <c r="L185">
        <v>0.55000000000000004</v>
      </c>
      <c r="M185" t="s">
        <v>1589</v>
      </c>
      <c r="N185">
        <v>1</v>
      </c>
      <c r="O185">
        <v>1101676156.9660001</v>
      </c>
      <c r="P185">
        <v>1907444059868.564</v>
      </c>
      <c r="Q185">
        <v>1894124202156.553</v>
      </c>
      <c r="R185">
        <v>99.30169078127885</v>
      </c>
      <c r="S185">
        <v>1</v>
      </c>
      <c r="T185">
        <v>5.1961737096664748E-4</v>
      </c>
      <c r="U185">
        <v>5.1961737096664748E-4</v>
      </c>
      <c r="V185">
        <v>1</v>
      </c>
      <c r="W185" t="b">
        <v>0</v>
      </c>
    </row>
    <row r="186" spans="1:23" x14ac:dyDescent="0.25">
      <c r="A186" t="s">
        <v>637</v>
      </c>
      <c r="B186" t="s">
        <v>211</v>
      </c>
      <c r="C186" t="s">
        <v>863</v>
      </c>
      <c r="D186">
        <v>6548328</v>
      </c>
      <c r="E186" t="s">
        <v>873</v>
      </c>
      <c r="F186">
        <v>371</v>
      </c>
      <c r="G186" t="s">
        <v>872</v>
      </c>
      <c r="H186" t="s">
        <v>1275</v>
      </c>
      <c r="I186">
        <v>1</v>
      </c>
      <c r="J186">
        <v>392</v>
      </c>
      <c r="K186">
        <v>371</v>
      </c>
      <c r="L186">
        <v>0.45</v>
      </c>
      <c r="M186" t="s">
        <v>1589</v>
      </c>
      <c r="N186">
        <v>1</v>
      </c>
      <c r="O186">
        <v>1093243359.5999999</v>
      </c>
      <c r="P186">
        <v>1907444059868.564</v>
      </c>
      <c r="Q186">
        <v>1895217445516.1531</v>
      </c>
      <c r="R186">
        <v>99.35900535121047</v>
      </c>
      <c r="S186">
        <v>1</v>
      </c>
      <c r="T186">
        <v>5.1563995167740477E-4</v>
      </c>
      <c r="U186">
        <v>5.1563995167740477E-4</v>
      </c>
      <c r="V186">
        <v>1</v>
      </c>
      <c r="W186" t="b">
        <v>0</v>
      </c>
    </row>
    <row r="187" spans="1:23" x14ac:dyDescent="0.25">
      <c r="A187" t="s">
        <v>646</v>
      </c>
      <c r="B187" t="s">
        <v>220</v>
      </c>
      <c r="C187" t="s">
        <v>863</v>
      </c>
      <c r="D187">
        <v>43203225</v>
      </c>
      <c r="E187" t="s">
        <v>873</v>
      </c>
      <c r="F187">
        <v>31.22</v>
      </c>
      <c r="G187" t="s">
        <v>872</v>
      </c>
      <c r="H187" t="s">
        <v>1276</v>
      </c>
      <c r="I187">
        <v>1</v>
      </c>
      <c r="J187">
        <v>32.520000000000003</v>
      </c>
      <c r="K187">
        <v>31.22</v>
      </c>
      <c r="L187">
        <v>0.8</v>
      </c>
      <c r="M187" t="s">
        <v>1589</v>
      </c>
      <c r="N187">
        <v>1</v>
      </c>
      <c r="O187">
        <v>1079043747.5999999</v>
      </c>
      <c r="P187">
        <v>1907444059868.564</v>
      </c>
      <c r="Q187">
        <v>1896296489263.7529</v>
      </c>
      <c r="R187">
        <v>99.41557548976931</v>
      </c>
      <c r="S187">
        <v>1</v>
      </c>
      <c r="T187">
        <v>5.0894255243758967E-4</v>
      </c>
      <c r="U187">
        <v>5.0894255243758967E-4</v>
      </c>
      <c r="V187">
        <v>1</v>
      </c>
      <c r="W187" t="b">
        <v>0</v>
      </c>
    </row>
    <row r="188" spans="1:23" x14ac:dyDescent="0.25">
      <c r="A188" t="s">
        <v>570</v>
      </c>
      <c r="B188" t="s">
        <v>144</v>
      </c>
      <c r="C188" t="s">
        <v>863</v>
      </c>
      <c r="D188">
        <v>161440050</v>
      </c>
      <c r="E188" t="s">
        <v>873</v>
      </c>
      <c r="F188">
        <v>13.05</v>
      </c>
      <c r="G188" t="s">
        <v>872</v>
      </c>
      <c r="H188" t="s">
        <v>1277</v>
      </c>
      <c r="I188">
        <v>1</v>
      </c>
      <c r="J188">
        <v>13.3</v>
      </c>
      <c r="K188">
        <v>13.05</v>
      </c>
      <c r="L188">
        <v>0.5</v>
      </c>
      <c r="M188" t="s">
        <v>1589</v>
      </c>
      <c r="N188">
        <v>1</v>
      </c>
      <c r="O188">
        <v>1053396326.25</v>
      </c>
      <c r="P188">
        <v>1907444059868.564</v>
      </c>
      <c r="Q188">
        <v>1897349885590.0029</v>
      </c>
      <c r="R188">
        <v>99.470801032075514</v>
      </c>
      <c r="S188">
        <v>1</v>
      </c>
      <c r="T188">
        <v>4.9684567118106612E-4</v>
      </c>
      <c r="U188">
        <v>4.9684567118106612E-4</v>
      </c>
      <c r="V188">
        <v>1</v>
      </c>
      <c r="W188" t="b">
        <v>0</v>
      </c>
    </row>
    <row r="189" spans="1:23" x14ac:dyDescent="0.25">
      <c r="A189" t="s">
        <v>519</v>
      </c>
      <c r="B189" t="s">
        <v>93</v>
      </c>
      <c r="C189" t="s">
        <v>863</v>
      </c>
      <c r="D189">
        <v>140948872</v>
      </c>
      <c r="E189" t="s">
        <v>873</v>
      </c>
      <c r="F189">
        <v>16.399999999999999</v>
      </c>
      <c r="G189" t="s">
        <v>872</v>
      </c>
      <c r="H189" t="s">
        <v>1278</v>
      </c>
      <c r="I189">
        <v>1</v>
      </c>
      <c r="J189">
        <v>16.579999999999998</v>
      </c>
      <c r="K189">
        <v>16.399999999999999</v>
      </c>
      <c r="L189">
        <v>0.45</v>
      </c>
      <c r="M189" t="s">
        <v>1589</v>
      </c>
      <c r="N189">
        <v>1</v>
      </c>
      <c r="O189">
        <v>1040202675.36</v>
      </c>
      <c r="P189">
        <v>1907444059868.564</v>
      </c>
      <c r="Q189">
        <v>1898390088265.363</v>
      </c>
      <c r="R189">
        <v>99.525334881704211</v>
      </c>
      <c r="S189">
        <v>1</v>
      </c>
      <c r="T189">
        <v>4.9062274428411483E-4</v>
      </c>
      <c r="U189">
        <v>4.9062274428411483E-4</v>
      </c>
      <c r="V189">
        <v>1</v>
      </c>
      <c r="W189" t="b">
        <v>0</v>
      </c>
    </row>
    <row r="190" spans="1:23" x14ac:dyDescent="0.25">
      <c r="A190" t="s">
        <v>840</v>
      </c>
      <c r="B190" t="s">
        <v>414</v>
      </c>
      <c r="C190" t="s">
        <v>863</v>
      </c>
      <c r="D190">
        <v>44900000</v>
      </c>
      <c r="E190" t="s">
        <v>873</v>
      </c>
      <c r="F190">
        <v>66</v>
      </c>
      <c r="G190" t="s">
        <v>872</v>
      </c>
      <c r="H190" t="s">
        <v>1279</v>
      </c>
      <c r="I190">
        <v>1</v>
      </c>
      <c r="J190">
        <v>73.2</v>
      </c>
      <c r="K190">
        <v>66</v>
      </c>
      <c r="L190">
        <v>0.35</v>
      </c>
      <c r="M190" t="s">
        <v>1589</v>
      </c>
      <c r="N190">
        <v>1</v>
      </c>
      <c r="O190">
        <v>1037190000</v>
      </c>
      <c r="P190">
        <v>1907444059868.564</v>
      </c>
      <c r="Q190">
        <v>1899427278265.363</v>
      </c>
      <c r="R190">
        <v>99.579710788281076</v>
      </c>
      <c r="S190">
        <v>1</v>
      </c>
      <c r="T190">
        <v>4.8920178365041082E-4</v>
      </c>
      <c r="U190">
        <v>4.8920178365041082E-4</v>
      </c>
      <c r="V190">
        <v>1</v>
      </c>
      <c r="W190" t="b">
        <v>0</v>
      </c>
    </row>
    <row r="191" spans="1:23" x14ac:dyDescent="0.25">
      <c r="A191" t="s">
        <v>693</v>
      </c>
      <c r="B191" t="s">
        <v>267</v>
      </c>
      <c r="C191" t="s">
        <v>863</v>
      </c>
      <c r="D191">
        <v>93886501</v>
      </c>
      <c r="E191" t="s">
        <v>873</v>
      </c>
      <c r="F191">
        <v>10.58</v>
      </c>
      <c r="G191" t="s">
        <v>872</v>
      </c>
      <c r="H191" t="s">
        <v>1280</v>
      </c>
      <c r="I191">
        <v>1</v>
      </c>
      <c r="J191">
        <v>10.54</v>
      </c>
      <c r="K191">
        <v>10.58</v>
      </c>
      <c r="L191">
        <v>1</v>
      </c>
      <c r="M191" t="s">
        <v>1589</v>
      </c>
      <c r="N191">
        <v>1</v>
      </c>
      <c r="O191">
        <v>993319180.58000004</v>
      </c>
      <c r="P191">
        <v>1907444059868.564</v>
      </c>
      <c r="Q191">
        <v>1900420597445.9431</v>
      </c>
      <c r="R191">
        <v>99.631786715511595</v>
      </c>
      <c r="S191">
        <v>1</v>
      </c>
      <c r="T191">
        <v>4.6850964131345312E-4</v>
      </c>
      <c r="U191">
        <v>4.6850964131345312E-4</v>
      </c>
      <c r="V191">
        <v>1</v>
      </c>
      <c r="W191" t="b">
        <v>0</v>
      </c>
    </row>
    <row r="192" spans="1:23" x14ac:dyDescent="0.25">
      <c r="A192" t="s">
        <v>585</v>
      </c>
      <c r="B192" t="s">
        <v>159</v>
      </c>
      <c r="C192" t="s">
        <v>863</v>
      </c>
      <c r="D192">
        <v>50936749</v>
      </c>
      <c r="E192" t="s">
        <v>873</v>
      </c>
      <c r="F192">
        <v>42.3</v>
      </c>
      <c r="G192" t="s">
        <v>872</v>
      </c>
      <c r="H192" t="s">
        <v>1281</v>
      </c>
      <c r="I192">
        <v>1</v>
      </c>
      <c r="J192">
        <v>47.3</v>
      </c>
      <c r="K192">
        <v>42.3</v>
      </c>
      <c r="L192">
        <v>0.45</v>
      </c>
      <c r="M192" t="s">
        <v>1589</v>
      </c>
      <c r="N192">
        <v>1</v>
      </c>
      <c r="O192">
        <v>969581017.21499991</v>
      </c>
      <c r="P192">
        <v>1907444059868.564</v>
      </c>
      <c r="Q192">
        <v>1901390178463.158</v>
      </c>
      <c r="R192">
        <v>99.68261814158663</v>
      </c>
      <c r="S192">
        <v>1</v>
      </c>
      <c r="T192">
        <v>4.573132820555131E-4</v>
      </c>
      <c r="U192">
        <v>4.573132820555131E-4</v>
      </c>
      <c r="V192">
        <v>1</v>
      </c>
      <c r="W192" t="b">
        <v>0</v>
      </c>
    </row>
    <row r="193" spans="1:23" x14ac:dyDescent="0.25">
      <c r="A193" t="s">
        <v>652</v>
      </c>
      <c r="B193" t="s">
        <v>226</v>
      </c>
      <c r="C193" t="s">
        <v>863</v>
      </c>
      <c r="D193">
        <v>214128663</v>
      </c>
      <c r="E193" t="s">
        <v>873</v>
      </c>
      <c r="F193">
        <v>14.89</v>
      </c>
      <c r="G193" t="s">
        <v>872</v>
      </c>
      <c r="H193" t="s">
        <v>1282</v>
      </c>
      <c r="I193">
        <v>1</v>
      </c>
      <c r="J193">
        <v>15.49</v>
      </c>
      <c r="K193">
        <v>14.89</v>
      </c>
      <c r="L193">
        <v>0.3</v>
      </c>
      <c r="M193" t="s">
        <v>1589</v>
      </c>
      <c r="N193">
        <v>1</v>
      </c>
      <c r="O193">
        <v>956512737.62100017</v>
      </c>
      <c r="P193">
        <v>1907444059868.564</v>
      </c>
      <c r="Q193">
        <v>1902346691200.7791</v>
      </c>
      <c r="R193">
        <v>99.73276444772192</v>
      </c>
      <c r="S193">
        <v>1</v>
      </c>
      <c r="T193">
        <v>4.5114948787447869E-4</v>
      </c>
      <c r="U193">
        <v>4.5114948787447869E-4</v>
      </c>
      <c r="V193">
        <v>1</v>
      </c>
      <c r="W193" t="b">
        <v>0</v>
      </c>
    </row>
    <row r="194" spans="1:23" x14ac:dyDescent="0.25">
      <c r="A194" t="s">
        <v>690</v>
      </c>
      <c r="B194" t="s">
        <v>264</v>
      </c>
      <c r="C194" t="s">
        <v>863</v>
      </c>
      <c r="D194">
        <v>33125992</v>
      </c>
      <c r="E194" t="s">
        <v>873</v>
      </c>
      <c r="F194">
        <v>28.26</v>
      </c>
      <c r="G194" t="s">
        <v>872</v>
      </c>
      <c r="H194" t="s">
        <v>1283</v>
      </c>
      <c r="I194">
        <v>1</v>
      </c>
      <c r="J194">
        <v>29.16</v>
      </c>
      <c r="L194">
        <v>1</v>
      </c>
      <c r="M194" t="s">
        <v>1589</v>
      </c>
      <c r="N194">
        <v>0</v>
      </c>
      <c r="O194">
        <v>936140533.92000008</v>
      </c>
      <c r="P194">
        <v>1907444059868.564</v>
      </c>
      <c r="Q194">
        <v>1903282831734.699</v>
      </c>
      <c r="R194">
        <v>99.781842717099039</v>
      </c>
      <c r="S194">
        <v>1</v>
      </c>
      <c r="T194">
        <v>4.4154071957993408E-4</v>
      </c>
      <c r="U194">
        <v>4.4154071957993408E-4</v>
      </c>
      <c r="V194">
        <v>1</v>
      </c>
      <c r="W194" t="b">
        <v>0</v>
      </c>
    </row>
    <row r="195" spans="1:23" x14ac:dyDescent="0.25">
      <c r="A195" t="s">
        <v>682</v>
      </c>
      <c r="B195" t="s">
        <v>256</v>
      </c>
      <c r="C195" t="s">
        <v>871</v>
      </c>
      <c r="D195">
        <v>991996494</v>
      </c>
      <c r="E195" t="s">
        <v>873</v>
      </c>
      <c r="F195">
        <v>1.4510000000000001</v>
      </c>
      <c r="G195" t="s">
        <v>872</v>
      </c>
      <c r="H195" t="s">
        <v>1284</v>
      </c>
      <c r="I195">
        <v>1</v>
      </c>
      <c r="J195">
        <v>1.5125</v>
      </c>
      <c r="K195">
        <v>1.4510000000000001</v>
      </c>
      <c r="L195">
        <v>0.6</v>
      </c>
      <c r="M195" t="s">
        <v>1589</v>
      </c>
      <c r="N195">
        <v>1</v>
      </c>
      <c r="O195">
        <v>863632147.67640007</v>
      </c>
      <c r="P195">
        <v>1907444059868.564</v>
      </c>
      <c r="Q195">
        <v>1904146463882.375</v>
      </c>
      <c r="R195">
        <v>99.827119648981167</v>
      </c>
      <c r="S195">
        <v>1</v>
      </c>
      <c r="T195">
        <v>4.0734136181522169E-4</v>
      </c>
      <c r="U195">
        <v>4.0734136181522169E-4</v>
      </c>
      <c r="V195">
        <v>1</v>
      </c>
      <c r="W195" t="b">
        <v>0</v>
      </c>
    </row>
    <row r="196" spans="1:23" x14ac:dyDescent="0.25">
      <c r="A196" t="s">
        <v>749</v>
      </c>
      <c r="B196" t="s">
        <v>323</v>
      </c>
      <c r="C196" t="s">
        <v>863</v>
      </c>
      <c r="D196">
        <v>52589879</v>
      </c>
      <c r="E196" t="s">
        <v>873</v>
      </c>
      <c r="F196">
        <v>41.04</v>
      </c>
      <c r="G196" t="s">
        <v>872</v>
      </c>
      <c r="H196" t="s">
        <v>1285</v>
      </c>
      <c r="I196">
        <v>1</v>
      </c>
      <c r="J196">
        <v>36.4</v>
      </c>
      <c r="K196">
        <v>41.04</v>
      </c>
      <c r="L196">
        <v>0.4</v>
      </c>
      <c r="M196" t="s">
        <v>1589</v>
      </c>
      <c r="N196">
        <v>1</v>
      </c>
      <c r="O196">
        <v>863315453.66400003</v>
      </c>
      <c r="P196">
        <v>1907444059868.564</v>
      </c>
      <c r="Q196">
        <v>1905009779336.0391</v>
      </c>
      <c r="R196">
        <v>99.872379977806915</v>
      </c>
      <c r="S196">
        <v>1</v>
      </c>
      <c r="T196">
        <v>4.0719198968886352E-4</v>
      </c>
      <c r="U196">
        <v>4.0719198968886352E-4</v>
      </c>
      <c r="V196">
        <v>1</v>
      </c>
      <c r="W196" t="b">
        <v>0</v>
      </c>
    </row>
    <row r="197" spans="1:23" x14ac:dyDescent="0.25">
      <c r="A197" t="s">
        <v>468</v>
      </c>
      <c r="B197" t="s">
        <v>42</v>
      </c>
      <c r="C197" t="s">
        <v>863</v>
      </c>
      <c r="D197">
        <v>25737689</v>
      </c>
      <c r="E197" t="s">
        <v>873</v>
      </c>
      <c r="F197">
        <v>65.7</v>
      </c>
      <c r="G197" t="s">
        <v>872</v>
      </c>
      <c r="H197" t="s">
        <v>1286</v>
      </c>
      <c r="I197">
        <v>1</v>
      </c>
      <c r="J197">
        <v>62.6</v>
      </c>
      <c r="K197">
        <v>65.7</v>
      </c>
      <c r="L197">
        <v>0.5</v>
      </c>
      <c r="M197" t="s">
        <v>1589</v>
      </c>
      <c r="N197">
        <v>1</v>
      </c>
      <c r="O197">
        <v>845483083.6500001</v>
      </c>
      <c r="P197">
        <v>1907444059868.564</v>
      </c>
      <c r="Q197">
        <v>1905855262419.689</v>
      </c>
      <c r="R197">
        <v>99.91670542364507</v>
      </c>
      <c r="S197">
        <v>1</v>
      </c>
      <c r="T197">
        <v>3.9878116118341808E-4</v>
      </c>
      <c r="U197">
        <v>3.9878116118341808E-4</v>
      </c>
      <c r="V197">
        <v>1</v>
      </c>
      <c r="W197" t="b">
        <v>0</v>
      </c>
    </row>
    <row r="198" spans="1:23" x14ac:dyDescent="0.25">
      <c r="A198" t="s">
        <v>715</v>
      </c>
      <c r="B198" t="s">
        <v>289</v>
      </c>
      <c r="C198" t="s">
        <v>863</v>
      </c>
      <c r="D198">
        <v>144022153</v>
      </c>
      <c r="E198" t="s">
        <v>873</v>
      </c>
      <c r="F198">
        <v>14.12</v>
      </c>
      <c r="G198" t="s">
        <v>872</v>
      </c>
      <c r="H198" t="s">
        <v>1287</v>
      </c>
      <c r="I198">
        <v>1</v>
      </c>
      <c r="J198">
        <v>15.2</v>
      </c>
      <c r="K198">
        <v>14.12</v>
      </c>
      <c r="L198">
        <v>0.4</v>
      </c>
      <c r="M198" t="s">
        <v>1589</v>
      </c>
      <c r="N198">
        <v>0</v>
      </c>
      <c r="O198">
        <v>813437120.14400005</v>
      </c>
      <c r="P198">
        <v>1907444059868.564</v>
      </c>
      <c r="Q198">
        <v>1906668699539.833</v>
      </c>
      <c r="R198">
        <v>99.959350822126652</v>
      </c>
      <c r="S198">
        <v>1</v>
      </c>
      <c r="T198">
        <v>3.8366633891755451E-4</v>
      </c>
      <c r="U198">
        <v>3.8366633891755451E-4</v>
      </c>
      <c r="V198">
        <v>1</v>
      </c>
      <c r="W198" t="b">
        <v>0</v>
      </c>
    </row>
    <row r="199" spans="1:23" x14ac:dyDescent="0.25">
      <c r="A199" t="s">
        <v>814</v>
      </c>
      <c r="B199" t="s">
        <v>388</v>
      </c>
      <c r="C199" t="s">
        <v>863</v>
      </c>
      <c r="D199">
        <v>211284237</v>
      </c>
      <c r="E199" t="s">
        <v>873</v>
      </c>
      <c r="F199">
        <v>8.1549999999999994</v>
      </c>
      <c r="G199" t="s">
        <v>872</v>
      </c>
      <c r="H199" t="s">
        <v>1288</v>
      </c>
      <c r="I199">
        <v>1</v>
      </c>
      <c r="J199">
        <v>7.97</v>
      </c>
      <c r="K199">
        <v>8.1549999999999994</v>
      </c>
      <c r="L199">
        <v>0.45</v>
      </c>
      <c r="M199" t="s">
        <v>1589</v>
      </c>
      <c r="N199">
        <v>0</v>
      </c>
      <c r="O199">
        <v>775360328.73074996</v>
      </c>
      <c r="P199">
        <v>1907444059868.564</v>
      </c>
      <c r="Q199">
        <v>1907444059868.564</v>
      </c>
      <c r="R199">
        <v>100</v>
      </c>
      <c r="S199">
        <v>1</v>
      </c>
      <c r="T199">
        <v>3.6570701201019259E-4</v>
      </c>
      <c r="U199">
        <v>3.6570701201019259E-4</v>
      </c>
      <c r="V199">
        <v>1</v>
      </c>
      <c r="W199" t="b">
        <v>0</v>
      </c>
    </row>
    <row r="200" spans="1:23" x14ac:dyDescent="0.25">
      <c r="A200" t="s">
        <v>986</v>
      </c>
      <c r="B200" t="s">
        <v>1053</v>
      </c>
      <c r="C200" t="s">
        <v>860</v>
      </c>
      <c r="D200">
        <v>1228504300</v>
      </c>
      <c r="E200" t="s">
        <v>873</v>
      </c>
      <c r="F200">
        <v>205</v>
      </c>
      <c r="G200" t="s">
        <v>872</v>
      </c>
      <c r="H200" t="s">
        <v>1289</v>
      </c>
      <c r="I200">
        <v>1</v>
      </c>
      <c r="J200">
        <v>209.3</v>
      </c>
      <c r="K200">
        <v>205</v>
      </c>
      <c r="L200">
        <v>0.9</v>
      </c>
      <c r="M200" t="s">
        <v>1590</v>
      </c>
      <c r="N200">
        <v>0</v>
      </c>
      <c r="O200">
        <v>226659043350</v>
      </c>
      <c r="P200">
        <v>1701668566501.9141</v>
      </c>
      <c r="Q200">
        <v>226659043350</v>
      </c>
      <c r="R200">
        <v>13.31981137877739</v>
      </c>
      <c r="S200">
        <v>0</v>
      </c>
      <c r="V200">
        <v>1</v>
      </c>
      <c r="W200" t="b">
        <v>0</v>
      </c>
    </row>
    <row r="201" spans="1:23" x14ac:dyDescent="0.25">
      <c r="A201" t="s">
        <v>987</v>
      </c>
      <c r="B201" t="s">
        <v>1054</v>
      </c>
      <c r="C201" t="s">
        <v>860</v>
      </c>
      <c r="D201">
        <v>800000000</v>
      </c>
      <c r="E201" t="s">
        <v>873</v>
      </c>
      <c r="F201">
        <v>219.15</v>
      </c>
      <c r="G201" t="s">
        <v>872</v>
      </c>
      <c r="H201" t="s">
        <v>1290</v>
      </c>
      <c r="I201">
        <v>1</v>
      </c>
      <c r="J201">
        <v>238.85</v>
      </c>
      <c r="K201">
        <v>219.15</v>
      </c>
      <c r="L201">
        <v>0.95</v>
      </c>
      <c r="M201" t="s">
        <v>1590</v>
      </c>
      <c r="N201">
        <v>0</v>
      </c>
      <c r="O201">
        <v>166554000000</v>
      </c>
      <c r="P201">
        <v>1701668566501.9141</v>
      </c>
      <c r="Q201">
        <v>393213043350</v>
      </c>
      <c r="R201">
        <v>23.10749878622487</v>
      </c>
      <c r="S201">
        <v>0</v>
      </c>
      <c r="V201">
        <v>1</v>
      </c>
      <c r="W201" t="b">
        <v>0</v>
      </c>
    </row>
    <row r="202" spans="1:23" x14ac:dyDescent="0.25">
      <c r="A202" t="s">
        <v>988</v>
      </c>
      <c r="B202" t="s">
        <v>1055</v>
      </c>
      <c r="C202" t="s">
        <v>860</v>
      </c>
      <c r="D202">
        <v>386166700</v>
      </c>
      <c r="E202" t="s">
        <v>873</v>
      </c>
      <c r="F202">
        <v>363.1</v>
      </c>
      <c r="G202" t="s">
        <v>872</v>
      </c>
      <c r="H202" t="s">
        <v>1291</v>
      </c>
      <c r="I202">
        <v>1</v>
      </c>
      <c r="J202">
        <v>384</v>
      </c>
      <c r="K202">
        <v>363.1</v>
      </c>
      <c r="L202">
        <v>1</v>
      </c>
      <c r="M202" t="s">
        <v>1590</v>
      </c>
      <c r="N202">
        <v>0</v>
      </c>
      <c r="O202">
        <v>140217128770</v>
      </c>
      <c r="P202">
        <v>1701668566501.9141</v>
      </c>
      <c r="Q202">
        <v>533430172120</v>
      </c>
      <c r="R202">
        <v>31.34747756530296</v>
      </c>
      <c r="S202">
        <v>0</v>
      </c>
      <c r="V202">
        <v>1</v>
      </c>
      <c r="W202" t="b">
        <v>0</v>
      </c>
    </row>
    <row r="203" spans="1:23" x14ac:dyDescent="0.25">
      <c r="A203" t="s">
        <v>989</v>
      </c>
      <c r="B203" t="s">
        <v>1056</v>
      </c>
      <c r="C203" t="s">
        <v>860</v>
      </c>
      <c r="D203">
        <v>4905190400</v>
      </c>
      <c r="E203" t="s">
        <v>873</v>
      </c>
      <c r="F203">
        <v>27.62</v>
      </c>
      <c r="G203" t="s">
        <v>872</v>
      </c>
      <c r="H203" t="s">
        <v>1292</v>
      </c>
      <c r="I203">
        <v>1</v>
      </c>
      <c r="J203">
        <v>26.92</v>
      </c>
      <c r="K203">
        <v>27.62</v>
      </c>
      <c r="L203">
        <v>0.7</v>
      </c>
      <c r="M203" t="s">
        <v>1590</v>
      </c>
      <c r="N203">
        <v>0</v>
      </c>
      <c r="O203">
        <v>94836951193.599991</v>
      </c>
      <c r="P203">
        <v>1701668566501.9141</v>
      </c>
      <c r="Q203">
        <v>628267123313.59998</v>
      </c>
      <c r="R203">
        <v>36.920651628719689</v>
      </c>
      <c r="S203">
        <v>0</v>
      </c>
      <c r="V203">
        <v>1</v>
      </c>
      <c r="W203" t="b">
        <v>0</v>
      </c>
    </row>
    <row r="204" spans="1:23" x14ac:dyDescent="0.25">
      <c r="A204" t="s">
        <v>990</v>
      </c>
      <c r="B204" t="s">
        <v>1057</v>
      </c>
      <c r="C204" t="s">
        <v>860</v>
      </c>
      <c r="D204">
        <v>861104900</v>
      </c>
      <c r="E204" t="s">
        <v>873</v>
      </c>
      <c r="F204">
        <v>100.8</v>
      </c>
      <c r="G204" t="s">
        <v>872</v>
      </c>
      <c r="H204" t="s">
        <v>1293</v>
      </c>
      <c r="I204">
        <v>1</v>
      </c>
      <c r="J204">
        <v>123.5</v>
      </c>
      <c r="K204">
        <v>100.8</v>
      </c>
      <c r="L204">
        <v>0.9</v>
      </c>
      <c r="M204" t="s">
        <v>1590</v>
      </c>
      <c r="N204">
        <v>0</v>
      </c>
      <c r="O204">
        <v>78119436528</v>
      </c>
      <c r="P204">
        <v>1701668566501.9141</v>
      </c>
      <c r="Q204">
        <v>706386559841.59998</v>
      </c>
      <c r="R204">
        <v>41.511406730260319</v>
      </c>
      <c r="S204">
        <v>0</v>
      </c>
      <c r="V204">
        <v>1</v>
      </c>
      <c r="W204" t="b">
        <v>0</v>
      </c>
    </row>
    <row r="205" spans="1:23" x14ac:dyDescent="0.25">
      <c r="A205" t="s">
        <v>991</v>
      </c>
      <c r="B205" t="s">
        <v>1058</v>
      </c>
      <c r="C205" t="s">
        <v>860</v>
      </c>
      <c r="D205">
        <v>46002533</v>
      </c>
      <c r="E205" t="s">
        <v>873</v>
      </c>
      <c r="F205">
        <v>1519.5</v>
      </c>
      <c r="G205" t="s">
        <v>872</v>
      </c>
      <c r="H205" t="s">
        <v>1294</v>
      </c>
      <c r="I205">
        <v>1</v>
      </c>
      <c r="J205">
        <v>1602.5</v>
      </c>
      <c r="K205">
        <v>1519.5</v>
      </c>
      <c r="L205">
        <v>1</v>
      </c>
      <c r="M205" t="s">
        <v>1590</v>
      </c>
      <c r="N205">
        <v>0</v>
      </c>
      <c r="O205">
        <v>69900848893.5</v>
      </c>
      <c r="P205">
        <v>1701668566501.9141</v>
      </c>
      <c r="Q205">
        <v>776287408735.09998</v>
      </c>
      <c r="R205">
        <v>45.619189542350092</v>
      </c>
      <c r="S205">
        <v>0</v>
      </c>
      <c r="V205">
        <v>1</v>
      </c>
      <c r="W205" t="b">
        <v>0</v>
      </c>
    </row>
    <row r="206" spans="1:23" x14ac:dyDescent="0.25">
      <c r="A206" t="s">
        <v>992</v>
      </c>
      <c r="B206" t="s">
        <v>1059</v>
      </c>
      <c r="C206" t="s">
        <v>860</v>
      </c>
      <c r="D206">
        <v>130645070</v>
      </c>
      <c r="E206" t="s">
        <v>873</v>
      </c>
      <c r="F206">
        <v>532.4</v>
      </c>
      <c r="G206" t="s">
        <v>872</v>
      </c>
      <c r="H206" t="s">
        <v>1295</v>
      </c>
      <c r="I206">
        <v>1</v>
      </c>
      <c r="J206">
        <v>558.79999999999995</v>
      </c>
      <c r="K206">
        <v>532.4</v>
      </c>
      <c r="L206">
        <v>1</v>
      </c>
      <c r="M206" t="s">
        <v>1590</v>
      </c>
      <c r="N206">
        <v>0</v>
      </c>
      <c r="O206">
        <v>69555435268</v>
      </c>
      <c r="P206">
        <v>1701668566501.9141</v>
      </c>
      <c r="Q206">
        <v>845842844003.09998</v>
      </c>
      <c r="R206">
        <v>49.706673829080707</v>
      </c>
      <c r="S206">
        <v>0</v>
      </c>
      <c r="V206">
        <v>1</v>
      </c>
      <c r="W206" t="b">
        <v>0</v>
      </c>
    </row>
    <row r="207" spans="1:23" x14ac:dyDescent="0.25">
      <c r="A207" t="s">
        <v>993</v>
      </c>
      <c r="B207" t="s">
        <v>1060</v>
      </c>
      <c r="C207" t="s">
        <v>860</v>
      </c>
      <c r="D207">
        <v>1948252900</v>
      </c>
      <c r="E207" t="s">
        <v>873</v>
      </c>
      <c r="F207">
        <v>29.385000000000002</v>
      </c>
      <c r="G207" t="s">
        <v>872</v>
      </c>
      <c r="H207" t="s">
        <v>1296</v>
      </c>
      <c r="I207">
        <v>1</v>
      </c>
      <c r="J207">
        <v>32.61</v>
      </c>
      <c r="K207">
        <v>29.385000000000002</v>
      </c>
      <c r="L207">
        <v>1</v>
      </c>
      <c r="M207" t="s">
        <v>1590</v>
      </c>
      <c r="N207">
        <v>0</v>
      </c>
      <c r="O207">
        <v>57249411466.5</v>
      </c>
      <c r="P207">
        <v>1701668566501.9141</v>
      </c>
      <c r="Q207">
        <v>903092255469.59998</v>
      </c>
      <c r="R207">
        <v>53.070984165034467</v>
      </c>
      <c r="S207">
        <v>0</v>
      </c>
      <c r="V207">
        <v>1</v>
      </c>
      <c r="W207" t="b">
        <v>0</v>
      </c>
    </row>
    <row r="208" spans="1:23" x14ac:dyDescent="0.25">
      <c r="A208" t="s">
        <v>994</v>
      </c>
      <c r="B208" t="s">
        <v>1061</v>
      </c>
      <c r="C208" t="s">
        <v>860</v>
      </c>
      <c r="D208">
        <v>1200000000</v>
      </c>
      <c r="E208" t="s">
        <v>873</v>
      </c>
      <c r="F208">
        <v>43</v>
      </c>
      <c r="G208" t="s">
        <v>872</v>
      </c>
      <c r="H208" t="s">
        <v>1297</v>
      </c>
      <c r="I208">
        <v>1</v>
      </c>
      <c r="J208">
        <v>47</v>
      </c>
      <c r="K208">
        <v>43</v>
      </c>
      <c r="L208">
        <v>0.85</v>
      </c>
      <c r="M208" t="s">
        <v>1590</v>
      </c>
      <c r="N208">
        <v>0</v>
      </c>
      <c r="O208">
        <v>43860000000</v>
      </c>
      <c r="P208">
        <v>1701668566501.9141</v>
      </c>
      <c r="Q208">
        <v>946952255469.59998</v>
      </c>
      <c r="R208">
        <v>55.648454353025443</v>
      </c>
      <c r="S208">
        <v>0</v>
      </c>
      <c r="V208">
        <v>1</v>
      </c>
      <c r="W208" t="b">
        <v>0</v>
      </c>
    </row>
    <row r="209" spans="1:23" x14ac:dyDescent="0.25">
      <c r="A209" t="s">
        <v>995</v>
      </c>
      <c r="B209" t="s">
        <v>1062</v>
      </c>
      <c r="C209" t="s">
        <v>860</v>
      </c>
      <c r="D209">
        <v>1305921100</v>
      </c>
      <c r="E209" t="s">
        <v>873</v>
      </c>
      <c r="F209">
        <v>31.695</v>
      </c>
      <c r="G209" t="s">
        <v>872</v>
      </c>
      <c r="H209" t="s">
        <v>1298</v>
      </c>
      <c r="I209">
        <v>1</v>
      </c>
      <c r="J209">
        <v>36.57</v>
      </c>
      <c r="K209">
        <v>31.695</v>
      </c>
      <c r="L209">
        <v>1</v>
      </c>
      <c r="M209" t="s">
        <v>1590</v>
      </c>
      <c r="N209">
        <v>0</v>
      </c>
      <c r="O209">
        <v>41391169264.5</v>
      </c>
      <c r="P209">
        <v>1701668566501.9141</v>
      </c>
      <c r="Q209">
        <v>988343424734.09998</v>
      </c>
      <c r="R209">
        <v>58.080841603945103</v>
      </c>
      <c r="S209">
        <v>0</v>
      </c>
      <c r="V209">
        <v>1</v>
      </c>
      <c r="W209" t="b">
        <v>0</v>
      </c>
    </row>
    <row r="210" spans="1:23" x14ac:dyDescent="0.25">
      <c r="A210" t="s">
        <v>996</v>
      </c>
      <c r="B210" t="s">
        <v>1063</v>
      </c>
      <c r="C210" t="s">
        <v>860</v>
      </c>
      <c r="D210">
        <v>188300000</v>
      </c>
      <c r="E210" t="s">
        <v>873</v>
      </c>
      <c r="F210">
        <v>218.9</v>
      </c>
      <c r="G210" t="s">
        <v>872</v>
      </c>
      <c r="H210" t="s">
        <v>1299</v>
      </c>
      <c r="I210">
        <v>1</v>
      </c>
      <c r="J210">
        <v>215.1</v>
      </c>
      <c r="K210">
        <v>218.9</v>
      </c>
      <c r="L210">
        <v>1</v>
      </c>
      <c r="M210" t="s">
        <v>1590</v>
      </c>
      <c r="N210">
        <v>0</v>
      </c>
      <c r="O210">
        <v>41218870000</v>
      </c>
      <c r="P210">
        <v>1701668566501.9141</v>
      </c>
      <c r="Q210">
        <v>1029562294734.1</v>
      </c>
      <c r="R210">
        <v>60.503103542104583</v>
      </c>
      <c r="S210">
        <v>0</v>
      </c>
      <c r="V210">
        <v>1</v>
      </c>
      <c r="W210" t="b">
        <v>0</v>
      </c>
    </row>
    <row r="211" spans="1:23" x14ac:dyDescent="0.25">
      <c r="A211" t="s">
        <v>997</v>
      </c>
      <c r="B211" t="s">
        <v>1064</v>
      </c>
      <c r="C211" t="s">
        <v>860</v>
      </c>
      <c r="D211">
        <v>962903700</v>
      </c>
      <c r="E211" t="s">
        <v>873</v>
      </c>
      <c r="F211">
        <v>57.02</v>
      </c>
      <c r="G211" t="s">
        <v>872</v>
      </c>
      <c r="H211" t="s">
        <v>1300</v>
      </c>
      <c r="I211">
        <v>1</v>
      </c>
      <c r="J211">
        <v>61.15</v>
      </c>
      <c r="K211">
        <v>57.02</v>
      </c>
      <c r="L211">
        <v>0.75</v>
      </c>
      <c r="M211" t="s">
        <v>1590</v>
      </c>
      <c r="N211">
        <v>0</v>
      </c>
      <c r="O211">
        <v>41178576730.5</v>
      </c>
      <c r="P211">
        <v>1701668566501.9141</v>
      </c>
      <c r="Q211">
        <v>1070740871464.6</v>
      </c>
      <c r="R211">
        <v>62.922997612026201</v>
      </c>
      <c r="S211">
        <v>0</v>
      </c>
      <c r="V211">
        <v>1</v>
      </c>
      <c r="W211" t="b">
        <v>0</v>
      </c>
    </row>
    <row r="212" spans="1:23" x14ac:dyDescent="0.25">
      <c r="A212" t="s">
        <v>998</v>
      </c>
      <c r="B212" t="s">
        <v>1065</v>
      </c>
      <c r="C212" t="s">
        <v>860</v>
      </c>
      <c r="D212">
        <v>893854900</v>
      </c>
      <c r="E212" t="s">
        <v>873</v>
      </c>
      <c r="F212">
        <v>43.79</v>
      </c>
      <c r="G212" t="s">
        <v>872</v>
      </c>
      <c r="H212" t="s">
        <v>1301</v>
      </c>
      <c r="I212">
        <v>1</v>
      </c>
      <c r="J212">
        <v>44.56</v>
      </c>
      <c r="K212">
        <v>43.79</v>
      </c>
      <c r="L212">
        <v>1</v>
      </c>
      <c r="M212" t="s">
        <v>1590</v>
      </c>
      <c r="N212">
        <v>0</v>
      </c>
      <c r="O212">
        <v>39141906071</v>
      </c>
      <c r="P212">
        <v>1701668566501.9141</v>
      </c>
      <c r="Q212">
        <v>1109882777535.6001</v>
      </c>
      <c r="R212">
        <v>65.223204999147612</v>
      </c>
      <c r="S212">
        <v>0</v>
      </c>
      <c r="V212">
        <v>1</v>
      </c>
      <c r="W212" t="b">
        <v>0</v>
      </c>
    </row>
    <row r="213" spans="1:23" x14ac:dyDescent="0.25">
      <c r="A213" t="s">
        <v>999</v>
      </c>
      <c r="B213" t="s">
        <v>1066</v>
      </c>
      <c r="C213" t="s">
        <v>860</v>
      </c>
      <c r="D213">
        <v>2641318800</v>
      </c>
      <c r="E213" t="s">
        <v>873</v>
      </c>
      <c r="F213">
        <v>15.5</v>
      </c>
      <c r="G213" t="s">
        <v>872</v>
      </c>
      <c r="H213" t="s">
        <v>1302</v>
      </c>
      <c r="I213">
        <v>1</v>
      </c>
      <c r="J213">
        <v>14.98</v>
      </c>
      <c r="K213">
        <v>15.5</v>
      </c>
      <c r="L213">
        <v>0.85</v>
      </c>
      <c r="M213" t="s">
        <v>1590</v>
      </c>
      <c r="N213">
        <v>0</v>
      </c>
      <c r="O213">
        <v>34799375190</v>
      </c>
      <c r="P213">
        <v>1701668566501.9141</v>
      </c>
      <c r="Q213">
        <v>1144682152725.6001</v>
      </c>
      <c r="R213">
        <v>67.268219867203641</v>
      </c>
      <c r="S213">
        <v>0</v>
      </c>
      <c r="V213">
        <v>1</v>
      </c>
      <c r="W213" t="b">
        <v>0</v>
      </c>
    </row>
    <row r="214" spans="1:23" x14ac:dyDescent="0.25">
      <c r="A214" t="s">
        <v>761</v>
      </c>
      <c r="B214" t="s">
        <v>335</v>
      </c>
      <c r="C214" t="s">
        <v>860</v>
      </c>
      <c r="D214">
        <v>743841200</v>
      </c>
      <c r="E214" t="s">
        <v>873</v>
      </c>
      <c r="F214">
        <v>44.04</v>
      </c>
      <c r="G214" t="s">
        <v>872</v>
      </c>
      <c r="H214" t="s">
        <v>1303</v>
      </c>
      <c r="I214">
        <v>1</v>
      </c>
      <c r="J214">
        <v>43.1</v>
      </c>
      <c r="K214">
        <v>44.04</v>
      </c>
      <c r="L214">
        <v>0.9</v>
      </c>
      <c r="M214" t="s">
        <v>1590</v>
      </c>
      <c r="N214">
        <v>1</v>
      </c>
      <c r="O214">
        <v>29482889803.200001</v>
      </c>
      <c r="P214">
        <v>1701668566501.9141</v>
      </c>
      <c r="Q214">
        <v>1174165042528.8</v>
      </c>
      <c r="R214">
        <v>69.000806951644378</v>
      </c>
      <c r="S214">
        <v>1</v>
      </c>
      <c r="T214">
        <v>1.3905921074146441E-2</v>
      </c>
      <c r="U214">
        <v>1.3905921074146441E-2</v>
      </c>
      <c r="V214">
        <v>1</v>
      </c>
      <c r="W214" t="b">
        <v>0</v>
      </c>
    </row>
    <row r="215" spans="1:23" x14ac:dyDescent="0.25">
      <c r="A215" t="s">
        <v>492</v>
      </c>
      <c r="B215" t="s">
        <v>66</v>
      </c>
      <c r="C215" t="s">
        <v>860</v>
      </c>
      <c r="D215">
        <v>982424100</v>
      </c>
      <c r="E215" t="s">
        <v>873</v>
      </c>
      <c r="F215">
        <v>27.585000000000001</v>
      </c>
      <c r="G215" t="s">
        <v>872</v>
      </c>
      <c r="H215" t="s">
        <v>1304</v>
      </c>
      <c r="I215">
        <v>1</v>
      </c>
      <c r="J215">
        <v>36.33</v>
      </c>
      <c r="K215">
        <v>27.585000000000001</v>
      </c>
      <c r="L215">
        <v>1</v>
      </c>
      <c r="M215" t="s">
        <v>1590</v>
      </c>
      <c r="N215">
        <v>1</v>
      </c>
      <c r="O215">
        <v>27100168798.5</v>
      </c>
      <c r="P215">
        <v>1701668566501.9141</v>
      </c>
      <c r="Q215">
        <v>1201265211327.3</v>
      </c>
      <c r="R215">
        <v>70.593371410551271</v>
      </c>
      <c r="S215">
        <v>1</v>
      </c>
      <c r="T215">
        <v>1.2782085166125209E-2</v>
      </c>
      <c r="U215">
        <v>1.2782085166125209E-2</v>
      </c>
      <c r="V215">
        <v>1</v>
      </c>
      <c r="W215" t="b">
        <v>0</v>
      </c>
    </row>
    <row r="216" spans="1:23" x14ac:dyDescent="0.25">
      <c r="A216" t="s">
        <v>445</v>
      </c>
      <c r="B216" t="s">
        <v>19</v>
      </c>
      <c r="C216" t="s">
        <v>860</v>
      </c>
      <c r="D216">
        <v>180000000</v>
      </c>
      <c r="E216" t="s">
        <v>873</v>
      </c>
      <c r="F216">
        <v>151.6</v>
      </c>
      <c r="G216" t="s">
        <v>872</v>
      </c>
      <c r="H216" t="s">
        <v>1305</v>
      </c>
      <c r="I216">
        <v>1</v>
      </c>
      <c r="J216">
        <v>164.25</v>
      </c>
      <c r="K216">
        <v>151.6</v>
      </c>
      <c r="L216">
        <v>0.95</v>
      </c>
      <c r="M216" t="s">
        <v>1590</v>
      </c>
      <c r="N216">
        <v>0</v>
      </c>
      <c r="O216">
        <v>25923600000</v>
      </c>
      <c r="P216">
        <v>1701668566501.9141</v>
      </c>
      <c r="Q216">
        <v>1227188811327.3</v>
      </c>
      <c r="R216">
        <v>72.116793803743306</v>
      </c>
      <c r="S216">
        <v>1</v>
      </c>
      <c r="T216">
        <v>1.222714387782353E-2</v>
      </c>
      <c r="U216">
        <v>1.222714387782353E-2</v>
      </c>
      <c r="V216">
        <v>1</v>
      </c>
      <c r="W216" t="b">
        <v>0</v>
      </c>
    </row>
    <row r="217" spans="1:23" x14ac:dyDescent="0.25">
      <c r="A217" t="s">
        <v>625</v>
      </c>
      <c r="B217" t="s">
        <v>199</v>
      </c>
      <c r="C217" t="s">
        <v>860</v>
      </c>
      <c r="D217">
        <v>178430760</v>
      </c>
      <c r="E217" t="s">
        <v>873</v>
      </c>
      <c r="F217">
        <v>206.3</v>
      </c>
      <c r="G217" t="s">
        <v>872</v>
      </c>
      <c r="H217" t="s">
        <v>1306</v>
      </c>
      <c r="I217">
        <v>1</v>
      </c>
      <c r="J217">
        <v>224.7</v>
      </c>
      <c r="K217">
        <v>206.3</v>
      </c>
      <c r="L217">
        <v>0.7</v>
      </c>
      <c r="M217" t="s">
        <v>1590</v>
      </c>
      <c r="N217">
        <v>1</v>
      </c>
      <c r="O217">
        <v>25767186051.599998</v>
      </c>
      <c r="P217">
        <v>1701668566501.9141</v>
      </c>
      <c r="Q217">
        <v>1252955997378.8999</v>
      </c>
      <c r="R217">
        <v>73.631024398280815</v>
      </c>
      <c r="S217">
        <v>1</v>
      </c>
      <c r="T217">
        <v>1.2153369562080921E-2</v>
      </c>
      <c r="U217">
        <v>1.2153369562080921E-2</v>
      </c>
      <c r="V217">
        <v>1</v>
      </c>
      <c r="W217" t="b">
        <v>0</v>
      </c>
    </row>
    <row r="218" spans="1:23" x14ac:dyDescent="0.25">
      <c r="A218" t="s">
        <v>503</v>
      </c>
      <c r="B218" t="s">
        <v>77</v>
      </c>
      <c r="C218" t="s">
        <v>860</v>
      </c>
      <c r="D218">
        <v>561134950</v>
      </c>
      <c r="E218" t="s">
        <v>873</v>
      </c>
      <c r="F218">
        <v>85.08</v>
      </c>
      <c r="G218" t="s">
        <v>872</v>
      </c>
      <c r="H218" t="s">
        <v>1307</v>
      </c>
      <c r="I218">
        <v>1</v>
      </c>
      <c r="J218">
        <v>95.5</v>
      </c>
      <c r="K218">
        <v>85.08</v>
      </c>
      <c r="L218">
        <v>0.5</v>
      </c>
      <c r="M218" t="s">
        <v>1590</v>
      </c>
      <c r="N218">
        <v>1</v>
      </c>
      <c r="O218">
        <v>23870680773</v>
      </c>
      <c r="P218">
        <v>1701668566501.9141</v>
      </c>
      <c r="Q218">
        <v>1276826678151.8999</v>
      </c>
      <c r="R218">
        <v>75.03380524778963</v>
      </c>
      <c r="S218">
        <v>1</v>
      </c>
      <c r="T218">
        <v>1.125886251419814E-2</v>
      </c>
      <c r="U218">
        <v>1.125886251419814E-2</v>
      </c>
      <c r="V218">
        <v>1</v>
      </c>
      <c r="W218" t="b">
        <v>0</v>
      </c>
    </row>
    <row r="219" spans="1:23" x14ac:dyDescent="0.25">
      <c r="A219" t="s">
        <v>533</v>
      </c>
      <c r="B219" t="s">
        <v>107</v>
      </c>
      <c r="C219" t="s">
        <v>860</v>
      </c>
      <c r="D219">
        <v>1127496200</v>
      </c>
      <c r="E219" t="s">
        <v>873</v>
      </c>
      <c r="F219">
        <v>31.84</v>
      </c>
      <c r="G219" t="s">
        <v>872</v>
      </c>
      <c r="H219" t="s">
        <v>1308</v>
      </c>
      <c r="I219">
        <v>1</v>
      </c>
      <c r="J219">
        <v>35.25</v>
      </c>
      <c r="K219">
        <v>31.84</v>
      </c>
      <c r="L219">
        <v>0.6</v>
      </c>
      <c r="M219" t="s">
        <v>1590</v>
      </c>
      <c r="N219">
        <v>1</v>
      </c>
      <c r="O219">
        <v>21539687404.799999</v>
      </c>
      <c r="P219">
        <v>1701668566501.9141</v>
      </c>
      <c r="Q219">
        <v>1298366365556.7</v>
      </c>
      <c r="R219">
        <v>76.299603290300269</v>
      </c>
      <c r="S219">
        <v>1</v>
      </c>
      <c r="T219">
        <v>1.015942450052589E-2</v>
      </c>
      <c r="U219">
        <v>1.015942450052589E-2</v>
      </c>
      <c r="V219">
        <v>1</v>
      </c>
      <c r="W219" t="b">
        <v>0</v>
      </c>
    </row>
    <row r="220" spans="1:23" x14ac:dyDescent="0.25">
      <c r="A220" t="s">
        <v>604</v>
      </c>
      <c r="B220" t="s">
        <v>178</v>
      </c>
      <c r="C220" t="s">
        <v>860</v>
      </c>
      <c r="D220">
        <v>563237300</v>
      </c>
      <c r="E220" t="s">
        <v>873</v>
      </c>
      <c r="F220">
        <v>46.94</v>
      </c>
      <c r="G220" t="s">
        <v>872</v>
      </c>
      <c r="H220" t="s">
        <v>1309</v>
      </c>
      <c r="I220">
        <v>1</v>
      </c>
      <c r="J220">
        <v>47.91</v>
      </c>
      <c r="K220">
        <v>46.94</v>
      </c>
      <c r="L220">
        <v>0.75</v>
      </c>
      <c r="M220" t="s">
        <v>1590</v>
      </c>
      <c r="N220">
        <v>1</v>
      </c>
      <c r="O220">
        <v>19828769146.5</v>
      </c>
      <c r="P220">
        <v>1701668566501.9141</v>
      </c>
      <c r="Q220">
        <v>1318195134703.2</v>
      </c>
      <c r="R220">
        <v>77.464857766808677</v>
      </c>
      <c r="S220">
        <v>1</v>
      </c>
      <c r="T220">
        <v>9.3524515605241405E-3</v>
      </c>
      <c r="U220">
        <v>9.3524515605241405E-3</v>
      </c>
      <c r="V220">
        <v>1</v>
      </c>
      <c r="W220" t="b">
        <v>0</v>
      </c>
    </row>
    <row r="221" spans="1:23" x14ac:dyDescent="0.25">
      <c r="A221" t="s">
        <v>846</v>
      </c>
      <c r="B221" t="s">
        <v>420</v>
      </c>
      <c r="C221" t="s">
        <v>860</v>
      </c>
      <c r="D221">
        <v>206205440</v>
      </c>
      <c r="E221" t="s">
        <v>873</v>
      </c>
      <c r="F221">
        <v>94.72</v>
      </c>
      <c r="G221" t="s">
        <v>872</v>
      </c>
      <c r="H221" t="s">
        <v>1310</v>
      </c>
      <c r="I221">
        <v>1</v>
      </c>
      <c r="J221">
        <v>107.15</v>
      </c>
      <c r="K221">
        <v>94.72</v>
      </c>
      <c r="L221">
        <v>1</v>
      </c>
      <c r="M221" t="s">
        <v>1590</v>
      </c>
      <c r="N221">
        <v>1</v>
      </c>
      <c r="O221">
        <v>19531779276.799999</v>
      </c>
      <c r="P221">
        <v>1701668566501.9141</v>
      </c>
      <c r="Q221">
        <v>1337726913980</v>
      </c>
      <c r="R221">
        <v>78.61265938113543</v>
      </c>
      <c r="S221">
        <v>1</v>
      </c>
      <c r="T221">
        <v>9.2123731043267758E-3</v>
      </c>
      <c r="U221">
        <v>9.2123731043267758E-3</v>
      </c>
      <c r="V221">
        <v>1</v>
      </c>
      <c r="W221" t="b">
        <v>0</v>
      </c>
    </row>
    <row r="222" spans="1:23" x14ac:dyDescent="0.25">
      <c r="A222" t="s">
        <v>847</v>
      </c>
      <c r="B222" t="s">
        <v>421</v>
      </c>
      <c r="C222" t="s">
        <v>860</v>
      </c>
      <c r="D222">
        <v>847785030</v>
      </c>
      <c r="E222" t="s">
        <v>873</v>
      </c>
      <c r="F222">
        <v>26.05</v>
      </c>
      <c r="G222" t="s">
        <v>872</v>
      </c>
      <c r="H222" t="s">
        <v>1311</v>
      </c>
      <c r="I222">
        <v>1</v>
      </c>
      <c r="J222">
        <v>24.12</v>
      </c>
      <c r="K222">
        <v>26.05</v>
      </c>
      <c r="L222">
        <v>0.85</v>
      </c>
      <c r="M222" t="s">
        <v>1590</v>
      </c>
      <c r="N222">
        <v>1</v>
      </c>
      <c r="O222">
        <v>18772080026.775002</v>
      </c>
      <c r="P222">
        <v>1701668566501.9141</v>
      </c>
      <c r="Q222">
        <v>1356498994006.7749</v>
      </c>
      <c r="R222">
        <v>79.715816623169005</v>
      </c>
      <c r="S222">
        <v>1</v>
      </c>
      <c r="T222">
        <v>8.8540528079971651E-3</v>
      </c>
      <c r="U222">
        <v>8.8540528079971651E-3</v>
      </c>
      <c r="V222">
        <v>1</v>
      </c>
      <c r="W222" t="b">
        <v>0</v>
      </c>
    </row>
    <row r="223" spans="1:23" x14ac:dyDescent="0.25">
      <c r="A223" t="s">
        <v>703</v>
      </c>
      <c r="B223" t="s">
        <v>277</v>
      </c>
      <c r="C223" t="s">
        <v>860</v>
      </c>
      <c r="D223">
        <v>53824490</v>
      </c>
      <c r="E223" t="s">
        <v>873</v>
      </c>
      <c r="F223">
        <v>348.6</v>
      </c>
      <c r="G223" t="s">
        <v>872</v>
      </c>
      <c r="H223" t="s">
        <v>1312</v>
      </c>
      <c r="I223">
        <v>1</v>
      </c>
      <c r="J223">
        <v>349.3</v>
      </c>
      <c r="K223">
        <v>348.6</v>
      </c>
      <c r="L223">
        <v>1</v>
      </c>
      <c r="M223" t="s">
        <v>1590</v>
      </c>
      <c r="N223">
        <v>1</v>
      </c>
      <c r="O223">
        <v>18763217214</v>
      </c>
      <c r="P223">
        <v>1701668566501.9141</v>
      </c>
      <c r="Q223">
        <v>1375262211220.7749</v>
      </c>
      <c r="R223">
        <v>80.818453034475084</v>
      </c>
      <c r="S223">
        <v>1</v>
      </c>
      <c r="T223">
        <v>8.8498725673298913E-3</v>
      </c>
      <c r="U223">
        <v>8.8498725673298913E-3</v>
      </c>
      <c r="V223">
        <v>1</v>
      </c>
      <c r="W223" t="b">
        <v>0</v>
      </c>
    </row>
    <row r="224" spans="1:23" x14ac:dyDescent="0.25">
      <c r="A224" t="s">
        <v>547</v>
      </c>
      <c r="B224" t="s">
        <v>121</v>
      </c>
      <c r="C224" t="s">
        <v>860</v>
      </c>
      <c r="D224">
        <v>765600400</v>
      </c>
      <c r="E224" t="s">
        <v>873</v>
      </c>
      <c r="F224">
        <v>35.549999999999997</v>
      </c>
      <c r="G224" t="s">
        <v>872</v>
      </c>
      <c r="H224" t="s">
        <v>1313</v>
      </c>
      <c r="I224">
        <v>1</v>
      </c>
      <c r="J224">
        <v>38.54</v>
      </c>
      <c r="K224">
        <v>35.549999999999997</v>
      </c>
      <c r="L224">
        <v>0.6</v>
      </c>
      <c r="M224" t="s">
        <v>1590</v>
      </c>
      <c r="N224">
        <v>1</v>
      </c>
      <c r="O224">
        <v>16330256532</v>
      </c>
      <c r="P224">
        <v>1701668566501.9141</v>
      </c>
      <c r="Q224">
        <v>1391592467752.7749</v>
      </c>
      <c r="R224">
        <v>81.778114442899025</v>
      </c>
      <c r="S224">
        <v>1</v>
      </c>
      <c r="T224">
        <v>7.7023405768693962E-3</v>
      </c>
      <c r="U224">
        <v>7.7023405768693962E-3</v>
      </c>
      <c r="V224">
        <v>1</v>
      </c>
      <c r="W224" t="b">
        <v>0</v>
      </c>
    </row>
    <row r="225" spans="1:23" x14ac:dyDescent="0.25">
      <c r="A225" t="s">
        <v>621</v>
      </c>
      <c r="B225" t="s">
        <v>195</v>
      </c>
      <c r="C225" t="s">
        <v>860</v>
      </c>
      <c r="D225">
        <v>120597140</v>
      </c>
      <c r="E225" t="s">
        <v>873</v>
      </c>
      <c r="F225">
        <v>254.6</v>
      </c>
      <c r="G225" t="s">
        <v>872</v>
      </c>
      <c r="H225" t="s">
        <v>1314</v>
      </c>
      <c r="I225">
        <v>1</v>
      </c>
      <c r="J225">
        <v>258</v>
      </c>
      <c r="K225">
        <v>254.6</v>
      </c>
      <c r="L225">
        <v>0.5</v>
      </c>
      <c r="M225" t="s">
        <v>1590</v>
      </c>
      <c r="N225">
        <v>1</v>
      </c>
      <c r="O225">
        <v>15352015922</v>
      </c>
      <c r="P225">
        <v>1701668566501.9141</v>
      </c>
      <c r="Q225">
        <v>1406944483674.7749</v>
      </c>
      <c r="R225">
        <v>82.680288710215905</v>
      </c>
      <c r="S225">
        <v>1</v>
      </c>
      <c r="T225">
        <v>7.2409429050337018E-3</v>
      </c>
      <c r="U225">
        <v>7.2409429050337018E-3</v>
      </c>
      <c r="V225">
        <v>1</v>
      </c>
      <c r="W225" t="b">
        <v>0</v>
      </c>
    </row>
    <row r="226" spans="1:23" x14ac:dyDescent="0.25">
      <c r="A226" t="s">
        <v>694</v>
      </c>
      <c r="B226" t="s">
        <v>268</v>
      </c>
      <c r="C226" t="s">
        <v>860</v>
      </c>
      <c r="D226">
        <v>129242250</v>
      </c>
      <c r="E226" t="s">
        <v>873</v>
      </c>
      <c r="F226">
        <v>112.3</v>
      </c>
      <c r="G226" t="s">
        <v>872</v>
      </c>
      <c r="H226" t="s">
        <v>1315</v>
      </c>
      <c r="I226">
        <v>1</v>
      </c>
      <c r="J226">
        <v>119.1</v>
      </c>
      <c r="K226">
        <v>112.3</v>
      </c>
      <c r="L226">
        <v>1</v>
      </c>
      <c r="M226" t="s">
        <v>1590</v>
      </c>
      <c r="N226">
        <v>1</v>
      </c>
      <c r="O226">
        <v>14513904675</v>
      </c>
      <c r="P226">
        <v>1701668566501.9141</v>
      </c>
      <c r="Q226">
        <v>1421458388349.7749</v>
      </c>
      <c r="R226">
        <v>83.533210657574656</v>
      </c>
      <c r="S226">
        <v>1</v>
      </c>
      <c r="T226">
        <v>6.8456387496428194E-3</v>
      </c>
      <c r="U226">
        <v>6.8456387496428194E-3</v>
      </c>
      <c r="V226">
        <v>1</v>
      </c>
      <c r="W226" t="b">
        <v>0</v>
      </c>
    </row>
    <row r="227" spans="1:23" x14ac:dyDescent="0.25">
      <c r="A227" t="s">
        <v>778</v>
      </c>
      <c r="B227" t="s">
        <v>352</v>
      </c>
      <c r="C227" t="s">
        <v>860</v>
      </c>
      <c r="D227">
        <v>1128000000</v>
      </c>
      <c r="E227" t="s">
        <v>873</v>
      </c>
      <c r="F227">
        <v>41.77</v>
      </c>
      <c r="G227" t="s">
        <v>872</v>
      </c>
      <c r="H227" t="s">
        <v>1316</v>
      </c>
      <c r="I227">
        <v>1</v>
      </c>
      <c r="J227">
        <v>43.62</v>
      </c>
      <c r="K227">
        <v>41.77</v>
      </c>
      <c r="L227">
        <v>0.3</v>
      </c>
      <c r="M227" t="s">
        <v>1590</v>
      </c>
      <c r="N227">
        <v>1</v>
      </c>
      <c r="O227">
        <v>14134968000</v>
      </c>
      <c r="P227">
        <v>1701668566501.9141</v>
      </c>
      <c r="Q227">
        <v>1435593356349.7749</v>
      </c>
      <c r="R227">
        <v>84.363864069070459</v>
      </c>
      <c r="S227">
        <v>1</v>
      </c>
      <c r="T227">
        <v>6.6669092041395303E-3</v>
      </c>
      <c r="U227">
        <v>6.6669092041395303E-3</v>
      </c>
      <c r="V227">
        <v>1</v>
      </c>
      <c r="W227" t="b">
        <v>0</v>
      </c>
    </row>
    <row r="228" spans="1:23" x14ac:dyDescent="0.25">
      <c r="A228" t="s">
        <v>629</v>
      </c>
      <c r="B228" t="s">
        <v>203</v>
      </c>
      <c r="C228" t="s">
        <v>860</v>
      </c>
      <c r="D228">
        <v>178162870</v>
      </c>
      <c r="E228" t="s">
        <v>873</v>
      </c>
      <c r="F228">
        <v>70.22</v>
      </c>
      <c r="G228" t="s">
        <v>872</v>
      </c>
      <c r="H228" t="s">
        <v>1317</v>
      </c>
      <c r="I228">
        <v>1</v>
      </c>
      <c r="J228">
        <v>70.16</v>
      </c>
      <c r="K228">
        <v>70.22</v>
      </c>
      <c r="L228">
        <v>0.9</v>
      </c>
      <c r="M228" t="s">
        <v>1590</v>
      </c>
      <c r="N228">
        <v>1</v>
      </c>
      <c r="O228">
        <v>11259537058.26</v>
      </c>
      <c r="P228">
        <v>1701668566501.9141</v>
      </c>
      <c r="Q228">
        <v>1446852893408.0349</v>
      </c>
      <c r="R228">
        <v>85.025540336700303</v>
      </c>
      <c r="S228">
        <v>1</v>
      </c>
      <c r="T228">
        <v>5.3106813717628308E-3</v>
      </c>
      <c r="U228">
        <v>5.3106813717628308E-3</v>
      </c>
      <c r="V228">
        <v>1</v>
      </c>
      <c r="W228" t="b">
        <v>0</v>
      </c>
    </row>
    <row r="229" spans="1:23" x14ac:dyDescent="0.25">
      <c r="A229" t="s">
        <v>539</v>
      </c>
      <c r="B229" t="s">
        <v>113</v>
      </c>
      <c r="C229" t="s">
        <v>860</v>
      </c>
      <c r="D229">
        <v>189000000</v>
      </c>
      <c r="E229" t="s">
        <v>873</v>
      </c>
      <c r="F229">
        <v>60.32</v>
      </c>
      <c r="G229" t="s">
        <v>872</v>
      </c>
      <c r="H229" t="s">
        <v>1318</v>
      </c>
      <c r="I229">
        <v>1</v>
      </c>
      <c r="J229">
        <v>59.74</v>
      </c>
      <c r="K229">
        <v>60.32</v>
      </c>
      <c r="L229">
        <v>0.9</v>
      </c>
      <c r="M229" t="s">
        <v>1590</v>
      </c>
      <c r="N229">
        <v>0</v>
      </c>
      <c r="O229">
        <v>10260432000</v>
      </c>
      <c r="P229">
        <v>1701668566501.9141</v>
      </c>
      <c r="Q229">
        <v>1457113325408.0349</v>
      </c>
      <c r="R229">
        <v>85.628503346182939</v>
      </c>
      <c r="S229">
        <v>1</v>
      </c>
      <c r="T229">
        <v>4.8394427592087768E-3</v>
      </c>
      <c r="U229">
        <v>4.8394427592087768E-3</v>
      </c>
      <c r="V229">
        <v>1</v>
      </c>
      <c r="W229" t="b">
        <v>0</v>
      </c>
    </row>
    <row r="230" spans="1:23" x14ac:dyDescent="0.25">
      <c r="A230" t="s">
        <v>797</v>
      </c>
      <c r="B230" t="s">
        <v>371</v>
      </c>
      <c r="C230" t="s">
        <v>860</v>
      </c>
      <c r="D230">
        <v>139772050</v>
      </c>
      <c r="E230" t="s">
        <v>873</v>
      </c>
      <c r="F230">
        <v>70.84</v>
      </c>
      <c r="G230" t="s">
        <v>872</v>
      </c>
      <c r="H230" t="s">
        <v>1319</v>
      </c>
      <c r="I230">
        <v>1</v>
      </c>
      <c r="J230">
        <v>66.900000000000006</v>
      </c>
      <c r="K230">
        <v>70.84</v>
      </c>
      <c r="L230">
        <v>0.95</v>
      </c>
      <c r="M230" t="s">
        <v>1590</v>
      </c>
      <c r="N230">
        <v>1</v>
      </c>
      <c r="O230">
        <v>9406379420.8999996</v>
      </c>
      <c r="P230">
        <v>1701668566501.9141</v>
      </c>
      <c r="Q230">
        <v>1466519704828.9351</v>
      </c>
      <c r="R230">
        <v>86.18127722977394</v>
      </c>
      <c r="S230">
        <v>1</v>
      </c>
      <c r="T230">
        <v>4.4366197036192004E-3</v>
      </c>
      <c r="U230">
        <v>4.4366197036192004E-3</v>
      </c>
      <c r="V230">
        <v>1</v>
      </c>
      <c r="W230" t="b">
        <v>0</v>
      </c>
    </row>
    <row r="231" spans="1:23" x14ac:dyDescent="0.25">
      <c r="A231" t="s">
        <v>739</v>
      </c>
      <c r="B231" t="s">
        <v>313</v>
      </c>
      <c r="C231" t="s">
        <v>860</v>
      </c>
      <c r="D231">
        <v>216841000</v>
      </c>
      <c r="E231" t="s">
        <v>873</v>
      </c>
      <c r="F231">
        <v>40.380000000000003</v>
      </c>
      <c r="G231" t="s">
        <v>872</v>
      </c>
      <c r="H231" t="s">
        <v>1320</v>
      </c>
      <c r="I231">
        <v>1</v>
      </c>
      <c r="J231">
        <v>38.604999999999997</v>
      </c>
      <c r="K231">
        <v>40.380000000000003</v>
      </c>
      <c r="L231">
        <v>1</v>
      </c>
      <c r="M231" t="s">
        <v>1590</v>
      </c>
      <c r="N231">
        <v>1</v>
      </c>
      <c r="O231">
        <v>8756039580</v>
      </c>
      <c r="P231">
        <v>1701668566501.9141</v>
      </c>
      <c r="Q231">
        <v>1475275744408.9351</v>
      </c>
      <c r="R231">
        <v>86.695833339721943</v>
      </c>
      <c r="S231">
        <v>1</v>
      </c>
      <c r="T231">
        <v>4.1298799450916364E-3</v>
      </c>
      <c r="U231">
        <v>4.1298799450916364E-3</v>
      </c>
      <c r="V231">
        <v>1</v>
      </c>
      <c r="W231" t="b">
        <v>0</v>
      </c>
    </row>
    <row r="232" spans="1:23" x14ac:dyDescent="0.25">
      <c r="A232" t="s">
        <v>609</v>
      </c>
      <c r="B232" t="s">
        <v>183</v>
      </c>
      <c r="C232" t="s">
        <v>860</v>
      </c>
      <c r="D232">
        <v>162801670</v>
      </c>
      <c r="E232" t="s">
        <v>873</v>
      </c>
      <c r="F232">
        <v>57.35</v>
      </c>
      <c r="G232" t="s">
        <v>872</v>
      </c>
      <c r="H232" t="s">
        <v>1321</v>
      </c>
      <c r="I232">
        <v>1</v>
      </c>
      <c r="J232">
        <v>56.05</v>
      </c>
      <c r="K232">
        <v>57.35</v>
      </c>
      <c r="L232">
        <v>0.9</v>
      </c>
      <c r="M232" t="s">
        <v>1590</v>
      </c>
      <c r="N232">
        <v>1</v>
      </c>
      <c r="O232">
        <v>8403008197.0500002</v>
      </c>
      <c r="P232">
        <v>1701668566501.9141</v>
      </c>
      <c r="Q232">
        <v>1483678752605.9851</v>
      </c>
      <c r="R232">
        <v>87.189643260317922</v>
      </c>
      <c r="S232">
        <v>1</v>
      </c>
      <c r="T232">
        <v>3.9633689083252658E-3</v>
      </c>
      <c r="U232">
        <v>3.9633689083252658E-3</v>
      </c>
      <c r="V232">
        <v>1</v>
      </c>
      <c r="W232" t="b">
        <v>0</v>
      </c>
    </row>
    <row r="233" spans="1:23" x14ac:dyDescent="0.25">
      <c r="A233" t="s">
        <v>603</v>
      </c>
      <c r="B233" t="s">
        <v>177</v>
      </c>
      <c r="C233" t="s">
        <v>860</v>
      </c>
      <c r="D233">
        <v>293413450</v>
      </c>
      <c r="E233" t="s">
        <v>873</v>
      </c>
      <c r="F233">
        <v>40.54</v>
      </c>
      <c r="G233" t="s">
        <v>872</v>
      </c>
      <c r="H233" t="s">
        <v>1322</v>
      </c>
      <c r="I233">
        <v>1</v>
      </c>
      <c r="J233">
        <v>39.92</v>
      </c>
      <c r="K233">
        <v>40.54</v>
      </c>
      <c r="L233">
        <v>0.7</v>
      </c>
      <c r="M233" t="s">
        <v>1590</v>
      </c>
      <c r="N233">
        <v>1</v>
      </c>
      <c r="O233">
        <v>8326486884.0999994</v>
      </c>
      <c r="P233">
        <v>1701668566501.9141</v>
      </c>
      <c r="Q233">
        <v>1492005239490.085</v>
      </c>
      <c r="R233">
        <v>87.678956340903085</v>
      </c>
      <c r="S233">
        <v>1</v>
      </c>
      <c r="T233">
        <v>3.9272768106552039E-3</v>
      </c>
      <c r="U233">
        <v>3.9272768106552039E-3</v>
      </c>
      <c r="V233">
        <v>1</v>
      </c>
      <c r="W233" t="b">
        <v>0</v>
      </c>
    </row>
    <row r="234" spans="1:23" x14ac:dyDescent="0.25">
      <c r="A234" t="s">
        <v>684</v>
      </c>
      <c r="B234" t="s">
        <v>258</v>
      </c>
      <c r="C234" t="s">
        <v>860</v>
      </c>
      <c r="D234">
        <v>1200249100</v>
      </c>
      <c r="E234" t="s">
        <v>873</v>
      </c>
      <c r="F234">
        <v>7.9420000000000002</v>
      </c>
      <c r="G234" t="s">
        <v>872</v>
      </c>
      <c r="H234" t="s">
        <v>1323</v>
      </c>
      <c r="I234">
        <v>1</v>
      </c>
      <c r="J234">
        <v>8.08</v>
      </c>
      <c r="K234">
        <v>7.9420000000000002</v>
      </c>
      <c r="L234">
        <v>0.85</v>
      </c>
      <c r="M234" t="s">
        <v>1590</v>
      </c>
      <c r="N234">
        <v>1</v>
      </c>
      <c r="O234">
        <v>8102521599.3700008</v>
      </c>
      <c r="P234">
        <v>1701668566501.9141</v>
      </c>
      <c r="Q234">
        <v>1500107761089.4551</v>
      </c>
      <c r="R234">
        <v>88.155107911124915</v>
      </c>
      <c r="S234">
        <v>1</v>
      </c>
      <c r="T234">
        <v>3.8216411828862441E-3</v>
      </c>
      <c r="U234">
        <v>3.8216411828862441E-3</v>
      </c>
      <c r="V234">
        <v>1</v>
      </c>
      <c r="W234" t="b">
        <v>0</v>
      </c>
    </row>
    <row r="235" spans="1:23" x14ac:dyDescent="0.25">
      <c r="A235" t="s">
        <v>497</v>
      </c>
      <c r="B235" t="s">
        <v>71</v>
      </c>
      <c r="C235" t="s">
        <v>860</v>
      </c>
      <c r="D235">
        <v>242600000</v>
      </c>
      <c r="E235" t="s">
        <v>873</v>
      </c>
      <c r="F235">
        <v>89.2</v>
      </c>
      <c r="G235" t="s">
        <v>872</v>
      </c>
      <c r="H235" t="s">
        <v>1324</v>
      </c>
      <c r="I235">
        <v>1</v>
      </c>
      <c r="J235">
        <v>93.9</v>
      </c>
      <c r="K235">
        <v>89.2</v>
      </c>
      <c r="L235">
        <v>0.35</v>
      </c>
      <c r="M235" t="s">
        <v>1590</v>
      </c>
      <c r="N235">
        <v>1</v>
      </c>
      <c r="O235">
        <v>7573971999.999999</v>
      </c>
      <c r="P235">
        <v>1701668566501.9141</v>
      </c>
      <c r="Q235">
        <v>1507681733089.4551</v>
      </c>
      <c r="R235">
        <v>88.600198814788357</v>
      </c>
      <c r="S235">
        <v>1</v>
      </c>
      <c r="T235">
        <v>3.5723450975407292E-3</v>
      </c>
      <c r="U235">
        <v>3.5723450975407292E-3</v>
      </c>
      <c r="V235">
        <v>1</v>
      </c>
      <c r="W235" t="b">
        <v>0</v>
      </c>
    </row>
    <row r="236" spans="1:23" x14ac:dyDescent="0.25">
      <c r="A236" t="s">
        <v>799</v>
      </c>
      <c r="B236" t="s">
        <v>373</v>
      </c>
      <c r="C236" t="s">
        <v>860</v>
      </c>
      <c r="D236">
        <v>258229000</v>
      </c>
      <c r="E236" t="s">
        <v>873</v>
      </c>
      <c r="F236">
        <v>108.4</v>
      </c>
      <c r="G236" t="s">
        <v>872</v>
      </c>
      <c r="H236" t="s">
        <v>1325</v>
      </c>
      <c r="I236">
        <v>1</v>
      </c>
      <c r="J236">
        <v>109.9</v>
      </c>
      <c r="K236">
        <v>108.4</v>
      </c>
      <c r="L236">
        <v>0.25</v>
      </c>
      <c r="M236" t="s">
        <v>1590</v>
      </c>
      <c r="N236">
        <v>1</v>
      </c>
      <c r="O236">
        <v>6998005900</v>
      </c>
      <c r="P236">
        <v>1701668566501.9141</v>
      </c>
      <c r="Q236">
        <v>1514679738989.4551</v>
      </c>
      <c r="R236">
        <v>89.011442580922306</v>
      </c>
      <c r="S236">
        <v>1</v>
      </c>
      <c r="T236">
        <v>3.300684511300821E-3</v>
      </c>
      <c r="U236">
        <v>3.300684511300821E-3</v>
      </c>
      <c r="V236">
        <v>1</v>
      </c>
      <c r="W236" t="b">
        <v>0</v>
      </c>
    </row>
    <row r="237" spans="1:23" x14ac:dyDescent="0.25">
      <c r="A237" t="s">
        <v>534</v>
      </c>
      <c r="B237" t="s">
        <v>108</v>
      </c>
      <c r="C237" t="s">
        <v>860</v>
      </c>
      <c r="D237">
        <v>200005980</v>
      </c>
      <c r="E237" t="s">
        <v>873</v>
      </c>
      <c r="F237">
        <v>62.74</v>
      </c>
      <c r="G237" t="s">
        <v>872</v>
      </c>
      <c r="H237" t="s">
        <v>1326</v>
      </c>
      <c r="I237">
        <v>1</v>
      </c>
      <c r="J237">
        <v>66.2</v>
      </c>
      <c r="K237">
        <v>62.74</v>
      </c>
      <c r="L237">
        <v>0.55000000000000004</v>
      </c>
      <c r="M237" t="s">
        <v>1590</v>
      </c>
      <c r="N237">
        <v>1</v>
      </c>
      <c r="O237">
        <v>6901606351.8600006</v>
      </c>
      <c r="P237">
        <v>1701668566501.9141</v>
      </c>
      <c r="Q237">
        <v>1521581345341.3149</v>
      </c>
      <c r="R237">
        <v>89.417021345654817</v>
      </c>
      <c r="S237">
        <v>1</v>
      </c>
      <c r="T237">
        <v>3.255216630880472E-3</v>
      </c>
      <c r="U237">
        <v>3.255216630880472E-3</v>
      </c>
      <c r="V237">
        <v>1</v>
      </c>
      <c r="W237" t="b">
        <v>0</v>
      </c>
    </row>
    <row r="238" spans="1:23" x14ac:dyDescent="0.25">
      <c r="A238" t="s">
        <v>630</v>
      </c>
      <c r="B238" t="s">
        <v>204</v>
      </c>
      <c r="C238" t="s">
        <v>860</v>
      </c>
      <c r="D238">
        <v>259795870</v>
      </c>
      <c r="E238" t="s">
        <v>873</v>
      </c>
      <c r="F238">
        <v>65.25</v>
      </c>
      <c r="G238" t="s">
        <v>872</v>
      </c>
      <c r="H238" t="s">
        <v>1327</v>
      </c>
      <c r="I238">
        <v>1</v>
      </c>
      <c r="J238">
        <v>65.3</v>
      </c>
      <c r="L238">
        <v>0.4</v>
      </c>
      <c r="M238" t="s">
        <v>1590</v>
      </c>
      <c r="N238">
        <v>0</v>
      </c>
      <c r="O238">
        <v>6780672207</v>
      </c>
      <c r="P238">
        <v>1701668566501.9141</v>
      </c>
      <c r="Q238">
        <v>1528362017548.3149</v>
      </c>
      <c r="R238">
        <v>89.815493312551325</v>
      </c>
      <c r="S238">
        <v>1</v>
      </c>
      <c r="T238">
        <v>3.1981767448713999E-3</v>
      </c>
      <c r="U238">
        <v>3.1981767448713999E-3</v>
      </c>
      <c r="V238">
        <v>1</v>
      </c>
      <c r="W238" t="b">
        <v>0</v>
      </c>
    </row>
    <row r="239" spans="1:23" x14ac:dyDescent="0.25">
      <c r="A239" t="s">
        <v>774</v>
      </c>
      <c r="B239" t="s">
        <v>348</v>
      </c>
      <c r="C239" t="s">
        <v>860</v>
      </c>
      <c r="D239">
        <v>75000000</v>
      </c>
      <c r="E239" t="s">
        <v>873</v>
      </c>
      <c r="F239">
        <v>88.65</v>
      </c>
      <c r="G239" t="s">
        <v>872</v>
      </c>
      <c r="H239" t="s">
        <v>1328</v>
      </c>
      <c r="I239">
        <v>1</v>
      </c>
      <c r="J239">
        <v>86.3</v>
      </c>
      <c r="K239">
        <v>88.65</v>
      </c>
      <c r="L239">
        <v>0.95</v>
      </c>
      <c r="M239" t="s">
        <v>1590</v>
      </c>
      <c r="N239">
        <v>1</v>
      </c>
      <c r="O239">
        <v>6316312500</v>
      </c>
      <c r="P239">
        <v>1701668566501.9141</v>
      </c>
      <c r="Q239">
        <v>1534678330048.3149</v>
      </c>
      <c r="R239">
        <v>90.186676786486231</v>
      </c>
      <c r="S239">
        <v>1</v>
      </c>
      <c r="T239">
        <v>2.9791565104690409E-3</v>
      </c>
      <c r="U239">
        <v>2.9791565104690409E-3</v>
      </c>
      <c r="V239">
        <v>1</v>
      </c>
      <c r="W239" t="b">
        <v>0</v>
      </c>
    </row>
    <row r="240" spans="1:23" x14ac:dyDescent="0.25">
      <c r="A240" t="s">
        <v>705</v>
      </c>
      <c r="B240" t="s">
        <v>279</v>
      </c>
      <c r="C240" t="s">
        <v>860</v>
      </c>
      <c r="D240">
        <v>115500000</v>
      </c>
      <c r="E240" t="s">
        <v>873</v>
      </c>
      <c r="F240">
        <v>89.7</v>
      </c>
      <c r="G240" t="s">
        <v>872</v>
      </c>
      <c r="H240" t="s">
        <v>1329</v>
      </c>
      <c r="I240">
        <v>1</v>
      </c>
      <c r="J240">
        <v>92.3</v>
      </c>
      <c r="K240">
        <v>89.7</v>
      </c>
      <c r="L240">
        <v>0.6</v>
      </c>
      <c r="M240" t="s">
        <v>1590</v>
      </c>
      <c r="N240">
        <v>1</v>
      </c>
      <c r="O240">
        <v>6216210000</v>
      </c>
      <c r="P240">
        <v>1701668566501.9141</v>
      </c>
      <c r="Q240">
        <v>1540894540048.3149</v>
      </c>
      <c r="R240">
        <v>90.551977651905545</v>
      </c>
      <c r="S240">
        <v>1</v>
      </c>
      <c r="T240">
        <v>2.9319420931030191E-3</v>
      </c>
      <c r="U240">
        <v>2.9319420931030191E-3</v>
      </c>
      <c r="V240">
        <v>1</v>
      </c>
      <c r="W240" t="b">
        <v>0</v>
      </c>
    </row>
    <row r="241" spans="1:23" x14ac:dyDescent="0.25">
      <c r="A241" t="s">
        <v>508</v>
      </c>
      <c r="B241" t="s">
        <v>82</v>
      </c>
      <c r="C241" t="s">
        <v>860</v>
      </c>
      <c r="D241">
        <v>144385380</v>
      </c>
      <c r="E241" t="s">
        <v>873</v>
      </c>
      <c r="F241">
        <v>48.81</v>
      </c>
      <c r="G241" t="s">
        <v>872</v>
      </c>
      <c r="H241" t="s">
        <v>1330</v>
      </c>
      <c r="I241">
        <v>1</v>
      </c>
      <c r="J241">
        <v>49.79</v>
      </c>
      <c r="K241">
        <v>48.81</v>
      </c>
      <c r="L241">
        <v>0.85</v>
      </c>
      <c r="M241" t="s">
        <v>1590</v>
      </c>
      <c r="N241">
        <v>1</v>
      </c>
      <c r="O241">
        <v>5990332838.1300001</v>
      </c>
      <c r="P241">
        <v>1701668566501.9141</v>
      </c>
      <c r="Q241">
        <v>1546884872886.4451</v>
      </c>
      <c r="R241">
        <v>90.904004653875987</v>
      </c>
      <c r="S241">
        <v>1</v>
      </c>
      <c r="T241">
        <v>2.825404707982938E-3</v>
      </c>
      <c r="U241">
        <v>2.825404707982938E-3</v>
      </c>
      <c r="V241">
        <v>1</v>
      </c>
      <c r="W241" t="b">
        <v>0</v>
      </c>
    </row>
    <row r="242" spans="1:23" x14ac:dyDescent="0.25">
      <c r="A242" t="s">
        <v>772</v>
      </c>
      <c r="B242" t="s">
        <v>346</v>
      </c>
      <c r="C242" t="s">
        <v>860</v>
      </c>
      <c r="D242">
        <v>944884640</v>
      </c>
      <c r="E242" t="s">
        <v>873</v>
      </c>
      <c r="F242">
        <v>6.2350000000000003</v>
      </c>
      <c r="G242" t="s">
        <v>872</v>
      </c>
      <c r="H242" t="s">
        <v>1331</v>
      </c>
      <c r="I242">
        <v>1</v>
      </c>
      <c r="J242">
        <v>7.62</v>
      </c>
      <c r="K242">
        <v>6.2350000000000003</v>
      </c>
      <c r="L242">
        <v>1</v>
      </c>
      <c r="M242" t="s">
        <v>1590</v>
      </c>
      <c r="N242">
        <v>1</v>
      </c>
      <c r="O242">
        <v>5891355730.4000006</v>
      </c>
      <c r="P242">
        <v>1701668566501.9141</v>
      </c>
      <c r="Q242">
        <v>1552776228616.845</v>
      </c>
      <c r="R242">
        <v>91.25021518196435</v>
      </c>
      <c r="S242">
        <v>1</v>
      </c>
      <c r="T242">
        <v>2.7787210939468651E-3</v>
      </c>
      <c r="U242">
        <v>2.7787210939468651E-3</v>
      </c>
      <c r="V242">
        <v>1</v>
      </c>
      <c r="W242" t="b">
        <v>0</v>
      </c>
    </row>
    <row r="243" spans="1:23" x14ac:dyDescent="0.25">
      <c r="A243" t="s">
        <v>769</v>
      </c>
      <c r="B243" t="s">
        <v>343</v>
      </c>
      <c r="C243" t="s">
        <v>860</v>
      </c>
      <c r="D243">
        <v>37440000</v>
      </c>
      <c r="E243" t="s">
        <v>873</v>
      </c>
      <c r="F243">
        <v>225.3</v>
      </c>
      <c r="G243" t="s">
        <v>872</v>
      </c>
      <c r="H243" t="s">
        <v>1332</v>
      </c>
      <c r="I243">
        <v>1</v>
      </c>
      <c r="J243">
        <v>247.5</v>
      </c>
      <c r="K243">
        <v>225.3</v>
      </c>
      <c r="L243">
        <v>0.65</v>
      </c>
      <c r="M243" t="s">
        <v>1590</v>
      </c>
      <c r="N243">
        <v>1</v>
      </c>
      <c r="O243">
        <v>5482900800</v>
      </c>
      <c r="P243">
        <v>1701668566501.9141</v>
      </c>
      <c r="Q243">
        <v>1558259129416.845</v>
      </c>
      <c r="R243">
        <v>91.572422508815961</v>
      </c>
      <c r="S243">
        <v>1</v>
      </c>
      <c r="T243">
        <v>2.586068946806529E-3</v>
      </c>
      <c r="U243">
        <v>2.586068946806529E-3</v>
      </c>
      <c r="V243">
        <v>1</v>
      </c>
      <c r="W243" t="b">
        <v>0</v>
      </c>
    </row>
    <row r="244" spans="1:23" x14ac:dyDescent="0.25">
      <c r="A244" t="s">
        <v>732</v>
      </c>
      <c r="B244" t="s">
        <v>306</v>
      </c>
      <c r="C244" t="s">
        <v>860</v>
      </c>
      <c r="D244">
        <v>153124980</v>
      </c>
      <c r="E244" t="s">
        <v>873</v>
      </c>
      <c r="F244">
        <v>35.78</v>
      </c>
      <c r="G244" t="s">
        <v>872</v>
      </c>
      <c r="H244" t="s">
        <v>1333</v>
      </c>
      <c r="I244">
        <v>1</v>
      </c>
      <c r="J244">
        <v>41.06</v>
      </c>
      <c r="K244">
        <v>35.78</v>
      </c>
      <c r="L244">
        <v>1</v>
      </c>
      <c r="M244" t="s">
        <v>1590</v>
      </c>
      <c r="N244">
        <v>1</v>
      </c>
      <c r="O244">
        <v>5478811784.4000006</v>
      </c>
      <c r="P244">
        <v>1701668566501.9141</v>
      </c>
      <c r="Q244">
        <v>1563737941201.2451</v>
      </c>
      <c r="R244">
        <v>91.894389541189526</v>
      </c>
      <c r="S244">
        <v>1</v>
      </c>
      <c r="T244">
        <v>2.584140318758732E-3</v>
      </c>
      <c r="U244">
        <v>2.584140318758732E-3</v>
      </c>
      <c r="V244">
        <v>1</v>
      </c>
      <c r="W244" t="b">
        <v>0</v>
      </c>
    </row>
    <row r="245" spans="1:23" x14ac:dyDescent="0.25">
      <c r="A245" t="s">
        <v>665</v>
      </c>
      <c r="B245" t="s">
        <v>239</v>
      </c>
      <c r="C245" t="s">
        <v>860</v>
      </c>
      <c r="D245">
        <v>161200000</v>
      </c>
      <c r="E245" t="s">
        <v>873</v>
      </c>
      <c r="F245">
        <v>83.6</v>
      </c>
      <c r="G245" t="s">
        <v>872</v>
      </c>
      <c r="H245" t="s">
        <v>1334</v>
      </c>
      <c r="I245">
        <v>1</v>
      </c>
      <c r="J245">
        <v>93.15</v>
      </c>
      <c r="K245">
        <v>83.6</v>
      </c>
      <c r="L245">
        <v>0.4</v>
      </c>
      <c r="M245" t="s">
        <v>1590</v>
      </c>
      <c r="N245">
        <v>1</v>
      </c>
      <c r="O245">
        <v>5390528000</v>
      </c>
      <c r="P245">
        <v>1701668566501.9141</v>
      </c>
      <c r="Q245">
        <v>1569128469201.2451</v>
      </c>
      <c r="R245">
        <v>92.211168501917541</v>
      </c>
      <c r="S245">
        <v>1</v>
      </c>
      <c r="T245">
        <v>2.542500325318873E-3</v>
      </c>
      <c r="U245">
        <v>2.542500325318873E-3</v>
      </c>
      <c r="V245">
        <v>1</v>
      </c>
      <c r="W245" t="b">
        <v>0</v>
      </c>
    </row>
    <row r="246" spans="1:23" x14ac:dyDescent="0.25">
      <c r="A246" t="s">
        <v>859</v>
      </c>
      <c r="B246" t="s">
        <v>433</v>
      </c>
      <c r="C246" t="s">
        <v>860</v>
      </c>
      <c r="D246">
        <v>264169980</v>
      </c>
      <c r="E246" t="s">
        <v>873</v>
      </c>
      <c r="F246">
        <v>22.14</v>
      </c>
      <c r="G246" t="s">
        <v>872</v>
      </c>
      <c r="H246" t="s">
        <v>1335</v>
      </c>
      <c r="I246">
        <v>1</v>
      </c>
      <c r="J246">
        <v>23.06</v>
      </c>
      <c r="K246">
        <v>22.14</v>
      </c>
      <c r="L246">
        <v>0.9</v>
      </c>
      <c r="M246" t="s">
        <v>1590</v>
      </c>
      <c r="N246">
        <v>1</v>
      </c>
      <c r="O246">
        <v>5263851021.4799995</v>
      </c>
      <c r="P246">
        <v>1701668566501.9141</v>
      </c>
      <c r="Q246">
        <v>1574392320222.7251</v>
      </c>
      <c r="R246">
        <v>92.520503182307209</v>
      </c>
      <c r="S246">
        <v>1</v>
      </c>
      <c r="T246">
        <v>2.482751770242726E-3</v>
      </c>
      <c r="U246">
        <v>2.482751770242726E-3</v>
      </c>
      <c r="V246">
        <v>1</v>
      </c>
      <c r="W246" t="b">
        <v>0</v>
      </c>
    </row>
    <row r="247" spans="1:23" x14ac:dyDescent="0.25">
      <c r="A247" t="s">
        <v>731</v>
      </c>
      <c r="B247" t="s">
        <v>305</v>
      </c>
      <c r="C247" t="s">
        <v>860</v>
      </c>
      <c r="D247">
        <v>455500000</v>
      </c>
      <c r="E247" t="s">
        <v>873</v>
      </c>
      <c r="F247">
        <v>43.21</v>
      </c>
      <c r="G247" t="s">
        <v>872</v>
      </c>
      <c r="H247" t="s">
        <v>1336</v>
      </c>
      <c r="I247">
        <v>1</v>
      </c>
      <c r="J247">
        <v>46.29</v>
      </c>
      <c r="K247">
        <v>43.21</v>
      </c>
      <c r="L247">
        <v>0.25</v>
      </c>
      <c r="M247" t="s">
        <v>1590</v>
      </c>
      <c r="N247">
        <v>1</v>
      </c>
      <c r="O247">
        <v>4920538750</v>
      </c>
      <c r="P247">
        <v>1701668566501.9141</v>
      </c>
      <c r="Q247">
        <v>1579312858972.7251</v>
      </c>
      <c r="R247">
        <v>92.8096628251932</v>
      </c>
      <c r="S247">
        <v>1</v>
      </c>
      <c r="T247">
        <v>2.3208248566038651E-3</v>
      </c>
      <c r="U247">
        <v>2.3208248566038651E-3</v>
      </c>
      <c r="V247">
        <v>1</v>
      </c>
      <c r="W247" t="b">
        <v>0</v>
      </c>
    </row>
    <row r="248" spans="1:23" x14ac:dyDescent="0.25">
      <c r="A248" t="s">
        <v>675</v>
      </c>
      <c r="B248" t="s">
        <v>249</v>
      </c>
      <c r="C248" t="s">
        <v>860</v>
      </c>
      <c r="D248">
        <v>75570800</v>
      </c>
      <c r="E248" t="s">
        <v>873</v>
      </c>
      <c r="F248">
        <v>64.599999999999994</v>
      </c>
      <c r="G248" t="s">
        <v>872</v>
      </c>
      <c r="H248" t="s">
        <v>1337</v>
      </c>
      <c r="I248">
        <v>1</v>
      </c>
      <c r="J248">
        <v>61.2</v>
      </c>
      <c r="K248">
        <v>64.599999999999994</v>
      </c>
      <c r="L248">
        <v>1</v>
      </c>
      <c r="M248" t="s">
        <v>1590</v>
      </c>
      <c r="N248">
        <v>1</v>
      </c>
      <c r="O248">
        <v>4881873680</v>
      </c>
      <c r="P248">
        <v>1701668566501.9141</v>
      </c>
      <c r="Q248">
        <v>1584194732652.7251</v>
      </c>
      <c r="R248">
        <v>93.096550282369165</v>
      </c>
      <c r="S248">
        <v>1</v>
      </c>
      <c r="T248">
        <v>2.3025880617938799E-3</v>
      </c>
      <c r="U248">
        <v>2.3025880617938799E-3</v>
      </c>
      <c r="V248">
        <v>1</v>
      </c>
      <c r="W248" t="b">
        <v>0</v>
      </c>
    </row>
    <row r="249" spans="1:23" x14ac:dyDescent="0.25">
      <c r="A249" t="s">
        <v>543</v>
      </c>
      <c r="B249" t="s">
        <v>117</v>
      </c>
      <c r="C249" t="s">
        <v>860</v>
      </c>
      <c r="D249">
        <v>96000000</v>
      </c>
      <c r="E249" t="s">
        <v>873</v>
      </c>
      <c r="F249">
        <v>84.65</v>
      </c>
      <c r="G249" t="s">
        <v>872</v>
      </c>
      <c r="H249" t="s">
        <v>1338</v>
      </c>
      <c r="I249">
        <v>1</v>
      </c>
      <c r="J249">
        <v>77.8</v>
      </c>
      <c r="K249">
        <v>84.65</v>
      </c>
      <c r="L249">
        <v>0.6</v>
      </c>
      <c r="M249" t="s">
        <v>1590</v>
      </c>
      <c r="N249">
        <v>1</v>
      </c>
      <c r="O249">
        <v>4875840000</v>
      </c>
      <c r="P249">
        <v>1701668566501.9141</v>
      </c>
      <c r="Q249">
        <v>1589070572652.7251</v>
      </c>
      <c r="R249">
        <v>93.383083165210337</v>
      </c>
      <c r="S249">
        <v>1</v>
      </c>
      <c r="T249">
        <v>2.2997422119322578E-3</v>
      </c>
      <c r="U249">
        <v>2.2997422119322578E-3</v>
      </c>
      <c r="V249">
        <v>1</v>
      </c>
      <c r="W249" t="b">
        <v>0</v>
      </c>
    </row>
    <row r="250" spans="1:23" x14ac:dyDescent="0.25">
      <c r="A250" t="s">
        <v>752</v>
      </c>
      <c r="B250" t="s">
        <v>326</v>
      </c>
      <c r="C250" t="s">
        <v>860</v>
      </c>
      <c r="D250">
        <v>100000000</v>
      </c>
      <c r="E250" t="s">
        <v>873</v>
      </c>
      <c r="F250">
        <v>50.86</v>
      </c>
      <c r="G250" t="s">
        <v>872</v>
      </c>
      <c r="H250" t="s">
        <v>1339</v>
      </c>
      <c r="I250">
        <v>1</v>
      </c>
      <c r="J250">
        <v>55.6</v>
      </c>
      <c r="K250">
        <v>50.86</v>
      </c>
      <c r="L250">
        <v>0.85</v>
      </c>
      <c r="M250" t="s">
        <v>1590</v>
      </c>
      <c r="N250">
        <v>1</v>
      </c>
      <c r="O250">
        <v>4323100000</v>
      </c>
      <c r="P250">
        <v>1701668566501.9141</v>
      </c>
      <c r="Q250">
        <v>1593393672652.7251</v>
      </c>
      <c r="R250">
        <v>93.637133812034406</v>
      </c>
      <c r="S250">
        <v>1</v>
      </c>
      <c r="T250">
        <v>2.0390364647741399E-3</v>
      </c>
      <c r="U250">
        <v>2.0390364647741399E-3</v>
      </c>
      <c r="V250">
        <v>1</v>
      </c>
      <c r="W250" t="b">
        <v>0</v>
      </c>
    </row>
    <row r="251" spans="1:23" x14ac:dyDescent="0.25">
      <c r="A251" t="s">
        <v>504</v>
      </c>
      <c r="B251" t="s">
        <v>78</v>
      </c>
      <c r="C251" t="s">
        <v>860</v>
      </c>
      <c r="D251">
        <v>54675507</v>
      </c>
      <c r="E251" t="s">
        <v>873</v>
      </c>
      <c r="F251">
        <v>78.45</v>
      </c>
      <c r="G251" t="s">
        <v>872</v>
      </c>
      <c r="H251" t="s">
        <v>1340</v>
      </c>
      <c r="I251">
        <v>1</v>
      </c>
      <c r="J251">
        <v>86.3</v>
      </c>
      <c r="K251">
        <v>78.45</v>
      </c>
      <c r="L251">
        <v>1</v>
      </c>
      <c r="M251" t="s">
        <v>1590</v>
      </c>
      <c r="N251">
        <v>1</v>
      </c>
      <c r="O251">
        <v>4289293524.1500001</v>
      </c>
      <c r="P251">
        <v>1701668566501.9141</v>
      </c>
      <c r="Q251">
        <v>1597682966176.875</v>
      </c>
      <c r="R251">
        <v>93.889197792564246</v>
      </c>
      <c r="S251">
        <v>1</v>
      </c>
      <c r="T251">
        <v>2.023091277986036E-3</v>
      </c>
      <c r="U251">
        <v>2.023091277986036E-3</v>
      </c>
      <c r="V251">
        <v>1</v>
      </c>
      <c r="W251" t="b">
        <v>0</v>
      </c>
    </row>
    <row r="252" spans="1:23" x14ac:dyDescent="0.25">
      <c r="A252" t="s">
        <v>663</v>
      </c>
      <c r="B252" t="s">
        <v>237</v>
      </c>
      <c r="C252" t="s">
        <v>860</v>
      </c>
      <c r="D252">
        <v>131198650</v>
      </c>
      <c r="E252" t="s">
        <v>873</v>
      </c>
      <c r="F252">
        <v>59.3</v>
      </c>
      <c r="G252" t="s">
        <v>872</v>
      </c>
      <c r="H252" t="s">
        <v>1341</v>
      </c>
      <c r="I252">
        <v>1</v>
      </c>
      <c r="J252">
        <v>66.55</v>
      </c>
      <c r="K252">
        <v>59.3</v>
      </c>
      <c r="L252">
        <v>0.55000000000000004</v>
      </c>
      <c r="M252" t="s">
        <v>1590</v>
      </c>
      <c r="N252">
        <v>1</v>
      </c>
      <c r="O252">
        <v>4279043969.75</v>
      </c>
      <c r="P252">
        <v>1701668566501.9141</v>
      </c>
      <c r="Q252">
        <v>1601962010146.625</v>
      </c>
      <c r="R252">
        <v>94.140659449316033</v>
      </c>
      <c r="S252">
        <v>1</v>
      </c>
      <c r="T252">
        <v>2.01825696576349E-3</v>
      </c>
      <c r="U252">
        <v>2.01825696576349E-3</v>
      </c>
      <c r="V252">
        <v>1</v>
      </c>
      <c r="W252" t="b">
        <v>0</v>
      </c>
    </row>
    <row r="253" spans="1:23" x14ac:dyDescent="0.25">
      <c r="A253" t="s">
        <v>817</v>
      </c>
      <c r="B253" t="s">
        <v>391</v>
      </c>
      <c r="C253" t="s">
        <v>860</v>
      </c>
      <c r="D253">
        <v>622531741</v>
      </c>
      <c r="E253" t="s">
        <v>873</v>
      </c>
      <c r="F253">
        <v>8.4760000000000009</v>
      </c>
      <c r="G253" t="s">
        <v>872</v>
      </c>
      <c r="H253" t="s">
        <v>1342</v>
      </c>
      <c r="I253">
        <v>1</v>
      </c>
      <c r="J253">
        <v>9.0939999999999994</v>
      </c>
      <c r="K253">
        <v>8.4760000000000009</v>
      </c>
      <c r="L253">
        <v>0.8</v>
      </c>
      <c r="M253" t="s">
        <v>1590</v>
      </c>
      <c r="N253">
        <v>1</v>
      </c>
      <c r="O253">
        <v>4221263229.3728008</v>
      </c>
      <c r="P253">
        <v>1701668566501.9141</v>
      </c>
      <c r="Q253">
        <v>1606183273375.998</v>
      </c>
      <c r="R253">
        <v>94.388725571736714</v>
      </c>
      <c r="S253">
        <v>1</v>
      </c>
      <c r="T253">
        <v>1.9910040600729542E-3</v>
      </c>
      <c r="U253">
        <v>1.9910040600729542E-3</v>
      </c>
      <c r="V253">
        <v>1</v>
      </c>
      <c r="W253" t="b">
        <v>0</v>
      </c>
    </row>
    <row r="254" spans="1:23" x14ac:dyDescent="0.25">
      <c r="A254" t="s">
        <v>634</v>
      </c>
      <c r="B254" t="s">
        <v>208</v>
      </c>
      <c r="C254" t="s">
        <v>860</v>
      </c>
      <c r="D254">
        <v>77711300</v>
      </c>
      <c r="E254" t="s">
        <v>873</v>
      </c>
      <c r="F254">
        <v>270</v>
      </c>
      <c r="G254" t="s">
        <v>872</v>
      </c>
      <c r="H254" t="s">
        <v>1343</v>
      </c>
      <c r="I254">
        <v>1</v>
      </c>
      <c r="J254">
        <v>330</v>
      </c>
      <c r="K254">
        <v>270</v>
      </c>
      <c r="L254">
        <v>0.2</v>
      </c>
      <c r="M254" t="s">
        <v>1590</v>
      </c>
      <c r="N254">
        <v>1</v>
      </c>
      <c r="O254">
        <v>4196410200</v>
      </c>
      <c r="P254">
        <v>1701668566501.9141</v>
      </c>
      <c r="Q254">
        <v>1610379683575.998</v>
      </c>
      <c r="R254">
        <v>94.635331184757248</v>
      </c>
      <c r="S254">
        <v>1</v>
      </c>
      <c r="T254">
        <v>1.9792818623094871E-3</v>
      </c>
      <c r="U254">
        <v>1.9792818623094871E-3</v>
      </c>
      <c r="V254">
        <v>1</v>
      </c>
      <c r="W254" t="b">
        <v>0</v>
      </c>
    </row>
    <row r="255" spans="1:23" x14ac:dyDescent="0.25">
      <c r="A255" t="s">
        <v>631</v>
      </c>
      <c r="B255" t="s">
        <v>205</v>
      </c>
      <c r="C255" t="s">
        <v>860</v>
      </c>
      <c r="D255">
        <v>115500000</v>
      </c>
      <c r="E255" t="s">
        <v>873</v>
      </c>
      <c r="F255">
        <v>72.5</v>
      </c>
      <c r="G255" t="s">
        <v>872</v>
      </c>
      <c r="H255" t="s">
        <v>1344</v>
      </c>
      <c r="I255">
        <v>1</v>
      </c>
      <c r="J255">
        <v>71.3</v>
      </c>
      <c r="K255">
        <v>72.5</v>
      </c>
      <c r="L255">
        <v>0.5</v>
      </c>
      <c r="M255" t="s">
        <v>1590</v>
      </c>
      <c r="N255">
        <v>1</v>
      </c>
      <c r="O255">
        <v>4186875000</v>
      </c>
      <c r="P255">
        <v>1701668566501.9141</v>
      </c>
      <c r="Q255">
        <v>1614566558575.998</v>
      </c>
      <c r="R255">
        <v>94.881376453643355</v>
      </c>
      <c r="S255">
        <v>1</v>
      </c>
      <c r="T255">
        <v>1.9747844829985958E-3</v>
      </c>
      <c r="U255">
        <v>1.9747844829985958E-3</v>
      </c>
      <c r="V255">
        <v>1</v>
      </c>
      <c r="W255" t="b">
        <v>0</v>
      </c>
    </row>
    <row r="256" spans="1:23" x14ac:dyDescent="0.25">
      <c r="A256" t="s">
        <v>553</v>
      </c>
      <c r="B256" t="s">
        <v>127</v>
      </c>
      <c r="C256" t="s">
        <v>860</v>
      </c>
      <c r="D256">
        <v>298230930</v>
      </c>
      <c r="E256" t="s">
        <v>873</v>
      </c>
      <c r="F256">
        <v>16.02</v>
      </c>
      <c r="G256" t="s">
        <v>872</v>
      </c>
      <c r="H256" t="s">
        <v>1345</v>
      </c>
      <c r="I256">
        <v>1</v>
      </c>
      <c r="J256">
        <v>21.44</v>
      </c>
      <c r="K256">
        <v>16.02</v>
      </c>
      <c r="L256">
        <v>0.75</v>
      </c>
      <c r="M256" t="s">
        <v>1590</v>
      </c>
      <c r="N256">
        <v>1</v>
      </c>
      <c r="O256">
        <v>3583244623.9499998</v>
      </c>
      <c r="P256">
        <v>1701668566501.9141</v>
      </c>
      <c r="Q256">
        <v>1618149803199.948</v>
      </c>
      <c r="R256">
        <v>95.09194887029885</v>
      </c>
      <c r="S256">
        <v>1</v>
      </c>
      <c r="T256">
        <v>1.6900757443593609E-3</v>
      </c>
      <c r="U256">
        <v>1.6900757443593609E-3</v>
      </c>
      <c r="V256">
        <v>1</v>
      </c>
      <c r="W256" t="b">
        <v>0</v>
      </c>
    </row>
    <row r="257" spans="1:23" x14ac:dyDescent="0.25">
      <c r="A257" t="s">
        <v>582</v>
      </c>
      <c r="B257" t="s">
        <v>156</v>
      </c>
      <c r="C257" t="s">
        <v>860</v>
      </c>
      <c r="D257">
        <v>466000000</v>
      </c>
      <c r="E257" t="s">
        <v>873</v>
      </c>
      <c r="F257">
        <v>13.42</v>
      </c>
      <c r="G257" t="s">
        <v>872</v>
      </c>
      <c r="H257" t="s">
        <v>1346</v>
      </c>
      <c r="I257">
        <v>1</v>
      </c>
      <c r="J257">
        <v>13.26</v>
      </c>
      <c r="K257">
        <v>13.42</v>
      </c>
      <c r="L257">
        <v>0.55000000000000004</v>
      </c>
      <c r="M257" t="s">
        <v>1590</v>
      </c>
      <c r="N257">
        <v>1</v>
      </c>
      <c r="O257">
        <v>3439546000</v>
      </c>
      <c r="P257">
        <v>1701668566501.9141</v>
      </c>
      <c r="Q257">
        <v>1621589349199.948</v>
      </c>
      <c r="R257">
        <v>95.294076715151192</v>
      </c>
      <c r="S257">
        <v>1</v>
      </c>
      <c r="T257">
        <v>1.6222987477199321E-3</v>
      </c>
      <c r="U257">
        <v>1.6222987477199321E-3</v>
      </c>
      <c r="V257">
        <v>1</v>
      </c>
      <c r="W257" t="b">
        <v>0</v>
      </c>
    </row>
    <row r="258" spans="1:23" x14ac:dyDescent="0.25">
      <c r="A258" t="s">
        <v>824</v>
      </c>
      <c r="B258" t="s">
        <v>398</v>
      </c>
      <c r="C258" t="s">
        <v>860</v>
      </c>
      <c r="D258">
        <v>507431033</v>
      </c>
      <c r="E258" t="s">
        <v>873</v>
      </c>
      <c r="F258">
        <v>7.5220000000000002</v>
      </c>
      <c r="G258" t="s">
        <v>872</v>
      </c>
      <c r="H258" t="s">
        <v>1347</v>
      </c>
      <c r="I258">
        <v>1</v>
      </c>
      <c r="J258">
        <v>8.1940000000000008</v>
      </c>
      <c r="K258">
        <v>7.5220000000000002</v>
      </c>
      <c r="L258">
        <v>0.9</v>
      </c>
      <c r="M258" t="s">
        <v>1590</v>
      </c>
      <c r="N258">
        <v>1</v>
      </c>
      <c r="O258">
        <v>3435206607.2034001</v>
      </c>
      <c r="P258">
        <v>1701668566501.9141</v>
      </c>
      <c r="Q258">
        <v>1625024555807.1509</v>
      </c>
      <c r="R258">
        <v>95.495949551896658</v>
      </c>
      <c r="S258">
        <v>1</v>
      </c>
      <c r="T258">
        <v>1.6202520265829589E-3</v>
      </c>
      <c r="U258">
        <v>1.6202520265829589E-3</v>
      </c>
      <c r="V258">
        <v>1</v>
      </c>
      <c r="W258" t="b">
        <v>0</v>
      </c>
    </row>
    <row r="259" spans="1:23" x14ac:dyDescent="0.25">
      <c r="A259" t="s">
        <v>477</v>
      </c>
      <c r="B259" t="s">
        <v>51</v>
      </c>
      <c r="C259" t="s">
        <v>860</v>
      </c>
      <c r="D259">
        <v>220337920</v>
      </c>
      <c r="E259" t="s">
        <v>873</v>
      </c>
      <c r="F259">
        <v>23.4</v>
      </c>
      <c r="G259" t="s">
        <v>872</v>
      </c>
      <c r="H259" t="s">
        <v>1348</v>
      </c>
      <c r="I259">
        <v>1</v>
      </c>
      <c r="J259">
        <v>26.04</v>
      </c>
      <c r="K259">
        <v>23.4</v>
      </c>
      <c r="L259">
        <v>0.65</v>
      </c>
      <c r="M259" t="s">
        <v>1590</v>
      </c>
      <c r="N259">
        <v>1</v>
      </c>
      <c r="O259">
        <v>3351339763.1999998</v>
      </c>
      <c r="P259">
        <v>1701668566501.9141</v>
      </c>
      <c r="Q259">
        <v>1628375895570.3511</v>
      </c>
      <c r="R259">
        <v>95.692893882254083</v>
      </c>
      <c r="S259">
        <v>1</v>
      </c>
      <c r="T259">
        <v>1.5806953304370319E-3</v>
      </c>
      <c r="U259">
        <v>1.5806953304370319E-3</v>
      </c>
      <c r="V259">
        <v>1</v>
      </c>
      <c r="W259" t="b">
        <v>0</v>
      </c>
    </row>
    <row r="260" spans="1:23" x14ac:dyDescent="0.25">
      <c r="A260" t="s">
        <v>712</v>
      </c>
      <c r="B260" t="s">
        <v>286</v>
      </c>
      <c r="C260" t="s">
        <v>860</v>
      </c>
      <c r="D260">
        <v>236450360</v>
      </c>
      <c r="E260" t="s">
        <v>873</v>
      </c>
      <c r="F260">
        <v>25.48</v>
      </c>
      <c r="G260" t="s">
        <v>872</v>
      </c>
      <c r="H260" t="s">
        <v>1349</v>
      </c>
      <c r="I260">
        <v>1</v>
      </c>
      <c r="J260">
        <v>28.84</v>
      </c>
      <c r="K260">
        <v>25.48</v>
      </c>
      <c r="L260">
        <v>0.55000000000000004</v>
      </c>
      <c r="M260" t="s">
        <v>1590</v>
      </c>
      <c r="N260">
        <v>1</v>
      </c>
      <c r="O260">
        <v>3313615345.04</v>
      </c>
      <c r="P260">
        <v>1701668566501.9141</v>
      </c>
      <c r="Q260">
        <v>1631689510915.3911</v>
      </c>
      <c r="R260">
        <v>95.887621305106563</v>
      </c>
      <c r="S260">
        <v>1</v>
      </c>
      <c r="T260">
        <v>1.562902204152508E-3</v>
      </c>
      <c r="U260">
        <v>1.562902204152508E-3</v>
      </c>
      <c r="V260">
        <v>1</v>
      </c>
      <c r="W260" t="b">
        <v>0</v>
      </c>
    </row>
    <row r="261" spans="1:23" x14ac:dyDescent="0.25">
      <c r="A261" t="s">
        <v>602</v>
      </c>
      <c r="B261" t="s">
        <v>176</v>
      </c>
      <c r="C261" t="s">
        <v>860</v>
      </c>
      <c r="D261">
        <v>118900600</v>
      </c>
      <c r="E261" t="s">
        <v>873</v>
      </c>
      <c r="F261">
        <v>27.42</v>
      </c>
      <c r="G261" t="s">
        <v>872</v>
      </c>
      <c r="H261" t="s">
        <v>1350</v>
      </c>
      <c r="I261">
        <v>1</v>
      </c>
      <c r="J261">
        <v>28.4</v>
      </c>
      <c r="K261">
        <v>27.42</v>
      </c>
      <c r="L261">
        <v>1</v>
      </c>
      <c r="M261" t="s">
        <v>1590</v>
      </c>
      <c r="N261">
        <v>1</v>
      </c>
      <c r="O261">
        <v>3260254452</v>
      </c>
      <c r="P261">
        <v>1701668566501.9141</v>
      </c>
      <c r="Q261">
        <v>1634949765367.3911</v>
      </c>
      <c r="R261">
        <v>96.079212929714302</v>
      </c>
      <c r="S261">
        <v>1</v>
      </c>
      <c r="T261">
        <v>1.5377339668456039E-3</v>
      </c>
      <c r="U261">
        <v>1.5377339668456039E-3</v>
      </c>
      <c r="V261">
        <v>1</v>
      </c>
      <c r="W261" t="b">
        <v>0</v>
      </c>
    </row>
    <row r="262" spans="1:23" x14ac:dyDescent="0.25">
      <c r="A262" t="s">
        <v>745</v>
      </c>
      <c r="B262" t="s">
        <v>319</v>
      </c>
      <c r="C262" t="s">
        <v>860</v>
      </c>
      <c r="D262">
        <v>11370000</v>
      </c>
      <c r="E262" t="s">
        <v>873</v>
      </c>
      <c r="F262">
        <v>620</v>
      </c>
      <c r="G262" t="s">
        <v>872</v>
      </c>
      <c r="H262" t="s">
        <v>1351</v>
      </c>
      <c r="I262">
        <v>1</v>
      </c>
      <c r="J262">
        <v>637</v>
      </c>
      <c r="K262">
        <v>620</v>
      </c>
      <c r="L262">
        <v>0.45</v>
      </c>
      <c r="M262" t="s">
        <v>1590</v>
      </c>
      <c r="N262">
        <v>1</v>
      </c>
      <c r="O262">
        <v>3172230000</v>
      </c>
      <c r="P262">
        <v>1701668566501.9141</v>
      </c>
      <c r="Q262">
        <v>1638121995367.3911</v>
      </c>
      <c r="R262">
        <v>96.265631722565431</v>
      </c>
      <c r="S262">
        <v>1</v>
      </c>
      <c r="T262">
        <v>1.496216290312616E-3</v>
      </c>
      <c r="U262">
        <v>1.496216290312616E-3</v>
      </c>
      <c r="V262">
        <v>1</v>
      </c>
      <c r="W262" t="b">
        <v>0</v>
      </c>
    </row>
    <row r="263" spans="1:23" x14ac:dyDescent="0.25">
      <c r="A263" t="s">
        <v>495</v>
      </c>
      <c r="B263" t="s">
        <v>69</v>
      </c>
      <c r="C263" t="s">
        <v>860</v>
      </c>
      <c r="D263">
        <v>126000000</v>
      </c>
      <c r="E263" t="s">
        <v>873</v>
      </c>
      <c r="F263">
        <v>38.380000000000003</v>
      </c>
      <c r="G263" t="s">
        <v>872</v>
      </c>
      <c r="H263" t="s">
        <v>1352</v>
      </c>
      <c r="I263">
        <v>1</v>
      </c>
      <c r="J263">
        <v>43.36</v>
      </c>
      <c r="K263">
        <v>38.380000000000003</v>
      </c>
      <c r="L263">
        <v>0.65</v>
      </c>
      <c r="M263" t="s">
        <v>1590</v>
      </c>
      <c r="N263">
        <v>1</v>
      </c>
      <c r="O263">
        <v>3143322000</v>
      </c>
      <c r="P263">
        <v>1701668566501.9141</v>
      </c>
      <c r="Q263">
        <v>1641265317367.3911</v>
      </c>
      <c r="R263">
        <v>96.450351712220154</v>
      </c>
      <c r="S263">
        <v>1</v>
      </c>
      <c r="T263">
        <v>1.4825815221777849E-3</v>
      </c>
      <c r="U263">
        <v>1.4825815221777849E-3</v>
      </c>
      <c r="V263">
        <v>1</v>
      </c>
      <c r="W263" t="b">
        <v>0</v>
      </c>
    </row>
    <row r="264" spans="1:23" x14ac:dyDescent="0.25">
      <c r="A264" t="s">
        <v>500</v>
      </c>
      <c r="B264" t="s">
        <v>74</v>
      </c>
      <c r="C264" t="s">
        <v>860</v>
      </c>
      <c r="D264">
        <v>37606373</v>
      </c>
      <c r="E264" t="s">
        <v>873</v>
      </c>
      <c r="F264">
        <v>92.2</v>
      </c>
      <c r="G264" t="s">
        <v>872</v>
      </c>
      <c r="H264" t="s">
        <v>1353</v>
      </c>
      <c r="I264">
        <v>1</v>
      </c>
      <c r="J264">
        <v>107.5</v>
      </c>
      <c r="K264">
        <v>92.2</v>
      </c>
      <c r="L264">
        <v>0.9</v>
      </c>
      <c r="M264" t="s">
        <v>1590</v>
      </c>
      <c r="N264">
        <v>1</v>
      </c>
      <c r="O264">
        <v>3120576831.54</v>
      </c>
      <c r="P264">
        <v>1701668566501.9141</v>
      </c>
      <c r="Q264">
        <v>1644385894198.9309</v>
      </c>
      <c r="R264">
        <v>96.633735062713299</v>
      </c>
      <c r="S264">
        <v>1</v>
      </c>
      <c r="T264">
        <v>1.471853519613104E-3</v>
      </c>
      <c r="U264">
        <v>1.471853519613104E-3</v>
      </c>
      <c r="V264">
        <v>1</v>
      </c>
      <c r="W264" t="b">
        <v>0</v>
      </c>
    </row>
    <row r="265" spans="1:23" x14ac:dyDescent="0.25">
      <c r="A265" t="s">
        <v>476</v>
      </c>
      <c r="B265" t="s">
        <v>50</v>
      </c>
      <c r="C265" t="s">
        <v>860</v>
      </c>
      <c r="D265">
        <v>44956722</v>
      </c>
      <c r="E265" t="s">
        <v>873</v>
      </c>
      <c r="F265">
        <v>106</v>
      </c>
      <c r="G265" t="s">
        <v>872</v>
      </c>
      <c r="H265" t="s">
        <v>1354</v>
      </c>
      <c r="I265">
        <v>1</v>
      </c>
      <c r="J265">
        <v>117.8</v>
      </c>
      <c r="K265">
        <v>106</v>
      </c>
      <c r="L265">
        <v>0.6</v>
      </c>
      <c r="M265" t="s">
        <v>1590</v>
      </c>
      <c r="N265">
        <v>1</v>
      </c>
      <c r="O265">
        <v>2859247519.1999998</v>
      </c>
      <c r="P265">
        <v>1701668566501.9141</v>
      </c>
      <c r="Q265">
        <v>1647245141718.1311</v>
      </c>
      <c r="R265">
        <v>96.801761173995217</v>
      </c>
      <c r="S265">
        <v>1</v>
      </c>
      <c r="T265">
        <v>1.348594747626425E-3</v>
      </c>
      <c r="U265">
        <v>1.348594747626425E-3</v>
      </c>
      <c r="V265">
        <v>1</v>
      </c>
      <c r="W265" t="b">
        <v>0</v>
      </c>
    </row>
    <row r="266" spans="1:23" x14ac:dyDescent="0.25">
      <c r="A266" t="s">
        <v>596</v>
      </c>
      <c r="B266" t="s">
        <v>170</v>
      </c>
      <c r="C266" t="s">
        <v>860</v>
      </c>
      <c r="D266">
        <v>110134544</v>
      </c>
      <c r="E266" t="s">
        <v>873</v>
      </c>
      <c r="F266">
        <v>30.26</v>
      </c>
      <c r="G266" t="s">
        <v>872</v>
      </c>
      <c r="H266" t="s">
        <v>1355</v>
      </c>
      <c r="I266">
        <v>1</v>
      </c>
      <c r="J266">
        <v>34.1</v>
      </c>
      <c r="K266">
        <v>30.26</v>
      </c>
      <c r="L266">
        <v>0.85</v>
      </c>
      <c r="M266" t="s">
        <v>1590</v>
      </c>
      <c r="N266">
        <v>1</v>
      </c>
      <c r="O266">
        <v>2832770606.224</v>
      </c>
      <c r="P266">
        <v>1701668566501.9141</v>
      </c>
      <c r="Q266">
        <v>1650077912324.355</v>
      </c>
      <c r="R266">
        <v>96.968231346976523</v>
      </c>
      <c r="S266">
        <v>1</v>
      </c>
      <c r="T266">
        <v>1.3361066277511699E-3</v>
      </c>
      <c r="U266">
        <v>1.3361066277511699E-3</v>
      </c>
      <c r="V266">
        <v>1</v>
      </c>
      <c r="W266" t="b">
        <v>0</v>
      </c>
    </row>
    <row r="267" spans="1:23" x14ac:dyDescent="0.25">
      <c r="A267" t="s">
        <v>798</v>
      </c>
      <c r="B267" t="s">
        <v>372</v>
      </c>
      <c r="C267" t="s">
        <v>860</v>
      </c>
      <c r="D267">
        <v>189034940</v>
      </c>
      <c r="E267" t="s">
        <v>873</v>
      </c>
      <c r="F267">
        <v>14.29</v>
      </c>
      <c r="G267" t="s">
        <v>872</v>
      </c>
      <c r="H267" t="s">
        <v>1356</v>
      </c>
      <c r="I267">
        <v>1</v>
      </c>
      <c r="J267">
        <v>13.14</v>
      </c>
      <c r="K267">
        <v>14.29</v>
      </c>
      <c r="L267">
        <v>1</v>
      </c>
      <c r="M267" t="s">
        <v>1590</v>
      </c>
      <c r="N267">
        <v>1</v>
      </c>
      <c r="O267">
        <v>2701309292.5999999</v>
      </c>
      <c r="P267">
        <v>1701668566501.9141</v>
      </c>
      <c r="Q267">
        <v>1652779221616.9551</v>
      </c>
      <c r="R267">
        <v>97.12697608409961</v>
      </c>
      <c r="S267">
        <v>1</v>
      </c>
      <c r="T267">
        <v>1.274101489728352E-3</v>
      </c>
      <c r="U267">
        <v>1.274101489728352E-3</v>
      </c>
      <c r="V267">
        <v>1</v>
      </c>
      <c r="W267" t="b">
        <v>0</v>
      </c>
    </row>
    <row r="268" spans="1:23" x14ac:dyDescent="0.25">
      <c r="A268" t="s">
        <v>601</v>
      </c>
      <c r="B268" t="s">
        <v>175</v>
      </c>
      <c r="C268" t="s">
        <v>860</v>
      </c>
      <c r="D268">
        <v>92468704</v>
      </c>
      <c r="E268" t="s">
        <v>873</v>
      </c>
      <c r="F268">
        <v>71</v>
      </c>
      <c r="G268" t="s">
        <v>872</v>
      </c>
      <c r="H268" t="s">
        <v>1357</v>
      </c>
      <c r="I268">
        <v>1</v>
      </c>
      <c r="J268">
        <v>70.849999999999994</v>
      </c>
      <c r="K268">
        <v>71</v>
      </c>
      <c r="L268">
        <v>0.4</v>
      </c>
      <c r="M268" t="s">
        <v>1590</v>
      </c>
      <c r="N268">
        <v>1</v>
      </c>
      <c r="O268">
        <v>2626111193.5999999</v>
      </c>
      <c r="P268">
        <v>1701668566501.9141</v>
      </c>
      <c r="Q268">
        <v>1655405332810.5549</v>
      </c>
      <c r="R268">
        <v>97.281301741004626</v>
      </c>
      <c r="S268">
        <v>1</v>
      </c>
      <c r="T268">
        <v>1.2386335001045409E-3</v>
      </c>
      <c r="U268">
        <v>1.2386335001045409E-3</v>
      </c>
      <c r="V268">
        <v>1</v>
      </c>
      <c r="W268" t="b">
        <v>0</v>
      </c>
    </row>
    <row r="269" spans="1:23" x14ac:dyDescent="0.25">
      <c r="A269" t="s">
        <v>605</v>
      </c>
      <c r="B269" t="s">
        <v>179</v>
      </c>
      <c r="C269" t="s">
        <v>860</v>
      </c>
      <c r="D269">
        <v>65500000</v>
      </c>
      <c r="E269" t="s">
        <v>873</v>
      </c>
      <c r="F269">
        <v>38.5</v>
      </c>
      <c r="G269" t="s">
        <v>872</v>
      </c>
      <c r="H269" t="s">
        <v>1358</v>
      </c>
      <c r="I269">
        <v>1</v>
      </c>
      <c r="J269">
        <v>38.619999999999997</v>
      </c>
      <c r="K269">
        <v>38.5</v>
      </c>
      <c r="L269">
        <v>1</v>
      </c>
      <c r="M269" t="s">
        <v>1590</v>
      </c>
      <c r="N269">
        <v>1</v>
      </c>
      <c r="O269">
        <v>2521750000</v>
      </c>
      <c r="P269">
        <v>1701668566501.9141</v>
      </c>
      <c r="Q269">
        <v>1657927082810.5549</v>
      </c>
      <c r="R269">
        <v>97.429494523644067</v>
      </c>
      <c r="S269">
        <v>1</v>
      </c>
      <c r="T269">
        <v>1.189410424242832E-3</v>
      </c>
      <c r="U269">
        <v>1.189410424242832E-3</v>
      </c>
      <c r="V269">
        <v>1</v>
      </c>
      <c r="W269" t="b">
        <v>0</v>
      </c>
    </row>
    <row r="270" spans="1:23" x14ac:dyDescent="0.25">
      <c r="A270" t="s">
        <v>470</v>
      </c>
      <c r="B270" t="s">
        <v>44</v>
      </c>
      <c r="C270" t="s">
        <v>860</v>
      </c>
      <c r="D270">
        <v>1537025600</v>
      </c>
      <c r="E270" t="s">
        <v>873</v>
      </c>
      <c r="F270">
        <v>3.0720000000000001</v>
      </c>
      <c r="G270" t="s">
        <v>872</v>
      </c>
      <c r="H270" t="s">
        <v>1359</v>
      </c>
      <c r="I270">
        <v>1</v>
      </c>
      <c r="J270">
        <v>2.59</v>
      </c>
      <c r="K270">
        <v>3.0720000000000001</v>
      </c>
      <c r="L270">
        <v>0.45</v>
      </c>
      <c r="M270" t="s">
        <v>1590</v>
      </c>
      <c r="N270">
        <v>1</v>
      </c>
      <c r="O270">
        <v>2124784189.4400001</v>
      </c>
      <c r="P270">
        <v>1701668566501.9141</v>
      </c>
      <c r="Q270">
        <v>1660051866999.9951</v>
      </c>
      <c r="R270">
        <v>97.554359272941753</v>
      </c>
      <c r="S270">
        <v>1</v>
      </c>
      <c r="T270">
        <v>1.0021772436547209E-3</v>
      </c>
      <c r="U270">
        <v>1.0021772436547209E-3</v>
      </c>
      <c r="V270">
        <v>1</v>
      </c>
      <c r="W270" t="b">
        <v>0</v>
      </c>
    </row>
    <row r="271" spans="1:23" x14ac:dyDescent="0.25">
      <c r="A271" t="s">
        <v>475</v>
      </c>
      <c r="B271" t="s">
        <v>49</v>
      </c>
      <c r="C271" t="s">
        <v>860</v>
      </c>
      <c r="D271">
        <v>100050990</v>
      </c>
      <c r="E271" t="s">
        <v>873</v>
      </c>
      <c r="F271">
        <v>36.9</v>
      </c>
      <c r="G271" t="s">
        <v>872</v>
      </c>
      <c r="H271" t="s">
        <v>1360</v>
      </c>
      <c r="I271">
        <v>1</v>
      </c>
      <c r="J271">
        <v>42</v>
      </c>
      <c r="K271">
        <v>36.9</v>
      </c>
      <c r="L271">
        <v>0.55000000000000004</v>
      </c>
      <c r="M271" t="s">
        <v>1590</v>
      </c>
      <c r="N271">
        <v>0</v>
      </c>
      <c r="O271">
        <v>2030534842.05</v>
      </c>
      <c r="P271">
        <v>1701668566501.9141</v>
      </c>
      <c r="Q271">
        <v>1662082401842.0449</v>
      </c>
      <c r="R271">
        <v>97.673685379213083</v>
      </c>
      <c r="S271">
        <v>1</v>
      </c>
      <c r="T271">
        <v>9.577235284713169E-4</v>
      </c>
      <c r="U271">
        <v>9.577235284713169E-4</v>
      </c>
      <c r="V271">
        <v>1</v>
      </c>
      <c r="W271" t="b">
        <v>0</v>
      </c>
    </row>
    <row r="272" spans="1:23" x14ac:dyDescent="0.25">
      <c r="A272" t="s">
        <v>656</v>
      </c>
      <c r="B272" t="s">
        <v>230</v>
      </c>
      <c r="C272" t="s">
        <v>860</v>
      </c>
      <c r="D272">
        <v>179100000</v>
      </c>
      <c r="E272" t="s">
        <v>873</v>
      </c>
      <c r="F272">
        <v>11.01</v>
      </c>
      <c r="G272" t="s">
        <v>872</v>
      </c>
      <c r="H272" t="s">
        <v>1361</v>
      </c>
      <c r="I272">
        <v>1</v>
      </c>
      <c r="J272">
        <v>11.91</v>
      </c>
      <c r="K272">
        <v>11.01</v>
      </c>
      <c r="L272">
        <v>0.95</v>
      </c>
      <c r="M272" t="s">
        <v>1590</v>
      </c>
      <c r="N272">
        <v>1</v>
      </c>
      <c r="O272">
        <v>1873296450</v>
      </c>
      <c r="P272">
        <v>1701668566501.9141</v>
      </c>
      <c r="Q272">
        <v>1663955698292.0449</v>
      </c>
      <c r="R272">
        <v>97.783771237697906</v>
      </c>
      <c r="S272">
        <v>1</v>
      </c>
      <c r="T272">
        <v>8.8356035504197155E-4</v>
      </c>
      <c r="U272">
        <v>8.8356035504197155E-4</v>
      </c>
      <c r="V272">
        <v>1</v>
      </c>
      <c r="W272" t="b">
        <v>0</v>
      </c>
    </row>
    <row r="273" spans="1:23" x14ac:dyDescent="0.25">
      <c r="A273" t="s">
        <v>454</v>
      </c>
      <c r="B273" t="s">
        <v>28</v>
      </c>
      <c r="C273" t="s">
        <v>860</v>
      </c>
      <c r="D273">
        <v>113456120</v>
      </c>
      <c r="E273" t="s">
        <v>873</v>
      </c>
      <c r="F273">
        <v>16.32</v>
      </c>
      <c r="G273" t="s">
        <v>872</v>
      </c>
      <c r="H273" t="s">
        <v>1362</v>
      </c>
      <c r="I273">
        <v>1</v>
      </c>
      <c r="J273">
        <v>17.725000000000001</v>
      </c>
      <c r="K273">
        <v>16.32</v>
      </c>
      <c r="L273">
        <v>1</v>
      </c>
      <c r="M273" t="s">
        <v>1590</v>
      </c>
      <c r="N273">
        <v>1</v>
      </c>
      <c r="O273">
        <v>1851603878.4000001</v>
      </c>
      <c r="P273">
        <v>1701668566501.9141</v>
      </c>
      <c r="Q273">
        <v>1665807302170.4451</v>
      </c>
      <c r="R273">
        <v>97.892582313770504</v>
      </c>
      <c r="S273">
        <v>1</v>
      </c>
      <c r="T273">
        <v>8.7332882107164387E-4</v>
      </c>
      <c r="U273">
        <v>8.7332882107164387E-4</v>
      </c>
      <c r="V273">
        <v>1</v>
      </c>
      <c r="W273" t="b">
        <v>0</v>
      </c>
    </row>
    <row r="274" spans="1:23" x14ac:dyDescent="0.25">
      <c r="A274" t="s">
        <v>831</v>
      </c>
      <c r="B274" t="s">
        <v>405</v>
      </c>
      <c r="C274" t="s">
        <v>860</v>
      </c>
      <c r="D274">
        <v>192000000</v>
      </c>
      <c r="E274" t="s">
        <v>873</v>
      </c>
      <c r="F274">
        <v>24.1</v>
      </c>
      <c r="G274" t="s">
        <v>872</v>
      </c>
      <c r="H274" t="s">
        <v>1363</v>
      </c>
      <c r="I274">
        <v>1</v>
      </c>
      <c r="J274">
        <v>25.18</v>
      </c>
      <c r="K274">
        <v>24.1</v>
      </c>
      <c r="L274">
        <v>0.4</v>
      </c>
      <c r="M274" t="s">
        <v>1590</v>
      </c>
      <c r="N274">
        <v>1</v>
      </c>
      <c r="O274">
        <v>1850880000</v>
      </c>
      <c r="P274">
        <v>1701668566501.9141</v>
      </c>
      <c r="Q274">
        <v>1667658182170.4451</v>
      </c>
      <c r="R274">
        <v>98.001350850513518</v>
      </c>
      <c r="S274">
        <v>1</v>
      </c>
      <c r="T274">
        <v>8.7298739606327894E-4</v>
      </c>
      <c r="U274">
        <v>8.7298739606327894E-4</v>
      </c>
      <c r="V274">
        <v>1</v>
      </c>
      <c r="W274" t="b">
        <v>0</v>
      </c>
    </row>
    <row r="275" spans="1:23" x14ac:dyDescent="0.25">
      <c r="A275" t="s">
        <v>635</v>
      </c>
      <c r="B275" t="s">
        <v>209</v>
      </c>
      <c r="C275" t="s">
        <v>860</v>
      </c>
      <c r="D275">
        <v>70400000</v>
      </c>
      <c r="E275" t="s">
        <v>873</v>
      </c>
      <c r="F275">
        <v>37.159999999999997</v>
      </c>
      <c r="G275" t="s">
        <v>872</v>
      </c>
      <c r="H275" t="s">
        <v>1364</v>
      </c>
      <c r="I275">
        <v>1</v>
      </c>
      <c r="J275">
        <v>35.9</v>
      </c>
      <c r="K275">
        <v>37.159999999999997</v>
      </c>
      <c r="L275">
        <v>0.65</v>
      </c>
      <c r="M275" t="s">
        <v>1590</v>
      </c>
      <c r="N275">
        <v>1</v>
      </c>
      <c r="O275">
        <v>1700441600</v>
      </c>
      <c r="P275">
        <v>1701668566501.9141</v>
      </c>
      <c r="Q275">
        <v>1669358623770.4451</v>
      </c>
      <c r="R275">
        <v>98.101278746783919</v>
      </c>
      <c r="S275">
        <v>1</v>
      </c>
      <c r="T275">
        <v>8.0203151178989207E-4</v>
      </c>
      <c r="U275">
        <v>8.0203151178989207E-4</v>
      </c>
      <c r="V275">
        <v>1</v>
      </c>
      <c r="W275" t="b">
        <v>0</v>
      </c>
    </row>
    <row r="276" spans="1:23" x14ac:dyDescent="0.25">
      <c r="A276" t="s">
        <v>737</v>
      </c>
      <c r="B276" t="s">
        <v>311</v>
      </c>
      <c r="C276" t="s">
        <v>860</v>
      </c>
      <c r="D276">
        <v>148007920</v>
      </c>
      <c r="E276" t="s">
        <v>873</v>
      </c>
      <c r="F276">
        <v>15.63</v>
      </c>
      <c r="G276" t="s">
        <v>872</v>
      </c>
      <c r="H276" t="s">
        <v>1365</v>
      </c>
      <c r="I276">
        <v>1</v>
      </c>
      <c r="J276">
        <v>21.08</v>
      </c>
      <c r="K276">
        <v>15.63</v>
      </c>
      <c r="L276">
        <v>0.7</v>
      </c>
      <c r="M276" t="s">
        <v>1590</v>
      </c>
      <c r="N276">
        <v>1</v>
      </c>
      <c r="O276">
        <v>1619354652.72</v>
      </c>
      <c r="P276">
        <v>1701668566501.9141</v>
      </c>
      <c r="Q276">
        <v>1670977978423.165</v>
      </c>
      <c r="R276">
        <v>98.196441499660594</v>
      </c>
      <c r="S276">
        <v>1</v>
      </c>
      <c r="T276">
        <v>7.6378598373799916E-4</v>
      </c>
      <c r="U276">
        <v>7.6378598373799916E-4</v>
      </c>
      <c r="V276">
        <v>1</v>
      </c>
      <c r="W276" t="b">
        <v>0</v>
      </c>
    </row>
    <row r="277" spans="1:23" x14ac:dyDescent="0.25">
      <c r="A277" t="s">
        <v>670</v>
      </c>
      <c r="B277" t="s">
        <v>244</v>
      </c>
      <c r="C277" t="s">
        <v>860</v>
      </c>
      <c r="D277">
        <v>31593073</v>
      </c>
      <c r="E277" t="s">
        <v>873</v>
      </c>
      <c r="F277">
        <v>126</v>
      </c>
      <c r="G277" t="s">
        <v>872</v>
      </c>
      <c r="H277" t="s">
        <v>1366</v>
      </c>
      <c r="I277">
        <v>1</v>
      </c>
      <c r="J277">
        <v>134.80000000000001</v>
      </c>
      <c r="K277">
        <v>126</v>
      </c>
      <c r="L277">
        <v>0.4</v>
      </c>
      <c r="M277" t="s">
        <v>1590</v>
      </c>
      <c r="N277">
        <v>1</v>
      </c>
      <c r="O277">
        <v>1592290879.2</v>
      </c>
      <c r="P277">
        <v>1701668566501.9141</v>
      </c>
      <c r="Q277">
        <v>1672570269302.365</v>
      </c>
      <c r="R277">
        <v>98.290013826877825</v>
      </c>
      <c r="S277">
        <v>1</v>
      </c>
      <c r="T277">
        <v>7.5102106479518771E-4</v>
      </c>
      <c r="U277">
        <v>7.5102106479518771E-4</v>
      </c>
      <c r="V277">
        <v>1</v>
      </c>
      <c r="W277" t="b">
        <v>0</v>
      </c>
    </row>
    <row r="278" spans="1:23" x14ac:dyDescent="0.25">
      <c r="A278" t="s">
        <v>655</v>
      </c>
      <c r="B278" t="s">
        <v>229</v>
      </c>
      <c r="C278" t="s">
        <v>860</v>
      </c>
      <c r="D278">
        <v>48000000</v>
      </c>
      <c r="E278" t="s">
        <v>873</v>
      </c>
      <c r="F278">
        <v>32.4</v>
      </c>
      <c r="G278" t="s">
        <v>872</v>
      </c>
      <c r="H278" t="s">
        <v>1367</v>
      </c>
      <c r="I278">
        <v>1</v>
      </c>
      <c r="J278">
        <v>35.26</v>
      </c>
      <c r="K278">
        <v>32.4</v>
      </c>
      <c r="L278">
        <v>1</v>
      </c>
      <c r="M278" t="s">
        <v>1590</v>
      </c>
      <c r="N278">
        <v>1</v>
      </c>
      <c r="O278">
        <v>1555200000</v>
      </c>
      <c r="P278">
        <v>1701668566501.9141</v>
      </c>
      <c r="Q278">
        <v>1674125469302.365</v>
      </c>
      <c r="R278">
        <v>98.381406477045701</v>
      </c>
      <c r="S278">
        <v>1</v>
      </c>
      <c r="T278">
        <v>7.3352675395358497E-4</v>
      </c>
      <c r="U278">
        <v>7.3352675395358497E-4</v>
      </c>
      <c r="V278">
        <v>1</v>
      </c>
      <c r="W278" t="b">
        <v>0</v>
      </c>
    </row>
    <row r="279" spans="1:23" x14ac:dyDescent="0.25">
      <c r="A279" t="s">
        <v>518</v>
      </c>
      <c r="B279" t="s">
        <v>92</v>
      </c>
      <c r="C279" t="s">
        <v>860</v>
      </c>
      <c r="D279">
        <v>89440570</v>
      </c>
      <c r="E279" t="s">
        <v>873</v>
      </c>
      <c r="F279">
        <v>43.36</v>
      </c>
      <c r="G279" t="s">
        <v>872</v>
      </c>
      <c r="H279" t="s">
        <v>1368</v>
      </c>
      <c r="I279">
        <v>1</v>
      </c>
      <c r="J279">
        <v>40</v>
      </c>
      <c r="K279">
        <v>43.36</v>
      </c>
      <c r="L279">
        <v>0.4</v>
      </c>
      <c r="M279" t="s">
        <v>1590</v>
      </c>
      <c r="N279">
        <v>1</v>
      </c>
      <c r="O279">
        <v>1551257246.0799999</v>
      </c>
      <c r="P279">
        <v>1701668566501.9141</v>
      </c>
      <c r="Q279">
        <v>1675676726548.4451</v>
      </c>
      <c r="R279">
        <v>98.472567427927515</v>
      </c>
      <c r="S279">
        <v>1</v>
      </c>
      <c r="T279">
        <v>7.3166711179529316E-4</v>
      </c>
      <c r="U279">
        <v>7.3166711179529316E-4</v>
      </c>
      <c r="V279">
        <v>1</v>
      </c>
      <c r="W279" t="b">
        <v>0</v>
      </c>
    </row>
    <row r="280" spans="1:23" x14ac:dyDescent="0.25">
      <c r="A280" t="s">
        <v>561</v>
      </c>
      <c r="B280" t="s">
        <v>135</v>
      </c>
      <c r="C280" t="s">
        <v>860</v>
      </c>
      <c r="D280">
        <v>200000000</v>
      </c>
      <c r="E280" t="s">
        <v>873</v>
      </c>
      <c r="F280">
        <v>51.35</v>
      </c>
      <c r="G280" t="s">
        <v>872</v>
      </c>
      <c r="H280" t="s">
        <v>1369</v>
      </c>
      <c r="I280">
        <v>1</v>
      </c>
      <c r="J280">
        <v>53.6</v>
      </c>
      <c r="K280">
        <v>51.35</v>
      </c>
      <c r="L280">
        <v>0.15</v>
      </c>
      <c r="M280" t="s">
        <v>1590</v>
      </c>
      <c r="N280">
        <v>1</v>
      </c>
      <c r="O280">
        <v>1540500000</v>
      </c>
      <c r="P280">
        <v>1701668566501.9141</v>
      </c>
      <c r="Q280">
        <v>1677217226548.4451</v>
      </c>
      <c r="R280">
        <v>98.56309622009806</v>
      </c>
      <c r="S280">
        <v>1</v>
      </c>
      <c r="T280">
        <v>7.2659334134869962E-4</v>
      </c>
      <c r="U280">
        <v>7.2659334134869962E-4</v>
      </c>
      <c r="V280">
        <v>1</v>
      </c>
      <c r="W280" t="b">
        <v>0</v>
      </c>
    </row>
    <row r="281" spans="1:23" x14ac:dyDescent="0.25">
      <c r="A281" t="s">
        <v>821</v>
      </c>
      <c r="B281" t="s">
        <v>395</v>
      </c>
      <c r="C281" t="s">
        <v>860</v>
      </c>
      <c r="D281">
        <v>500000000</v>
      </c>
      <c r="E281" t="s">
        <v>873</v>
      </c>
      <c r="F281">
        <v>28.46</v>
      </c>
      <c r="G281" t="s">
        <v>872</v>
      </c>
      <c r="H281" t="s">
        <v>1370</v>
      </c>
      <c r="I281">
        <v>1</v>
      </c>
      <c r="J281">
        <v>30.02</v>
      </c>
      <c r="K281">
        <v>28.46</v>
      </c>
      <c r="L281">
        <v>0.1</v>
      </c>
      <c r="M281" t="s">
        <v>1590</v>
      </c>
      <c r="N281">
        <v>1</v>
      </c>
      <c r="O281">
        <v>1423000000</v>
      </c>
      <c r="P281">
        <v>1701668566501.9141</v>
      </c>
      <c r="Q281">
        <v>1678640226548.4451</v>
      </c>
      <c r="R281">
        <v>98.646720024874867</v>
      </c>
      <c r="S281">
        <v>1</v>
      </c>
      <c r="T281">
        <v>6.7117320658175892E-4</v>
      </c>
      <c r="U281">
        <v>6.7117320658175892E-4</v>
      </c>
      <c r="V281">
        <v>1</v>
      </c>
      <c r="W281" t="b">
        <v>0</v>
      </c>
    </row>
    <row r="282" spans="1:23" x14ac:dyDescent="0.25">
      <c r="A282" t="s">
        <v>673</v>
      </c>
      <c r="B282" t="s">
        <v>247</v>
      </c>
      <c r="C282" t="s">
        <v>860</v>
      </c>
      <c r="D282">
        <v>86346306</v>
      </c>
      <c r="E282" t="s">
        <v>873</v>
      </c>
      <c r="F282">
        <v>16.350000000000001</v>
      </c>
      <c r="G282" t="s">
        <v>872</v>
      </c>
      <c r="H282" t="s">
        <v>1371</v>
      </c>
      <c r="I282">
        <v>1</v>
      </c>
      <c r="J282">
        <v>17.489999999999998</v>
      </c>
      <c r="K282">
        <v>16.350000000000001</v>
      </c>
      <c r="L282">
        <v>1</v>
      </c>
      <c r="M282" t="s">
        <v>1590</v>
      </c>
      <c r="N282">
        <v>1</v>
      </c>
      <c r="O282">
        <v>1411762103.0999999</v>
      </c>
      <c r="P282">
        <v>1701668566501.9141</v>
      </c>
      <c r="Q282">
        <v>1680051988651.5449</v>
      </c>
      <c r="R282">
        <v>98.72968342508635</v>
      </c>
      <c r="S282">
        <v>1</v>
      </c>
      <c r="T282">
        <v>6.6587273202265264E-4</v>
      </c>
      <c r="U282">
        <v>6.6587273202265264E-4</v>
      </c>
      <c r="V282">
        <v>1</v>
      </c>
      <c r="W282" t="b">
        <v>0</v>
      </c>
    </row>
    <row r="283" spans="1:23" x14ac:dyDescent="0.25">
      <c r="A283" t="s">
        <v>850</v>
      </c>
      <c r="B283" t="s">
        <v>424</v>
      </c>
      <c r="C283" t="s">
        <v>860</v>
      </c>
      <c r="D283">
        <v>52152600</v>
      </c>
      <c r="E283" t="s">
        <v>873</v>
      </c>
      <c r="F283">
        <v>67.349999999999994</v>
      </c>
      <c r="G283" t="s">
        <v>872</v>
      </c>
      <c r="H283" t="s">
        <v>1372</v>
      </c>
      <c r="I283">
        <v>1</v>
      </c>
      <c r="J283">
        <v>66.900000000000006</v>
      </c>
      <c r="K283">
        <v>67.349999999999994</v>
      </c>
      <c r="L283">
        <v>0.4</v>
      </c>
      <c r="M283" t="s">
        <v>1590</v>
      </c>
      <c r="N283">
        <v>1</v>
      </c>
      <c r="O283">
        <v>1404991044</v>
      </c>
      <c r="P283">
        <v>1701668566501.9141</v>
      </c>
      <c r="Q283">
        <v>1681456979695.5449</v>
      </c>
      <c r="R283">
        <v>98.81224891825336</v>
      </c>
      <c r="S283">
        <v>1</v>
      </c>
      <c r="T283">
        <v>6.6267908940276395E-4</v>
      </c>
      <c r="U283">
        <v>6.6267908940276395E-4</v>
      </c>
      <c r="V283">
        <v>1</v>
      </c>
      <c r="W283" t="b">
        <v>0</v>
      </c>
    </row>
    <row r="284" spans="1:23" x14ac:dyDescent="0.25">
      <c r="A284" t="s">
        <v>644</v>
      </c>
      <c r="B284" t="s">
        <v>218</v>
      </c>
      <c r="C284" t="s">
        <v>860</v>
      </c>
      <c r="D284">
        <v>140000000</v>
      </c>
      <c r="E284" t="s">
        <v>873</v>
      </c>
      <c r="F284">
        <v>26.75</v>
      </c>
      <c r="G284" t="s">
        <v>872</v>
      </c>
      <c r="H284" t="s">
        <v>1373</v>
      </c>
      <c r="I284">
        <v>1</v>
      </c>
      <c r="J284">
        <v>25.65</v>
      </c>
      <c r="K284">
        <v>26.75</v>
      </c>
      <c r="L284">
        <v>0.35</v>
      </c>
      <c r="M284" t="s">
        <v>1590</v>
      </c>
      <c r="N284">
        <v>1</v>
      </c>
      <c r="O284">
        <v>1310750000</v>
      </c>
      <c r="P284">
        <v>1701668566501.9141</v>
      </c>
      <c r="Q284">
        <v>1682767729695.5449</v>
      </c>
      <c r="R284">
        <v>98.889276256349774</v>
      </c>
      <c r="S284">
        <v>1</v>
      </c>
      <c r="T284">
        <v>6.1822929060227725E-4</v>
      </c>
      <c r="U284">
        <v>6.1822929060227725E-4</v>
      </c>
      <c r="V284">
        <v>1</v>
      </c>
      <c r="W284" t="b">
        <v>0</v>
      </c>
    </row>
    <row r="285" spans="1:23" x14ac:dyDescent="0.25">
      <c r="A285" t="s">
        <v>555</v>
      </c>
      <c r="B285" t="s">
        <v>129</v>
      </c>
      <c r="C285" t="s">
        <v>860</v>
      </c>
      <c r="D285">
        <v>400297000</v>
      </c>
      <c r="E285" t="s">
        <v>873</v>
      </c>
      <c r="F285">
        <v>21.8</v>
      </c>
      <c r="G285" t="s">
        <v>872</v>
      </c>
      <c r="H285" t="s">
        <v>1374</v>
      </c>
      <c r="I285">
        <v>1</v>
      </c>
      <c r="J285">
        <v>20.3</v>
      </c>
      <c r="K285">
        <v>21.8</v>
      </c>
      <c r="L285">
        <v>0.15</v>
      </c>
      <c r="M285" t="s">
        <v>1590</v>
      </c>
      <c r="N285">
        <v>1</v>
      </c>
      <c r="O285">
        <v>1308971190</v>
      </c>
      <c r="P285">
        <v>1701668566501.9141</v>
      </c>
      <c r="Q285">
        <v>1684076700885.5449</v>
      </c>
      <c r="R285">
        <v>98.966199061164289</v>
      </c>
      <c r="S285">
        <v>1</v>
      </c>
      <c r="T285">
        <v>6.1739029579440676E-4</v>
      </c>
      <c r="U285">
        <v>6.1739029579440676E-4</v>
      </c>
      <c r="V285">
        <v>1</v>
      </c>
      <c r="W285" t="b">
        <v>0</v>
      </c>
    </row>
    <row r="286" spans="1:23" x14ac:dyDescent="0.25">
      <c r="A286" t="s">
        <v>759</v>
      </c>
      <c r="B286" t="s">
        <v>333</v>
      </c>
      <c r="C286" t="s">
        <v>860</v>
      </c>
      <c r="D286">
        <v>154742800</v>
      </c>
      <c r="E286" t="s">
        <v>873</v>
      </c>
      <c r="F286">
        <v>33.200000000000003</v>
      </c>
      <c r="G286" t="s">
        <v>872</v>
      </c>
      <c r="H286" t="s">
        <v>1375</v>
      </c>
      <c r="I286">
        <v>1</v>
      </c>
      <c r="J286">
        <v>32.35</v>
      </c>
      <c r="K286">
        <v>33.200000000000003</v>
      </c>
      <c r="L286">
        <v>0.25</v>
      </c>
      <c r="M286" t="s">
        <v>1590</v>
      </c>
      <c r="N286">
        <v>1</v>
      </c>
      <c r="O286">
        <v>1284365240</v>
      </c>
      <c r="P286">
        <v>1701668566501.9141</v>
      </c>
      <c r="Q286">
        <v>1685361066125.5449</v>
      </c>
      <c r="R286">
        <v>99.04167587640805</v>
      </c>
      <c r="S286">
        <v>1</v>
      </c>
      <c r="T286">
        <v>6.0578463566616321E-4</v>
      </c>
      <c r="U286">
        <v>6.0578463566616321E-4</v>
      </c>
      <c r="V286">
        <v>1</v>
      </c>
      <c r="W286" t="b">
        <v>0</v>
      </c>
    </row>
    <row r="287" spans="1:23" x14ac:dyDescent="0.25">
      <c r="A287" t="s">
        <v>556</v>
      </c>
      <c r="B287" t="s">
        <v>130</v>
      </c>
      <c r="C287" t="s">
        <v>860</v>
      </c>
      <c r="D287">
        <v>152638100</v>
      </c>
      <c r="E287" t="s">
        <v>873</v>
      </c>
      <c r="F287">
        <v>7.5750000000000002</v>
      </c>
      <c r="G287" t="s">
        <v>872</v>
      </c>
      <c r="H287" t="s">
        <v>1376</v>
      </c>
      <c r="I287">
        <v>1</v>
      </c>
      <c r="J287">
        <v>8.5250000000000004</v>
      </c>
      <c r="K287">
        <v>7.5750000000000002</v>
      </c>
      <c r="L287">
        <v>1</v>
      </c>
      <c r="M287" t="s">
        <v>1590</v>
      </c>
      <c r="N287">
        <v>1</v>
      </c>
      <c r="O287">
        <v>1156233607.5</v>
      </c>
      <c r="P287">
        <v>1701668566501.9141</v>
      </c>
      <c r="Q287">
        <v>1686517299733.0449</v>
      </c>
      <c r="R287">
        <v>99.10962292733565</v>
      </c>
      <c r="S287">
        <v>1</v>
      </c>
      <c r="T287">
        <v>5.4534997744439201E-4</v>
      </c>
      <c r="U287">
        <v>5.4534997744439201E-4</v>
      </c>
      <c r="V287">
        <v>1</v>
      </c>
      <c r="W287" t="b">
        <v>0</v>
      </c>
    </row>
    <row r="288" spans="1:23" x14ac:dyDescent="0.25">
      <c r="A288" t="s">
        <v>747</v>
      </c>
      <c r="B288" t="s">
        <v>321</v>
      </c>
      <c r="C288" t="s">
        <v>860</v>
      </c>
      <c r="D288">
        <v>20578390</v>
      </c>
      <c r="E288" t="s">
        <v>873</v>
      </c>
      <c r="F288">
        <v>60.05</v>
      </c>
      <c r="G288" t="s">
        <v>872</v>
      </c>
      <c r="H288" t="s">
        <v>1377</v>
      </c>
      <c r="I288">
        <v>1</v>
      </c>
      <c r="J288">
        <v>62.55</v>
      </c>
      <c r="K288">
        <v>60.05</v>
      </c>
      <c r="L288">
        <v>0.9</v>
      </c>
      <c r="M288" t="s">
        <v>1590</v>
      </c>
      <c r="N288">
        <v>1</v>
      </c>
      <c r="O288">
        <v>1112159087.55</v>
      </c>
      <c r="P288">
        <v>1701668566501.9141</v>
      </c>
      <c r="Q288">
        <v>1687629458820.595</v>
      </c>
      <c r="R288">
        <v>99.174979901628021</v>
      </c>
      <c r="S288">
        <v>1</v>
      </c>
      <c r="T288">
        <v>5.2456175756850076E-4</v>
      </c>
      <c r="U288">
        <v>5.2456175756850076E-4</v>
      </c>
      <c r="V288">
        <v>1</v>
      </c>
      <c r="W288" t="b">
        <v>0</v>
      </c>
    </row>
    <row r="289" spans="1:23" x14ac:dyDescent="0.25">
      <c r="A289" t="s">
        <v>782</v>
      </c>
      <c r="B289" t="s">
        <v>356</v>
      </c>
      <c r="C289" t="s">
        <v>860</v>
      </c>
      <c r="D289">
        <v>34700000</v>
      </c>
      <c r="E289" t="s">
        <v>873</v>
      </c>
      <c r="F289">
        <v>31.92</v>
      </c>
      <c r="G289" t="s">
        <v>872</v>
      </c>
      <c r="H289" t="s">
        <v>1378</v>
      </c>
      <c r="I289">
        <v>1</v>
      </c>
      <c r="J289">
        <v>36.36</v>
      </c>
      <c r="K289">
        <v>31.92</v>
      </c>
      <c r="L289">
        <v>1</v>
      </c>
      <c r="M289" t="s">
        <v>1590</v>
      </c>
      <c r="N289">
        <v>0</v>
      </c>
      <c r="O289">
        <v>1107624000</v>
      </c>
      <c r="P289">
        <v>1701668566501.9141</v>
      </c>
      <c r="Q289">
        <v>1688737082820.595</v>
      </c>
      <c r="R289">
        <v>99.240070367644975</v>
      </c>
      <c r="S289">
        <v>1</v>
      </c>
      <c r="T289">
        <v>5.2242273490296144E-4</v>
      </c>
      <c r="U289">
        <v>5.2242273490296144E-4</v>
      </c>
      <c r="V289">
        <v>1</v>
      </c>
      <c r="W289" t="b">
        <v>0</v>
      </c>
    </row>
    <row r="290" spans="1:23" x14ac:dyDescent="0.25">
      <c r="A290" t="s">
        <v>668</v>
      </c>
      <c r="B290" t="s">
        <v>242</v>
      </c>
      <c r="C290" t="s">
        <v>860</v>
      </c>
      <c r="D290">
        <v>66096100</v>
      </c>
      <c r="E290" t="s">
        <v>873</v>
      </c>
      <c r="F290">
        <v>22.88</v>
      </c>
      <c r="G290" t="s">
        <v>872</v>
      </c>
      <c r="H290" t="s">
        <v>1379</v>
      </c>
      <c r="I290">
        <v>1</v>
      </c>
      <c r="J290">
        <v>22.4</v>
      </c>
      <c r="K290">
        <v>22.88</v>
      </c>
      <c r="L290">
        <v>0.7</v>
      </c>
      <c r="M290" t="s">
        <v>1590</v>
      </c>
      <c r="N290">
        <v>1</v>
      </c>
      <c r="O290">
        <v>1058595137.6</v>
      </c>
      <c r="P290">
        <v>1701668566501.9141</v>
      </c>
      <c r="Q290">
        <v>1689795677958.1951</v>
      </c>
      <c r="R290">
        <v>99.302279610880632</v>
      </c>
      <c r="S290">
        <v>1</v>
      </c>
      <c r="T290">
        <v>4.992977462929376E-4</v>
      </c>
      <c r="U290">
        <v>4.992977462929376E-4</v>
      </c>
      <c r="V290">
        <v>1</v>
      </c>
      <c r="W290" t="b">
        <v>0</v>
      </c>
    </row>
    <row r="291" spans="1:23" x14ac:dyDescent="0.25">
      <c r="A291" t="s">
        <v>654</v>
      </c>
      <c r="B291" t="s">
        <v>228</v>
      </c>
      <c r="C291" t="s">
        <v>860</v>
      </c>
      <c r="D291">
        <v>57238117</v>
      </c>
      <c r="E291" t="s">
        <v>873</v>
      </c>
      <c r="F291">
        <v>18.649999999999999</v>
      </c>
      <c r="G291" t="s">
        <v>872</v>
      </c>
      <c r="H291" t="s">
        <v>1380</v>
      </c>
      <c r="I291">
        <v>1</v>
      </c>
      <c r="J291">
        <v>18.989999999999998</v>
      </c>
      <c r="K291">
        <v>18.649999999999999</v>
      </c>
      <c r="L291">
        <v>0.9</v>
      </c>
      <c r="M291" t="s">
        <v>1590</v>
      </c>
      <c r="N291">
        <v>1</v>
      </c>
      <c r="O291">
        <v>960741793.84500003</v>
      </c>
      <c r="P291">
        <v>1701668566501.9141</v>
      </c>
      <c r="Q291">
        <v>1690756419752.04</v>
      </c>
      <c r="R291">
        <v>99.358738419179602</v>
      </c>
      <c r="S291">
        <v>1</v>
      </c>
      <c r="T291">
        <v>4.5314416758401952E-4</v>
      </c>
      <c r="U291">
        <v>4.5314416758401952E-4</v>
      </c>
      <c r="V291">
        <v>1</v>
      </c>
      <c r="W291" t="b">
        <v>0</v>
      </c>
    </row>
    <row r="292" spans="1:23" x14ac:dyDescent="0.25">
      <c r="A292" t="s">
        <v>474</v>
      </c>
      <c r="B292" t="s">
        <v>48</v>
      </c>
      <c r="C292" t="s">
        <v>860</v>
      </c>
      <c r="D292">
        <v>15906272</v>
      </c>
      <c r="E292" t="s">
        <v>873</v>
      </c>
      <c r="F292">
        <v>106.2</v>
      </c>
      <c r="G292" t="s">
        <v>872</v>
      </c>
      <c r="H292" t="s">
        <v>1381</v>
      </c>
      <c r="I292">
        <v>1</v>
      </c>
      <c r="J292">
        <v>114</v>
      </c>
      <c r="K292">
        <v>106.2</v>
      </c>
      <c r="L292">
        <v>0.55000000000000004</v>
      </c>
      <c r="M292" t="s">
        <v>1590</v>
      </c>
      <c r="N292">
        <v>1</v>
      </c>
      <c r="O292">
        <v>929085347.5200001</v>
      </c>
      <c r="P292">
        <v>1701668566501.9141</v>
      </c>
      <c r="Q292">
        <v>1691685505099.5601</v>
      </c>
      <c r="R292">
        <v>99.413336909497247</v>
      </c>
      <c r="S292">
        <v>1</v>
      </c>
      <c r="T292">
        <v>4.3821306527275212E-4</v>
      </c>
      <c r="U292">
        <v>4.3821306527275212E-4</v>
      </c>
      <c r="V292">
        <v>1</v>
      </c>
      <c r="W292" t="b">
        <v>0</v>
      </c>
    </row>
    <row r="293" spans="1:23" x14ac:dyDescent="0.25">
      <c r="A293" t="s">
        <v>496</v>
      </c>
      <c r="B293" t="s">
        <v>70</v>
      </c>
      <c r="C293" t="s">
        <v>860</v>
      </c>
      <c r="D293">
        <v>39999996</v>
      </c>
      <c r="E293" t="s">
        <v>873</v>
      </c>
      <c r="F293">
        <v>27.1</v>
      </c>
      <c r="G293" t="s">
        <v>872</v>
      </c>
      <c r="H293" t="s">
        <v>1382</v>
      </c>
      <c r="I293">
        <v>1</v>
      </c>
      <c r="J293">
        <v>27.7</v>
      </c>
      <c r="K293">
        <v>27.1</v>
      </c>
      <c r="L293">
        <v>0.85</v>
      </c>
      <c r="M293" t="s">
        <v>1590</v>
      </c>
      <c r="N293">
        <v>1</v>
      </c>
      <c r="O293">
        <v>921399907.86000013</v>
      </c>
      <c r="P293">
        <v>1701668566501.9141</v>
      </c>
      <c r="Q293">
        <v>1692606905007.4199</v>
      </c>
      <c r="R293">
        <v>99.467483758419419</v>
      </c>
      <c r="S293">
        <v>1</v>
      </c>
      <c r="T293">
        <v>4.3458814525828068E-4</v>
      </c>
      <c r="U293">
        <v>4.3458814525828068E-4</v>
      </c>
      <c r="V293">
        <v>1</v>
      </c>
      <c r="W293" t="b">
        <v>0</v>
      </c>
    </row>
    <row r="294" spans="1:23" x14ac:dyDescent="0.25">
      <c r="A294" t="s">
        <v>592</v>
      </c>
      <c r="B294" t="s">
        <v>166</v>
      </c>
      <c r="C294" t="s">
        <v>860</v>
      </c>
      <c r="D294">
        <v>84000000</v>
      </c>
      <c r="E294" t="s">
        <v>873</v>
      </c>
      <c r="F294">
        <v>43.2</v>
      </c>
      <c r="G294" t="s">
        <v>872</v>
      </c>
      <c r="H294" t="s">
        <v>1383</v>
      </c>
      <c r="I294">
        <v>1</v>
      </c>
      <c r="J294">
        <v>42.5</v>
      </c>
      <c r="K294">
        <v>43.2</v>
      </c>
      <c r="L294">
        <v>0.25</v>
      </c>
      <c r="M294" t="s">
        <v>1590</v>
      </c>
      <c r="N294">
        <v>1</v>
      </c>
      <c r="O294">
        <v>907200000.00000012</v>
      </c>
      <c r="P294">
        <v>1701668566501.9141</v>
      </c>
      <c r="Q294">
        <v>1693514105007.4199</v>
      </c>
      <c r="R294">
        <v>99.520796137684016</v>
      </c>
      <c r="S294">
        <v>1</v>
      </c>
      <c r="T294">
        <v>4.2789060647292461E-4</v>
      </c>
      <c r="U294">
        <v>4.2789060647292461E-4</v>
      </c>
      <c r="V294">
        <v>1</v>
      </c>
      <c r="W294" t="b">
        <v>0</v>
      </c>
    </row>
    <row r="295" spans="1:23" x14ac:dyDescent="0.25">
      <c r="A295" t="s">
        <v>560</v>
      </c>
      <c r="B295" t="s">
        <v>134</v>
      </c>
      <c r="C295" t="s">
        <v>860</v>
      </c>
      <c r="D295">
        <v>69202080</v>
      </c>
      <c r="E295" t="s">
        <v>873</v>
      </c>
      <c r="F295">
        <v>18.64</v>
      </c>
      <c r="G295" t="s">
        <v>872</v>
      </c>
      <c r="H295" t="s">
        <v>1384</v>
      </c>
      <c r="I295">
        <v>1</v>
      </c>
      <c r="J295">
        <v>21.1</v>
      </c>
      <c r="K295">
        <v>18.64</v>
      </c>
      <c r="L295">
        <v>0.7</v>
      </c>
      <c r="M295" t="s">
        <v>1590</v>
      </c>
      <c r="N295">
        <v>1</v>
      </c>
      <c r="O295">
        <v>902948739.84000003</v>
      </c>
      <c r="P295">
        <v>1701668566501.9141</v>
      </c>
      <c r="Q295">
        <v>1694417053747.26</v>
      </c>
      <c r="R295">
        <v>99.573858688031081</v>
      </c>
      <c r="S295">
        <v>1</v>
      </c>
      <c r="T295">
        <v>4.2588545403891159E-4</v>
      </c>
      <c r="U295">
        <v>4.2588545403891159E-4</v>
      </c>
      <c r="V295">
        <v>1</v>
      </c>
      <c r="W295" t="b">
        <v>0</v>
      </c>
    </row>
    <row r="296" spans="1:23" x14ac:dyDescent="0.25">
      <c r="A296" t="s">
        <v>795</v>
      </c>
      <c r="B296" t="s">
        <v>369</v>
      </c>
      <c r="C296" t="s">
        <v>860</v>
      </c>
      <c r="D296">
        <v>55843310</v>
      </c>
      <c r="E296" t="s">
        <v>873</v>
      </c>
      <c r="F296">
        <v>34.75</v>
      </c>
      <c r="G296" t="s">
        <v>872</v>
      </c>
      <c r="H296" t="s">
        <v>1385</v>
      </c>
      <c r="I296">
        <v>1</v>
      </c>
      <c r="J296">
        <v>36.35</v>
      </c>
      <c r="K296">
        <v>34.75</v>
      </c>
      <c r="L296">
        <v>0.45</v>
      </c>
      <c r="M296" t="s">
        <v>1590</v>
      </c>
      <c r="N296">
        <v>1</v>
      </c>
      <c r="O296">
        <v>873249760.125</v>
      </c>
      <c r="P296">
        <v>1701668566501.9141</v>
      </c>
      <c r="Q296">
        <v>1695290303507.385</v>
      </c>
      <c r="R296">
        <v>99.625175952586304</v>
      </c>
      <c r="S296">
        <v>1</v>
      </c>
      <c r="T296">
        <v>4.1187761184107379E-4</v>
      </c>
      <c r="U296">
        <v>4.1187761184107379E-4</v>
      </c>
      <c r="V296">
        <v>1</v>
      </c>
      <c r="W296" t="b">
        <v>0</v>
      </c>
    </row>
    <row r="297" spans="1:23" x14ac:dyDescent="0.25">
      <c r="A297" t="s">
        <v>781</v>
      </c>
      <c r="B297" t="s">
        <v>355</v>
      </c>
      <c r="C297" t="s">
        <v>860</v>
      </c>
      <c r="D297">
        <v>16567245</v>
      </c>
      <c r="E297" t="s">
        <v>873</v>
      </c>
      <c r="F297">
        <v>51.1</v>
      </c>
      <c r="G297" t="s">
        <v>872</v>
      </c>
      <c r="H297" t="s">
        <v>1386</v>
      </c>
      <c r="I297">
        <v>1</v>
      </c>
      <c r="J297">
        <v>51.8</v>
      </c>
      <c r="K297">
        <v>51.1</v>
      </c>
      <c r="L297">
        <v>1</v>
      </c>
      <c r="M297" t="s">
        <v>1590</v>
      </c>
      <c r="N297">
        <v>1</v>
      </c>
      <c r="O297">
        <v>846586219.5</v>
      </c>
      <c r="P297">
        <v>1701668566501.9141</v>
      </c>
      <c r="Q297">
        <v>1696136889726.885</v>
      </c>
      <c r="R297">
        <v>99.674926311508443</v>
      </c>
      <c r="S297">
        <v>1</v>
      </c>
      <c r="T297">
        <v>3.9930146703425422E-4</v>
      </c>
      <c r="U297">
        <v>3.9930146703425422E-4</v>
      </c>
      <c r="V297">
        <v>1</v>
      </c>
      <c r="W297" t="b">
        <v>0</v>
      </c>
    </row>
    <row r="298" spans="1:23" x14ac:dyDescent="0.25">
      <c r="A298" t="s">
        <v>671</v>
      </c>
      <c r="B298" t="s">
        <v>245</v>
      </c>
      <c r="C298" t="s">
        <v>860</v>
      </c>
      <c r="D298">
        <v>864712</v>
      </c>
      <c r="E298" t="s">
        <v>873</v>
      </c>
      <c r="F298">
        <v>968</v>
      </c>
      <c r="G298" t="s">
        <v>872</v>
      </c>
      <c r="H298" t="s">
        <v>1387</v>
      </c>
      <c r="I298">
        <v>1</v>
      </c>
      <c r="J298">
        <v>960</v>
      </c>
      <c r="K298">
        <v>968</v>
      </c>
      <c r="L298">
        <v>1</v>
      </c>
      <c r="M298" t="s">
        <v>1590</v>
      </c>
      <c r="N298">
        <v>0</v>
      </c>
      <c r="O298">
        <v>837041216</v>
      </c>
      <c r="P298">
        <v>1701668566501.9141</v>
      </c>
      <c r="Q298">
        <v>1696973930942.885</v>
      </c>
      <c r="R298">
        <v>99.724115750185135</v>
      </c>
      <c r="S298">
        <v>1</v>
      </c>
      <c r="T298">
        <v>3.9479946379748039E-4</v>
      </c>
      <c r="U298">
        <v>3.9479946379748039E-4</v>
      </c>
      <c r="V298">
        <v>1</v>
      </c>
      <c r="W298" t="b">
        <v>0</v>
      </c>
    </row>
    <row r="299" spans="1:23" x14ac:dyDescent="0.25">
      <c r="A299" t="s">
        <v>780</v>
      </c>
      <c r="B299" t="s">
        <v>354</v>
      </c>
      <c r="C299" t="s">
        <v>860</v>
      </c>
      <c r="D299">
        <v>30367110</v>
      </c>
      <c r="E299" t="s">
        <v>873</v>
      </c>
      <c r="F299">
        <v>68.8</v>
      </c>
      <c r="G299" t="s">
        <v>872</v>
      </c>
      <c r="H299" t="s">
        <v>1388</v>
      </c>
      <c r="I299">
        <v>1</v>
      </c>
      <c r="J299">
        <v>70.75</v>
      </c>
      <c r="K299">
        <v>68.8</v>
      </c>
      <c r="L299">
        <v>0.4</v>
      </c>
      <c r="M299" t="s">
        <v>1590</v>
      </c>
      <c r="N299">
        <v>1</v>
      </c>
      <c r="O299">
        <v>835702867.20000005</v>
      </c>
      <c r="P299">
        <v>1701668566501.9141</v>
      </c>
      <c r="Q299">
        <v>1697809633810.085</v>
      </c>
      <c r="R299">
        <v>99.77322653965679</v>
      </c>
      <c r="S299">
        <v>1</v>
      </c>
      <c r="T299">
        <v>3.9416821723695978E-4</v>
      </c>
      <c r="U299">
        <v>3.9416821723695978E-4</v>
      </c>
      <c r="V299">
        <v>1</v>
      </c>
      <c r="W299" t="b">
        <v>0</v>
      </c>
    </row>
    <row r="300" spans="1:23" x14ac:dyDescent="0.25">
      <c r="A300" t="s">
        <v>801</v>
      </c>
      <c r="B300" t="s">
        <v>375</v>
      </c>
      <c r="C300" t="s">
        <v>860</v>
      </c>
      <c r="D300">
        <v>170000000</v>
      </c>
      <c r="E300" t="s">
        <v>873</v>
      </c>
      <c r="F300">
        <v>5.3949999999999996</v>
      </c>
      <c r="G300" t="s">
        <v>872</v>
      </c>
      <c r="H300" t="s">
        <v>1389</v>
      </c>
      <c r="I300">
        <v>1</v>
      </c>
      <c r="J300">
        <v>5.665</v>
      </c>
      <c r="K300">
        <v>5.3949999999999996</v>
      </c>
      <c r="L300">
        <v>0.9</v>
      </c>
      <c r="M300" t="s">
        <v>1590</v>
      </c>
      <c r="N300">
        <v>1</v>
      </c>
      <c r="O300">
        <v>825434999.99999988</v>
      </c>
      <c r="P300">
        <v>1701668566501.9141</v>
      </c>
      <c r="Q300">
        <v>1698635068810.085</v>
      </c>
      <c r="R300">
        <v>99.821733929183111</v>
      </c>
      <c r="S300">
        <v>1</v>
      </c>
      <c r="T300">
        <v>3.8932526758595512E-4</v>
      </c>
      <c r="U300">
        <v>3.8932526758595512E-4</v>
      </c>
      <c r="V300">
        <v>1</v>
      </c>
      <c r="W300" t="b">
        <v>0</v>
      </c>
    </row>
    <row r="301" spans="1:23" x14ac:dyDescent="0.25">
      <c r="A301" t="s">
        <v>613</v>
      </c>
      <c r="B301" t="s">
        <v>187</v>
      </c>
      <c r="C301" t="s">
        <v>860</v>
      </c>
      <c r="D301">
        <v>176187900</v>
      </c>
      <c r="E301" t="s">
        <v>873</v>
      </c>
      <c r="F301">
        <v>11</v>
      </c>
      <c r="G301" t="s">
        <v>872</v>
      </c>
      <c r="H301" t="s">
        <v>1390</v>
      </c>
      <c r="I301">
        <v>1</v>
      </c>
      <c r="J301">
        <v>9.77</v>
      </c>
      <c r="K301">
        <v>11</v>
      </c>
      <c r="L301">
        <v>0.4</v>
      </c>
      <c r="M301" t="s">
        <v>1590</v>
      </c>
      <c r="N301">
        <v>0</v>
      </c>
      <c r="O301">
        <v>775226760</v>
      </c>
      <c r="P301">
        <v>1701668566501.9141</v>
      </c>
      <c r="Q301">
        <v>1699410295570.085</v>
      </c>
      <c r="R301">
        <v>99.867290788800815</v>
      </c>
      <c r="S301">
        <v>1</v>
      </c>
      <c r="T301">
        <v>3.6564401288628778E-4</v>
      </c>
      <c r="U301">
        <v>3.6564401288628778E-4</v>
      </c>
      <c r="V301">
        <v>1</v>
      </c>
      <c r="W301" t="b">
        <v>0</v>
      </c>
    </row>
    <row r="302" spans="1:23" x14ac:dyDescent="0.25">
      <c r="A302" t="s">
        <v>434</v>
      </c>
      <c r="B302" t="s">
        <v>8</v>
      </c>
      <c r="C302" t="s">
        <v>860</v>
      </c>
      <c r="D302">
        <v>176764650</v>
      </c>
      <c r="E302" t="s">
        <v>873</v>
      </c>
      <c r="F302">
        <v>21.75</v>
      </c>
      <c r="G302" t="s">
        <v>872</v>
      </c>
      <c r="H302" t="s">
        <v>1391</v>
      </c>
      <c r="I302">
        <v>1</v>
      </c>
      <c r="J302">
        <v>23.7</v>
      </c>
      <c r="K302">
        <v>21.75</v>
      </c>
      <c r="L302">
        <v>0.2</v>
      </c>
      <c r="M302" t="s">
        <v>1590</v>
      </c>
      <c r="N302">
        <v>0</v>
      </c>
      <c r="O302">
        <v>768926227.5</v>
      </c>
      <c r="P302">
        <v>1701668566501.9141</v>
      </c>
      <c r="Q302">
        <v>1700179221797.585</v>
      </c>
      <c r="R302">
        <v>99.912477392269722</v>
      </c>
      <c r="S302">
        <v>1</v>
      </c>
      <c r="T302">
        <v>3.6267229918200282E-4</v>
      </c>
      <c r="U302">
        <v>3.6267229918200282E-4</v>
      </c>
      <c r="V302">
        <v>1</v>
      </c>
      <c r="W302" t="b">
        <v>0</v>
      </c>
    </row>
    <row r="303" spans="1:23" x14ac:dyDescent="0.25">
      <c r="A303" t="s">
        <v>521</v>
      </c>
      <c r="B303" t="s">
        <v>95</v>
      </c>
      <c r="C303" t="s">
        <v>860</v>
      </c>
      <c r="D303">
        <v>485221070</v>
      </c>
      <c r="E303" t="s">
        <v>873</v>
      </c>
      <c r="F303">
        <v>4.41</v>
      </c>
      <c r="G303" t="s">
        <v>872</v>
      </c>
      <c r="H303" t="s">
        <v>1392</v>
      </c>
      <c r="I303">
        <v>1</v>
      </c>
      <c r="J303">
        <v>4.46</v>
      </c>
      <c r="L303">
        <v>0.35</v>
      </c>
      <c r="M303" t="s">
        <v>1590</v>
      </c>
      <c r="N303">
        <v>0</v>
      </c>
      <c r="O303">
        <v>748938721.54499996</v>
      </c>
      <c r="P303">
        <v>1701668566501.9141</v>
      </c>
      <c r="Q303">
        <v>1700928160519.1299</v>
      </c>
      <c r="R303">
        <v>99.956489412958575</v>
      </c>
      <c r="S303">
        <v>1</v>
      </c>
      <c r="T303">
        <v>3.5324497770386552E-4</v>
      </c>
      <c r="U303">
        <v>3.5324497770386552E-4</v>
      </c>
      <c r="V303">
        <v>1</v>
      </c>
      <c r="W303" t="b">
        <v>0</v>
      </c>
    </row>
    <row r="304" spans="1:23" x14ac:dyDescent="0.25">
      <c r="A304" t="s">
        <v>583</v>
      </c>
      <c r="B304" t="s">
        <v>157</v>
      </c>
      <c r="C304" t="s">
        <v>860</v>
      </c>
      <c r="D304">
        <v>177777080</v>
      </c>
      <c r="E304" t="s">
        <v>873</v>
      </c>
      <c r="F304">
        <v>5.2060000000000004</v>
      </c>
      <c r="G304" t="s">
        <v>872</v>
      </c>
      <c r="H304" t="s">
        <v>1393</v>
      </c>
      <c r="I304">
        <v>1</v>
      </c>
      <c r="J304">
        <v>5.24</v>
      </c>
      <c r="K304">
        <v>5.2060000000000004</v>
      </c>
      <c r="L304">
        <v>0.8</v>
      </c>
      <c r="M304" t="s">
        <v>1590</v>
      </c>
      <c r="N304">
        <v>0</v>
      </c>
      <c r="O304">
        <v>740405982.78400004</v>
      </c>
      <c r="P304">
        <v>1701668566501.9141</v>
      </c>
      <c r="Q304">
        <v>1701668566501.9141</v>
      </c>
      <c r="R304">
        <v>100</v>
      </c>
      <c r="S304">
        <v>1</v>
      </c>
      <c r="T304">
        <v>3.4922041998415728E-4</v>
      </c>
      <c r="U304">
        <v>3.4922041998415728E-4</v>
      </c>
      <c r="V304">
        <v>1</v>
      </c>
      <c r="W304" t="b">
        <v>0</v>
      </c>
    </row>
    <row r="305" spans="1:23" x14ac:dyDescent="0.25">
      <c r="A305" t="s">
        <v>938</v>
      </c>
      <c r="B305" t="s">
        <v>906</v>
      </c>
      <c r="C305" t="s">
        <v>870</v>
      </c>
      <c r="D305">
        <v>259574298</v>
      </c>
      <c r="E305" t="s">
        <v>873</v>
      </c>
      <c r="F305">
        <v>3.665</v>
      </c>
      <c r="G305" t="s">
        <v>872</v>
      </c>
      <c r="H305" t="s">
        <v>1394</v>
      </c>
      <c r="I305">
        <v>1</v>
      </c>
      <c r="J305">
        <v>3.52</v>
      </c>
      <c r="K305">
        <v>3.665</v>
      </c>
      <c r="L305">
        <v>0.95000000000000007</v>
      </c>
      <c r="M305" t="s">
        <v>1591</v>
      </c>
      <c r="N305">
        <v>1</v>
      </c>
      <c r="O305">
        <v>903772812.06150007</v>
      </c>
      <c r="P305">
        <v>2059088000.7114999</v>
      </c>
      <c r="Q305">
        <v>903772812.06150007</v>
      </c>
      <c r="R305">
        <v>43.891898342820177</v>
      </c>
      <c r="S305">
        <v>0</v>
      </c>
      <c r="V305">
        <v>1</v>
      </c>
      <c r="W305" t="b">
        <v>0</v>
      </c>
    </row>
    <row r="306" spans="1:23" x14ac:dyDescent="0.25">
      <c r="A306" t="s">
        <v>614</v>
      </c>
      <c r="B306" t="s">
        <v>188</v>
      </c>
      <c r="C306" t="s">
        <v>870</v>
      </c>
      <c r="D306">
        <v>1113335009</v>
      </c>
      <c r="E306" t="s">
        <v>873</v>
      </c>
      <c r="F306">
        <v>0.69</v>
      </c>
      <c r="G306" t="s">
        <v>872</v>
      </c>
      <c r="H306" t="s">
        <v>1395</v>
      </c>
      <c r="I306">
        <v>1</v>
      </c>
      <c r="J306">
        <v>0.71499999999999997</v>
      </c>
      <c r="K306">
        <v>0.69</v>
      </c>
      <c r="L306">
        <v>1</v>
      </c>
      <c r="M306" t="s">
        <v>1591</v>
      </c>
      <c r="N306">
        <v>1</v>
      </c>
      <c r="O306">
        <v>768201156.20999992</v>
      </c>
      <c r="P306">
        <v>2059088000.7114999</v>
      </c>
      <c r="Q306">
        <v>1671973968.2715001</v>
      </c>
      <c r="R306">
        <v>81.199733459364737</v>
      </c>
      <c r="S306">
        <v>1</v>
      </c>
      <c r="T306">
        <v>3.6233031153427988E-4</v>
      </c>
      <c r="U306">
        <v>3.6233031153427988E-4</v>
      </c>
      <c r="V306">
        <v>1</v>
      </c>
      <c r="W306" t="b">
        <v>0</v>
      </c>
    </row>
    <row r="307" spans="1:23" x14ac:dyDescent="0.25">
      <c r="A307" t="s">
        <v>717</v>
      </c>
      <c r="B307" t="s">
        <v>291</v>
      </c>
      <c r="C307" t="s">
        <v>870</v>
      </c>
      <c r="D307">
        <v>107233804</v>
      </c>
      <c r="E307" t="s">
        <v>873</v>
      </c>
      <c r="F307">
        <v>3.8</v>
      </c>
      <c r="G307" t="s">
        <v>872</v>
      </c>
      <c r="H307" t="s">
        <v>1396</v>
      </c>
      <c r="I307">
        <v>1</v>
      </c>
      <c r="J307">
        <v>4</v>
      </c>
      <c r="K307">
        <v>3.8</v>
      </c>
      <c r="L307">
        <v>0.95000000000000007</v>
      </c>
      <c r="M307" t="s">
        <v>1591</v>
      </c>
      <c r="N307">
        <v>0</v>
      </c>
      <c r="O307">
        <v>387114032.44</v>
      </c>
      <c r="P307">
        <v>2059088000.7114999</v>
      </c>
      <c r="Q307">
        <v>2059088000.7114999</v>
      </c>
      <c r="R307">
        <v>100</v>
      </c>
      <c r="S307">
        <v>1</v>
      </c>
      <c r="T307">
        <v>1.8258648381275461E-4</v>
      </c>
      <c r="U307">
        <v>1.8258648381275461E-4</v>
      </c>
      <c r="V307">
        <v>1</v>
      </c>
      <c r="W307" t="b">
        <v>0</v>
      </c>
    </row>
    <row r="308" spans="1:23" x14ac:dyDescent="0.25">
      <c r="A308" t="s">
        <v>1000</v>
      </c>
      <c r="B308" t="s">
        <v>1067</v>
      </c>
      <c r="C308" t="s">
        <v>861</v>
      </c>
      <c r="D308">
        <v>1557675176</v>
      </c>
      <c r="E308" t="s">
        <v>873</v>
      </c>
      <c r="F308">
        <v>62.85</v>
      </c>
      <c r="G308" t="s">
        <v>872</v>
      </c>
      <c r="H308" t="s">
        <v>1397</v>
      </c>
      <c r="I308">
        <v>1</v>
      </c>
      <c r="J308">
        <v>68.36</v>
      </c>
      <c r="K308">
        <v>62.85</v>
      </c>
      <c r="L308">
        <v>1</v>
      </c>
      <c r="M308" t="s">
        <v>1592</v>
      </c>
      <c r="N308">
        <v>0</v>
      </c>
      <c r="O308">
        <v>97899884811.600006</v>
      </c>
      <c r="P308">
        <v>643687133773.03809</v>
      </c>
      <c r="Q308">
        <v>97899884811.600006</v>
      </c>
      <c r="R308">
        <v>15.209234374120509</v>
      </c>
      <c r="S308">
        <v>0</v>
      </c>
      <c r="V308">
        <v>1</v>
      </c>
      <c r="W308" t="b">
        <v>0</v>
      </c>
    </row>
    <row r="309" spans="1:23" x14ac:dyDescent="0.25">
      <c r="A309" t="s">
        <v>1001</v>
      </c>
      <c r="B309" t="s">
        <v>1068</v>
      </c>
      <c r="C309" t="s">
        <v>861</v>
      </c>
      <c r="D309">
        <v>17413389613</v>
      </c>
      <c r="E309" t="s">
        <v>873</v>
      </c>
      <c r="F309">
        <v>5.6189999999999998</v>
      </c>
      <c r="G309" t="s">
        <v>872</v>
      </c>
      <c r="H309" t="s">
        <v>1398</v>
      </c>
      <c r="I309">
        <v>1</v>
      </c>
      <c r="J309">
        <v>5.7240000000000002</v>
      </c>
      <c r="K309">
        <v>5.6189999999999998</v>
      </c>
      <c r="L309">
        <v>0.8</v>
      </c>
      <c r="M309" t="s">
        <v>1592</v>
      </c>
      <c r="N309">
        <v>0</v>
      </c>
      <c r="O309">
        <v>78276668988.35759</v>
      </c>
      <c r="P309">
        <v>643687133773.03809</v>
      </c>
      <c r="Q309">
        <v>176176553799.95761</v>
      </c>
      <c r="R309">
        <v>27.369904501163582</v>
      </c>
      <c r="S309">
        <v>0</v>
      </c>
      <c r="V309">
        <v>1</v>
      </c>
      <c r="W309" t="b">
        <v>0</v>
      </c>
    </row>
    <row r="310" spans="1:23" x14ac:dyDescent="0.25">
      <c r="A310" t="s">
        <v>1002</v>
      </c>
      <c r="B310" t="s">
        <v>1069</v>
      </c>
      <c r="C310" t="s">
        <v>861</v>
      </c>
      <c r="D310">
        <v>10166679946</v>
      </c>
      <c r="E310" t="s">
        <v>873</v>
      </c>
      <c r="F310">
        <v>8.7840000000000007</v>
      </c>
      <c r="G310" t="s">
        <v>872</v>
      </c>
      <c r="H310" t="s">
        <v>1399</v>
      </c>
      <c r="I310">
        <v>1</v>
      </c>
      <c r="J310">
        <v>8.7149999999999999</v>
      </c>
      <c r="K310">
        <v>8.7840000000000007</v>
      </c>
      <c r="L310">
        <v>0.75</v>
      </c>
      <c r="M310" t="s">
        <v>1592</v>
      </c>
      <c r="N310">
        <v>0</v>
      </c>
      <c r="O310">
        <v>66978087484.248001</v>
      </c>
      <c r="P310">
        <v>643687133773.03809</v>
      </c>
      <c r="Q310">
        <v>243154641284.2056</v>
      </c>
      <c r="R310">
        <v>37.775283756089657</v>
      </c>
      <c r="S310">
        <v>0</v>
      </c>
      <c r="V310">
        <v>1</v>
      </c>
      <c r="W310" t="b">
        <v>0</v>
      </c>
    </row>
    <row r="311" spans="1:23" x14ac:dyDescent="0.25">
      <c r="A311" t="s">
        <v>1003</v>
      </c>
      <c r="B311" t="s">
        <v>1070</v>
      </c>
      <c r="C311" t="s">
        <v>861</v>
      </c>
      <c r="D311">
        <v>193923499</v>
      </c>
      <c r="E311" t="s">
        <v>873</v>
      </c>
      <c r="F311">
        <v>337.2</v>
      </c>
      <c r="G311" t="s">
        <v>872</v>
      </c>
      <c r="H311" t="s">
        <v>1400</v>
      </c>
      <c r="I311">
        <v>1</v>
      </c>
      <c r="J311">
        <v>314.39999999999998</v>
      </c>
      <c r="K311">
        <v>337.2</v>
      </c>
      <c r="L311">
        <v>0.60000000000000009</v>
      </c>
      <c r="M311" t="s">
        <v>1592</v>
      </c>
      <c r="N311">
        <v>0</v>
      </c>
      <c r="O311">
        <v>39234602317.68</v>
      </c>
      <c r="P311">
        <v>643687133773.03809</v>
      </c>
      <c r="Q311">
        <v>282389243601.88562</v>
      </c>
      <c r="R311">
        <v>43.870574505137633</v>
      </c>
      <c r="S311">
        <v>0</v>
      </c>
      <c r="V311">
        <v>1</v>
      </c>
      <c r="W311" t="b">
        <v>0</v>
      </c>
    </row>
    <row r="312" spans="1:23" x14ac:dyDescent="0.25">
      <c r="A312" t="s">
        <v>1004</v>
      </c>
      <c r="B312" t="s">
        <v>1071</v>
      </c>
      <c r="C312" t="s">
        <v>861</v>
      </c>
      <c r="D312">
        <v>1549784923</v>
      </c>
      <c r="E312" t="s">
        <v>873</v>
      </c>
      <c r="F312">
        <v>33.01</v>
      </c>
      <c r="G312" t="s">
        <v>872</v>
      </c>
      <c r="H312" t="s">
        <v>1401</v>
      </c>
      <c r="I312">
        <v>1</v>
      </c>
      <c r="J312">
        <v>34.5</v>
      </c>
      <c r="K312">
        <v>33.01</v>
      </c>
      <c r="L312">
        <v>0.65</v>
      </c>
      <c r="M312" t="s">
        <v>1592</v>
      </c>
      <c r="N312">
        <v>0</v>
      </c>
      <c r="O312">
        <v>33252960200.349499</v>
      </c>
      <c r="P312">
        <v>643687133773.03809</v>
      </c>
      <c r="Q312">
        <v>315642203802.23511</v>
      </c>
      <c r="R312">
        <v>49.036587379347793</v>
      </c>
      <c r="S312">
        <v>0</v>
      </c>
      <c r="V312">
        <v>1</v>
      </c>
      <c r="W312" t="b">
        <v>0</v>
      </c>
    </row>
    <row r="313" spans="1:23" x14ac:dyDescent="0.25">
      <c r="A313" t="s">
        <v>1005</v>
      </c>
      <c r="B313" t="s">
        <v>1072</v>
      </c>
      <c r="C313" t="s">
        <v>861</v>
      </c>
      <c r="D313">
        <v>3146765114</v>
      </c>
      <c r="E313" t="s">
        <v>873</v>
      </c>
      <c r="F313">
        <v>16.096</v>
      </c>
      <c r="G313" t="s">
        <v>872</v>
      </c>
      <c r="H313" t="s">
        <v>1402</v>
      </c>
      <c r="I313">
        <v>1</v>
      </c>
      <c r="J313">
        <v>15.904</v>
      </c>
      <c r="K313">
        <v>16.096</v>
      </c>
      <c r="L313">
        <v>0.65</v>
      </c>
      <c r="M313" t="s">
        <v>1592</v>
      </c>
      <c r="N313">
        <v>0</v>
      </c>
      <c r="O313">
        <v>32922715328.7136</v>
      </c>
      <c r="P313">
        <v>643687133773.03809</v>
      </c>
      <c r="Q313">
        <v>348564919130.94873</v>
      </c>
      <c r="R313">
        <v>54.151295069050029</v>
      </c>
      <c r="S313">
        <v>0</v>
      </c>
      <c r="V313">
        <v>1</v>
      </c>
      <c r="W313" t="b">
        <v>0</v>
      </c>
    </row>
    <row r="314" spans="1:23" x14ac:dyDescent="0.25">
      <c r="A314" t="s">
        <v>1006</v>
      </c>
      <c r="B314" t="s">
        <v>1073</v>
      </c>
      <c r="C314" t="s">
        <v>861</v>
      </c>
      <c r="D314">
        <v>296401348</v>
      </c>
      <c r="E314" t="s">
        <v>873</v>
      </c>
      <c r="F314">
        <v>80.8</v>
      </c>
      <c r="G314" t="s">
        <v>872</v>
      </c>
      <c r="H314" t="s">
        <v>1403</v>
      </c>
      <c r="I314">
        <v>1</v>
      </c>
      <c r="J314">
        <v>83.92</v>
      </c>
      <c r="K314">
        <v>80.8</v>
      </c>
      <c r="L314">
        <v>1</v>
      </c>
      <c r="M314" t="s">
        <v>1592</v>
      </c>
      <c r="N314">
        <v>0</v>
      </c>
      <c r="O314">
        <v>23949228918.400002</v>
      </c>
      <c r="P314">
        <v>643687133773.03809</v>
      </c>
      <c r="Q314">
        <v>372514148049.34869</v>
      </c>
      <c r="R314">
        <v>57.871926981951439</v>
      </c>
      <c r="S314">
        <v>0</v>
      </c>
      <c r="V314">
        <v>1</v>
      </c>
      <c r="W314" t="b">
        <v>0</v>
      </c>
    </row>
    <row r="315" spans="1:23" x14ac:dyDescent="0.25">
      <c r="A315" t="s">
        <v>1007</v>
      </c>
      <c r="B315" t="s">
        <v>1074</v>
      </c>
      <c r="C315" t="s">
        <v>861</v>
      </c>
      <c r="D315">
        <v>578150395</v>
      </c>
      <c r="E315" t="s">
        <v>873</v>
      </c>
      <c r="F315">
        <v>46.04</v>
      </c>
      <c r="G315" t="s">
        <v>872</v>
      </c>
      <c r="H315" t="s">
        <v>1404</v>
      </c>
      <c r="I315">
        <v>1</v>
      </c>
      <c r="J315">
        <v>47.64</v>
      </c>
      <c r="K315">
        <v>46.04</v>
      </c>
      <c r="L315">
        <v>0.70000000000000007</v>
      </c>
      <c r="M315" t="s">
        <v>1592</v>
      </c>
      <c r="N315">
        <v>0</v>
      </c>
      <c r="O315">
        <v>18632630930.060001</v>
      </c>
      <c r="P315">
        <v>643687133773.03809</v>
      </c>
      <c r="Q315">
        <v>391146778979.40869</v>
      </c>
      <c r="R315">
        <v>60.766598935520392</v>
      </c>
      <c r="S315">
        <v>0</v>
      </c>
      <c r="V315">
        <v>1</v>
      </c>
      <c r="W315" t="b">
        <v>0</v>
      </c>
    </row>
    <row r="316" spans="1:23" x14ac:dyDescent="0.25">
      <c r="A316" t="s">
        <v>1008</v>
      </c>
      <c r="B316" t="s">
        <v>1075</v>
      </c>
      <c r="C316" t="s">
        <v>861</v>
      </c>
      <c r="D316">
        <v>2896073567</v>
      </c>
      <c r="E316" t="s">
        <v>873</v>
      </c>
      <c r="F316">
        <v>8.4529999999999994</v>
      </c>
      <c r="G316" t="s">
        <v>872</v>
      </c>
      <c r="H316" t="s">
        <v>1405</v>
      </c>
      <c r="I316">
        <v>1</v>
      </c>
      <c r="J316">
        <v>10.02</v>
      </c>
      <c r="K316">
        <v>8.4529999999999994</v>
      </c>
      <c r="L316">
        <v>0.70000000000000007</v>
      </c>
      <c r="M316" t="s">
        <v>1592</v>
      </c>
      <c r="N316">
        <v>0</v>
      </c>
      <c r="O316">
        <v>17136356903.2957</v>
      </c>
      <c r="P316">
        <v>643687133773.03809</v>
      </c>
      <c r="Q316">
        <v>408283135882.70441</v>
      </c>
      <c r="R316">
        <v>63.428817271756067</v>
      </c>
      <c r="S316">
        <v>0</v>
      </c>
      <c r="V316">
        <v>1</v>
      </c>
      <c r="W316" t="b">
        <v>0</v>
      </c>
    </row>
    <row r="317" spans="1:23" x14ac:dyDescent="0.25">
      <c r="A317" t="s">
        <v>911</v>
      </c>
      <c r="B317" t="s">
        <v>879</v>
      </c>
      <c r="C317" t="s">
        <v>861</v>
      </c>
      <c r="D317">
        <v>3038418183</v>
      </c>
      <c r="E317" t="s">
        <v>873</v>
      </c>
      <c r="F317">
        <v>8.4130000000000003</v>
      </c>
      <c r="G317" t="s">
        <v>872</v>
      </c>
      <c r="H317" t="s">
        <v>1406</v>
      </c>
      <c r="I317">
        <v>1</v>
      </c>
      <c r="J317">
        <v>8.0820000000000007</v>
      </c>
      <c r="K317">
        <v>8.4130000000000003</v>
      </c>
      <c r="L317">
        <v>0.65</v>
      </c>
      <c r="M317" t="s">
        <v>1592</v>
      </c>
      <c r="N317">
        <v>1</v>
      </c>
      <c r="O317">
        <v>16615437912.826349</v>
      </c>
      <c r="P317">
        <v>643687133773.03809</v>
      </c>
      <c r="Q317">
        <v>424898573795.53082</v>
      </c>
      <c r="R317">
        <v>66.010108250097261</v>
      </c>
      <c r="S317">
        <v>0</v>
      </c>
      <c r="V317">
        <v>1</v>
      </c>
      <c r="W317" t="b">
        <v>0</v>
      </c>
    </row>
    <row r="318" spans="1:23" x14ac:dyDescent="0.25">
      <c r="A318" t="s">
        <v>506</v>
      </c>
      <c r="B318" t="s">
        <v>80</v>
      </c>
      <c r="C318" t="s">
        <v>861</v>
      </c>
      <c r="D318">
        <v>1964323646</v>
      </c>
      <c r="E318" t="s">
        <v>873</v>
      </c>
      <c r="F318">
        <v>10.185</v>
      </c>
      <c r="G318" t="s">
        <v>872</v>
      </c>
      <c r="H318" t="s">
        <v>1407</v>
      </c>
      <c r="I318">
        <v>1</v>
      </c>
      <c r="J318">
        <v>10.835000000000001</v>
      </c>
      <c r="K318">
        <v>10.185</v>
      </c>
      <c r="L318">
        <v>0.75</v>
      </c>
      <c r="M318" t="s">
        <v>1592</v>
      </c>
      <c r="N318">
        <v>1</v>
      </c>
      <c r="O318">
        <v>15004977250.8825</v>
      </c>
      <c r="P318">
        <v>643687133773.03809</v>
      </c>
      <c r="Q318">
        <v>439903551046.41333</v>
      </c>
      <c r="R318">
        <v>68.341206148998751</v>
      </c>
      <c r="S318">
        <v>1</v>
      </c>
      <c r="T318">
        <v>7.0772583950535163E-3</v>
      </c>
      <c r="U318">
        <v>7.0772583950535163E-3</v>
      </c>
      <c r="V318">
        <v>1</v>
      </c>
      <c r="W318" t="b">
        <v>0</v>
      </c>
    </row>
    <row r="319" spans="1:23" x14ac:dyDescent="0.25">
      <c r="A319" t="s">
        <v>486</v>
      </c>
      <c r="B319" t="s">
        <v>60</v>
      </c>
      <c r="C319" t="s">
        <v>861</v>
      </c>
      <c r="D319">
        <v>1515182126</v>
      </c>
      <c r="E319" t="s">
        <v>873</v>
      </c>
      <c r="F319">
        <v>12.49</v>
      </c>
      <c r="G319" t="s">
        <v>872</v>
      </c>
      <c r="H319" t="s">
        <v>1408</v>
      </c>
      <c r="I319">
        <v>1</v>
      </c>
      <c r="J319">
        <v>12.585000000000001</v>
      </c>
      <c r="K319">
        <v>12.49</v>
      </c>
      <c r="L319">
        <v>0.75</v>
      </c>
      <c r="M319" t="s">
        <v>1592</v>
      </c>
      <c r="N319">
        <v>1</v>
      </c>
      <c r="O319">
        <v>14193468565.305</v>
      </c>
      <c r="P319">
        <v>643687133773.03809</v>
      </c>
      <c r="Q319">
        <v>454097019611.71832</v>
      </c>
      <c r="R319">
        <v>70.5462321345437</v>
      </c>
      <c r="S319">
        <v>1</v>
      </c>
      <c r="T319">
        <v>6.6945016229748092E-3</v>
      </c>
      <c r="U319">
        <v>6.6945016229748092E-3</v>
      </c>
      <c r="V319">
        <v>1</v>
      </c>
      <c r="W319" t="b">
        <v>0</v>
      </c>
    </row>
    <row r="320" spans="1:23" x14ac:dyDescent="0.25">
      <c r="A320" t="s">
        <v>811</v>
      </c>
      <c r="B320" t="s">
        <v>385</v>
      </c>
      <c r="C320" t="s">
        <v>861</v>
      </c>
      <c r="D320">
        <v>2009992000</v>
      </c>
      <c r="E320" t="s">
        <v>873</v>
      </c>
      <c r="F320">
        <v>9.1760000000000002</v>
      </c>
      <c r="G320" t="s">
        <v>872</v>
      </c>
      <c r="H320" t="s">
        <v>1409</v>
      </c>
      <c r="I320">
        <v>1</v>
      </c>
      <c r="J320">
        <v>8.7100000000000009</v>
      </c>
      <c r="K320">
        <v>9.1760000000000002</v>
      </c>
      <c r="L320">
        <v>0.70000000000000007</v>
      </c>
      <c r="M320" t="s">
        <v>1592</v>
      </c>
      <c r="N320">
        <v>1</v>
      </c>
      <c r="O320">
        <v>12910580614.4</v>
      </c>
      <c r="P320">
        <v>643687133773.03809</v>
      </c>
      <c r="Q320">
        <v>467007600226.11823</v>
      </c>
      <c r="R320">
        <v>72.55195509170818</v>
      </c>
      <c r="S320">
        <v>1</v>
      </c>
      <c r="T320">
        <v>6.0894137665489416E-3</v>
      </c>
      <c r="U320">
        <v>6.0894137665489416E-3</v>
      </c>
      <c r="V320">
        <v>1</v>
      </c>
      <c r="W320" t="b">
        <v>0</v>
      </c>
    </row>
    <row r="321" spans="1:23" x14ac:dyDescent="0.25">
      <c r="A321" t="s">
        <v>594</v>
      </c>
      <c r="B321" t="s">
        <v>168</v>
      </c>
      <c r="C321" t="s">
        <v>861</v>
      </c>
      <c r="D321">
        <v>611575321</v>
      </c>
      <c r="E321" t="s">
        <v>873</v>
      </c>
      <c r="F321">
        <v>20.61</v>
      </c>
      <c r="G321" t="s">
        <v>872</v>
      </c>
      <c r="H321" t="s">
        <v>1410</v>
      </c>
      <c r="I321">
        <v>1</v>
      </c>
      <c r="J321">
        <v>21.05</v>
      </c>
      <c r="K321">
        <v>20.61</v>
      </c>
      <c r="L321">
        <v>1</v>
      </c>
      <c r="M321" t="s">
        <v>1592</v>
      </c>
      <c r="N321">
        <v>1</v>
      </c>
      <c r="O321">
        <v>12604567365.809999</v>
      </c>
      <c r="P321">
        <v>643687133773.03809</v>
      </c>
      <c r="Q321">
        <v>479612167591.92822</v>
      </c>
      <c r="R321">
        <v>74.510137367610923</v>
      </c>
      <c r="S321">
        <v>1</v>
      </c>
      <c r="T321">
        <v>5.9450793369546671E-3</v>
      </c>
      <c r="U321">
        <v>5.9450793369546671E-3</v>
      </c>
      <c r="V321">
        <v>1</v>
      </c>
      <c r="W321" t="b">
        <v>0</v>
      </c>
    </row>
    <row r="322" spans="1:23" x14ac:dyDescent="0.25">
      <c r="A322" t="s">
        <v>700</v>
      </c>
      <c r="B322" t="s">
        <v>274</v>
      </c>
      <c r="C322" t="s">
        <v>861</v>
      </c>
      <c r="D322">
        <v>274805954</v>
      </c>
      <c r="E322" t="s">
        <v>873</v>
      </c>
      <c r="F322">
        <v>56.22</v>
      </c>
      <c r="G322" t="s">
        <v>872</v>
      </c>
      <c r="H322" t="s">
        <v>1411</v>
      </c>
      <c r="I322">
        <v>1</v>
      </c>
      <c r="J322">
        <v>55.82</v>
      </c>
      <c r="K322">
        <v>56.22</v>
      </c>
      <c r="L322">
        <v>0.8</v>
      </c>
      <c r="M322" t="s">
        <v>1592</v>
      </c>
      <c r="N322">
        <v>1</v>
      </c>
      <c r="O322">
        <v>12359672587.104</v>
      </c>
      <c r="P322">
        <v>643687133773.03809</v>
      </c>
      <c r="Q322">
        <v>491971840179.03223</v>
      </c>
      <c r="R322">
        <v>76.430274020748072</v>
      </c>
      <c r="S322">
        <v>1</v>
      </c>
      <c r="T322">
        <v>5.8295720889580153E-3</v>
      </c>
      <c r="U322">
        <v>5.8295720889580153E-3</v>
      </c>
      <c r="V322">
        <v>1</v>
      </c>
      <c r="W322" t="b">
        <v>0</v>
      </c>
    </row>
    <row r="323" spans="1:23" x14ac:dyDescent="0.25">
      <c r="A323" t="s">
        <v>783</v>
      </c>
      <c r="B323" t="s">
        <v>357</v>
      </c>
      <c r="C323" t="s">
        <v>861</v>
      </c>
      <c r="D323">
        <v>3360857809</v>
      </c>
      <c r="E323" t="s">
        <v>873</v>
      </c>
      <c r="F323">
        <v>5.7220000000000004</v>
      </c>
      <c r="G323" t="s">
        <v>872</v>
      </c>
      <c r="H323" t="s">
        <v>1412</v>
      </c>
      <c r="I323">
        <v>1</v>
      </c>
      <c r="J323">
        <v>5.5119999999999996</v>
      </c>
      <c r="K323">
        <v>5.7220000000000004</v>
      </c>
      <c r="L323">
        <v>0.60000000000000009</v>
      </c>
      <c r="M323" t="s">
        <v>1592</v>
      </c>
      <c r="N323">
        <v>1</v>
      </c>
      <c r="O323">
        <v>11538497029.858801</v>
      </c>
      <c r="P323">
        <v>643687133773.03809</v>
      </c>
      <c r="Q323">
        <v>503510337208.89111</v>
      </c>
      <c r="R323">
        <v>78.222836963901017</v>
      </c>
      <c r="S323">
        <v>1</v>
      </c>
      <c r="T323">
        <v>5.4422558332146397E-3</v>
      </c>
      <c r="U323">
        <v>5.4422558332146397E-3</v>
      </c>
      <c r="V323">
        <v>1</v>
      </c>
      <c r="W323" t="b">
        <v>0</v>
      </c>
    </row>
    <row r="324" spans="1:23" x14ac:dyDescent="0.25">
      <c r="A324" t="s">
        <v>733</v>
      </c>
      <c r="B324" t="s">
        <v>307</v>
      </c>
      <c r="C324" t="s">
        <v>861</v>
      </c>
      <c r="D324">
        <v>1306110000</v>
      </c>
      <c r="E324" t="s">
        <v>873</v>
      </c>
      <c r="F324">
        <v>20.86</v>
      </c>
      <c r="G324" t="s">
        <v>872</v>
      </c>
      <c r="H324" t="s">
        <v>1413</v>
      </c>
      <c r="I324">
        <v>1</v>
      </c>
      <c r="J324">
        <v>20.7</v>
      </c>
      <c r="K324">
        <v>20.86</v>
      </c>
      <c r="L324">
        <v>0.35</v>
      </c>
      <c r="M324" t="s">
        <v>1592</v>
      </c>
      <c r="N324">
        <v>1</v>
      </c>
      <c r="O324">
        <v>9535909110</v>
      </c>
      <c r="P324">
        <v>643687133773.03809</v>
      </c>
      <c r="Q324">
        <v>513046246318.89111</v>
      </c>
      <c r="R324">
        <v>79.704287906396061</v>
      </c>
      <c r="S324">
        <v>1</v>
      </c>
      <c r="T324">
        <v>4.497713770225514E-3</v>
      </c>
      <c r="U324">
        <v>4.497713770225514E-3</v>
      </c>
      <c r="V324">
        <v>1</v>
      </c>
      <c r="W324" t="b">
        <v>0</v>
      </c>
    </row>
    <row r="325" spans="1:23" x14ac:dyDescent="0.25">
      <c r="A325" t="s">
        <v>829</v>
      </c>
      <c r="B325" t="s">
        <v>403</v>
      </c>
      <c r="C325" t="s">
        <v>861</v>
      </c>
      <c r="D325">
        <v>717473508</v>
      </c>
      <c r="E325" t="s">
        <v>873</v>
      </c>
      <c r="F325">
        <v>18.87</v>
      </c>
      <c r="G325" t="s">
        <v>872</v>
      </c>
      <c r="H325" t="s">
        <v>1414</v>
      </c>
      <c r="I325">
        <v>1</v>
      </c>
      <c r="J325">
        <v>19.649999999999999</v>
      </c>
      <c r="K325">
        <v>18.87</v>
      </c>
      <c r="L325">
        <v>0.55000000000000004</v>
      </c>
      <c r="M325" t="s">
        <v>1592</v>
      </c>
      <c r="N325">
        <v>1</v>
      </c>
      <c r="O325">
        <v>7446298802.7780008</v>
      </c>
      <c r="P325">
        <v>643687133773.03809</v>
      </c>
      <c r="Q325">
        <v>520492545121.66913</v>
      </c>
      <c r="R325">
        <v>80.861107487227329</v>
      </c>
      <c r="S325">
        <v>1</v>
      </c>
      <c r="T325">
        <v>3.5121266652329039E-3</v>
      </c>
      <c r="U325">
        <v>3.5121266652329039E-3</v>
      </c>
      <c r="V325">
        <v>1</v>
      </c>
      <c r="W325" t="b">
        <v>0</v>
      </c>
    </row>
    <row r="326" spans="1:23" x14ac:dyDescent="0.25">
      <c r="A326" t="s">
        <v>810</v>
      </c>
      <c r="B326" t="s">
        <v>384</v>
      </c>
      <c r="C326" t="s">
        <v>861</v>
      </c>
      <c r="D326">
        <v>1071994930</v>
      </c>
      <c r="E326" t="s">
        <v>873</v>
      </c>
      <c r="F326">
        <v>17.175000000000001</v>
      </c>
      <c r="G326" t="s">
        <v>872</v>
      </c>
      <c r="H326" t="s">
        <v>1415</v>
      </c>
      <c r="I326">
        <v>1</v>
      </c>
      <c r="J326">
        <v>17.27</v>
      </c>
      <c r="K326">
        <v>17.175000000000001</v>
      </c>
      <c r="L326">
        <v>0.35</v>
      </c>
      <c r="M326" t="s">
        <v>1592</v>
      </c>
      <c r="N326">
        <v>1</v>
      </c>
      <c r="O326">
        <v>6444029522.9625006</v>
      </c>
      <c r="P326">
        <v>643687133773.03809</v>
      </c>
      <c r="Q326">
        <v>526936574644.63147</v>
      </c>
      <c r="R326">
        <v>81.862219546930945</v>
      </c>
      <c r="S326">
        <v>1</v>
      </c>
      <c r="T326">
        <v>3.0393956136572481E-3</v>
      </c>
      <c r="U326">
        <v>3.0393956136572481E-3</v>
      </c>
      <c r="V326">
        <v>1</v>
      </c>
      <c r="W326" t="b">
        <v>0</v>
      </c>
    </row>
    <row r="327" spans="1:23" x14ac:dyDescent="0.25">
      <c r="A327" t="s">
        <v>648</v>
      </c>
      <c r="B327" t="s">
        <v>222</v>
      </c>
      <c r="C327" t="s">
        <v>861</v>
      </c>
      <c r="D327">
        <v>1015518043</v>
      </c>
      <c r="E327" t="s">
        <v>873</v>
      </c>
      <c r="F327">
        <v>9.5350000000000001</v>
      </c>
      <c r="G327" t="s">
        <v>872</v>
      </c>
      <c r="H327" t="s">
        <v>1416</v>
      </c>
      <c r="I327">
        <v>1</v>
      </c>
      <c r="J327">
        <v>9.1449999999999996</v>
      </c>
      <c r="K327">
        <v>9.5350000000000001</v>
      </c>
      <c r="L327">
        <v>0.65</v>
      </c>
      <c r="M327" t="s">
        <v>1592</v>
      </c>
      <c r="N327">
        <v>1</v>
      </c>
      <c r="O327">
        <v>6293926951.0032511</v>
      </c>
      <c r="P327">
        <v>643687133773.03809</v>
      </c>
      <c r="Q327">
        <v>533230501595.63483</v>
      </c>
      <c r="R327">
        <v>82.840012424988146</v>
      </c>
      <c r="S327">
        <v>1</v>
      </c>
      <c r="T327">
        <v>2.9685981262798349E-3</v>
      </c>
      <c r="U327">
        <v>2.9685981262798349E-3</v>
      </c>
      <c r="V327">
        <v>1</v>
      </c>
      <c r="W327" t="b">
        <v>0</v>
      </c>
    </row>
    <row r="328" spans="1:23" x14ac:dyDescent="0.25">
      <c r="A328" t="s">
        <v>746</v>
      </c>
      <c r="B328" t="s">
        <v>320</v>
      </c>
      <c r="C328" t="s">
        <v>861</v>
      </c>
      <c r="D328">
        <v>209125156</v>
      </c>
      <c r="E328" t="s">
        <v>873</v>
      </c>
      <c r="F328">
        <v>50.75</v>
      </c>
      <c r="G328" t="s">
        <v>872</v>
      </c>
      <c r="H328" t="s">
        <v>1417</v>
      </c>
      <c r="I328">
        <v>1</v>
      </c>
      <c r="J328">
        <v>48.08</v>
      </c>
      <c r="K328">
        <v>50.75</v>
      </c>
      <c r="L328">
        <v>0.55000000000000004</v>
      </c>
      <c r="M328" t="s">
        <v>1592</v>
      </c>
      <c r="N328">
        <v>1</v>
      </c>
      <c r="O328">
        <v>5837205916.8500004</v>
      </c>
      <c r="P328">
        <v>643687133773.03809</v>
      </c>
      <c r="Q328">
        <v>539067707512.4848</v>
      </c>
      <c r="R328">
        <v>83.746851417191479</v>
      </c>
      <c r="S328">
        <v>1</v>
      </c>
      <c r="T328">
        <v>2.7531807538230708E-3</v>
      </c>
      <c r="U328">
        <v>2.7531807538230708E-3</v>
      </c>
      <c r="V328">
        <v>1</v>
      </c>
      <c r="W328" t="b">
        <v>0</v>
      </c>
    </row>
    <row r="329" spans="1:23" x14ac:dyDescent="0.25">
      <c r="A329" t="s">
        <v>806</v>
      </c>
      <c r="B329" t="s">
        <v>380</v>
      </c>
      <c r="C329" t="s">
        <v>861</v>
      </c>
      <c r="D329">
        <v>15329466496</v>
      </c>
      <c r="E329" t="s">
        <v>873</v>
      </c>
      <c r="F329">
        <v>0.48670000000000002</v>
      </c>
      <c r="G329" t="s">
        <v>872</v>
      </c>
      <c r="H329" t="s">
        <v>1418</v>
      </c>
      <c r="I329">
        <v>1</v>
      </c>
      <c r="J329">
        <v>0.49020000000000002</v>
      </c>
      <c r="K329">
        <v>0.48670000000000002</v>
      </c>
      <c r="L329">
        <v>0.75</v>
      </c>
      <c r="M329" t="s">
        <v>1592</v>
      </c>
      <c r="N329">
        <v>1</v>
      </c>
      <c r="O329">
        <v>5595638507.7024002</v>
      </c>
      <c r="P329">
        <v>643687133773.03809</v>
      </c>
      <c r="Q329">
        <v>544663346020.18719</v>
      </c>
      <c r="R329">
        <v>84.616161710051159</v>
      </c>
      <c r="S329">
        <v>1</v>
      </c>
      <c r="T329">
        <v>2.639242895352768E-3</v>
      </c>
      <c r="U329">
        <v>2.639242895352768E-3</v>
      </c>
      <c r="V329">
        <v>1</v>
      </c>
      <c r="W329" t="b">
        <v>0</v>
      </c>
    </row>
    <row r="330" spans="1:23" x14ac:dyDescent="0.25">
      <c r="A330" t="s">
        <v>680</v>
      </c>
      <c r="B330" t="s">
        <v>254</v>
      </c>
      <c r="C330" t="s">
        <v>861</v>
      </c>
      <c r="D330">
        <v>251630412</v>
      </c>
      <c r="E330" t="s">
        <v>873</v>
      </c>
      <c r="F330">
        <v>20.64</v>
      </c>
      <c r="G330" t="s">
        <v>872</v>
      </c>
      <c r="H330" t="s">
        <v>1419</v>
      </c>
      <c r="I330">
        <v>1</v>
      </c>
      <c r="J330">
        <v>21.76</v>
      </c>
      <c r="K330">
        <v>20.64</v>
      </c>
      <c r="L330">
        <v>1</v>
      </c>
      <c r="M330" t="s">
        <v>1592</v>
      </c>
      <c r="N330">
        <v>1</v>
      </c>
      <c r="O330">
        <v>5193651703.6800003</v>
      </c>
      <c r="P330">
        <v>643687133773.03809</v>
      </c>
      <c r="Q330">
        <v>549856997723.86719</v>
      </c>
      <c r="R330">
        <v>85.423021352131741</v>
      </c>
      <c r="S330">
        <v>1</v>
      </c>
      <c r="T330">
        <v>2.449641509365932E-3</v>
      </c>
      <c r="U330">
        <v>2.449641509365932E-3</v>
      </c>
      <c r="V330">
        <v>1</v>
      </c>
      <c r="W330" t="b">
        <v>0</v>
      </c>
    </row>
    <row r="331" spans="1:23" x14ac:dyDescent="0.25">
      <c r="A331" t="s">
        <v>485</v>
      </c>
      <c r="B331" t="s">
        <v>59</v>
      </c>
      <c r="C331" t="s">
        <v>861</v>
      </c>
      <c r="D331">
        <v>745388391</v>
      </c>
      <c r="E331" t="s">
        <v>873</v>
      </c>
      <c r="F331">
        <v>18.47</v>
      </c>
      <c r="G331" t="s">
        <v>872</v>
      </c>
      <c r="H331" t="s">
        <v>1420</v>
      </c>
      <c r="I331">
        <v>1</v>
      </c>
      <c r="J331">
        <v>18.73</v>
      </c>
      <c r="K331">
        <v>18.47</v>
      </c>
      <c r="L331">
        <v>0.3</v>
      </c>
      <c r="M331" t="s">
        <v>1592</v>
      </c>
      <c r="N331">
        <v>1</v>
      </c>
      <c r="O331">
        <v>4130197074.5310001</v>
      </c>
      <c r="P331">
        <v>643687133773.03809</v>
      </c>
      <c r="Q331">
        <v>553987194798.39819</v>
      </c>
      <c r="R331">
        <v>86.064668024533205</v>
      </c>
      <c r="S331">
        <v>1</v>
      </c>
      <c r="T331">
        <v>1.948051731783255E-3</v>
      </c>
      <c r="U331">
        <v>1.948051731783255E-3</v>
      </c>
      <c r="V331">
        <v>1</v>
      </c>
      <c r="W331" t="b">
        <v>0</v>
      </c>
    </row>
    <row r="332" spans="1:23" x14ac:dyDescent="0.25">
      <c r="A332" t="s">
        <v>511</v>
      </c>
      <c r="B332" t="s">
        <v>85</v>
      </c>
      <c r="C332" t="s">
        <v>861</v>
      </c>
      <c r="D332">
        <v>192626154</v>
      </c>
      <c r="E332" t="s">
        <v>873</v>
      </c>
      <c r="F332">
        <v>49.96</v>
      </c>
      <c r="G332" t="s">
        <v>872</v>
      </c>
      <c r="H332" t="s">
        <v>1421</v>
      </c>
      <c r="I332">
        <v>1</v>
      </c>
      <c r="J332">
        <v>52.25</v>
      </c>
      <c r="K332">
        <v>49.96</v>
      </c>
      <c r="L332">
        <v>0.4</v>
      </c>
      <c r="M332" t="s">
        <v>1592</v>
      </c>
      <c r="N332">
        <v>1</v>
      </c>
      <c r="O332">
        <v>3849441061.5359998</v>
      </c>
      <c r="P332">
        <v>643687133773.03809</v>
      </c>
      <c r="Q332">
        <v>557836635859.9342</v>
      </c>
      <c r="R332">
        <v>86.662697852933249</v>
      </c>
      <c r="S332">
        <v>1</v>
      </c>
      <c r="T332">
        <v>1.8156301481508129E-3</v>
      </c>
      <c r="U332">
        <v>1.8156301481508129E-3</v>
      </c>
      <c r="V332">
        <v>1</v>
      </c>
      <c r="W332" t="b">
        <v>0</v>
      </c>
    </row>
    <row r="333" spans="1:23" x14ac:dyDescent="0.25">
      <c r="A333" t="s">
        <v>435</v>
      </c>
      <c r="B333" t="s">
        <v>9</v>
      </c>
      <c r="C333" t="s">
        <v>861</v>
      </c>
      <c r="D333">
        <v>3132905277</v>
      </c>
      <c r="E333" t="s">
        <v>873</v>
      </c>
      <c r="F333">
        <v>2.3570000000000002</v>
      </c>
      <c r="G333" t="s">
        <v>872</v>
      </c>
      <c r="H333" t="s">
        <v>1422</v>
      </c>
      <c r="I333">
        <v>1</v>
      </c>
      <c r="J333">
        <v>2.2669999999999999</v>
      </c>
      <c r="K333">
        <v>2.3570000000000002</v>
      </c>
      <c r="L333">
        <v>0.5</v>
      </c>
      <c r="M333" t="s">
        <v>1592</v>
      </c>
      <c r="N333">
        <v>1</v>
      </c>
      <c r="O333">
        <v>3692128868.9445</v>
      </c>
      <c r="P333">
        <v>643687133773.03809</v>
      </c>
      <c r="Q333">
        <v>561528764728.87866</v>
      </c>
      <c r="R333">
        <v>87.236288449237804</v>
      </c>
      <c r="S333">
        <v>1</v>
      </c>
      <c r="T333">
        <v>1.7414321659048231E-3</v>
      </c>
      <c r="U333">
        <v>1.7414321659048231E-3</v>
      </c>
      <c r="V333">
        <v>1</v>
      </c>
      <c r="W333" t="b">
        <v>0</v>
      </c>
    </row>
    <row r="334" spans="1:23" x14ac:dyDescent="0.25">
      <c r="A334" t="s">
        <v>481</v>
      </c>
      <c r="B334" t="s">
        <v>55</v>
      </c>
      <c r="C334" t="s">
        <v>861</v>
      </c>
      <c r="D334">
        <v>143254497</v>
      </c>
      <c r="E334" t="s">
        <v>873</v>
      </c>
      <c r="F334">
        <v>33.65</v>
      </c>
      <c r="G334" t="s">
        <v>872</v>
      </c>
      <c r="H334" t="s">
        <v>1423</v>
      </c>
      <c r="I334">
        <v>1</v>
      </c>
      <c r="J334">
        <v>35.42</v>
      </c>
      <c r="K334">
        <v>33.65</v>
      </c>
      <c r="L334">
        <v>0.75</v>
      </c>
      <c r="M334" t="s">
        <v>1592</v>
      </c>
      <c r="N334">
        <v>1</v>
      </c>
      <c r="O334">
        <v>3615385368.0374999</v>
      </c>
      <c r="P334">
        <v>643687133773.03809</v>
      </c>
      <c r="Q334">
        <v>565144150096.91626</v>
      </c>
      <c r="R334">
        <v>87.797956560707675</v>
      </c>
      <c r="S334">
        <v>1</v>
      </c>
      <c r="T334">
        <v>1.705235270902671E-3</v>
      </c>
      <c r="U334">
        <v>1.705235270902671E-3</v>
      </c>
      <c r="V334">
        <v>1</v>
      </c>
      <c r="W334" t="b">
        <v>0</v>
      </c>
    </row>
    <row r="335" spans="1:23" x14ac:dyDescent="0.25">
      <c r="A335" t="s">
        <v>642</v>
      </c>
      <c r="B335" t="s">
        <v>216</v>
      </c>
      <c r="C335" t="s">
        <v>861</v>
      </c>
      <c r="D335">
        <v>108879294</v>
      </c>
      <c r="E335" t="s">
        <v>873</v>
      </c>
      <c r="F335">
        <v>41.74</v>
      </c>
      <c r="G335" t="s">
        <v>872</v>
      </c>
      <c r="H335" t="s">
        <v>1424</v>
      </c>
      <c r="I335">
        <v>1</v>
      </c>
      <c r="J335">
        <v>45.5</v>
      </c>
      <c r="K335">
        <v>41.74</v>
      </c>
      <c r="L335">
        <v>0.75</v>
      </c>
      <c r="M335" t="s">
        <v>1592</v>
      </c>
      <c r="N335">
        <v>1</v>
      </c>
      <c r="O335">
        <v>3408466298.6700001</v>
      </c>
      <c r="P335">
        <v>643687133773.03809</v>
      </c>
      <c r="Q335">
        <v>568552616395.58618</v>
      </c>
      <c r="R335">
        <v>88.327478764870875</v>
      </c>
      <c r="S335">
        <v>1</v>
      </c>
      <c r="T335">
        <v>1.607639673369082E-3</v>
      </c>
      <c r="U335">
        <v>1.607639673369082E-3</v>
      </c>
      <c r="V335">
        <v>1</v>
      </c>
      <c r="W335" t="b">
        <v>0</v>
      </c>
    </row>
    <row r="336" spans="1:23" x14ac:dyDescent="0.25">
      <c r="A336" t="s">
        <v>514</v>
      </c>
      <c r="B336" t="s">
        <v>88</v>
      </c>
      <c r="C336" t="s">
        <v>861</v>
      </c>
      <c r="D336">
        <v>1231267738</v>
      </c>
      <c r="E336" t="s">
        <v>873</v>
      </c>
      <c r="F336">
        <v>5.5279999999999996</v>
      </c>
      <c r="G336" t="s">
        <v>872</v>
      </c>
      <c r="H336" t="s">
        <v>1425</v>
      </c>
      <c r="I336">
        <v>1</v>
      </c>
      <c r="J336">
        <v>5.8860000000000001</v>
      </c>
      <c r="K336">
        <v>5.5279999999999996</v>
      </c>
      <c r="L336">
        <v>0.5</v>
      </c>
      <c r="M336" t="s">
        <v>1592</v>
      </c>
      <c r="N336">
        <v>1</v>
      </c>
      <c r="O336">
        <v>3403224027.8319998</v>
      </c>
      <c r="P336">
        <v>643687133773.03809</v>
      </c>
      <c r="Q336">
        <v>571955840423.41821</v>
      </c>
      <c r="R336">
        <v>88.856186556167501</v>
      </c>
      <c r="S336">
        <v>1</v>
      </c>
      <c r="T336">
        <v>1.605167100123747E-3</v>
      </c>
      <c r="U336">
        <v>1.605167100123747E-3</v>
      </c>
      <c r="V336">
        <v>1</v>
      </c>
      <c r="W336" t="b">
        <v>0</v>
      </c>
    </row>
    <row r="337" spans="1:23" x14ac:dyDescent="0.25">
      <c r="A337" t="s">
        <v>632</v>
      </c>
      <c r="B337" t="s">
        <v>206</v>
      </c>
      <c r="C337" t="s">
        <v>861</v>
      </c>
      <c r="D337">
        <v>1489538745</v>
      </c>
      <c r="E337" t="s">
        <v>873</v>
      </c>
      <c r="F337">
        <v>4.1180000000000003</v>
      </c>
      <c r="G337" t="s">
        <v>872</v>
      </c>
      <c r="H337" t="s">
        <v>1426</v>
      </c>
      <c r="I337">
        <v>1</v>
      </c>
      <c r="J337">
        <v>3.952</v>
      </c>
      <c r="K337">
        <v>4.1180000000000003</v>
      </c>
      <c r="L337">
        <v>0.55000000000000004</v>
      </c>
      <c r="M337" t="s">
        <v>1592</v>
      </c>
      <c r="N337">
        <v>1</v>
      </c>
      <c r="O337">
        <v>3373656303.5505009</v>
      </c>
      <c r="P337">
        <v>643687133773.03809</v>
      </c>
      <c r="Q337">
        <v>575329496726.96875</v>
      </c>
      <c r="R337">
        <v>89.380300854332134</v>
      </c>
      <c r="S337">
        <v>1</v>
      </c>
      <c r="T337">
        <v>1.591221165958365E-3</v>
      </c>
      <c r="U337">
        <v>1.591221165958365E-3</v>
      </c>
      <c r="V337">
        <v>1</v>
      </c>
      <c r="W337" t="b">
        <v>0</v>
      </c>
    </row>
    <row r="338" spans="1:23" x14ac:dyDescent="0.25">
      <c r="A338" t="s">
        <v>807</v>
      </c>
      <c r="B338" t="s">
        <v>381</v>
      </c>
      <c r="C338" t="s">
        <v>861</v>
      </c>
      <c r="D338">
        <v>6027791699</v>
      </c>
      <c r="E338" t="s">
        <v>873</v>
      </c>
      <c r="F338">
        <v>0.5474</v>
      </c>
      <c r="G338" t="s">
        <v>872</v>
      </c>
      <c r="H338" t="s">
        <v>1427</v>
      </c>
      <c r="I338">
        <v>1</v>
      </c>
      <c r="J338">
        <v>0.55700000000000005</v>
      </c>
      <c r="K338">
        <v>0.5474</v>
      </c>
      <c r="L338">
        <v>1</v>
      </c>
      <c r="M338" t="s">
        <v>1592</v>
      </c>
      <c r="N338">
        <v>1</v>
      </c>
      <c r="O338">
        <v>3299613176.0325999</v>
      </c>
      <c r="P338">
        <v>643687133773.03809</v>
      </c>
      <c r="Q338">
        <v>578629109903.00134</v>
      </c>
      <c r="R338">
        <v>89.892912184108383</v>
      </c>
      <c r="S338">
        <v>1</v>
      </c>
      <c r="T338">
        <v>1.556297931017022E-3</v>
      </c>
      <c r="U338">
        <v>1.556297931017022E-3</v>
      </c>
      <c r="V338">
        <v>1</v>
      </c>
      <c r="W338" t="b">
        <v>0</v>
      </c>
    </row>
    <row r="339" spans="1:23" x14ac:dyDescent="0.25">
      <c r="A339" t="s">
        <v>650</v>
      </c>
      <c r="B339" t="s">
        <v>224</v>
      </c>
      <c r="C339" t="s">
        <v>861</v>
      </c>
      <c r="D339">
        <v>271215400</v>
      </c>
      <c r="E339" t="s">
        <v>873</v>
      </c>
      <c r="F339">
        <v>18.295000000000002</v>
      </c>
      <c r="G339" t="s">
        <v>872</v>
      </c>
      <c r="H339" t="s">
        <v>1428</v>
      </c>
      <c r="I339">
        <v>1</v>
      </c>
      <c r="J339">
        <v>18.734999999999999</v>
      </c>
      <c r="K339">
        <v>18.295000000000002</v>
      </c>
      <c r="L339">
        <v>0.65</v>
      </c>
      <c r="M339" t="s">
        <v>1592</v>
      </c>
      <c r="N339">
        <v>1</v>
      </c>
      <c r="O339">
        <v>3225225732.9499998</v>
      </c>
      <c r="P339">
        <v>643687133773.03809</v>
      </c>
      <c r="Q339">
        <v>581854335635.95129</v>
      </c>
      <c r="R339">
        <v>90.39396705435955</v>
      </c>
      <c r="S339">
        <v>1</v>
      </c>
      <c r="T339">
        <v>1.5212122959480359E-3</v>
      </c>
      <c r="U339">
        <v>1.5212122959480359E-3</v>
      </c>
      <c r="V339">
        <v>1</v>
      </c>
      <c r="W339" t="b">
        <v>0</v>
      </c>
    </row>
    <row r="340" spans="1:23" x14ac:dyDescent="0.25">
      <c r="A340" t="s">
        <v>509</v>
      </c>
      <c r="B340" t="s">
        <v>83</v>
      </c>
      <c r="C340" t="s">
        <v>861</v>
      </c>
      <c r="D340">
        <v>68000000</v>
      </c>
      <c r="E340" t="s">
        <v>873</v>
      </c>
      <c r="F340">
        <v>88.6</v>
      </c>
      <c r="G340" t="s">
        <v>872</v>
      </c>
      <c r="H340" t="s">
        <v>1429</v>
      </c>
      <c r="I340">
        <v>1</v>
      </c>
      <c r="J340">
        <v>96</v>
      </c>
      <c r="K340">
        <v>88.6</v>
      </c>
      <c r="L340">
        <v>0.5</v>
      </c>
      <c r="M340" t="s">
        <v>1592</v>
      </c>
      <c r="N340">
        <v>1</v>
      </c>
      <c r="O340">
        <v>3012400000</v>
      </c>
      <c r="P340">
        <v>643687133773.03809</v>
      </c>
      <c r="Q340">
        <v>584866735635.95129</v>
      </c>
      <c r="R340">
        <v>90.861958387717806</v>
      </c>
      <c r="S340">
        <v>1</v>
      </c>
      <c r="T340">
        <v>1.420830757207934E-3</v>
      </c>
      <c r="U340">
        <v>1.420830757207934E-3</v>
      </c>
      <c r="V340">
        <v>1</v>
      </c>
      <c r="W340" t="b">
        <v>0</v>
      </c>
    </row>
    <row r="341" spans="1:23" x14ac:dyDescent="0.25">
      <c r="A341" t="s">
        <v>766</v>
      </c>
      <c r="B341" t="s">
        <v>340</v>
      </c>
      <c r="C341" t="s">
        <v>861</v>
      </c>
      <c r="D341">
        <v>1995631862</v>
      </c>
      <c r="E341" t="s">
        <v>873</v>
      </c>
      <c r="F341">
        <v>2.2610000000000001</v>
      </c>
      <c r="G341" t="s">
        <v>872</v>
      </c>
      <c r="H341" t="s">
        <v>1430</v>
      </c>
      <c r="I341">
        <v>1</v>
      </c>
      <c r="J341">
        <v>2.355</v>
      </c>
      <c r="K341">
        <v>2.2610000000000001</v>
      </c>
      <c r="L341">
        <v>0.65</v>
      </c>
      <c r="M341" t="s">
        <v>1592</v>
      </c>
      <c r="N341">
        <v>1</v>
      </c>
      <c r="O341">
        <v>2932880365.9882998</v>
      </c>
      <c r="P341">
        <v>643687133773.03809</v>
      </c>
      <c r="Q341">
        <v>587799616001.93958</v>
      </c>
      <c r="R341">
        <v>91.317595950146142</v>
      </c>
      <c r="S341">
        <v>1</v>
      </c>
      <c r="T341">
        <v>1.3833244692628599E-3</v>
      </c>
      <c r="U341">
        <v>1.3833244692628599E-3</v>
      </c>
      <c r="V341">
        <v>1</v>
      </c>
      <c r="W341" t="b">
        <v>0</v>
      </c>
    </row>
    <row r="342" spans="1:23" x14ac:dyDescent="0.25">
      <c r="A342" t="s">
        <v>753</v>
      </c>
      <c r="B342" t="s">
        <v>327</v>
      </c>
      <c r="C342" t="s">
        <v>861</v>
      </c>
      <c r="D342">
        <v>37411428</v>
      </c>
      <c r="E342" t="s">
        <v>873</v>
      </c>
      <c r="F342">
        <v>114.1</v>
      </c>
      <c r="G342" t="s">
        <v>872</v>
      </c>
      <c r="H342" t="s">
        <v>1431</v>
      </c>
      <c r="I342">
        <v>1</v>
      </c>
      <c r="J342">
        <v>116.2</v>
      </c>
      <c r="K342">
        <v>114.1</v>
      </c>
      <c r="L342">
        <v>0.65</v>
      </c>
      <c r="M342" t="s">
        <v>1592</v>
      </c>
      <c r="N342">
        <v>1</v>
      </c>
      <c r="O342">
        <v>2774618557.6199999</v>
      </c>
      <c r="P342">
        <v>643687133773.03809</v>
      </c>
      <c r="Q342">
        <v>590574234559.55957</v>
      </c>
      <c r="R342">
        <v>91.748646752941625</v>
      </c>
      <c r="S342">
        <v>1</v>
      </c>
      <c r="T342">
        <v>1.3086785905545119E-3</v>
      </c>
      <c r="U342">
        <v>1.3086785905545119E-3</v>
      </c>
      <c r="V342">
        <v>1</v>
      </c>
      <c r="W342" t="b">
        <v>0</v>
      </c>
    </row>
    <row r="343" spans="1:23" x14ac:dyDescent="0.25">
      <c r="A343" t="s">
        <v>483</v>
      </c>
      <c r="B343" t="s">
        <v>57</v>
      </c>
      <c r="C343" t="s">
        <v>861</v>
      </c>
      <c r="D343">
        <v>116851637</v>
      </c>
      <c r="E343" t="s">
        <v>873</v>
      </c>
      <c r="F343">
        <v>52.65</v>
      </c>
      <c r="G343" t="s">
        <v>872</v>
      </c>
      <c r="H343" t="s">
        <v>1432</v>
      </c>
      <c r="I343">
        <v>1</v>
      </c>
      <c r="J343">
        <v>55.7</v>
      </c>
      <c r="K343">
        <v>52.65</v>
      </c>
      <c r="L343">
        <v>0.45</v>
      </c>
      <c r="M343" t="s">
        <v>1592</v>
      </c>
      <c r="N343">
        <v>1</v>
      </c>
      <c r="O343">
        <v>2768507409.6224999</v>
      </c>
      <c r="P343">
        <v>643687133773.03809</v>
      </c>
      <c r="Q343">
        <v>593342741969.18213</v>
      </c>
      <c r="R343">
        <v>92.178748158479237</v>
      </c>
      <c r="S343">
        <v>1</v>
      </c>
      <c r="T343">
        <v>1.3057962020813019E-3</v>
      </c>
      <c r="U343">
        <v>1.3057962020813019E-3</v>
      </c>
      <c r="V343">
        <v>1</v>
      </c>
      <c r="W343" t="b">
        <v>0</v>
      </c>
    </row>
    <row r="344" spans="1:23" x14ac:dyDescent="0.25">
      <c r="A344" t="s">
        <v>552</v>
      </c>
      <c r="B344" t="s">
        <v>126</v>
      </c>
      <c r="C344" t="s">
        <v>861</v>
      </c>
      <c r="D344">
        <v>151294737</v>
      </c>
      <c r="E344" t="s">
        <v>873</v>
      </c>
      <c r="F344">
        <v>34.96</v>
      </c>
      <c r="G344" t="s">
        <v>872</v>
      </c>
      <c r="H344" t="s">
        <v>1433</v>
      </c>
      <c r="I344">
        <v>1</v>
      </c>
      <c r="J344">
        <v>37.76</v>
      </c>
      <c r="K344">
        <v>34.96</v>
      </c>
      <c r="L344">
        <v>0.45</v>
      </c>
      <c r="M344" t="s">
        <v>1592</v>
      </c>
      <c r="N344">
        <v>1</v>
      </c>
      <c r="O344">
        <v>2380168802.4840002</v>
      </c>
      <c r="P344">
        <v>643687133773.03809</v>
      </c>
      <c r="Q344">
        <v>595722910771.66614</v>
      </c>
      <c r="R344">
        <v>92.548519228553673</v>
      </c>
      <c r="S344">
        <v>1</v>
      </c>
      <c r="T344">
        <v>1.1226321344828189E-3</v>
      </c>
      <c r="U344">
        <v>1.1226321344828189E-3</v>
      </c>
      <c r="V344">
        <v>1</v>
      </c>
      <c r="W344" t="b">
        <v>0</v>
      </c>
    </row>
    <row r="345" spans="1:23" x14ac:dyDescent="0.25">
      <c r="A345" t="s">
        <v>643</v>
      </c>
      <c r="B345" t="s">
        <v>217</v>
      </c>
      <c r="C345" t="s">
        <v>861</v>
      </c>
      <c r="D345">
        <v>931890010</v>
      </c>
      <c r="E345" t="s">
        <v>873</v>
      </c>
      <c r="F345">
        <v>7.8949999999999996</v>
      </c>
      <c r="G345" t="s">
        <v>872</v>
      </c>
      <c r="H345" t="s">
        <v>1434</v>
      </c>
      <c r="I345">
        <v>1</v>
      </c>
      <c r="J345">
        <v>7.55</v>
      </c>
      <c r="K345">
        <v>7.8949999999999996</v>
      </c>
      <c r="L345">
        <v>0.3</v>
      </c>
      <c r="M345" t="s">
        <v>1592</v>
      </c>
      <c r="N345">
        <v>1</v>
      </c>
      <c r="O345">
        <v>2207181488.6849999</v>
      </c>
      <c r="P345">
        <v>643687133773.03809</v>
      </c>
      <c r="Q345">
        <v>597930092260.35107</v>
      </c>
      <c r="R345">
        <v>92.891415858434598</v>
      </c>
      <c r="S345">
        <v>1</v>
      </c>
      <c r="T345">
        <v>1.041040813259741E-3</v>
      </c>
      <c r="U345">
        <v>1.041040813259741E-3</v>
      </c>
      <c r="V345">
        <v>1</v>
      </c>
      <c r="W345" t="b">
        <v>0</v>
      </c>
    </row>
    <row r="346" spans="1:23" x14ac:dyDescent="0.25">
      <c r="A346" t="s">
        <v>691</v>
      </c>
      <c r="B346" t="s">
        <v>265</v>
      </c>
      <c r="C346" t="s">
        <v>861</v>
      </c>
      <c r="D346">
        <v>813279689</v>
      </c>
      <c r="E346" t="s">
        <v>873</v>
      </c>
      <c r="F346">
        <v>17.425000000000001</v>
      </c>
      <c r="G346" t="s">
        <v>872</v>
      </c>
      <c r="H346" t="s">
        <v>1435</v>
      </c>
      <c r="I346">
        <v>1</v>
      </c>
      <c r="J346">
        <v>16.73</v>
      </c>
      <c r="K346">
        <v>17.425000000000001</v>
      </c>
      <c r="L346">
        <v>0.15</v>
      </c>
      <c r="M346" t="s">
        <v>1592</v>
      </c>
      <c r="N346">
        <v>0</v>
      </c>
      <c r="O346">
        <v>2125709787.12375</v>
      </c>
      <c r="P346">
        <v>643687133773.03809</v>
      </c>
      <c r="Q346">
        <v>600055802047.47485</v>
      </c>
      <c r="R346">
        <v>93.221655453975956</v>
      </c>
      <c r="S346">
        <v>1</v>
      </c>
      <c r="T346">
        <v>1.002613811725984E-3</v>
      </c>
      <c r="U346">
        <v>1.002613811725984E-3</v>
      </c>
      <c r="V346">
        <v>1</v>
      </c>
      <c r="W346" t="b">
        <v>0</v>
      </c>
    </row>
    <row r="347" spans="1:23" x14ac:dyDescent="0.25">
      <c r="A347" t="s">
        <v>728</v>
      </c>
      <c r="B347" t="s">
        <v>302</v>
      </c>
      <c r="C347" t="s">
        <v>861</v>
      </c>
      <c r="D347">
        <v>1000000000</v>
      </c>
      <c r="E347" t="s">
        <v>873</v>
      </c>
      <c r="F347">
        <v>5.9320000000000004</v>
      </c>
      <c r="G347" t="s">
        <v>872</v>
      </c>
      <c r="H347" t="s">
        <v>1436</v>
      </c>
      <c r="I347">
        <v>1</v>
      </c>
      <c r="J347">
        <v>5.95</v>
      </c>
      <c r="K347">
        <v>5.9320000000000004</v>
      </c>
      <c r="L347">
        <v>0.35</v>
      </c>
      <c r="M347" t="s">
        <v>1592</v>
      </c>
      <c r="N347">
        <v>1</v>
      </c>
      <c r="O347">
        <v>2076200000</v>
      </c>
      <c r="P347">
        <v>643687133773.03809</v>
      </c>
      <c r="Q347">
        <v>602132002047.47485</v>
      </c>
      <c r="R347">
        <v>93.544203457666839</v>
      </c>
      <c r="S347">
        <v>1</v>
      </c>
      <c r="T347">
        <v>9.7926198981380746E-4</v>
      </c>
      <c r="U347">
        <v>9.7926198981380746E-4</v>
      </c>
      <c r="V347">
        <v>1</v>
      </c>
      <c r="W347" t="b">
        <v>0</v>
      </c>
    </row>
    <row r="348" spans="1:23" x14ac:dyDescent="0.25">
      <c r="A348" t="s">
        <v>686</v>
      </c>
      <c r="B348" t="s">
        <v>260</v>
      </c>
      <c r="C348" t="s">
        <v>861</v>
      </c>
      <c r="D348">
        <v>328640432</v>
      </c>
      <c r="E348" t="s">
        <v>873</v>
      </c>
      <c r="F348">
        <v>12.56</v>
      </c>
      <c r="G348" t="s">
        <v>872</v>
      </c>
      <c r="H348" t="s">
        <v>1437</v>
      </c>
      <c r="I348">
        <v>1</v>
      </c>
      <c r="J348">
        <v>12.51</v>
      </c>
      <c r="K348">
        <v>12.56</v>
      </c>
      <c r="L348">
        <v>0.5</v>
      </c>
      <c r="M348" t="s">
        <v>1592</v>
      </c>
      <c r="N348">
        <v>1</v>
      </c>
      <c r="O348">
        <v>2063861912.96</v>
      </c>
      <c r="P348">
        <v>643687133773.03809</v>
      </c>
      <c r="Q348">
        <v>604195863960.43481</v>
      </c>
      <c r="R348">
        <v>93.864834678126755</v>
      </c>
      <c r="S348">
        <v>1</v>
      </c>
      <c r="T348">
        <v>9.7344259877956861E-4</v>
      </c>
      <c r="U348">
        <v>9.7344259877956861E-4</v>
      </c>
      <c r="V348">
        <v>1</v>
      </c>
      <c r="W348" t="b">
        <v>0</v>
      </c>
    </row>
    <row r="349" spans="1:23" x14ac:dyDescent="0.25">
      <c r="A349" t="s">
        <v>709</v>
      </c>
      <c r="B349" t="s">
        <v>283</v>
      </c>
      <c r="C349" t="s">
        <v>861</v>
      </c>
      <c r="D349">
        <v>1172545414</v>
      </c>
      <c r="E349" t="s">
        <v>873</v>
      </c>
      <c r="F349">
        <v>3.7919999999999998</v>
      </c>
      <c r="G349" t="s">
        <v>872</v>
      </c>
      <c r="H349" t="s">
        <v>1438</v>
      </c>
      <c r="I349">
        <v>1</v>
      </c>
      <c r="J349">
        <v>4.069</v>
      </c>
      <c r="K349">
        <v>3.7919999999999998</v>
      </c>
      <c r="L349">
        <v>0.45</v>
      </c>
      <c r="M349" t="s">
        <v>1592</v>
      </c>
      <c r="N349">
        <v>1</v>
      </c>
      <c r="O349">
        <v>2000831494.4496</v>
      </c>
      <c r="P349">
        <v>643687133773.03809</v>
      </c>
      <c r="Q349">
        <v>606196695454.8844</v>
      </c>
      <c r="R349">
        <v>94.175673809355231</v>
      </c>
      <c r="S349">
        <v>1</v>
      </c>
      <c r="T349">
        <v>9.4371362611350002E-4</v>
      </c>
      <c r="U349">
        <v>9.4371362611350002E-4</v>
      </c>
      <c r="V349">
        <v>1</v>
      </c>
      <c r="W349" t="b">
        <v>0</v>
      </c>
    </row>
    <row r="350" spans="1:23" x14ac:dyDescent="0.25">
      <c r="A350" t="s">
        <v>499</v>
      </c>
      <c r="B350" t="s">
        <v>73</v>
      </c>
      <c r="C350" t="s">
        <v>861</v>
      </c>
      <c r="D350">
        <v>188637324</v>
      </c>
      <c r="E350" t="s">
        <v>873</v>
      </c>
      <c r="F350">
        <v>10.56</v>
      </c>
      <c r="G350" t="s">
        <v>872</v>
      </c>
      <c r="H350" t="s">
        <v>1439</v>
      </c>
      <c r="I350">
        <v>1</v>
      </c>
      <c r="J350">
        <v>9.4149999999999991</v>
      </c>
      <c r="K350">
        <v>10.56</v>
      </c>
      <c r="L350">
        <v>0.95000000000000007</v>
      </c>
      <c r="M350" t="s">
        <v>1592</v>
      </c>
      <c r="N350">
        <v>1</v>
      </c>
      <c r="O350">
        <v>1892409634.368</v>
      </c>
      <c r="P350">
        <v>643687133773.03809</v>
      </c>
      <c r="Q350">
        <v>608089105089.25244</v>
      </c>
      <c r="R350">
        <v>94.469669064981275</v>
      </c>
      <c r="S350">
        <v>1</v>
      </c>
      <c r="T350">
        <v>8.9257529336963083E-4</v>
      </c>
      <c r="U350">
        <v>8.9257529336963083E-4</v>
      </c>
      <c r="V350">
        <v>1</v>
      </c>
      <c r="W350" t="b">
        <v>0</v>
      </c>
    </row>
    <row r="351" spans="1:23" x14ac:dyDescent="0.25">
      <c r="A351" t="s">
        <v>804</v>
      </c>
      <c r="B351" t="s">
        <v>378</v>
      </c>
      <c r="C351" t="s">
        <v>861</v>
      </c>
      <c r="D351">
        <v>653260870</v>
      </c>
      <c r="E351" t="s">
        <v>873</v>
      </c>
      <c r="F351">
        <v>11.33</v>
      </c>
      <c r="G351" t="s">
        <v>872</v>
      </c>
      <c r="H351" t="s">
        <v>1440</v>
      </c>
      <c r="I351">
        <v>1</v>
      </c>
      <c r="J351">
        <v>13.39</v>
      </c>
      <c r="K351">
        <v>11.33</v>
      </c>
      <c r="L351">
        <v>0.25</v>
      </c>
      <c r="M351" t="s">
        <v>1592</v>
      </c>
      <c r="N351">
        <v>1</v>
      </c>
      <c r="O351">
        <v>1850361414.2750001</v>
      </c>
      <c r="P351">
        <v>643687133773.03809</v>
      </c>
      <c r="Q351">
        <v>609939466503.52747</v>
      </c>
      <c r="R351">
        <v>94.75713192033291</v>
      </c>
      <c r="S351">
        <v>1</v>
      </c>
      <c r="T351">
        <v>8.7274279954610698E-4</v>
      </c>
      <c r="U351">
        <v>8.7274279954610698E-4</v>
      </c>
      <c r="V351">
        <v>1</v>
      </c>
      <c r="W351" t="b">
        <v>0</v>
      </c>
    </row>
    <row r="352" spans="1:23" x14ac:dyDescent="0.25">
      <c r="A352" t="s">
        <v>462</v>
      </c>
      <c r="B352" t="s">
        <v>36</v>
      </c>
      <c r="C352" t="s">
        <v>861</v>
      </c>
      <c r="D352">
        <v>226388620</v>
      </c>
      <c r="E352" t="s">
        <v>873</v>
      </c>
      <c r="F352">
        <v>13.205</v>
      </c>
      <c r="G352" t="s">
        <v>872</v>
      </c>
      <c r="H352" t="s">
        <v>1441</v>
      </c>
      <c r="I352">
        <v>1</v>
      </c>
      <c r="J352">
        <v>13.695</v>
      </c>
      <c r="K352">
        <v>13.205</v>
      </c>
      <c r="L352">
        <v>0.60000000000000009</v>
      </c>
      <c r="M352" t="s">
        <v>1592</v>
      </c>
      <c r="N352">
        <v>1</v>
      </c>
      <c r="O352">
        <v>1793677036.26</v>
      </c>
      <c r="P352">
        <v>643687133773.03809</v>
      </c>
      <c r="Q352">
        <v>611733143539.78748</v>
      </c>
      <c r="R352">
        <v>95.035788575429649</v>
      </c>
      <c r="S352">
        <v>1</v>
      </c>
      <c r="T352">
        <v>8.4600700491826433E-4</v>
      </c>
      <c r="U352">
        <v>8.4600700491826433E-4</v>
      </c>
      <c r="V352">
        <v>1</v>
      </c>
      <c r="W352" t="b">
        <v>0</v>
      </c>
    </row>
    <row r="353" spans="1:23" x14ac:dyDescent="0.25">
      <c r="A353" t="s">
        <v>787</v>
      </c>
      <c r="B353" t="s">
        <v>361</v>
      </c>
      <c r="C353" t="s">
        <v>861</v>
      </c>
      <c r="D353">
        <v>90700000</v>
      </c>
      <c r="E353" t="s">
        <v>873</v>
      </c>
      <c r="F353">
        <v>48.7</v>
      </c>
      <c r="G353" t="s">
        <v>872</v>
      </c>
      <c r="H353" t="s">
        <v>1442</v>
      </c>
      <c r="I353">
        <v>1</v>
      </c>
      <c r="J353">
        <v>48.8</v>
      </c>
      <c r="L353">
        <v>0.4</v>
      </c>
      <c r="M353" t="s">
        <v>1592</v>
      </c>
      <c r="N353">
        <v>0</v>
      </c>
      <c r="O353">
        <v>1766836000</v>
      </c>
      <c r="P353">
        <v>643687133773.03809</v>
      </c>
      <c r="Q353">
        <v>613499979539.78748</v>
      </c>
      <c r="R353">
        <v>95.310275341949819</v>
      </c>
      <c r="S353">
        <v>1</v>
      </c>
      <c r="T353">
        <v>8.3334714239219148E-4</v>
      </c>
      <c r="U353">
        <v>8.3334714239219148E-4</v>
      </c>
      <c r="V353">
        <v>1</v>
      </c>
      <c r="W353" t="b">
        <v>0</v>
      </c>
    </row>
    <row r="354" spans="1:23" x14ac:dyDescent="0.25">
      <c r="A354" t="s">
        <v>593</v>
      </c>
      <c r="B354" t="s">
        <v>167</v>
      </c>
      <c r="C354" t="s">
        <v>861</v>
      </c>
      <c r="D354">
        <v>324550525</v>
      </c>
      <c r="E354" t="s">
        <v>873</v>
      </c>
      <c r="F354">
        <v>17.93</v>
      </c>
      <c r="G354" t="s">
        <v>872</v>
      </c>
      <c r="H354" t="s">
        <v>1443</v>
      </c>
      <c r="I354">
        <v>1</v>
      </c>
      <c r="J354">
        <v>18.440000000000001</v>
      </c>
      <c r="K354">
        <v>17.93</v>
      </c>
      <c r="L354">
        <v>0.3</v>
      </c>
      <c r="M354" t="s">
        <v>1592</v>
      </c>
      <c r="N354">
        <v>1</v>
      </c>
      <c r="O354">
        <v>1745757273.9749999</v>
      </c>
      <c r="P354">
        <v>643687133773.03809</v>
      </c>
      <c r="Q354">
        <v>615245736813.76245</v>
      </c>
      <c r="R354">
        <v>95.581487423468687</v>
      </c>
      <c r="S354">
        <v>1</v>
      </c>
      <c r="T354">
        <v>8.2340513526860928E-4</v>
      </c>
      <c r="U354">
        <v>8.2340513526860928E-4</v>
      </c>
      <c r="V354">
        <v>1</v>
      </c>
      <c r="W354" t="b">
        <v>0</v>
      </c>
    </row>
    <row r="355" spans="1:23" x14ac:dyDescent="0.25">
      <c r="A355" t="s">
        <v>803</v>
      </c>
      <c r="B355" t="s">
        <v>377</v>
      </c>
      <c r="C355" t="s">
        <v>861</v>
      </c>
      <c r="D355">
        <v>201327500</v>
      </c>
      <c r="E355" t="s">
        <v>873</v>
      </c>
      <c r="F355">
        <v>15.61</v>
      </c>
      <c r="G355" t="s">
        <v>872</v>
      </c>
      <c r="H355" t="s">
        <v>1444</v>
      </c>
      <c r="I355">
        <v>1</v>
      </c>
      <c r="J355">
        <v>16.21</v>
      </c>
      <c r="K355">
        <v>15.61</v>
      </c>
      <c r="L355">
        <v>0.55000000000000004</v>
      </c>
      <c r="M355" t="s">
        <v>1592</v>
      </c>
      <c r="N355">
        <v>1</v>
      </c>
      <c r="O355">
        <v>1728497251.25</v>
      </c>
      <c r="P355">
        <v>643687133773.03809</v>
      </c>
      <c r="Q355">
        <v>616974234065.01245</v>
      </c>
      <c r="R355">
        <v>95.850018074550405</v>
      </c>
      <c r="S355">
        <v>1</v>
      </c>
      <c r="T355">
        <v>8.1526426049839695E-4</v>
      </c>
      <c r="U355">
        <v>8.1526426049839695E-4</v>
      </c>
      <c r="V355">
        <v>1</v>
      </c>
      <c r="W355" t="b">
        <v>0</v>
      </c>
    </row>
    <row r="356" spans="1:23" x14ac:dyDescent="0.25">
      <c r="A356" t="s">
        <v>647</v>
      </c>
      <c r="B356" t="s">
        <v>221</v>
      </c>
      <c r="C356" t="s">
        <v>861</v>
      </c>
      <c r="D356">
        <v>1300931377</v>
      </c>
      <c r="E356" t="s">
        <v>873</v>
      </c>
      <c r="F356">
        <v>2.6179999999999999</v>
      </c>
      <c r="G356" t="s">
        <v>872</v>
      </c>
      <c r="H356" t="s">
        <v>1445</v>
      </c>
      <c r="I356">
        <v>1</v>
      </c>
      <c r="J356">
        <v>2.4780000000000002</v>
      </c>
      <c r="K356">
        <v>2.6179999999999999</v>
      </c>
      <c r="L356">
        <v>0.45</v>
      </c>
      <c r="M356" t="s">
        <v>1592</v>
      </c>
      <c r="N356">
        <v>1</v>
      </c>
      <c r="O356">
        <v>1532627255.2437</v>
      </c>
      <c r="P356">
        <v>643687133773.03809</v>
      </c>
      <c r="Q356">
        <v>618506861320.2561</v>
      </c>
      <c r="R356">
        <v>96.088119346865724</v>
      </c>
      <c r="S356">
        <v>1</v>
      </c>
      <c r="T356">
        <v>7.2288007687738159E-4</v>
      </c>
      <c r="U356">
        <v>7.2288007687738159E-4</v>
      </c>
      <c r="V356">
        <v>1</v>
      </c>
      <c r="W356" t="b">
        <v>0</v>
      </c>
    </row>
    <row r="357" spans="1:23" x14ac:dyDescent="0.25">
      <c r="A357" t="s">
        <v>557</v>
      </c>
      <c r="B357" t="s">
        <v>131</v>
      </c>
      <c r="C357" t="s">
        <v>861</v>
      </c>
      <c r="D357">
        <v>55948257</v>
      </c>
      <c r="E357" t="s">
        <v>873</v>
      </c>
      <c r="F357">
        <v>59.54</v>
      </c>
      <c r="G357" t="s">
        <v>872</v>
      </c>
      <c r="H357" t="s">
        <v>1446</v>
      </c>
      <c r="I357">
        <v>1</v>
      </c>
      <c r="J357">
        <v>62.68</v>
      </c>
      <c r="K357">
        <v>59.54</v>
      </c>
      <c r="L357">
        <v>0.45</v>
      </c>
      <c r="M357" t="s">
        <v>1592</v>
      </c>
      <c r="N357">
        <v>1</v>
      </c>
      <c r="O357">
        <v>1499021649.8010001</v>
      </c>
      <c r="P357">
        <v>643687133773.03809</v>
      </c>
      <c r="Q357">
        <v>620005882970.05713</v>
      </c>
      <c r="R357">
        <v>96.320999821113261</v>
      </c>
      <c r="S357">
        <v>1</v>
      </c>
      <c r="T357">
        <v>7.070296327704958E-4</v>
      </c>
      <c r="U357">
        <v>7.070296327704958E-4</v>
      </c>
      <c r="V357">
        <v>1</v>
      </c>
      <c r="W357" t="b">
        <v>0</v>
      </c>
    </row>
    <row r="358" spans="1:23" x14ac:dyDescent="0.25">
      <c r="A358" t="s">
        <v>852</v>
      </c>
      <c r="B358" t="s">
        <v>426</v>
      </c>
      <c r="C358" t="s">
        <v>861</v>
      </c>
      <c r="D358">
        <v>1017681493</v>
      </c>
      <c r="E358" t="s">
        <v>873</v>
      </c>
      <c r="F358">
        <v>3.1720000000000002</v>
      </c>
      <c r="G358" t="s">
        <v>872</v>
      </c>
      <c r="H358" t="s">
        <v>1447</v>
      </c>
      <c r="I358">
        <v>1</v>
      </c>
      <c r="J358">
        <v>3.4220000000000002</v>
      </c>
      <c r="K358">
        <v>3.1720000000000002</v>
      </c>
      <c r="L358">
        <v>0.45</v>
      </c>
      <c r="M358" t="s">
        <v>1592</v>
      </c>
      <c r="N358">
        <v>1</v>
      </c>
      <c r="O358">
        <v>1452638563.1082001</v>
      </c>
      <c r="P358">
        <v>643687133773.03809</v>
      </c>
      <c r="Q358">
        <v>621458521533.16541</v>
      </c>
      <c r="R358">
        <v>96.546674451984558</v>
      </c>
      <c r="S358">
        <v>1</v>
      </c>
      <c r="T358">
        <v>6.8515255263924759E-4</v>
      </c>
      <c r="U358">
        <v>6.8515255263924759E-4</v>
      </c>
      <c r="V358">
        <v>1</v>
      </c>
      <c r="W358" t="b">
        <v>0</v>
      </c>
    </row>
    <row r="359" spans="1:23" x14ac:dyDescent="0.25">
      <c r="A359" t="s">
        <v>507</v>
      </c>
      <c r="B359" t="s">
        <v>81</v>
      </c>
      <c r="C359" t="s">
        <v>861</v>
      </c>
      <c r="D359">
        <v>333922250</v>
      </c>
      <c r="E359" t="s">
        <v>873</v>
      </c>
      <c r="F359">
        <v>8.94</v>
      </c>
      <c r="G359" t="s">
        <v>872</v>
      </c>
      <c r="H359" t="s">
        <v>1448</v>
      </c>
      <c r="I359">
        <v>1</v>
      </c>
      <c r="J359">
        <v>9.1649999999999991</v>
      </c>
      <c r="K359">
        <v>8.94</v>
      </c>
      <c r="L359">
        <v>0.45</v>
      </c>
      <c r="M359" t="s">
        <v>1592</v>
      </c>
      <c r="N359">
        <v>1</v>
      </c>
      <c r="O359">
        <v>1343369211.75</v>
      </c>
      <c r="P359">
        <v>643687133773.03809</v>
      </c>
      <c r="Q359">
        <v>622801890744.91541</v>
      </c>
      <c r="R359">
        <v>96.755373545265428</v>
      </c>
      <c r="S359">
        <v>1</v>
      </c>
      <c r="T359">
        <v>6.3361449154845917E-4</v>
      </c>
      <c r="U359">
        <v>6.3361449154845917E-4</v>
      </c>
      <c r="V359">
        <v>1</v>
      </c>
      <c r="W359" t="b">
        <v>0</v>
      </c>
    </row>
    <row r="360" spans="1:23" x14ac:dyDescent="0.25">
      <c r="A360" t="s">
        <v>493</v>
      </c>
      <c r="B360" t="s">
        <v>67</v>
      </c>
      <c r="C360" t="s">
        <v>861</v>
      </c>
      <c r="D360">
        <v>453385777</v>
      </c>
      <c r="E360" t="s">
        <v>873</v>
      </c>
      <c r="F360">
        <v>14.484999999999999</v>
      </c>
      <c r="G360" t="s">
        <v>872</v>
      </c>
      <c r="H360" t="s">
        <v>1449</v>
      </c>
      <c r="I360">
        <v>1</v>
      </c>
      <c r="J360">
        <v>15.55</v>
      </c>
      <c r="K360">
        <v>14.484999999999999</v>
      </c>
      <c r="L360">
        <v>0.2</v>
      </c>
      <c r="M360" t="s">
        <v>1592</v>
      </c>
      <c r="N360">
        <v>0</v>
      </c>
      <c r="O360">
        <v>1313458595.9690001</v>
      </c>
      <c r="P360">
        <v>643687133773.03809</v>
      </c>
      <c r="Q360">
        <v>624115349340.8844</v>
      </c>
      <c r="R360">
        <v>96.959425875513205</v>
      </c>
      <c r="S360">
        <v>1</v>
      </c>
      <c r="T360">
        <v>6.1950682893105306E-4</v>
      </c>
      <c r="U360">
        <v>6.1950682893105306E-4</v>
      </c>
      <c r="V360">
        <v>1</v>
      </c>
      <c r="W360" t="b">
        <v>0</v>
      </c>
    </row>
    <row r="361" spans="1:23" x14ac:dyDescent="0.25">
      <c r="A361" t="s">
        <v>549</v>
      </c>
      <c r="B361" t="s">
        <v>123</v>
      </c>
      <c r="C361" t="s">
        <v>861</v>
      </c>
      <c r="D361">
        <v>40425033</v>
      </c>
      <c r="E361" t="s">
        <v>873</v>
      </c>
      <c r="F361">
        <v>32.4</v>
      </c>
      <c r="G361" t="s">
        <v>872</v>
      </c>
      <c r="H361" t="s">
        <v>1450</v>
      </c>
      <c r="I361">
        <v>1</v>
      </c>
      <c r="J361">
        <v>35.44</v>
      </c>
      <c r="K361">
        <v>32.4</v>
      </c>
      <c r="L361">
        <v>0.9</v>
      </c>
      <c r="M361" t="s">
        <v>1592</v>
      </c>
      <c r="N361">
        <v>1</v>
      </c>
      <c r="O361">
        <v>1178793962.28</v>
      </c>
      <c r="P361">
        <v>643687133773.03809</v>
      </c>
      <c r="Q361">
        <v>625294143303.16431</v>
      </c>
      <c r="R361">
        <v>97.142557384662737</v>
      </c>
      <c r="S361">
        <v>1</v>
      </c>
      <c r="T361">
        <v>5.5599081065543538E-4</v>
      </c>
      <c r="U361">
        <v>5.5599081065543538E-4</v>
      </c>
      <c r="V361">
        <v>1</v>
      </c>
      <c r="W361" t="b">
        <v>0</v>
      </c>
    </row>
    <row r="362" spans="1:23" x14ac:dyDescent="0.25">
      <c r="A362" t="s">
        <v>577</v>
      </c>
      <c r="B362" t="s">
        <v>151</v>
      </c>
      <c r="C362" t="s">
        <v>861</v>
      </c>
      <c r="D362">
        <v>150320000</v>
      </c>
      <c r="E362" t="s">
        <v>873</v>
      </c>
      <c r="F362">
        <v>21.56</v>
      </c>
      <c r="G362" t="s">
        <v>872</v>
      </c>
      <c r="H362" t="s">
        <v>1451</v>
      </c>
      <c r="I362">
        <v>1</v>
      </c>
      <c r="J362">
        <v>21.34</v>
      </c>
      <c r="K362">
        <v>21.56</v>
      </c>
      <c r="L362">
        <v>0.35</v>
      </c>
      <c r="M362" t="s">
        <v>1592</v>
      </c>
      <c r="N362">
        <v>1</v>
      </c>
      <c r="O362">
        <v>1134314720</v>
      </c>
      <c r="P362">
        <v>643687133773.03809</v>
      </c>
      <c r="Q362">
        <v>626428458023.16431</v>
      </c>
      <c r="R362">
        <v>97.318778822141397</v>
      </c>
      <c r="S362">
        <v>1</v>
      </c>
      <c r="T362">
        <v>5.3501169915340125E-4</v>
      </c>
      <c r="U362">
        <v>5.3501169915340125E-4</v>
      </c>
      <c r="V362">
        <v>1</v>
      </c>
      <c r="W362" t="b">
        <v>0</v>
      </c>
    </row>
    <row r="363" spans="1:23" x14ac:dyDescent="0.25">
      <c r="A363" t="s">
        <v>572</v>
      </c>
      <c r="B363" t="s">
        <v>146</v>
      </c>
      <c r="C363" t="s">
        <v>861</v>
      </c>
      <c r="D363">
        <v>541744385</v>
      </c>
      <c r="E363" t="s">
        <v>873</v>
      </c>
      <c r="F363">
        <v>4.5739999999999998</v>
      </c>
      <c r="G363" t="s">
        <v>872</v>
      </c>
      <c r="H363" t="s">
        <v>1452</v>
      </c>
      <c r="I363">
        <v>1</v>
      </c>
      <c r="J363">
        <v>4.6520000000000001</v>
      </c>
      <c r="K363">
        <v>4.5739999999999998</v>
      </c>
      <c r="L363">
        <v>0.45</v>
      </c>
      <c r="M363" t="s">
        <v>1592</v>
      </c>
      <c r="N363">
        <v>1</v>
      </c>
      <c r="O363">
        <v>1115072467.6454999</v>
      </c>
      <c r="P363">
        <v>643687133773.03809</v>
      </c>
      <c r="Q363">
        <v>627543530490.80981</v>
      </c>
      <c r="R363">
        <v>97.492010879943962</v>
      </c>
      <c r="S363">
        <v>1</v>
      </c>
      <c r="T363">
        <v>5.2593588452611723E-4</v>
      </c>
      <c r="U363">
        <v>5.2593588452611723E-4</v>
      </c>
      <c r="V363">
        <v>1</v>
      </c>
      <c r="W363" t="b">
        <v>0</v>
      </c>
    </row>
    <row r="364" spans="1:23" x14ac:dyDescent="0.25">
      <c r="A364" t="s">
        <v>517</v>
      </c>
      <c r="B364" t="s">
        <v>91</v>
      </c>
      <c r="C364" t="s">
        <v>861</v>
      </c>
      <c r="D364">
        <v>112499205</v>
      </c>
      <c r="E364" t="s">
        <v>873</v>
      </c>
      <c r="F364">
        <v>24.05</v>
      </c>
      <c r="G364" t="s">
        <v>872</v>
      </c>
      <c r="H364" t="s">
        <v>1453</v>
      </c>
      <c r="I364">
        <v>1</v>
      </c>
      <c r="J364">
        <v>25.1</v>
      </c>
      <c r="K364">
        <v>24.05</v>
      </c>
      <c r="L364">
        <v>0.4</v>
      </c>
      <c r="M364" t="s">
        <v>1592</v>
      </c>
      <c r="N364">
        <v>1</v>
      </c>
      <c r="O364">
        <v>1082242352.0999999</v>
      </c>
      <c r="P364">
        <v>643687133773.03809</v>
      </c>
      <c r="Q364">
        <v>628625772842.90991</v>
      </c>
      <c r="R364">
        <v>97.660142615894088</v>
      </c>
      <c r="S364">
        <v>1</v>
      </c>
      <c r="T364">
        <v>5.1045120854359947E-4</v>
      </c>
      <c r="U364">
        <v>5.1045120854359947E-4</v>
      </c>
      <c r="V364">
        <v>1</v>
      </c>
      <c r="W364" t="b">
        <v>0</v>
      </c>
    </row>
    <row r="365" spans="1:23" x14ac:dyDescent="0.25">
      <c r="A365" t="s">
        <v>478</v>
      </c>
      <c r="B365" t="s">
        <v>52</v>
      </c>
      <c r="C365" t="s">
        <v>861</v>
      </c>
      <c r="D365">
        <v>46789543</v>
      </c>
      <c r="E365" t="s">
        <v>873</v>
      </c>
      <c r="F365">
        <v>26.2</v>
      </c>
      <c r="G365" t="s">
        <v>872</v>
      </c>
      <c r="H365" t="s">
        <v>1454</v>
      </c>
      <c r="I365">
        <v>1</v>
      </c>
      <c r="J365">
        <v>27.5</v>
      </c>
      <c r="K365">
        <v>26.2</v>
      </c>
      <c r="L365">
        <v>0.8</v>
      </c>
      <c r="M365" t="s">
        <v>1592</v>
      </c>
      <c r="N365">
        <v>1</v>
      </c>
      <c r="O365">
        <v>980708821.27999997</v>
      </c>
      <c r="P365">
        <v>643687133773.03809</v>
      </c>
      <c r="Q365">
        <v>629606481664.18982</v>
      </c>
      <c r="R365">
        <v>97.812500612477209</v>
      </c>
      <c r="S365">
        <v>1</v>
      </c>
      <c r="T365">
        <v>4.6256183014863988E-4</v>
      </c>
      <c r="U365">
        <v>4.6256183014863988E-4</v>
      </c>
      <c r="V365">
        <v>1</v>
      </c>
      <c r="W365" t="b">
        <v>0</v>
      </c>
    </row>
    <row r="366" spans="1:23" x14ac:dyDescent="0.25">
      <c r="A366" t="s">
        <v>541</v>
      </c>
      <c r="B366" t="s">
        <v>115</v>
      </c>
      <c r="C366" t="s">
        <v>861</v>
      </c>
      <c r="D366">
        <v>341320065</v>
      </c>
      <c r="E366" t="s">
        <v>873</v>
      </c>
      <c r="F366">
        <v>14.2</v>
      </c>
      <c r="G366" t="s">
        <v>872</v>
      </c>
      <c r="H366" t="s">
        <v>1455</v>
      </c>
      <c r="I366">
        <v>1</v>
      </c>
      <c r="J366">
        <v>14.84</v>
      </c>
      <c r="K366">
        <v>14.2</v>
      </c>
      <c r="L366">
        <v>0.2</v>
      </c>
      <c r="M366" t="s">
        <v>1592</v>
      </c>
      <c r="N366">
        <v>1</v>
      </c>
      <c r="O366">
        <v>969348984.60000002</v>
      </c>
      <c r="P366">
        <v>643687133773.03809</v>
      </c>
      <c r="Q366">
        <v>630575830648.78992</v>
      </c>
      <c r="R366">
        <v>97.963093801891773</v>
      </c>
      <c r="S366">
        <v>1</v>
      </c>
      <c r="T366">
        <v>4.5720384138492912E-4</v>
      </c>
      <c r="U366">
        <v>4.5720384138492912E-4</v>
      </c>
      <c r="V366">
        <v>1</v>
      </c>
      <c r="W366" t="b">
        <v>0</v>
      </c>
    </row>
    <row r="367" spans="1:23" x14ac:dyDescent="0.25">
      <c r="A367" t="s">
        <v>441</v>
      </c>
      <c r="B367" t="s">
        <v>15</v>
      </c>
      <c r="C367" t="s">
        <v>861</v>
      </c>
      <c r="D367">
        <v>212964900</v>
      </c>
      <c r="E367" t="s">
        <v>873</v>
      </c>
      <c r="F367">
        <v>22.6</v>
      </c>
      <c r="G367" t="s">
        <v>872</v>
      </c>
      <c r="H367" t="s">
        <v>1456</v>
      </c>
      <c r="I367">
        <v>1</v>
      </c>
      <c r="J367">
        <v>21.72</v>
      </c>
      <c r="K367">
        <v>22.6</v>
      </c>
      <c r="L367">
        <v>0.2</v>
      </c>
      <c r="M367" t="s">
        <v>1592</v>
      </c>
      <c r="N367">
        <v>1</v>
      </c>
      <c r="O367">
        <v>962601348</v>
      </c>
      <c r="P367">
        <v>643687133773.03809</v>
      </c>
      <c r="Q367">
        <v>631538431996.78992</v>
      </c>
      <c r="R367">
        <v>98.112638712376096</v>
      </c>
      <c r="S367">
        <v>1</v>
      </c>
      <c r="T367">
        <v>4.5402124623828783E-4</v>
      </c>
      <c r="U367">
        <v>4.5402124623828783E-4</v>
      </c>
      <c r="V367">
        <v>1</v>
      </c>
      <c r="W367" t="b">
        <v>0</v>
      </c>
    </row>
    <row r="368" spans="1:23" x14ac:dyDescent="0.25">
      <c r="A368" t="s">
        <v>697</v>
      </c>
      <c r="B368" t="s">
        <v>271</v>
      </c>
      <c r="C368" t="s">
        <v>861</v>
      </c>
      <c r="D368">
        <v>469897609</v>
      </c>
      <c r="E368" t="s">
        <v>873</v>
      </c>
      <c r="F368">
        <v>3.12</v>
      </c>
      <c r="G368" t="s">
        <v>872</v>
      </c>
      <c r="H368" t="s">
        <v>1457</v>
      </c>
      <c r="I368">
        <v>1</v>
      </c>
      <c r="J368">
        <v>2.956</v>
      </c>
      <c r="K368">
        <v>3.12</v>
      </c>
      <c r="L368">
        <v>0.65</v>
      </c>
      <c r="M368" t="s">
        <v>1592</v>
      </c>
      <c r="N368">
        <v>1</v>
      </c>
      <c r="O368">
        <v>952952351.05200016</v>
      </c>
      <c r="P368">
        <v>643687133773.03809</v>
      </c>
      <c r="Q368">
        <v>632491384347.84192</v>
      </c>
      <c r="R368">
        <v>98.260684603159433</v>
      </c>
      <c r="S368">
        <v>1</v>
      </c>
      <c r="T368">
        <v>4.494701933768074E-4</v>
      </c>
      <c r="U368">
        <v>4.494701933768074E-4</v>
      </c>
      <c r="V368">
        <v>1</v>
      </c>
      <c r="W368" t="b">
        <v>0</v>
      </c>
    </row>
    <row r="369" spans="1:23" x14ac:dyDescent="0.25">
      <c r="A369" t="s">
        <v>800</v>
      </c>
      <c r="B369" t="s">
        <v>374</v>
      </c>
      <c r="C369" t="s">
        <v>861</v>
      </c>
      <c r="D369">
        <v>184379301</v>
      </c>
      <c r="E369" t="s">
        <v>873</v>
      </c>
      <c r="F369">
        <v>8.56</v>
      </c>
      <c r="G369" t="s">
        <v>872</v>
      </c>
      <c r="H369" t="s">
        <v>1458</v>
      </c>
      <c r="I369">
        <v>1</v>
      </c>
      <c r="J369">
        <v>8.7200000000000006</v>
      </c>
      <c r="K369">
        <v>8.56</v>
      </c>
      <c r="L369">
        <v>0.55000000000000004</v>
      </c>
      <c r="M369" t="s">
        <v>1592</v>
      </c>
      <c r="N369">
        <v>1</v>
      </c>
      <c r="O369">
        <v>868057749.10800016</v>
      </c>
      <c r="P369">
        <v>643687133773.03809</v>
      </c>
      <c r="Q369">
        <v>633359442096.94983</v>
      </c>
      <c r="R369">
        <v>98.39554169499219</v>
      </c>
      <c r="S369">
        <v>1</v>
      </c>
      <c r="T369">
        <v>4.0942874417917112E-4</v>
      </c>
      <c r="U369">
        <v>4.0942874417917112E-4</v>
      </c>
      <c r="V369">
        <v>1</v>
      </c>
      <c r="W369" t="b">
        <v>0</v>
      </c>
    </row>
    <row r="370" spans="1:23" x14ac:dyDescent="0.25">
      <c r="A370" t="s">
        <v>484</v>
      </c>
      <c r="B370" t="s">
        <v>58</v>
      </c>
      <c r="C370" t="s">
        <v>861</v>
      </c>
      <c r="D370">
        <v>61540455</v>
      </c>
      <c r="E370" t="s">
        <v>873</v>
      </c>
      <c r="F370">
        <v>24.94</v>
      </c>
      <c r="G370" t="s">
        <v>872</v>
      </c>
      <c r="H370" t="s">
        <v>1459</v>
      </c>
      <c r="I370">
        <v>1</v>
      </c>
      <c r="J370">
        <v>24.74</v>
      </c>
      <c r="K370">
        <v>24.94</v>
      </c>
      <c r="L370">
        <v>0.55000000000000004</v>
      </c>
      <c r="M370" t="s">
        <v>1592</v>
      </c>
      <c r="N370">
        <v>1</v>
      </c>
      <c r="O370">
        <v>844150421.23500013</v>
      </c>
      <c r="P370">
        <v>643687133773.03809</v>
      </c>
      <c r="Q370">
        <v>634203592518.18481</v>
      </c>
      <c r="R370">
        <v>98.526684664447998</v>
      </c>
      <c r="S370">
        <v>1</v>
      </c>
      <c r="T370">
        <v>3.9815259666734892E-4</v>
      </c>
      <c r="U370">
        <v>3.9815259666734892E-4</v>
      </c>
      <c r="V370">
        <v>1</v>
      </c>
      <c r="W370" t="b">
        <v>0</v>
      </c>
    </row>
    <row r="371" spans="1:23" x14ac:dyDescent="0.25">
      <c r="A371" t="s">
        <v>721</v>
      </c>
      <c r="B371" t="s">
        <v>295</v>
      </c>
      <c r="C371" t="s">
        <v>861</v>
      </c>
      <c r="D371">
        <v>255032123</v>
      </c>
      <c r="E371" t="s">
        <v>873</v>
      </c>
      <c r="F371">
        <v>4.306</v>
      </c>
      <c r="G371" t="s">
        <v>872</v>
      </c>
      <c r="H371" t="s">
        <v>1460</v>
      </c>
      <c r="I371">
        <v>1</v>
      </c>
      <c r="J371">
        <v>4.46</v>
      </c>
      <c r="K371">
        <v>4.306</v>
      </c>
      <c r="L371">
        <v>0.70000000000000007</v>
      </c>
      <c r="M371" t="s">
        <v>1592</v>
      </c>
      <c r="N371">
        <v>1</v>
      </c>
      <c r="O371">
        <v>768717825.14660013</v>
      </c>
      <c r="P371">
        <v>643687133773.03809</v>
      </c>
      <c r="Q371">
        <v>634972310343.33142</v>
      </c>
      <c r="R371">
        <v>98.646108804657345</v>
      </c>
      <c r="S371">
        <v>1</v>
      </c>
      <c r="T371">
        <v>3.6257400397765252E-4</v>
      </c>
      <c r="U371">
        <v>3.6257400397765252E-4</v>
      </c>
      <c r="V371">
        <v>1</v>
      </c>
      <c r="W371" t="b">
        <v>0</v>
      </c>
    </row>
    <row r="372" spans="1:23" x14ac:dyDescent="0.25">
      <c r="A372" t="s">
        <v>524</v>
      </c>
      <c r="B372" t="s">
        <v>98</v>
      </c>
      <c r="C372" t="s">
        <v>861</v>
      </c>
      <c r="D372">
        <v>159120000</v>
      </c>
      <c r="E372" t="s">
        <v>873</v>
      </c>
      <c r="F372">
        <v>15.82</v>
      </c>
      <c r="G372" t="s">
        <v>872</v>
      </c>
      <c r="H372" t="s">
        <v>1461</v>
      </c>
      <c r="I372">
        <v>1</v>
      </c>
      <c r="J372">
        <v>18.3</v>
      </c>
      <c r="K372">
        <v>15.82</v>
      </c>
      <c r="L372">
        <v>0.3</v>
      </c>
      <c r="M372" t="s">
        <v>1592</v>
      </c>
      <c r="N372">
        <v>1</v>
      </c>
      <c r="O372">
        <v>755183520</v>
      </c>
      <c r="P372">
        <v>643687133773.03809</v>
      </c>
      <c r="Q372">
        <v>635727493863.33142</v>
      </c>
      <c r="R372">
        <v>98.763430323199032</v>
      </c>
      <c r="S372">
        <v>1</v>
      </c>
      <c r="T372">
        <v>3.5619040384827821E-4</v>
      </c>
      <c r="U372">
        <v>3.5619040384827821E-4</v>
      </c>
      <c r="V372">
        <v>1</v>
      </c>
      <c r="W372" t="b">
        <v>0</v>
      </c>
    </row>
    <row r="373" spans="1:23" x14ac:dyDescent="0.25">
      <c r="A373" t="s">
        <v>699</v>
      </c>
      <c r="B373" t="s">
        <v>273</v>
      </c>
      <c r="C373" t="s">
        <v>861</v>
      </c>
      <c r="D373">
        <v>40000000</v>
      </c>
      <c r="E373" t="s">
        <v>873</v>
      </c>
      <c r="F373">
        <v>40.5</v>
      </c>
      <c r="G373" t="s">
        <v>872</v>
      </c>
      <c r="H373" t="s">
        <v>1462</v>
      </c>
      <c r="I373">
        <v>1</v>
      </c>
      <c r="J373">
        <v>36.15</v>
      </c>
      <c r="K373">
        <v>40.5</v>
      </c>
      <c r="L373">
        <v>0.45</v>
      </c>
      <c r="M373" t="s">
        <v>1592</v>
      </c>
      <c r="N373">
        <v>1</v>
      </c>
      <c r="O373">
        <v>729000000</v>
      </c>
      <c r="P373">
        <v>643687133773.03809</v>
      </c>
      <c r="Q373">
        <v>636456493863.33142</v>
      </c>
      <c r="R373">
        <v>98.876684101587756</v>
      </c>
      <c r="S373">
        <v>1</v>
      </c>
      <c r="T373">
        <v>3.4384066591574289E-4</v>
      </c>
      <c r="U373">
        <v>3.4384066591574289E-4</v>
      </c>
      <c r="V373">
        <v>1</v>
      </c>
      <c r="W373" t="b">
        <v>0</v>
      </c>
    </row>
    <row r="374" spans="1:23" x14ac:dyDescent="0.25">
      <c r="A374" t="s">
        <v>776</v>
      </c>
      <c r="B374" t="s">
        <v>350</v>
      </c>
      <c r="C374" t="s">
        <v>861</v>
      </c>
      <c r="D374">
        <v>15343112</v>
      </c>
      <c r="E374" t="s">
        <v>873</v>
      </c>
      <c r="F374">
        <v>82.15</v>
      </c>
      <c r="G374" t="s">
        <v>872</v>
      </c>
      <c r="H374" t="s">
        <v>1463</v>
      </c>
      <c r="I374">
        <v>1</v>
      </c>
      <c r="J374">
        <v>86.3</v>
      </c>
      <c r="K374">
        <v>82.15</v>
      </c>
      <c r="L374">
        <v>0.45</v>
      </c>
      <c r="M374" t="s">
        <v>1592</v>
      </c>
      <c r="N374">
        <v>1</v>
      </c>
      <c r="O374">
        <v>567196492.86000013</v>
      </c>
      <c r="P374">
        <v>643687133773.03809</v>
      </c>
      <c r="Q374">
        <v>637023690356.19141</v>
      </c>
      <c r="R374">
        <v>98.96480089981165</v>
      </c>
      <c r="S374">
        <v>1</v>
      </c>
      <c r="T374">
        <v>2.6752430700967961E-4</v>
      </c>
      <c r="U374">
        <v>2.6752430700967961E-4</v>
      </c>
      <c r="V374">
        <v>1</v>
      </c>
      <c r="W374" t="b">
        <v>0</v>
      </c>
    </row>
    <row r="375" spans="1:23" x14ac:dyDescent="0.25">
      <c r="A375" t="s">
        <v>641</v>
      </c>
      <c r="B375" t="s">
        <v>215</v>
      </c>
      <c r="C375" t="s">
        <v>861</v>
      </c>
      <c r="D375">
        <v>96364020</v>
      </c>
      <c r="E375" t="s">
        <v>873</v>
      </c>
      <c r="F375">
        <v>11.4</v>
      </c>
      <c r="G375" t="s">
        <v>872</v>
      </c>
      <c r="H375" t="s">
        <v>1464</v>
      </c>
      <c r="I375">
        <v>1</v>
      </c>
      <c r="J375">
        <v>10.92</v>
      </c>
      <c r="K375">
        <v>11.4</v>
      </c>
      <c r="L375">
        <v>0.5</v>
      </c>
      <c r="M375" t="s">
        <v>1592</v>
      </c>
      <c r="N375">
        <v>1</v>
      </c>
      <c r="O375">
        <v>549274914</v>
      </c>
      <c r="P375">
        <v>643687133773.03809</v>
      </c>
      <c r="Q375">
        <v>637572965270.19141</v>
      </c>
      <c r="R375">
        <v>99.050133491560118</v>
      </c>
      <c r="S375">
        <v>1</v>
      </c>
      <c r="T375">
        <v>2.5907140219557262E-4</v>
      </c>
      <c r="U375">
        <v>2.5907140219557262E-4</v>
      </c>
      <c r="V375">
        <v>1</v>
      </c>
      <c r="W375" t="b">
        <v>0</v>
      </c>
    </row>
    <row r="376" spans="1:23" x14ac:dyDescent="0.25">
      <c r="A376" t="s">
        <v>741</v>
      </c>
      <c r="B376" t="s">
        <v>315</v>
      </c>
      <c r="C376" t="s">
        <v>861</v>
      </c>
      <c r="D376">
        <v>272000000</v>
      </c>
      <c r="E376" t="s">
        <v>873</v>
      </c>
      <c r="F376">
        <v>5.5</v>
      </c>
      <c r="G376" t="s">
        <v>872</v>
      </c>
      <c r="H376" t="s">
        <v>1465</v>
      </c>
      <c r="I376">
        <v>1</v>
      </c>
      <c r="J376">
        <v>5.43</v>
      </c>
      <c r="K376">
        <v>5.5</v>
      </c>
      <c r="L376">
        <v>0.35</v>
      </c>
      <c r="M376" t="s">
        <v>1592</v>
      </c>
      <c r="N376">
        <v>1</v>
      </c>
      <c r="O376">
        <v>523600000.00000012</v>
      </c>
      <c r="P376">
        <v>643687133773.03809</v>
      </c>
      <c r="Q376">
        <v>638096565270.19141</v>
      </c>
      <c r="R376">
        <v>99.131477357629166</v>
      </c>
      <c r="S376">
        <v>1</v>
      </c>
      <c r="T376">
        <v>2.4696155373591641E-4</v>
      </c>
      <c r="U376">
        <v>2.4696155373591641E-4</v>
      </c>
      <c r="V376">
        <v>1</v>
      </c>
      <c r="W376" t="b">
        <v>0</v>
      </c>
    </row>
    <row r="377" spans="1:23" x14ac:dyDescent="0.25">
      <c r="A377" t="s">
        <v>565</v>
      </c>
      <c r="B377" t="s">
        <v>139</v>
      </c>
      <c r="C377" t="s">
        <v>861</v>
      </c>
      <c r="D377">
        <v>80239700</v>
      </c>
      <c r="E377" t="s">
        <v>873</v>
      </c>
      <c r="F377">
        <v>11.77</v>
      </c>
      <c r="G377" t="s">
        <v>872</v>
      </c>
      <c r="H377" t="s">
        <v>1466</v>
      </c>
      <c r="I377">
        <v>1</v>
      </c>
      <c r="J377">
        <v>13.03</v>
      </c>
      <c r="K377">
        <v>11.77</v>
      </c>
      <c r="L377">
        <v>0.5</v>
      </c>
      <c r="M377" t="s">
        <v>1592</v>
      </c>
      <c r="N377">
        <v>1</v>
      </c>
      <c r="O377">
        <v>472210634.5</v>
      </c>
      <c r="P377">
        <v>643687133773.03809</v>
      </c>
      <c r="Q377">
        <v>638568775904.69141</v>
      </c>
      <c r="R377">
        <v>99.204837629991943</v>
      </c>
      <c r="S377">
        <v>1</v>
      </c>
      <c r="T377">
        <v>2.227232085308306E-4</v>
      </c>
      <c r="U377">
        <v>2.227232085308306E-4</v>
      </c>
      <c r="V377">
        <v>1</v>
      </c>
      <c r="W377" t="b">
        <v>0</v>
      </c>
    </row>
    <row r="378" spans="1:23" x14ac:dyDescent="0.25">
      <c r="A378" t="s">
        <v>767</v>
      </c>
      <c r="B378" t="s">
        <v>341</v>
      </c>
      <c r="C378" t="s">
        <v>861</v>
      </c>
      <c r="D378">
        <v>168790000</v>
      </c>
      <c r="E378" t="s">
        <v>873</v>
      </c>
      <c r="F378">
        <v>7.56</v>
      </c>
      <c r="G378" t="s">
        <v>872</v>
      </c>
      <c r="H378" t="s">
        <v>1467</v>
      </c>
      <c r="I378">
        <v>1</v>
      </c>
      <c r="J378">
        <v>7.835</v>
      </c>
      <c r="K378">
        <v>7.56</v>
      </c>
      <c r="L378">
        <v>0.35</v>
      </c>
      <c r="M378" t="s">
        <v>1592</v>
      </c>
      <c r="N378">
        <v>0</v>
      </c>
      <c r="O378">
        <v>446618340.00000012</v>
      </c>
      <c r="P378">
        <v>643687133773.03809</v>
      </c>
      <c r="Q378">
        <v>639015394244.69141</v>
      </c>
      <c r="R378">
        <v>99.274222012025817</v>
      </c>
      <c r="S378">
        <v>1</v>
      </c>
      <c r="T378">
        <v>2.1065232844414769E-4</v>
      </c>
      <c r="U378">
        <v>2.1065232844414769E-4</v>
      </c>
      <c r="V378">
        <v>1</v>
      </c>
      <c r="W378" t="b">
        <v>0</v>
      </c>
    </row>
    <row r="379" spans="1:23" x14ac:dyDescent="0.25">
      <c r="A379" t="s">
        <v>590</v>
      </c>
      <c r="B379" t="s">
        <v>164</v>
      </c>
      <c r="C379" t="s">
        <v>861</v>
      </c>
      <c r="D379">
        <v>338482654</v>
      </c>
      <c r="E379" t="s">
        <v>873</v>
      </c>
      <c r="F379">
        <v>2.7</v>
      </c>
      <c r="G379" t="s">
        <v>872</v>
      </c>
      <c r="H379" t="s">
        <v>1468</v>
      </c>
      <c r="I379">
        <v>1</v>
      </c>
      <c r="J379">
        <v>2.8940000000000001</v>
      </c>
      <c r="K379">
        <v>2.7</v>
      </c>
      <c r="L379">
        <v>0.45</v>
      </c>
      <c r="M379" t="s">
        <v>1592</v>
      </c>
      <c r="N379">
        <v>1</v>
      </c>
      <c r="O379">
        <v>411256424.61000001</v>
      </c>
      <c r="P379">
        <v>643687133773.03809</v>
      </c>
      <c r="Q379">
        <v>639426650669.30151</v>
      </c>
      <c r="R379">
        <v>99.338112744500066</v>
      </c>
      <c r="S379">
        <v>1</v>
      </c>
      <c r="T379">
        <v>1.9397350192048001E-4</v>
      </c>
      <c r="U379">
        <v>1.9397350192048001E-4</v>
      </c>
      <c r="V379">
        <v>1</v>
      </c>
      <c r="W379" t="b">
        <v>0</v>
      </c>
    </row>
    <row r="380" spans="1:23" x14ac:dyDescent="0.25">
      <c r="A380" t="s">
        <v>768</v>
      </c>
      <c r="B380" t="s">
        <v>342</v>
      </c>
      <c r="C380" t="s">
        <v>861</v>
      </c>
      <c r="D380">
        <v>35624570</v>
      </c>
      <c r="E380" t="s">
        <v>873</v>
      </c>
      <c r="F380">
        <v>28.8</v>
      </c>
      <c r="G380" t="s">
        <v>872</v>
      </c>
      <c r="H380" t="s">
        <v>1469</v>
      </c>
      <c r="I380">
        <v>1</v>
      </c>
      <c r="J380">
        <v>29.5</v>
      </c>
      <c r="K380">
        <v>28.8</v>
      </c>
      <c r="L380">
        <v>0.4</v>
      </c>
      <c r="M380" t="s">
        <v>1592</v>
      </c>
      <c r="N380">
        <v>1</v>
      </c>
      <c r="O380">
        <v>410395046.39999998</v>
      </c>
      <c r="P380">
        <v>643687133773.03809</v>
      </c>
      <c r="Q380">
        <v>639837045715.70142</v>
      </c>
      <c r="R380">
        <v>99.401869657582097</v>
      </c>
      <c r="S380">
        <v>1</v>
      </c>
      <c r="T380">
        <v>1.9356722365253531E-4</v>
      </c>
      <c r="U380">
        <v>1.9356722365253531E-4</v>
      </c>
      <c r="V380">
        <v>1</v>
      </c>
      <c r="W380" t="b">
        <v>0</v>
      </c>
    </row>
    <row r="381" spans="1:23" x14ac:dyDescent="0.25">
      <c r="A381" t="s">
        <v>649</v>
      </c>
      <c r="B381" t="s">
        <v>223</v>
      </c>
      <c r="C381" t="s">
        <v>861</v>
      </c>
      <c r="D381">
        <v>42500000</v>
      </c>
      <c r="E381" t="s">
        <v>873</v>
      </c>
      <c r="F381">
        <v>27.5</v>
      </c>
      <c r="G381" t="s">
        <v>872</v>
      </c>
      <c r="H381" t="s">
        <v>1470</v>
      </c>
      <c r="I381">
        <v>1</v>
      </c>
      <c r="J381">
        <v>26.75</v>
      </c>
      <c r="K381">
        <v>27.5</v>
      </c>
      <c r="L381">
        <v>0.35</v>
      </c>
      <c r="M381" t="s">
        <v>1592</v>
      </c>
      <c r="N381">
        <v>1</v>
      </c>
      <c r="O381">
        <v>409062500</v>
      </c>
      <c r="P381">
        <v>643687133773.03809</v>
      </c>
      <c r="Q381">
        <v>640246108215.70142</v>
      </c>
      <c r="R381">
        <v>99.465419552948532</v>
      </c>
      <c r="S381">
        <v>1</v>
      </c>
      <c r="T381">
        <v>1.9293871385618459E-4</v>
      </c>
      <c r="U381">
        <v>1.9293871385618459E-4</v>
      </c>
      <c r="V381">
        <v>1</v>
      </c>
      <c r="W381" t="b">
        <v>0</v>
      </c>
    </row>
    <row r="382" spans="1:23" x14ac:dyDescent="0.25">
      <c r="A382" t="s">
        <v>526</v>
      </c>
      <c r="B382" t="s">
        <v>100</v>
      </c>
      <c r="C382" t="s">
        <v>861</v>
      </c>
      <c r="D382">
        <v>916059948</v>
      </c>
      <c r="E382" t="s">
        <v>873</v>
      </c>
      <c r="F382">
        <v>0.70699999999999996</v>
      </c>
      <c r="G382" t="s">
        <v>872</v>
      </c>
      <c r="H382" t="s">
        <v>1471</v>
      </c>
      <c r="I382">
        <v>1</v>
      </c>
      <c r="J382">
        <v>0.71</v>
      </c>
      <c r="K382">
        <v>0.70699999999999996</v>
      </c>
      <c r="L382">
        <v>0.6</v>
      </c>
      <c r="M382" t="s">
        <v>1592</v>
      </c>
      <c r="N382">
        <v>1</v>
      </c>
      <c r="O382">
        <v>388592629.94160002</v>
      </c>
      <c r="P382">
        <v>643687133773.03809</v>
      </c>
      <c r="Q382">
        <v>640634700845.64307</v>
      </c>
      <c r="R382">
        <v>99.525789352118494</v>
      </c>
      <c r="S382">
        <v>1</v>
      </c>
      <c r="T382">
        <v>1.8328388017705021E-4</v>
      </c>
      <c r="U382">
        <v>1.8328388017705021E-4</v>
      </c>
      <c r="V382">
        <v>1</v>
      </c>
      <c r="W382" t="b">
        <v>0</v>
      </c>
    </row>
    <row r="383" spans="1:23" x14ac:dyDescent="0.25">
      <c r="A383" t="s">
        <v>764</v>
      </c>
      <c r="B383" t="s">
        <v>338</v>
      </c>
      <c r="C383" t="s">
        <v>861</v>
      </c>
      <c r="D383">
        <v>415203472</v>
      </c>
      <c r="E383" t="s">
        <v>873</v>
      </c>
      <c r="F383">
        <v>1.8220000000000001</v>
      </c>
      <c r="G383" t="s">
        <v>872</v>
      </c>
      <c r="H383" t="s">
        <v>1472</v>
      </c>
      <c r="I383">
        <v>1</v>
      </c>
      <c r="J383">
        <v>1.9019999999999999</v>
      </c>
      <c r="L383">
        <v>0.5</v>
      </c>
      <c r="M383" t="s">
        <v>1592</v>
      </c>
      <c r="N383">
        <v>0</v>
      </c>
      <c r="O383">
        <v>378250362.99199998</v>
      </c>
      <c r="P383">
        <v>643687133773.03809</v>
      </c>
      <c r="Q383">
        <v>641012951208.63501</v>
      </c>
      <c r="R383">
        <v>99.584552428642155</v>
      </c>
      <c r="S383">
        <v>1</v>
      </c>
      <c r="T383">
        <v>1.784058390864757E-4</v>
      </c>
      <c r="U383">
        <v>1.784058390864757E-4</v>
      </c>
      <c r="V383">
        <v>1</v>
      </c>
      <c r="W383" t="b">
        <v>0</v>
      </c>
    </row>
    <row r="384" spans="1:23" x14ac:dyDescent="0.25">
      <c r="A384" t="s">
        <v>548</v>
      </c>
      <c r="B384" t="s">
        <v>122</v>
      </c>
      <c r="C384" t="s">
        <v>861</v>
      </c>
      <c r="D384">
        <v>40879533</v>
      </c>
      <c r="E384" t="s">
        <v>873</v>
      </c>
      <c r="F384">
        <v>45.9</v>
      </c>
      <c r="G384" t="s">
        <v>872</v>
      </c>
      <c r="H384" t="s">
        <v>1473</v>
      </c>
      <c r="I384">
        <v>1</v>
      </c>
      <c r="J384">
        <v>49.6</v>
      </c>
      <c r="K384">
        <v>45.9</v>
      </c>
      <c r="L384">
        <v>0.2</v>
      </c>
      <c r="M384" t="s">
        <v>1592</v>
      </c>
      <c r="N384">
        <v>1</v>
      </c>
      <c r="O384">
        <v>375274112.94000012</v>
      </c>
      <c r="P384">
        <v>643687133773.03809</v>
      </c>
      <c r="Q384">
        <v>641388225321.57507</v>
      </c>
      <c r="R384">
        <v>99.642853129906811</v>
      </c>
      <c r="S384">
        <v>1</v>
      </c>
      <c r="T384">
        <v>1.7700205883982079E-4</v>
      </c>
      <c r="U384">
        <v>1.7700205883982079E-4</v>
      </c>
      <c r="V384">
        <v>1</v>
      </c>
      <c r="W384" t="b">
        <v>0</v>
      </c>
    </row>
    <row r="385" spans="1:23" x14ac:dyDescent="0.25">
      <c r="A385" t="s">
        <v>488</v>
      </c>
      <c r="B385" t="s">
        <v>62</v>
      </c>
      <c r="C385" t="s">
        <v>861</v>
      </c>
      <c r="D385">
        <v>134363049</v>
      </c>
      <c r="E385" t="s">
        <v>873</v>
      </c>
      <c r="F385">
        <v>8.39</v>
      </c>
      <c r="G385" t="s">
        <v>872</v>
      </c>
      <c r="H385" t="s">
        <v>1474</v>
      </c>
      <c r="I385">
        <v>1</v>
      </c>
      <c r="J385">
        <v>9.02</v>
      </c>
      <c r="K385">
        <v>8.39</v>
      </c>
      <c r="L385">
        <v>0.3</v>
      </c>
      <c r="M385" t="s">
        <v>1592</v>
      </c>
      <c r="N385">
        <v>1</v>
      </c>
      <c r="O385">
        <v>338191794.333</v>
      </c>
      <c r="P385">
        <v>643687133773.03809</v>
      </c>
      <c r="Q385">
        <v>641726417115.90808</v>
      </c>
      <c r="R385">
        <v>99.695392908409232</v>
      </c>
      <c r="S385">
        <v>1</v>
      </c>
      <c r="T385">
        <v>1.5951178569368821E-4</v>
      </c>
      <c r="U385">
        <v>1.5951178569368821E-4</v>
      </c>
      <c r="V385">
        <v>1</v>
      </c>
      <c r="W385" t="b">
        <v>0</v>
      </c>
    </row>
    <row r="386" spans="1:23" x14ac:dyDescent="0.25">
      <c r="A386" t="s">
        <v>707</v>
      </c>
      <c r="B386" t="s">
        <v>281</v>
      </c>
      <c r="C386" t="s">
        <v>861</v>
      </c>
      <c r="D386">
        <v>43935050</v>
      </c>
      <c r="E386" t="s">
        <v>873</v>
      </c>
      <c r="F386">
        <v>16.899999999999999</v>
      </c>
      <c r="G386" t="s">
        <v>872</v>
      </c>
      <c r="H386" t="s">
        <v>1475</v>
      </c>
      <c r="I386">
        <v>1</v>
      </c>
      <c r="J386">
        <v>19.3</v>
      </c>
      <c r="L386">
        <v>0.45</v>
      </c>
      <c r="M386" t="s">
        <v>1592</v>
      </c>
      <c r="N386">
        <v>0</v>
      </c>
      <c r="O386">
        <v>334126055.24999988</v>
      </c>
      <c r="P386">
        <v>643687133773.03809</v>
      </c>
      <c r="Q386">
        <v>642060543171.15808</v>
      </c>
      <c r="R386">
        <v>99.747301054109073</v>
      </c>
      <c r="S386">
        <v>1</v>
      </c>
      <c r="T386">
        <v>1.575941362646918E-4</v>
      </c>
      <c r="U386">
        <v>1.575941362646918E-4</v>
      </c>
      <c r="V386">
        <v>1</v>
      </c>
      <c r="W386" t="b">
        <v>0</v>
      </c>
    </row>
    <row r="387" spans="1:23" x14ac:dyDescent="0.25">
      <c r="A387" t="s">
        <v>620</v>
      </c>
      <c r="B387" t="s">
        <v>194</v>
      </c>
      <c r="C387" t="s">
        <v>861</v>
      </c>
      <c r="D387">
        <v>189177693</v>
      </c>
      <c r="E387" t="s">
        <v>873</v>
      </c>
      <c r="F387">
        <v>3.9</v>
      </c>
      <c r="G387" t="s">
        <v>872</v>
      </c>
      <c r="H387" t="s">
        <v>1476</v>
      </c>
      <c r="I387">
        <v>1</v>
      </c>
      <c r="J387">
        <v>3.8</v>
      </c>
      <c r="K387">
        <v>3.9</v>
      </c>
      <c r="L387">
        <v>0.45</v>
      </c>
      <c r="M387" t="s">
        <v>1592</v>
      </c>
      <c r="N387">
        <v>1</v>
      </c>
      <c r="O387">
        <v>332006851.21499997</v>
      </c>
      <c r="P387">
        <v>643687133773.03809</v>
      </c>
      <c r="Q387">
        <v>642392550022.37305</v>
      </c>
      <c r="R387">
        <v>99.798879970914328</v>
      </c>
      <c r="S387">
        <v>1</v>
      </c>
      <c r="T387">
        <v>1.5659459096070591E-4</v>
      </c>
      <c r="U387">
        <v>1.5659459096070591E-4</v>
      </c>
      <c r="V387">
        <v>1</v>
      </c>
      <c r="W387" t="b">
        <v>0</v>
      </c>
    </row>
    <row r="388" spans="1:23" x14ac:dyDescent="0.25">
      <c r="A388" t="s">
        <v>683</v>
      </c>
      <c r="B388" t="s">
        <v>257</v>
      </c>
      <c r="C388" t="s">
        <v>861</v>
      </c>
      <c r="D388">
        <v>22234368</v>
      </c>
      <c r="E388" t="s">
        <v>873</v>
      </c>
      <c r="F388">
        <v>37.200000000000003</v>
      </c>
      <c r="G388" t="s">
        <v>872</v>
      </c>
      <c r="H388" t="s">
        <v>1477</v>
      </c>
      <c r="I388">
        <v>1</v>
      </c>
      <c r="J388">
        <v>39.299999999999997</v>
      </c>
      <c r="L388">
        <v>0.4</v>
      </c>
      <c r="M388" t="s">
        <v>1592</v>
      </c>
      <c r="N388">
        <v>0</v>
      </c>
      <c r="O388">
        <v>330847395.83999997</v>
      </c>
      <c r="P388">
        <v>643687133773.03809</v>
      </c>
      <c r="Q388">
        <v>642723397418.21301</v>
      </c>
      <c r="R388">
        <v>99.850278760556236</v>
      </c>
      <c r="S388">
        <v>1</v>
      </c>
      <c r="T388">
        <v>1.5604772140207819E-4</v>
      </c>
      <c r="U388">
        <v>1.5604772140207819E-4</v>
      </c>
      <c r="V388">
        <v>1</v>
      </c>
      <c r="W388" t="b">
        <v>0</v>
      </c>
    </row>
    <row r="389" spans="1:23" x14ac:dyDescent="0.25">
      <c r="A389" t="s">
        <v>523</v>
      </c>
      <c r="B389" t="s">
        <v>97</v>
      </c>
      <c r="C389" t="s">
        <v>861</v>
      </c>
      <c r="D389">
        <v>17000000</v>
      </c>
      <c r="E389" t="s">
        <v>873</v>
      </c>
      <c r="F389">
        <v>63.5</v>
      </c>
      <c r="G389" t="s">
        <v>872</v>
      </c>
      <c r="H389" t="s">
        <v>1478</v>
      </c>
      <c r="I389">
        <v>1</v>
      </c>
      <c r="J389">
        <v>69.400000000000006</v>
      </c>
      <c r="K389">
        <v>63.5</v>
      </c>
      <c r="L389">
        <v>0.3</v>
      </c>
      <c r="M389" t="s">
        <v>1592</v>
      </c>
      <c r="N389">
        <v>1</v>
      </c>
      <c r="O389">
        <v>323850000</v>
      </c>
      <c r="P389">
        <v>643687133773.03809</v>
      </c>
      <c r="Q389">
        <v>643047247418.21301</v>
      </c>
      <c r="R389">
        <v>99.900590469926854</v>
      </c>
      <c r="S389">
        <v>1</v>
      </c>
      <c r="T389">
        <v>1.5274732463211709E-4</v>
      </c>
      <c r="U389">
        <v>1.5274732463211709E-4</v>
      </c>
      <c r="V389">
        <v>1</v>
      </c>
      <c r="W389" t="b">
        <v>0</v>
      </c>
    </row>
    <row r="390" spans="1:23" x14ac:dyDescent="0.25">
      <c r="A390" t="s">
        <v>757</v>
      </c>
      <c r="B390" t="s">
        <v>331</v>
      </c>
      <c r="C390" t="s">
        <v>861</v>
      </c>
      <c r="D390">
        <v>29305985</v>
      </c>
      <c r="E390" t="s">
        <v>873</v>
      </c>
      <c r="F390">
        <v>16.899999999999999</v>
      </c>
      <c r="G390" t="s">
        <v>872</v>
      </c>
      <c r="H390" t="s">
        <v>1479</v>
      </c>
      <c r="I390">
        <v>1</v>
      </c>
      <c r="J390">
        <v>17.66</v>
      </c>
      <c r="K390">
        <v>16.899999999999999</v>
      </c>
      <c r="L390">
        <v>0.65</v>
      </c>
      <c r="M390" t="s">
        <v>1592</v>
      </c>
      <c r="N390">
        <v>1</v>
      </c>
      <c r="O390">
        <v>321926245.22500002</v>
      </c>
      <c r="P390">
        <v>643687133773.03809</v>
      </c>
      <c r="Q390">
        <v>643369173663.43811</v>
      </c>
      <c r="R390">
        <v>99.95060331441826</v>
      </c>
      <c r="S390">
        <v>1</v>
      </c>
      <c r="T390">
        <v>1.5183996506710389E-4</v>
      </c>
      <c r="U390">
        <v>1.5183996506710389E-4</v>
      </c>
      <c r="V390">
        <v>1</v>
      </c>
      <c r="W390" t="b">
        <v>0</v>
      </c>
    </row>
    <row r="391" spans="1:23" x14ac:dyDescent="0.25">
      <c r="A391" t="s">
        <v>607</v>
      </c>
      <c r="B391" t="s">
        <v>181</v>
      </c>
      <c r="C391" t="s">
        <v>861</v>
      </c>
      <c r="D391">
        <v>44909620</v>
      </c>
      <c r="E391" t="s">
        <v>873</v>
      </c>
      <c r="F391">
        <v>7.08</v>
      </c>
      <c r="G391" t="s">
        <v>872</v>
      </c>
      <c r="H391" t="s">
        <v>1480</v>
      </c>
      <c r="I391">
        <v>1</v>
      </c>
      <c r="J391">
        <v>7.04</v>
      </c>
      <c r="L391">
        <v>1</v>
      </c>
      <c r="M391" t="s">
        <v>1592</v>
      </c>
      <c r="N391">
        <v>0</v>
      </c>
      <c r="O391">
        <v>317960109.60000002</v>
      </c>
      <c r="P391">
        <v>643687133773.03809</v>
      </c>
      <c r="Q391">
        <v>643687133773.03809</v>
      </c>
      <c r="R391">
        <v>100</v>
      </c>
      <c r="S391">
        <v>1</v>
      </c>
      <c r="T391">
        <v>1.4996929467696381E-4</v>
      </c>
      <c r="U391">
        <v>1.4996929467696381E-4</v>
      </c>
      <c r="V391">
        <v>1</v>
      </c>
      <c r="W391" t="b">
        <v>0</v>
      </c>
    </row>
    <row r="392" spans="1:23" x14ac:dyDescent="0.25">
      <c r="A392" t="s">
        <v>1009</v>
      </c>
      <c r="B392" t="s">
        <v>1076</v>
      </c>
      <c r="C392" t="s">
        <v>862</v>
      </c>
      <c r="D392">
        <v>388147674</v>
      </c>
      <c r="E392" t="s">
        <v>873</v>
      </c>
      <c r="F392">
        <v>834</v>
      </c>
      <c r="G392" t="s">
        <v>872</v>
      </c>
      <c r="H392" t="s">
        <v>1481</v>
      </c>
      <c r="I392">
        <v>1</v>
      </c>
      <c r="J392">
        <v>940.9</v>
      </c>
      <c r="K392">
        <v>834</v>
      </c>
      <c r="L392">
        <v>1</v>
      </c>
      <c r="M392" t="s">
        <v>1593</v>
      </c>
      <c r="N392">
        <v>0</v>
      </c>
      <c r="O392">
        <v>323715160116</v>
      </c>
      <c r="P392">
        <v>1210860130594.354</v>
      </c>
      <c r="Q392">
        <v>323715160116</v>
      </c>
      <c r="R392">
        <v>26.734314883842401</v>
      </c>
      <c r="S392">
        <v>0</v>
      </c>
      <c r="V392">
        <v>1</v>
      </c>
      <c r="W392" t="b">
        <v>0</v>
      </c>
    </row>
    <row r="393" spans="1:23" x14ac:dyDescent="0.25">
      <c r="A393" t="s">
        <v>1010</v>
      </c>
      <c r="B393" t="s">
        <v>1077</v>
      </c>
      <c r="C393" t="s">
        <v>862</v>
      </c>
      <c r="D393">
        <v>5977723229</v>
      </c>
      <c r="E393" t="s">
        <v>873</v>
      </c>
      <c r="F393">
        <v>31.774999999999999</v>
      </c>
      <c r="G393" t="s">
        <v>872</v>
      </c>
      <c r="H393" t="s">
        <v>1482</v>
      </c>
      <c r="I393">
        <v>1</v>
      </c>
      <c r="J393">
        <v>31.01</v>
      </c>
      <c r="K393">
        <v>31.774999999999999</v>
      </c>
      <c r="L393">
        <v>1</v>
      </c>
      <c r="M393" t="s">
        <v>1593</v>
      </c>
      <c r="N393">
        <v>0</v>
      </c>
      <c r="O393">
        <v>189942155601.47501</v>
      </c>
      <c r="P393">
        <v>1210860130594.354</v>
      </c>
      <c r="Q393">
        <v>513657315717.47498</v>
      </c>
      <c r="R393">
        <v>42.420862884084279</v>
      </c>
      <c r="S393">
        <v>0</v>
      </c>
      <c r="V393">
        <v>1</v>
      </c>
      <c r="W393" t="b">
        <v>0</v>
      </c>
    </row>
    <row r="394" spans="1:23" x14ac:dyDescent="0.25">
      <c r="A394" t="s">
        <v>1011</v>
      </c>
      <c r="B394" t="s">
        <v>1078</v>
      </c>
      <c r="C394" t="s">
        <v>862</v>
      </c>
      <c r="D394">
        <v>2637743772</v>
      </c>
      <c r="E394" t="s">
        <v>873</v>
      </c>
      <c r="F394">
        <v>52.36</v>
      </c>
      <c r="G394" t="s">
        <v>872</v>
      </c>
      <c r="H394" t="s">
        <v>1483</v>
      </c>
      <c r="I394">
        <v>1</v>
      </c>
      <c r="J394">
        <v>55.49</v>
      </c>
      <c r="K394">
        <v>52.36</v>
      </c>
      <c r="L394">
        <v>1</v>
      </c>
      <c r="M394" t="s">
        <v>1593</v>
      </c>
      <c r="N394">
        <v>0</v>
      </c>
      <c r="O394">
        <v>138112263901.92001</v>
      </c>
      <c r="P394">
        <v>1210860130594.354</v>
      </c>
      <c r="Q394">
        <v>651769579619.39502</v>
      </c>
      <c r="R394">
        <v>53.82699150392142</v>
      </c>
      <c r="S394">
        <v>0</v>
      </c>
      <c r="V394">
        <v>1</v>
      </c>
      <c r="W394" t="b">
        <v>0</v>
      </c>
    </row>
    <row r="395" spans="1:23" x14ac:dyDescent="0.25">
      <c r="A395" t="s">
        <v>1012</v>
      </c>
      <c r="B395" t="s">
        <v>1079</v>
      </c>
      <c r="C395" t="s">
        <v>862</v>
      </c>
      <c r="D395">
        <v>2378947836</v>
      </c>
      <c r="E395" t="s">
        <v>873</v>
      </c>
      <c r="F395">
        <v>56.62</v>
      </c>
      <c r="G395" t="s">
        <v>872</v>
      </c>
      <c r="H395" t="s">
        <v>1484</v>
      </c>
      <c r="I395">
        <v>1</v>
      </c>
      <c r="J395">
        <v>53.05</v>
      </c>
      <c r="K395">
        <v>56.62</v>
      </c>
      <c r="L395">
        <v>0.5</v>
      </c>
      <c r="M395" t="s">
        <v>1593</v>
      </c>
      <c r="N395">
        <v>0</v>
      </c>
      <c r="O395">
        <v>67348013237.160004</v>
      </c>
      <c r="P395">
        <v>1210860130594.354</v>
      </c>
      <c r="Q395">
        <v>719117592856.55505</v>
      </c>
      <c r="R395">
        <v>59.388989255395998</v>
      </c>
      <c r="S395">
        <v>0</v>
      </c>
      <c r="V395">
        <v>1</v>
      </c>
      <c r="W395" t="b">
        <v>0</v>
      </c>
    </row>
    <row r="396" spans="1:23" x14ac:dyDescent="0.25">
      <c r="A396" t="s">
        <v>1013</v>
      </c>
      <c r="B396" t="s">
        <v>1080</v>
      </c>
      <c r="C396" t="s">
        <v>862</v>
      </c>
      <c r="D396">
        <v>1907070957</v>
      </c>
      <c r="E396" t="s">
        <v>873</v>
      </c>
      <c r="F396">
        <v>35.28</v>
      </c>
      <c r="G396" t="s">
        <v>872</v>
      </c>
      <c r="H396" t="s">
        <v>1485</v>
      </c>
      <c r="I396">
        <v>1</v>
      </c>
      <c r="J396">
        <v>34.28</v>
      </c>
      <c r="K396">
        <v>35.28</v>
      </c>
      <c r="L396">
        <v>1</v>
      </c>
      <c r="M396" t="s">
        <v>1593</v>
      </c>
      <c r="N396">
        <v>0</v>
      </c>
      <c r="O396">
        <v>67281463362.959999</v>
      </c>
      <c r="P396">
        <v>1210860130594.354</v>
      </c>
      <c r="Q396">
        <v>786399056219.51501</v>
      </c>
      <c r="R396">
        <v>64.945490924167146</v>
      </c>
      <c r="S396">
        <v>0</v>
      </c>
      <c r="V396">
        <v>1</v>
      </c>
      <c r="W396" t="b">
        <v>0</v>
      </c>
    </row>
    <row r="397" spans="1:23" x14ac:dyDescent="0.25">
      <c r="A397" t="s">
        <v>1014</v>
      </c>
      <c r="B397" t="s">
        <v>1081</v>
      </c>
      <c r="C397" t="s">
        <v>862</v>
      </c>
      <c r="D397">
        <v>3021542868</v>
      </c>
      <c r="E397" t="s">
        <v>873</v>
      </c>
      <c r="F397">
        <v>21.515000000000001</v>
      </c>
      <c r="G397" t="s">
        <v>872</v>
      </c>
      <c r="H397" t="s">
        <v>1486</v>
      </c>
      <c r="I397">
        <v>1</v>
      </c>
      <c r="J397">
        <v>23.495000000000001</v>
      </c>
      <c r="K397">
        <v>21.515000000000001</v>
      </c>
      <c r="L397">
        <v>1</v>
      </c>
      <c r="M397" t="s">
        <v>1593</v>
      </c>
      <c r="N397">
        <v>0</v>
      </c>
      <c r="O397">
        <v>65008494805.019997</v>
      </c>
      <c r="P397">
        <v>1210860130594.354</v>
      </c>
      <c r="Q397">
        <v>851407551024.53503</v>
      </c>
      <c r="R397">
        <v>70.314277389463555</v>
      </c>
      <c r="S397">
        <v>0</v>
      </c>
      <c r="V397">
        <v>1</v>
      </c>
      <c r="W397" t="b">
        <v>0</v>
      </c>
    </row>
    <row r="398" spans="1:23" x14ac:dyDescent="0.25">
      <c r="A398" t="s">
        <v>448</v>
      </c>
      <c r="B398" t="s">
        <v>22</v>
      </c>
      <c r="C398" t="s">
        <v>862</v>
      </c>
      <c r="D398">
        <v>31523640</v>
      </c>
      <c r="E398" t="s">
        <v>873</v>
      </c>
      <c r="F398">
        <v>1301</v>
      </c>
      <c r="G398" t="s">
        <v>872</v>
      </c>
      <c r="H398" t="s">
        <v>1487</v>
      </c>
      <c r="I398">
        <v>1</v>
      </c>
      <c r="J398">
        <v>1331</v>
      </c>
      <c r="K398">
        <v>1301</v>
      </c>
      <c r="L398">
        <v>1</v>
      </c>
      <c r="M398" t="s">
        <v>1593</v>
      </c>
      <c r="N398">
        <v>0</v>
      </c>
      <c r="O398">
        <v>41012255640</v>
      </c>
      <c r="P398">
        <v>1210860130594.354</v>
      </c>
      <c r="Q398">
        <v>892419806664.53503</v>
      </c>
      <c r="R398">
        <v>73.701312324693362</v>
      </c>
      <c r="S398">
        <v>1</v>
      </c>
      <c r="T398">
        <v>1.9343870082255531E-2</v>
      </c>
      <c r="U398">
        <v>1.9343870082255531E-2</v>
      </c>
      <c r="V398">
        <v>1</v>
      </c>
      <c r="W398" t="b">
        <v>0</v>
      </c>
    </row>
    <row r="399" spans="1:23" x14ac:dyDescent="0.25">
      <c r="A399" t="s">
        <v>452</v>
      </c>
      <c r="B399" t="s">
        <v>26</v>
      </c>
      <c r="C399" t="s">
        <v>862</v>
      </c>
      <c r="D399">
        <v>896939468</v>
      </c>
      <c r="E399" t="s">
        <v>873</v>
      </c>
      <c r="F399">
        <v>35.32</v>
      </c>
      <c r="G399" t="s">
        <v>872</v>
      </c>
      <c r="H399" t="s">
        <v>1488</v>
      </c>
      <c r="I399">
        <v>1</v>
      </c>
      <c r="J399">
        <v>34.840000000000003</v>
      </c>
      <c r="K399">
        <v>35.32</v>
      </c>
      <c r="L399">
        <v>1</v>
      </c>
      <c r="M399" t="s">
        <v>1593</v>
      </c>
      <c r="N399">
        <v>1</v>
      </c>
      <c r="O399">
        <v>31679902009.759998</v>
      </c>
      <c r="P399">
        <v>1210860130594.354</v>
      </c>
      <c r="Q399">
        <v>924099708674.29504</v>
      </c>
      <c r="R399">
        <v>76.317626233237831</v>
      </c>
      <c r="S399">
        <v>1</v>
      </c>
      <c r="T399">
        <v>1.4942165436462771E-2</v>
      </c>
      <c r="U399">
        <v>1.4942165436462771E-2</v>
      </c>
      <c r="V399">
        <v>1</v>
      </c>
      <c r="W399" t="b">
        <v>0</v>
      </c>
    </row>
    <row r="400" spans="1:23" x14ac:dyDescent="0.25">
      <c r="A400" t="s">
        <v>825</v>
      </c>
      <c r="B400" t="s">
        <v>399</v>
      </c>
      <c r="C400" t="s">
        <v>862</v>
      </c>
      <c r="D400">
        <v>1834181554</v>
      </c>
      <c r="E400" t="s">
        <v>873</v>
      </c>
      <c r="F400">
        <v>22.61</v>
      </c>
      <c r="G400" t="s">
        <v>872</v>
      </c>
      <c r="H400" t="s">
        <v>1489</v>
      </c>
      <c r="I400">
        <v>1</v>
      </c>
      <c r="J400">
        <v>21.97</v>
      </c>
      <c r="K400">
        <v>22.61</v>
      </c>
      <c r="L400">
        <v>0.60000000000000009</v>
      </c>
      <c r="M400" t="s">
        <v>1593</v>
      </c>
      <c r="N400">
        <v>1</v>
      </c>
      <c r="O400">
        <v>24882506961.564011</v>
      </c>
      <c r="P400">
        <v>1210860130594.354</v>
      </c>
      <c r="Q400">
        <v>948982215635.85901</v>
      </c>
      <c r="R400">
        <v>78.372571006202691</v>
      </c>
      <c r="S400">
        <v>1</v>
      </c>
      <c r="T400">
        <v>1.1736101184248671E-2</v>
      </c>
      <c r="U400">
        <v>1.1736101184248671E-2</v>
      </c>
      <c r="V400">
        <v>1</v>
      </c>
      <c r="W400" t="b">
        <v>0</v>
      </c>
    </row>
    <row r="401" spans="1:23" x14ac:dyDescent="0.25">
      <c r="A401" t="s">
        <v>471</v>
      </c>
      <c r="B401" t="s">
        <v>45</v>
      </c>
      <c r="C401" t="s">
        <v>862</v>
      </c>
      <c r="D401">
        <v>49328548</v>
      </c>
      <c r="E401" t="s">
        <v>873</v>
      </c>
      <c r="F401">
        <v>475.3</v>
      </c>
      <c r="G401" t="s">
        <v>872</v>
      </c>
      <c r="H401" t="s">
        <v>1490</v>
      </c>
      <c r="I401">
        <v>1</v>
      </c>
      <c r="J401">
        <v>542.79999999999995</v>
      </c>
      <c r="K401">
        <v>475.3</v>
      </c>
      <c r="L401">
        <v>1</v>
      </c>
      <c r="M401" t="s">
        <v>1593</v>
      </c>
      <c r="N401">
        <v>1</v>
      </c>
      <c r="O401">
        <v>23445858864.400002</v>
      </c>
      <c r="P401">
        <v>1210860130594.354</v>
      </c>
      <c r="Q401">
        <v>972428074500.25903</v>
      </c>
      <c r="R401">
        <v>80.308868871827471</v>
      </c>
      <c r="S401">
        <v>1</v>
      </c>
      <c r="T401">
        <v>1.1058490706312509E-2</v>
      </c>
      <c r="U401">
        <v>1.1058490706312509E-2</v>
      </c>
      <c r="V401">
        <v>1</v>
      </c>
      <c r="W401" t="b">
        <v>0</v>
      </c>
    </row>
    <row r="402" spans="1:23" x14ac:dyDescent="0.25">
      <c r="A402" t="s">
        <v>856</v>
      </c>
      <c r="B402" t="s">
        <v>430</v>
      </c>
      <c r="C402" t="s">
        <v>862</v>
      </c>
      <c r="D402">
        <v>232516153</v>
      </c>
      <c r="E402" t="s">
        <v>873</v>
      </c>
      <c r="F402">
        <v>92.76</v>
      </c>
      <c r="G402" t="s">
        <v>872</v>
      </c>
      <c r="H402" t="s">
        <v>1491</v>
      </c>
      <c r="I402">
        <v>1</v>
      </c>
      <c r="J402">
        <v>88.64</v>
      </c>
      <c r="K402">
        <v>92.76</v>
      </c>
      <c r="L402">
        <v>1</v>
      </c>
      <c r="M402" t="s">
        <v>1593</v>
      </c>
      <c r="N402">
        <v>1</v>
      </c>
      <c r="O402">
        <v>21568198352.279999</v>
      </c>
      <c r="P402">
        <v>1210860130594.354</v>
      </c>
      <c r="Q402">
        <v>993996272852.53906</v>
      </c>
      <c r="R402">
        <v>82.090098413318216</v>
      </c>
      <c r="S402">
        <v>1</v>
      </c>
      <c r="T402">
        <v>1.0172871994582699E-2</v>
      </c>
      <c r="U402">
        <v>1.0172871994582699E-2</v>
      </c>
      <c r="V402">
        <v>1</v>
      </c>
      <c r="W402" t="b">
        <v>0</v>
      </c>
    </row>
    <row r="403" spans="1:23" x14ac:dyDescent="0.25">
      <c r="A403" t="s">
        <v>627</v>
      </c>
      <c r="B403" t="s">
        <v>201</v>
      </c>
      <c r="C403" t="s">
        <v>862</v>
      </c>
      <c r="D403">
        <v>576002613</v>
      </c>
      <c r="E403" t="s">
        <v>873</v>
      </c>
      <c r="F403">
        <v>70.680000000000007</v>
      </c>
      <c r="G403" t="s">
        <v>872</v>
      </c>
      <c r="H403" t="s">
        <v>1492</v>
      </c>
      <c r="I403">
        <v>1</v>
      </c>
      <c r="J403">
        <v>69.02</v>
      </c>
      <c r="K403">
        <v>70.680000000000007</v>
      </c>
      <c r="L403">
        <v>0.5</v>
      </c>
      <c r="M403" t="s">
        <v>1593</v>
      </c>
      <c r="N403">
        <v>1</v>
      </c>
      <c r="O403">
        <v>20355932343.419998</v>
      </c>
      <c r="P403">
        <v>1210860130594.354</v>
      </c>
      <c r="Q403">
        <v>1014352205195.959</v>
      </c>
      <c r="R403">
        <v>83.771211849056499</v>
      </c>
      <c r="S403">
        <v>1</v>
      </c>
      <c r="T403">
        <v>9.6010937342899082E-3</v>
      </c>
      <c r="U403">
        <v>9.6010937342899082E-3</v>
      </c>
      <c r="V403">
        <v>1</v>
      </c>
      <c r="W403" t="b">
        <v>0</v>
      </c>
    </row>
    <row r="404" spans="1:23" x14ac:dyDescent="0.25">
      <c r="A404" t="s">
        <v>726</v>
      </c>
      <c r="B404" t="s">
        <v>300</v>
      </c>
      <c r="C404" t="s">
        <v>862</v>
      </c>
      <c r="D404">
        <v>962920132</v>
      </c>
      <c r="E404" t="s">
        <v>873</v>
      </c>
      <c r="F404">
        <v>23.49</v>
      </c>
      <c r="G404" t="s">
        <v>872</v>
      </c>
      <c r="H404" t="s">
        <v>1493</v>
      </c>
      <c r="I404">
        <v>1</v>
      </c>
      <c r="J404">
        <v>23.04</v>
      </c>
      <c r="K404">
        <v>23.49</v>
      </c>
      <c r="L404">
        <v>0.8</v>
      </c>
      <c r="M404" t="s">
        <v>1593</v>
      </c>
      <c r="N404">
        <v>1</v>
      </c>
      <c r="O404">
        <v>18095195120.543999</v>
      </c>
      <c r="P404">
        <v>1210860130594.354</v>
      </c>
      <c r="Q404">
        <v>1032447400316.5031</v>
      </c>
      <c r="R404">
        <v>85.265620217400581</v>
      </c>
      <c r="S404">
        <v>1</v>
      </c>
      <c r="T404">
        <v>8.5347927848054214E-3</v>
      </c>
      <c r="U404">
        <v>8.5347927848054214E-3</v>
      </c>
      <c r="V404">
        <v>1</v>
      </c>
      <c r="W404" t="b">
        <v>0</v>
      </c>
    </row>
    <row r="405" spans="1:23" x14ac:dyDescent="0.25">
      <c r="A405" t="s">
        <v>438</v>
      </c>
      <c r="B405" t="s">
        <v>12</v>
      </c>
      <c r="C405" t="s">
        <v>862</v>
      </c>
      <c r="D405">
        <v>597116328</v>
      </c>
      <c r="E405" t="s">
        <v>873</v>
      </c>
      <c r="F405">
        <v>26.89</v>
      </c>
      <c r="G405" t="s">
        <v>872</v>
      </c>
      <c r="H405" t="s">
        <v>1494</v>
      </c>
      <c r="I405">
        <v>1</v>
      </c>
      <c r="J405">
        <v>29.74</v>
      </c>
      <c r="K405">
        <v>26.89</v>
      </c>
      <c r="L405">
        <v>1</v>
      </c>
      <c r="M405" t="s">
        <v>1593</v>
      </c>
      <c r="N405">
        <v>1</v>
      </c>
      <c r="O405">
        <v>16056458059.92</v>
      </c>
      <c r="P405">
        <v>1210860130594.354</v>
      </c>
      <c r="Q405">
        <v>1048503858376.423</v>
      </c>
      <c r="R405">
        <v>86.591657606379499</v>
      </c>
      <c r="S405">
        <v>1</v>
      </c>
      <c r="T405">
        <v>7.5732005920042403E-3</v>
      </c>
      <c r="U405">
        <v>7.5732005920042403E-3</v>
      </c>
      <c r="V405">
        <v>1</v>
      </c>
      <c r="W405" t="b">
        <v>0</v>
      </c>
    </row>
    <row r="406" spans="1:23" x14ac:dyDescent="0.25">
      <c r="A406" t="s">
        <v>710</v>
      </c>
      <c r="B406" t="s">
        <v>284</v>
      </c>
      <c r="C406" t="s">
        <v>862</v>
      </c>
      <c r="D406">
        <v>269000000</v>
      </c>
      <c r="E406" t="s">
        <v>873</v>
      </c>
      <c r="F406">
        <v>60.62</v>
      </c>
      <c r="G406" t="s">
        <v>872</v>
      </c>
      <c r="H406" t="s">
        <v>1495</v>
      </c>
      <c r="I406">
        <v>1</v>
      </c>
      <c r="J406">
        <v>63.44</v>
      </c>
      <c r="K406">
        <v>60.62</v>
      </c>
      <c r="L406">
        <v>0.95000000000000007</v>
      </c>
      <c r="M406" t="s">
        <v>1593</v>
      </c>
      <c r="N406">
        <v>1</v>
      </c>
      <c r="O406">
        <v>15491441000</v>
      </c>
      <c r="P406">
        <v>1210860130594.354</v>
      </c>
      <c r="Q406">
        <v>1063995299376.423</v>
      </c>
      <c r="R406">
        <v>87.871032540658319</v>
      </c>
      <c r="S406">
        <v>1</v>
      </c>
      <c r="T406">
        <v>7.3067042379073299E-3</v>
      </c>
      <c r="U406">
        <v>7.3067042379073299E-3</v>
      </c>
      <c r="V406">
        <v>1</v>
      </c>
      <c r="W406" t="b">
        <v>0</v>
      </c>
    </row>
    <row r="407" spans="1:23" x14ac:dyDescent="0.25">
      <c r="A407" t="s">
        <v>669</v>
      </c>
      <c r="B407" t="s">
        <v>243</v>
      </c>
      <c r="C407" t="s">
        <v>862</v>
      </c>
      <c r="D407">
        <v>3888930422</v>
      </c>
      <c r="E407" t="s">
        <v>873</v>
      </c>
      <c r="F407">
        <v>3.93</v>
      </c>
      <c r="G407" t="s">
        <v>872</v>
      </c>
      <c r="H407" t="s">
        <v>1496</v>
      </c>
      <c r="I407">
        <v>1</v>
      </c>
      <c r="J407">
        <v>3.8620000000000001</v>
      </c>
      <c r="K407">
        <v>3.93</v>
      </c>
      <c r="L407">
        <v>1</v>
      </c>
      <c r="M407" t="s">
        <v>1593</v>
      </c>
      <c r="N407">
        <v>1</v>
      </c>
      <c r="O407">
        <v>15283496558.459999</v>
      </c>
      <c r="P407">
        <v>1210860130594.354</v>
      </c>
      <c r="Q407">
        <v>1079278795934.8831</v>
      </c>
      <c r="R407">
        <v>89.133234191558998</v>
      </c>
      <c r="S407">
        <v>1</v>
      </c>
      <c r="T407">
        <v>7.2086250125951339E-3</v>
      </c>
      <c r="U407">
        <v>7.2086250125951339E-3</v>
      </c>
      <c r="V407">
        <v>1</v>
      </c>
      <c r="W407" t="b">
        <v>0</v>
      </c>
    </row>
    <row r="408" spans="1:23" x14ac:dyDescent="0.25">
      <c r="A408" t="s">
        <v>467</v>
      </c>
      <c r="B408" t="s">
        <v>41</v>
      </c>
      <c r="C408" t="s">
        <v>862</v>
      </c>
      <c r="D408">
        <v>852809772</v>
      </c>
      <c r="E408" t="s">
        <v>873</v>
      </c>
      <c r="F408">
        <v>34.049999999999997</v>
      </c>
      <c r="G408" t="s">
        <v>872</v>
      </c>
      <c r="H408" t="s">
        <v>1497</v>
      </c>
      <c r="I408">
        <v>1</v>
      </c>
      <c r="J408">
        <v>38.43</v>
      </c>
      <c r="K408">
        <v>34.049999999999997</v>
      </c>
      <c r="L408">
        <v>0.5</v>
      </c>
      <c r="M408" t="s">
        <v>1593</v>
      </c>
      <c r="N408">
        <v>1</v>
      </c>
      <c r="O408">
        <v>14519086368.299999</v>
      </c>
      <c r="P408">
        <v>1210860130594.354</v>
      </c>
      <c r="Q408">
        <v>1093797882303.183</v>
      </c>
      <c r="R408">
        <v>90.332306322307346</v>
      </c>
      <c r="S408">
        <v>1</v>
      </c>
      <c r="T408">
        <v>6.8480827508428776E-3</v>
      </c>
      <c r="U408">
        <v>6.8480827508428776E-3</v>
      </c>
      <c r="V408">
        <v>1</v>
      </c>
      <c r="W408" t="b">
        <v>0</v>
      </c>
    </row>
    <row r="409" spans="1:23" x14ac:dyDescent="0.25">
      <c r="A409" t="s">
        <v>559</v>
      </c>
      <c r="B409" t="s">
        <v>133</v>
      </c>
      <c r="C409" t="s">
        <v>862</v>
      </c>
      <c r="D409">
        <v>265676388</v>
      </c>
      <c r="E409" t="s">
        <v>873</v>
      </c>
      <c r="F409">
        <v>71.14</v>
      </c>
      <c r="G409" t="s">
        <v>872</v>
      </c>
      <c r="H409" t="s">
        <v>1498</v>
      </c>
      <c r="I409">
        <v>1</v>
      </c>
      <c r="J409">
        <v>68</v>
      </c>
      <c r="K409">
        <v>71.14</v>
      </c>
      <c r="L409">
        <v>0.75</v>
      </c>
      <c r="M409" t="s">
        <v>1593</v>
      </c>
      <c r="N409">
        <v>1</v>
      </c>
      <c r="O409">
        <v>14175163681.74</v>
      </c>
      <c r="P409">
        <v>1210860130594.354</v>
      </c>
      <c r="Q409">
        <v>1107973045984.9231</v>
      </c>
      <c r="R409">
        <v>91.502975280974113</v>
      </c>
      <c r="S409">
        <v>1</v>
      </c>
      <c r="T409">
        <v>6.6858679283870182E-3</v>
      </c>
      <c r="U409">
        <v>6.6858679283870182E-3</v>
      </c>
      <c r="V409">
        <v>1</v>
      </c>
      <c r="W409" t="b">
        <v>0</v>
      </c>
    </row>
    <row r="410" spans="1:23" x14ac:dyDescent="0.25">
      <c r="A410" t="s">
        <v>494</v>
      </c>
      <c r="B410" t="s">
        <v>68</v>
      </c>
      <c r="C410" t="s">
        <v>862</v>
      </c>
      <c r="D410">
        <v>81146738</v>
      </c>
      <c r="E410" t="s">
        <v>873</v>
      </c>
      <c r="F410">
        <v>122.8</v>
      </c>
      <c r="G410" t="s">
        <v>872</v>
      </c>
      <c r="H410" t="s">
        <v>1499</v>
      </c>
      <c r="I410">
        <v>1</v>
      </c>
      <c r="J410">
        <v>136.9</v>
      </c>
      <c r="K410">
        <v>122.8</v>
      </c>
      <c r="L410">
        <v>0.9</v>
      </c>
      <c r="M410" t="s">
        <v>1593</v>
      </c>
      <c r="N410">
        <v>1</v>
      </c>
      <c r="O410">
        <v>8968337483.7600002</v>
      </c>
      <c r="P410">
        <v>1210860130594.354</v>
      </c>
      <c r="Q410">
        <v>1116941383468.6831</v>
      </c>
      <c r="R410">
        <v>92.243633698669143</v>
      </c>
      <c r="S410">
        <v>1</v>
      </c>
      <c r="T410">
        <v>4.2300125275351952E-3</v>
      </c>
      <c r="U410">
        <v>4.2300125275351952E-3</v>
      </c>
      <c r="V410">
        <v>1</v>
      </c>
      <c r="W410" t="b">
        <v>0</v>
      </c>
    </row>
    <row r="411" spans="1:23" x14ac:dyDescent="0.25">
      <c r="A411" t="s">
        <v>456</v>
      </c>
      <c r="B411" t="s">
        <v>30</v>
      </c>
      <c r="C411" t="s">
        <v>862</v>
      </c>
      <c r="D411">
        <v>171052308</v>
      </c>
      <c r="E411" t="s">
        <v>873</v>
      </c>
      <c r="F411">
        <v>53.86</v>
      </c>
      <c r="G411" t="s">
        <v>872</v>
      </c>
      <c r="H411" t="s">
        <v>1500</v>
      </c>
      <c r="I411">
        <v>1</v>
      </c>
      <c r="J411">
        <v>56</v>
      </c>
      <c r="K411">
        <v>53.86</v>
      </c>
      <c r="L411">
        <v>0.95000000000000007</v>
      </c>
      <c r="M411" t="s">
        <v>1593</v>
      </c>
      <c r="N411">
        <v>1</v>
      </c>
      <c r="O411">
        <v>8752233443.4359989</v>
      </c>
      <c r="P411">
        <v>1210860130594.354</v>
      </c>
      <c r="Q411">
        <v>1125693616912.1189</v>
      </c>
      <c r="R411">
        <v>92.966444964999297</v>
      </c>
      <c r="S411">
        <v>1</v>
      </c>
      <c r="T411">
        <v>4.1280847399740323E-3</v>
      </c>
      <c r="U411">
        <v>4.1280847399740323E-3</v>
      </c>
      <c r="V411">
        <v>1</v>
      </c>
      <c r="W411" t="b">
        <v>0</v>
      </c>
    </row>
    <row r="412" spans="1:23" x14ac:dyDescent="0.25">
      <c r="A412" t="s">
        <v>472</v>
      </c>
      <c r="B412" t="s">
        <v>46</v>
      </c>
      <c r="C412" t="s">
        <v>862</v>
      </c>
      <c r="D412">
        <v>209113565</v>
      </c>
      <c r="E412" t="s">
        <v>873</v>
      </c>
      <c r="F412">
        <v>57.4</v>
      </c>
      <c r="G412" t="s">
        <v>872</v>
      </c>
      <c r="H412" t="s">
        <v>1501</v>
      </c>
      <c r="I412">
        <v>1</v>
      </c>
      <c r="J412">
        <v>58.72</v>
      </c>
      <c r="K412">
        <v>57.4</v>
      </c>
      <c r="L412">
        <v>0.70000000000000007</v>
      </c>
      <c r="M412" t="s">
        <v>1593</v>
      </c>
      <c r="N412">
        <v>1</v>
      </c>
      <c r="O412">
        <v>8402183041.7000008</v>
      </c>
      <c r="P412">
        <v>1210860130594.354</v>
      </c>
      <c r="Q412">
        <v>1134095799953.8191</v>
      </c>
      <c r="R412">
        <v>93.660346996241799</v>
      </c>
      <c r="S412">
        <v>1</v>
      </c>
      <c r="T412">
        <v>3.9629797149576011E-3</v>
      </c>
      <c r="U412">
        <v>3.9629797149576011E-3</v>
      </c>
      <c r="V412">
        <v>1</v>
      </c>
      <c r="W412" t="b">
        <v>0</v>
      </c>
    </row>
    <row r="413" spans="1:23" x14ac:dyDescent="0.25">
      <c r="A413" t="s">
        <v>450</v>
      </c>
      <c r="B413" t="s">
        <v>24</v>
      </c>
      <c r="C413" t="s">
        <v>862</v>
      </c>
      <c r="D413">
        <v>1652797432</v>
      </c>
      <c r="E413" t="s">
        <v>873</v>
      </c>
      <c r="F413">
        <v>6.52</v>
      </c>
      <c r="G413" t="s">
        <v>872</v>
      </c>
      <c r="H413" t="s">
        <v>1502</v>
      </c>
      <c r="I413">
        <v>1</v>
      </c>
      <c r="J413">
        <v>6.3220000000000001</v>
      </c>
      <c r="K413">
        <v>6.52</v>
      </c>
      <c r="L413">
        <v>0.75</v>
      </c>
      <c r="M413" t="s">
        <v>1593</v>
      </c>
      <c r="N413">
        <v>1</v>
      </c>
      <c r="O413">
        <v>8082179442.4799995</v>
      </c>
      <c r="P413">
        <v>1210860130594.354</v>
      </c>
      <c r="Q413">
        <v>1142177979396.2991</v>
      </c>
      <c r="R413">
        <v>94.327821235278222</v>
      </c>
      <c r="S413">
        <v>1</v>
      </c>
      <c r="T413">
        <v>3.812046586492251E-3</v>
      </c>
      <c r="U413">
        <v>3.812046586492251E-3</v>
      </c>
      <c r="V413">
        <v>1</v>
      </c>
      <c r="W413" t="b">
        <v>0</v>
      </c>
    </row>
    <row r="414" spans="1:23" x14ac:dyDescent="0.25">
      <c r="A414" t="s">
        <v>628</v>
      </c>
      <c r="B414" t="s">
        <v>202</v>
      </c>
      <c r="C414" t="s">
        <v>862</v>
      </c>
      <c r="D414">
        <v>288030168</v>
      </c>
      <c r="E414" t="s">
        <v>873</v>
      </c>
      <c r="F414">
        <v>61.75</v>
      </c>
      <c r="G414" t="s">
        <v>872</v>
      </c>
      <c r="H414" t="s">
        <v>1503</v>
      </c>
      <c r="I414">
        <v>1</v>
      </c>
      <c r="J414">
        <v>61.25</v>
      </c>
      <c r="K414">
        <v>61.75</v>
      </c>
      <c r="L414">
        <v>0.45</v>
      </c>
      <c r="M414" t="s">
        <v>1593</v>
      </c>
      <c r="N414">
        <v>1</v>
      </c>
      <c r="O414">
        <v>8003638293.3000002</v>
      </c>
      <c r="P414">
        <v>1210860130594.354</v>
      </c>
      <c r="Q414">
        <v>1150181617689.5991</v>
      </c>
      <c r="R414">
        <v>94.988809081114013</v>
      </c>
      <c r="S414">
        <v>1</v>
      </c>
      <c r="T414">
        <v>3.7750018114087961E-3</v>
      </c>
      <c r="U414">
        <v>3.7750018114087961E-3</v>
      </c>
      <c r="V414">
        <v>1</v>
      </c>
      <c r="W414" t="b">
        <v>0</v>
      </c>
    </row>
    <row r="415" spans="1:23" x14ac:dyDescent="0.25">
      <c r="A415" t="s">
        <v>584</v>
      </c>
      <c r="B415" t="s">
        <v>158</v>
      </c>
      <c r="C415" t="s">
        <v>862</v>
      </c>
      <c r="D415">
        <v>207779752</v>
      </c>
      <c r="E415" t="s">
        <v>873</v>
      </c>
      <c r="F415">
        <v>70.45</v>
      </c>
      <c r="G415" t="s">
        <v>872</v>
      </c>
      <c r="H415" t="s">
        <v>1504</v>
      </c>
      <c r="I415">
        <v>1</v>
      </c>
      <c r="J415">
        <v>71.55</v>
      </c>
      <c r="K415">
        <v>70.45</v>
      </c>
      <c r="L415">
        <v>0.45</v>
      </c>
      <c r="M415" t="s">
        <v>1593</v>
      </c>
      <c r="N415">
        <v>1</v>
      </c>
      <c r="O415">
        <v>6587137587.7800007</v>
      </c>
      <c r="P415">
        <v>1210860130594.354</v>
      </c>
      <c r="Q415">
        <v>1156768755277.3789</v>
      </c>
      <c r="R415">
        <v>95.532813910519593</v>
      </c>
      <c r="S415">
        <v>1</v>
      </c>
      <c r="T415">
        <v>3.1068940667502011E-3</v>
      </c>
      <c r="U415">
        <v>3.1068940667502011E-3</v>
      </c>
      <c r="V415">
        <v>1</v>
      </c>
      <c r="W415" t="b">
        <v>0</v>
      </c>
    </row>
    <row r="416" spans="1:23" x14ac:dyDescent="0.25">
      <c r="A416" t="s">
        <v>685</v>
      </c>
      <c r="B416" t="s">
        <v>259</v>
      </c>
      <c r="C416" t="s">
        <v>862</v>
      </c>
      <c r="D416">
        <v>612259739</v>
      </c>
      <c r="E416" t="s">
        <v>873</v>
      </c>
      <c r="F416">
        <v>13.44768515</v>
      </c>
      <c r="G416" t="s">
        <v>872</v>
      </c>
      <c r="H416" t="s">
        <v>1505</v>
      </c>
      <c r="I416">
        <v>1</v>
      </c>
      <c r="J416">
        <v>13.55</v>
      </c>
      <c r="L416">
        <v>0.8</v>
      </c>
      <c r="M416" t="s">
        <v>1593</v>
      </c>
      <c r="N416">
        <v>0</v>
      </c>
      <c r="O416">
        <v>6586780960.0745411</v>
      </c>
      <c r="P416">
        <v>1210860130594.354</v>
      </c>
      <c r="Q416">
        <v>1163355536237.4541</v>
      </c>
      <c r="R416">
        <v>96.076789287497391</v>
      </c>
      <c r="S416">
        <v>1</v>
      </c>
      <c r="T416">
        <v>3.1067258594693649E-3</v>
      </c>
      <c r="U416">
        <v>3.1067258594693649E-3</v>
      </c>
      <c r="V416">
        <v>1</v>
      </c>
      <c r="W416" t="b">
        <v>0</v>
      </c>
    </row>
    <row r="417" spans="1:23" x14ac:dyDescent="0.25">
      <c r="A417" t="s">
        <v>653</v>
      </c>
      <c r="B417" t="s">
        <v>227</v>
      </c>
      <c r="C417" t="s">
        <v>862</v>
      </c>
      <c r="D417">
        <v>488178642</v>
      </c>
      <c r="E417" t="s">
        <v>873</v>
      </c>
      <c r="F417">
        <v>31.48</v>
      </c>
      <c r="G417" t="s">
        <v>872</v>
      </c>
      <c r="H417" t="s">
        <v>1506</v>
      </c>
      <c r="I417">
        <v>1</v>
      </c>
      <c r="J417">
        <v>31.68</v>
      </c>
      <c r="K417">
        <v>31.48</v>
      </c>
      <c r="L417">
        <v>0.3</v>
      </c>
      <c r="M417" t="s">
        <v>1593</v>
      </c>
      <c r="N417">
        <v>1</v>
      </c>
      <c r="O417">
        <v>4610359095.0480003</v>
      </c>
      <c r="P417">
        <v>1210860130594.354</v>
      </c>
      <c r="Q417">
        <v>1167965895332.501</v>
      </c>
      <c r="R417">
        <v>96.457540042977698</v>
      </c>
      <c r="S417">
        <v>1</v>
      </c>
      <c r="T417">
        <v>2.174525296779159E-3</v>
      </c>
      <c r="U417">
        <v>2.174525296779159E-3</v>
      </c>
      <c r="V417">
        <v>1</v>
      </c>
      <c r="W417" t="b">
        <v>0</v>
      </c>
    </row>
    <row r="418" spans="1:23" x14ac:dyDescent="0.25">
      <c r="A418" t="s">
        <v>638</v>
      </c>
      <c r="B418" t="s">
        <v>212</v>
      </c>
      <c r="C418" t="s">
        <v>862</v>
      </c>
      <c r="D418">
        <v>59107999</v>
      </c>
      <c r="E418" t="s">
        <v>873</v>
      </c>
      <c r="F418">
        <v>77.5</v>
      </c>
      <c r="G418" t="s">
        <v>872</v>
      </c>
      <c r="H418" t="s">
        <v>1507</v>
      </c>
      <c r="I418">
        <v>1</v>
      </c>
      <c r="J418">
        <v>75.900000000000006</v>
      </c>
      <c r="K418">
        <v>77.5</v>
      </c>
      <c r="L418">
        <v>0.95000000000000007</v>
      </c>
      <c r="M418" t="s">
        <v>1593</v>
      </c>
      <c r="N418">
        <v>1</v>
      </c>
      <c r="O418">
        <v>4351826426.375</v>
      </c>
      <c r="P418">
        <v>1210860130594.354</v>
      </c>
      <c r="Q418">
        <v>1172317721758.876</v>
      </c>
      <c r="R418">
        <v>96.816939639712203</v>
      </c>
      <c r="S418">
        <v>1</v>
      </c>
      <c r="T418">
        <v>2.052585591762014E-3</v>
      </c>
      <c r="U418">
        <v>2.052585591762014E-3</v>
      </c>
      <c r="V418">
        <v>1</v>
      </c>
      <c r="W418" t="b">
        <v>0</v>
      </c>
    </row>
    <row r="419" spans="1:23" x14ac:dyDescent="0.25">
      <c r="A419" t="s">
        <v>545</v>
      </c>
      <c r="B419" t="s">
        <v>119</v>
      </c>
      <c r="C419" t="s">
        <v>862</v>
      </c>
      <c r="D419">
        <v>1062984492</v>
      </c>
      <c r="E419" t="s">
        <v>873</v>
      </c>
      <c r="F419">
        <v>13.86</v>
      </c>
      <c r="G419" t="s">
        <v>872</v>
      </c>
      <c r="H419" t="s">
        <v>1508</v>
      </c>
      <c r="I419">
        <v>1</v>
      </c>
      <c r="J419">
        <v>13.63</v>
      </c>
      <c r="K419">
        <v>13.86</v>
      </c>
      <c r="L419">
        <v>0.25</v>
      </c>
      <c r="M419" t="s">
        <v>1593</v>
      </c>
      <c r="N419">
        <v>1</v>
      </c>
      <c r="O419">
        <v>3683241264.7800002</v>
      </c>
      <c r="P419">
        <v>1210860130594.354</v>
      </c>
      <c r="Q419">
        <v>1176000963023.656</v>
      </c>
      <c r="R419">
        <v>97.1211235146055</v>
      </c>
      <c r="S419">
        <v>1</v>
      </c>
      <c r="T419">
        <v>1.737240232112892E-3</v>
      </c>
      <c r="U419">
        <v>1.737240232112892E-3</v>
      </c>
      <c r="V419">
        <v>1</v>
      </c>
      <c r="W419" t="b">
        <v>0</v>
      </c>
    </row>
    <row r="420" spans="1:23" x14ac:dyDescent="0.25">
      <c r="A420" t="s">
        <v>744</v>
      </c>
      <c r="B420" t="s">
        <v>318</v>
      </c>
      <c r="C420" t="s">
        <v>862</v>
      </c>
      <c r="D420">
        <v>175977424</v>
      </c>
      <c r="E420" t="s">
        <v>873</v>
      </c>
      <c r="F420">
        <v>33.57</v>
      </c>
      <c r="G420" t="s">
        <v>872</v>
      </c>
      <c r="H420" t="s">
        <v>1509</v>
      </c>
      <c r="I420">
        <v>1</v>
      </c>
      <c r="J420">
        <v>31.75</v>
      </c>
      <c r="K420">
        <v>33.57</v>
      </c>
      <c r="L420">
        <v>0.55000000000000004</v>
      </c>
      <c r="M420" t="s">
        <v>1593</v>
      </c>
      <c r="N420">
        <v>1</v>
      </c>
      <c r="O420">
        <v>3249159168.0240011</v>
      </c>
      <c r="P420">
        <v>1210860130594.354</v>
      </c>
      <c r="Q420">
        <v>1179250122191.6809</v>
      </c>
      <c r="R420">
        <v>97.389458319421422</v>
      </c>
      <c r="S420">
        <v>1</v>
      </c>
      <c r="T420">
        <v>1.5325007572011161E-3</v>
      </c>
      <c r="U420">
        <v>1.5325007572011161E-3</v>
      </c>
      <c r="V420">
        <v>1</v>
      </c>
      <c r="W420" t="b">
        <v>0</v>
      </c>
    </row>
    <row r="421" spans="1:23" x14ac:dyDescent="0.25">
      <c r="A421" t="s">
        <v>771</v>
      </c>
      <c r="B421" t="s">
        <v>345</v>
      </c>
      <c r="C421" t="s">
        <v>862</v>
      </c>
      <c r="D421">
        <v>171361365</v>
      </c>
      <c r="E421" t="s">
        <v>873</v>
      </c>
      <c r="F421">
        <v>24.06</v>
      </c>
      <c r="G421" t="s">
        <v>872</v>
      </c>
      <c r="H421" t="s">
        <v>1510</v>
      </c>
      <c r="I421">
        <v>1</v>
      </c>
      <c r="J421">
        <v>24.28</v>
      </c>
      <c r="K421">
        <v>24.06</v>
      </c>
      <c r="L421">
        <v>0.70000000000000007</v>
      </c>
      <c r="M421" t="s">
        <v>1593</v>
      </c>
      <c r="N421">
        <v>1</v>
      </c>
      <c r="O421">
        <v>2886068109.3299999</v>
      </c>
      <c r="P421">
        <v>1210860130594.354</v>
      </c>
      <c r="Q421">
        <v>1182136190301.01</v>
      </c>
      <c r="R421">
        <v>97.627806914474519</v>
      </c>
      <c r="S421">
        <v>1</v>
      </c>
      <c r="T421">
        <v>1.361244966516072E-3</v>
      </c>
      <c r="U421">
        <v>1.361244966516072E-3</v>
      </c>
      <c r="V421">
        <v>1</v>
      </c>
      <c r="W421" t="b">
        <v>0</v>
      </c>
    </row>
    <row r="422" spans="1:23" x14ac:dyDescent="0.25">
      <c r="A422" t="s">
        <v>466</v>
      </c>
      <c r="B422" t="s">
        <v>40</v>
      </c>
      <c r="C422" t="s">
        <v>862</v>
      </c>
      <c r="D422">
        <v>90442091</v>
      </c>
      <c r="E422" t="s">
        <v>873</v>
      </c>
      <c r="F422">
        <v>35.58</v>
      </c>
      <c r="G422" t="s">
        <v>872</v>
      </c>
      <c r="H422" t="s">
        <v>1511</v>
      </c>
      <c r="I422">
        <v>1</v>
      </c>
      <c r="J422">
        <v>35.880000000000003</v>
      </c>
      <c r="K422">
        <v>35.58</v>
      </c>
      <c r="L422">
        <v>0.8</v>
      </c>
      <c r="M422" t="s">
        <v>1593</v>
      </c>
      <c r="N422">
        <v>1</v>
      </c>
      <c r="O422">
        <v>2574343678.224</v>
      </c>
      <c r="P422">
        <v>1210860130594.354</v>
      </c>
      <c r="Q422">
        <v>1184710533979.2351</v>
      </c>
      <c r="R422">
        <v>97.840411460051598</v>
      </c>
      <c r="S422">
        <v>1</v>
      </c>
      <c r="T422">
        <v>1.214216796456136E-3</v>
      </c>
      <c r="U422">
        <v>1.214216796456136E-3</v>
      </c>
      <c r="V422">
        <v>1</v>
      </c>
      <c r="W422" t="b">
        <v>0</v>
      </c>
    </row>
    <row r="423" spans="1:23" x14ac:dyDescent="0.25">
      <c r="A423" t="s">
        <v>436</v>
      </c>
      <c r="B423" t="s">
        <v>10</v>
      </c>
      <c r="C423" t="s">
        <v>862</v>
      </c>
      <c r="D423">
        <v>110580102</v>
      </c>
      <c r="E423" t="s">
        <v>873</v>
      </c>
      <c r="F423">
        <v>26.32</v>
      </c>
      <c r="G423" t="s">
        <v>872</v>
      </c>
      <c r="H423" t="s">
        <v>1512</v>
      </c>
      <c r="I423">
        <v>1</v>
      </c>
      <c r="J423">
        <v>28.64</v>
      </c>
      <c r="K423">
        <v>26.32</v>
      </c>
      <c r="L423">
        <v>0.85000000000000009</v>
      </c>
      <c r="M423" t="s">
        <v>1593</v>
      </c>
      <c r="N423">
        <v>1</v>
      </c>
      <c r="O423">
        <v>2473898041.9439998</v>
      </c>
      <c r="P423">
        <v>1210860130594.354</v>
      </c>
      <c r="Q423">
        <v>1187184432021.178</v>
      </c>
      <c r="R423">
        <v>98.04472061017033</v>
      </c>
      <c r="S423">
        <v>1</v>
      </c>
      <c r="T423">
        <v>1.166840535184743E-3</v>
      </c>
      <c r="U423">
        <v>1.166840535184743E-3</v>
      </c>
      <c r="V423">
        <v>1</v>
      </c>
      <c r="W423" t="b">
        <v>0</v>
      </c>
    </row>
    <row r="424" spans="1:23" x14ac:dyDescent="0.25">
      <c r="A424" t="s">
        <v>640</v>
      </c>
      <c r="B424" t="s">
        <v>214</v>
      </c>
      <c r="C424" t="s">
        <v>862</v>
      </c>
      <c r="D424">
        <v>500000000</v>
      </c>
      <c r="E424" t="s">
        <v>873</v>
      </c>
      <c r="F424">
        <v>9.4499999999999993</v>
      </c>
      <c r="G424" t="s">
        <v>872</v>
      </c>
      <c r="H424" t="s">
        <v>1513</v>
      </c>
      <c r="I424">
        <v>1</v>
      </c>
      <c r="J424">
        <v>9.92</v>
      </c>
      <c r="K424">
        <v>9.4499999999999993</v>
      </c>
      <c r="L424">
        <v>0.5</v>
      </c>
      <c r="M424" t="s">
        <v>1593</v>
      </c>
      <c r="N424">
        <v>1</v>
      </c>
      <c r="O424">
        <v>2362500000</v>
      </c>
      <c r="P424">
        <v>1210860130594.354</v>
      </c>
      <c r="Q424">
        <v>1189546932021.178</v>
      </c>
      <c r="R424">
        <v>98.239829850313569</v>
      </c>
      <c r="S424">
        <v>1</v>
      </c>
      <c r="T424">
        <v>1.114298454356574E-3</v>
      </c>
      <c r="U424">
        <v>1.114298454356574E-3</v>
      </c>
      <c r="V424">
        <v>1</v>
      </c>
      <c r="W424" t="b">
        <v>0</v>
      </c>
    </row>
    <row r="425" spans="1:23" x14ac:dyDescent="0.25">
      <c r="A425" t="s">
        <v>457</v>
      </c>
      <c r="B425" t="s">
        <v>31</v>
      </c>
      <c r="C425" t="s">
        <v>862</v>
      </c>
      <c r="D425">
        <v>601548734</v>
      </c>
      <c r="E425" t="s">
        <v>873</v>
      </c>
      <c r="F425">
        <v>6.375</v>
      </c>
      <c r="G425" t="s">
        <v>872</v>
      </c>
      <c r="H425" t="s">
        <v>1514</v>
      </c>
      <c r="I425">
        <v>1</v>
      </c>
      <c r="J425">
        <v>7.73</v>
      </c>
      <c r="K425">
        <v>6.375</v>
      </c>
      <c r="L425">
        <v>0.60000000000000009</v>
      </c>
      <c r="M425" t="s">
        <v>1593</v>
      </c>
      <c r="N425">
        <v>1</v>
      </c>
      <c r="O425">
        <v>2300923907.5500002</v>
      </c>
      <c r="P425">
        <v>1210860130594.354</v>
      </c>
      <c r="Q425">
        <v>1191847855928.729</v>
      </c>
      <c r="R425">
        <v>98.429853772103826</v>
      </c>
      <c r="S425">
        <v>1</v>
      </c>
      <c r="T425">
        <v>1.0852554301693351E-3</v>
      </c>
      <c r="U425">
        <v>1.0852554301693351E-3</v>
      </c>
      <c r="V425">
        <v>1</v>
      </c>
      <c r="W425" t="b">
        <v>0</v>
      </c>
    </row>
    <row r="426" spans="1:23" x14ac:dyDescent="0.25">
      <c r="A426" t="s">
        <v>779</v>
      </c>
      <c r="B426" t="s">
        <v>353</v>
      </c>
      <c r="C426" t="s">
        <v>862</v>
      </c>
      <c r="D426">
        <v>128344238</v>
      </c>
      <c r="E426" t="s">
        <v>873</v>
      </c>
      <c r="F426">
        <v>19.47</v>
      </c>
      <c r="G426" t="s">
        <v>872</v>
      </c>
      <c r="H426" t="s">
        <v>1515</v>
      </c>
      <c r="I426">
        <v>1</v>
      </c>
      <c r="J426">
        <v>20.18</v>
      </c>
      <c r="K426">
        <v>19.47</v>
      </c>
      <c r="L426">
        <v>0.85000000000000009</v>
      </c>
      <c r="M426" t="s">
        <v>1593</v>
      </c>
      <c r="N426">
        <v>1</v>
      </c>
      <c r="O426">
        <v>2124032966.7809999</v>
      </c>
      <c r="P426">
        <v>1210860130594.354</v>
      </c>
      <c r="Q426">
        <v>1193971888895.51</v>
      </c>
      <c r="R426">
        <v>98.605268992500783</v>
      </c>
      <c r="S426">
        <v>1</v>
      </c>
      <c r="T426">
        <v>1.0018229214334301E-3</v>
      </c>
      <c r="U426">
        <v>1.0018229214334301E-3</v>
      </c>
      <c r="V426">
        <v>1</v>
      </c>
      <c r="W426" t="b">
        <v>0</v>
      </c>
    </row>
    <row r="427" spans="1:23" x14ac:dyDescent="0.25">
      <c r="A427" t="s">
        <v>482</v>
      </c>
      <c r="B427" t="s">
        <v>56</v>
      </c>
      <c r="C427" t="s">
        <v>862</v>
      </c>
      <c r="D427">
        <v>272000000</v>
      </c>
      <c r="E427" t="s">
        <v>873</v>
      </c>
      <c r="F427">
        <v>7.6449999999999996</v>
      </c>
      <c r="G427" t="s">
        <v>872</v>
      </c>
      <c r="H427" t="s">
        <v>1516</v>
      </c>
      <c r="I427">
        <v>1</v>
      </c>
      <c r="J427">
        <v>8.9049999999999994</v>
      </c>
      <c r="K427">
        <v>7.6449999999999996</v>
      </c>
      <c r="L427">
        <v>1</v>
      </c>
      <c r="M427" t="s">
        <v>1593</v>
      </c>
      <c r="N427">
        <v>1</v>
      </c>
      <c r="O427">
        <v>2079440000</v>
      </c>
      <c r="P427">
        <v>1210860130594.354</v>
      </c>
      <c r="Q427">
        <v>1196051328895.51</v>
      </c>
      <c r="R427">
        <v>98.777001461632395</v>
      </c>
      <c r="S427">
        <v>1</v>
      </c>
      <c r="T427">
        <v>9.8079017055121057E-4</v>
      </c>
      <c r="U427">
        <v>9.8079017055121057E-4</v>
      </c>
      <c r="V427">
        <v>1</v>
      </c>
      <c r="W427" t="b">
        <v>0</v>
      </c>
    </row>
    <row r="428" spans="1:23" x14ac:dyDescent="0.25">
      <c r="A428" t="s">
        <v>848</v>
      </c>
      <c r="B428" t="s">
        <v>422</v>
      </c>
      <c r="C428" t="s">
        <v>862</v>
      </c>
      <c r="D428">
        <v>115264199</v>
      </c>
      <c r="E428" t="s">
        <v>873</v>
      </c>
      <c r="F428">
        <v>37.380000000000003</v>
      </c>
      <c r="G428" t="s">
        <v>872</v>
      </c>
      <c r="H428" t="s">
        <v>1517</v>
      </c>
      <c r="I428">
        <v>1</v>
      </c>
      <c r="J428">
        <v>37.58</v>
      </c>
      <c r="K428">
        <v>37.380000000000003</v>
      </c>
      <c r="L428">
        <v>0.45</v>
      </c>
      <c r="M428" t="s">
        <v>1593</v>
      </c>
      <c r="N428">
        <v>1</v>
      </c>
      <c r="O428">
        <v>1938859091.3789999</v>
      </c>
      <c r="P428">
        <v>1210860130594.354</v>
      </c>
      <c r="Q428">
        <v>1197990187986.8889</v>
      </c>
      <c r="R428">
        <v>98.937123926844578</v>
      </c>
      <c r="S428">
        <v>1</v>
      </c>
      <c r="T428">
        <v>9.1448367777304201E-4</v>
      </c>
      <c r="U428">
        <v>9.1448367777304201E-4</v>
      </c>
      <c r="V428">
        <v>1</v>
      </c>
      <c r="W428" t="b">
        <v>0</v>
      </c>
    </row>
    <row r="429" spans="1:23" x14ac:dyDescent="0.25">
      <c r="A429" t="s">
        <v>832</v>
      </c>
      <c r="B429" t="s">
        <v>406</v>
      </c>
      <c r="C429" t="s">
        <v>862</v>
      </c>
      <c r="D429">
        <v>43036928</v>
      </c>
      <c r="E429" t="s">
        <v>873</v>
      </c>
      <c r="F429">
        <v>49.35</v>
      </c>
      <c r="G429" t="s">
        <v>872</v>
      </c>
      <c r="H429" t="s">
        <v>1518</v>
      </c>
      <c r="I429">
        <v>1</v>
      </c>
      <c r="J429">
        <v>51.4</v>
      </c>
      <c r="K429">
        <v>49.35</v>
      </c>
      <c r="L429">
        <v>0.70000000000000007</v>
      </c>
      <c r="M429" t="s">
        <v>1593</v>
      </c>
      <c r="N429">
        <v>1</v>
      </c>
      <c r="O429">
        <v>1486710677.76</v>
      </c>
      <c r="P429">
        <v>1210860130594.354</v>
      </c>
      <c r="Q429">
        <v>1199476898664.6489</v>
      </c>
      <c r="R429">
        <v>99.059905298548529</v>
      </c>
      <c r="S429">
        <v>1</v>
      </c>
      <c r="T429">
        <v>7.0122303081624686E-4</v>
      </c>
      <c r="U429">
        <v>7.0122303081624686E-4</v>
      </c>
      <c r="V429">
        <v>1</v>
      </c>
      <c r="W429" t="b">
        <v>0</v>
      </c>
    </row>
    <row r="430" spans="1:23" x14ac:dyDescent="0.25">
      <c r="A430" t="s">
        <v>626</v>
      </c>
      <c r="B430" t="s">
        <v>200</v>
      </c>
      <c r="C430" t="s">
        <v>862</v>
      </c>
      <c r="D430">
        <v>27478006</v>
      </c>
      <c r="E430" t="s">
        <v>873</v>
      </c>
      <c r="F430">
        <v>55.1</v>
      </c>
      <c r="G430" t="s">
        <v>872</v>
      </c>
      <c r="H430" t="s">
        <v>1519</v>
      </c>
      <c r="I430">
        <v>1</v>
      </c>
      <c r="J430">
        <v>62.85</v>
      </c>
      <c r="K430">
        <v>55.1</v>
      </c>
      <c r="L430">
        <v>0.95000000000000007</v>
      </c>
      <c r="M430" t="s">
        <v>1593</v>
      </c>
      <c r="N430">
        <v>1</v>
      </c>
      <c r="O430">
        <v>1438336224.0699999</v>
      </c>
      <c r="P430">
        <v>1210860130594.354</v>
      </c>
      <c r="Q430">
        <v>1200915234888.719</v>
      </c>
      <c r="R430">
        <v>99.17869162140515</v>
      </c>
      <c r="S430">
        <v>1</v>
      </c>
      <c r="T430">
        <v>6.7840670109048579E-4</v>
      </c>
      <c r="U430">
        <v>6.7840670109048579E-4</v>
      </c>
      <c r="V430">
        <v>1</v>
      </c>
      <c r="W430" t="b">
        <v>0</v>
      </c>
    </row>
    <row r="431" spans="1:23" x14ac:dyDescent="0.25">
      <c r="A431" t="s">
        <v>465</v>
      </c>
      <c r="B431" t="s">
        <v>39</v>
      </c>
      <c r="C431" t="s">
        <v>862</v>
      </c>
      <c r="D431">
        <v>73184570</v>
      </c>
      <c r="E431" t="s">
        <v>873</v>
      </c>
      <c r="F431">
        <v>31.02</v>
      </c>
      <c r="G431" t="s">
        <v>872</v>
      </c>
      <c r="H431" t="s">
        <v>1520</v>
      </c>
      <c r="I431">
        <v>1</v>
      </c>
      <c r="J431">
        <v>33.58</v>
      </c>
      <c r="K431">
        <v>31.02</v>
      </c>
      <c r="L431">
        <v>0.60000000000000009</v>
      </c>
      <c r="M431" t="s">
        <v>1593</v>
      </c>
      <c r="N431">
        <v>1</v>
      </c>
      <c r="O431">
        <v>1362111216.8399999</v>
      </c>
      <c r="P431">
        <v>1210860130594.354</v>
      </c>
      <c r="Q431">
        <v>1202277346105.5591</v>
      </c>
      <c r="R431">
        <v>99.291182831779011</v>
      </c>
      <c r="S431">
        <v>1</v>
      </c>
      <c r="T431">
        <v>6.4245435919008033E-4</v>
      </c>
      <c r="U431">
        <v>6.4245435919008033E-4</v>
      </c>
      <c r="V431">
        <v>1</v>
      </c>
      <c r="W431" t="b">
        <v>0</v>
      </c>
    </row>
    <row r="432" spans="1:23" x14ac:dyDescent="0.25">
      <c r="A432" t="s">
        <v>491</v>
      </c>
      <c r="B432" t="s">
        <v>65</v>
      </c>
      <c r="C432" t="s">
        <v>862</v>
      </c>
      <c r="D432">
        <v>66000000</v>
      </c>
      <c r="E432" t="s">
        <v>873</v>
      </c>
      <c r="F432">
        <v>24.52</v>
      </c>
      <c r="G432" t="s">
        <v>872</v>
      </c>
      <c r="H432" t="s">
        <v>1521</v>
      </c>
      <c r="I432">
        <v>1</v>
      </c>
      <c r="J432">
        <v>27.66</v>
      </c>
      <c r="K432">
        <v>24.52</v>
      </c>
      <c r="L432">
        <v>0.70000000000000007</v>
      </c>
      <c r="M432" t="s">
        <v>1593</v>
      </c>
      <c r="N432">
        <v>1</v>
      </c>
      <c r="O432">
        <v>1132824000</v>
      </c>
      <c r="P432">
        <v>1210860130594.354</v>
      </c>
      <c r="Q432">
        <v>1203410170105.5591</v>
      </c>
      <c r="R432">
        <v>99.384738146003784</v>
      </c>
      <c r="S432">
        <v>1</v>
      </c>
      <c r="T432">
        <v>5.3430858508276484E-4</v>
      </c>
      <c r="U432">
        <v>5.3430858508276484E-4</v>
      </c>
      <c r="V432">
        <v>1</v>
      </c>
      <c r="W432" t="b">
        <v>0</v>
      </c>
    </row>
    <row r="433" spans="1:23" x14ac:dyDescent="0.25">
      <c r="A433" t="s">
        <v>579</v>
      </c>
      <c r="B433" t="s">
        <v>153</v>
      </c>
      <c r="C433" t="s">
        <v>862</v>
      </c>
      <c r="D433">
        <v>54887520</v>
      </c>
      <c r="E433" t="s">
        <v>873</v>
      </c>
      <c r="F433">
        <v>25.65</v>
      </c>
      <c r="G433" t="s">
        <v>872</v>
      </c>
      <c r="H433" t="s">
        <v>1522</v>
      </c>
      <c r="I433">
        <v>1</v>
      </c>
      <c r="J433">
        <v>25.65</v>
      </c>
      <c r="K433">
        <v>25.65</v>
      </c>
      <c r="L433">
        <v>0.8</v>
      </c>
      <c r="M433" t="s">
        <v>1593</v>
      </c>
      <c r="N433">
        <v>1</v>
      </c>
      <c r="O433">
        <v>1126291910.4000001</v>
      </c>
      <c r="P433">
        <v>1210860130594.354</v>
      </c>
      <c r="Q433">
        <v>1204536462015.958</v>
      </c>
      <c r="R433">
        <v>99.477754001587954</v>
      </c>
      <c r="S433">
        <v>1</v>
      </c>
      <c r="T433">
        <v>5.312276549896438E-4</v>
      </c>
      <c r="U433">
        <v>5.312276549896438E-4</v>
      </c>
      <c r="V433">
        <v>1</v>
      </c>
      <c r="W433" t="b">
        <v>0</v>
      </c>
    </row>
    <row r="434" spans="1:23" x14ac:dyDescent="0.25">
      <c r="A434" t="s">
        <v>819</v>
      </c>
      <c r="B434" t="s">
        <v>393</v>
      </c>
      <c r="C434" t="s">
        <v>862</v>
      </c>
      <c r="D434">
        <v>42198429</v>
      </c>
      <c r="E434" t="s">
        <v>873</v>
      </c>
      <c r="F434">
        <v>36.96</v>
      </c>
      <c r="G434" t="s">
        <v>872</v>
      </c>
      <c r="H434" t="s">
        <v>1523</v>
      </c>
      <c r="I434">
        <v>1</v>
      </c>
      <c r="J434">
        <v>37.520000000000003</v>
      </c>
      <c r="K434">
        <v>36.96</v>
      </c>
      <c r="L434">
        <v>0.70000000000000007</v>
      </c>
      <c r="M434" t="s">
        <v>1593</v>
      </c>
      <c r="N434">
        <v>1</v>
      </c>
      <c r="O434">
        <v>1091757755.0880001</v>
      </c>
      <c r="P434">
        <v>1210860130594.354</v>
      </c>
      <c r="Q434">
        <v>1205628219771.0471</v>
      </c>
      <c r="R434">
        <v>99.567917822123704</v>
      </c>
      <c r="S434">
        <v>1</v>
      </c>
      <c r="T434">
        <v>5.1493925038152894E-4</v>
      </c>
      <c r="U434">
        <v>5.1493925038152894E-4</v>
      </c>
      <c r="V434">
        <v>1</v>
      </c>
      <c r="W434" t="b">
        <v>0</v>
      </c>
    </row>
    <row r="435" spans="1:23" x14ac:dyDescent="0.25">
      <c r="A435" t="s">
        <v>725</v>
      </c>
      <c r="B435" t="s">
        <v>299</v>
      </c>
      <c r="C435" t="s">
        <v>862</v>
      </c>
      <c r="D435">
        <v>685147615</v>
      </c>
      <c r="E435" t="s">
        <v>873</v>
      </c>
      <c r="F435">
        <v>1.417</v>
      </c>
      <c r="G435" t="s">
        <v>872</v>
      </c>
      <c r="H435" t="s">
        <v>1524</v>
      </c>
      <c r="I435">
        <v>1</v>
      </c>
      <c r="J435">
        <v>1.4790000000000001</v>
      </c>
      <c r="K435">
        <v>1.417</v>
      </c>
      <c r="L435">
        <v>1</v>
      </c>
      <c r="M435" t="s">
        <v>1593</v>
      </c>
      <c r="N435">
        <v>0</v>
      </c>
      <c r="O435">
        <v>970854170.45500004</v>
      </c>
      <c r="P435">
        <v>1210860130594.354</v>
      </c>
      <c r="Q435">
        <v>1206599073941.501</v>
      </c>
      <c r="R435">
        <v>99.648096708679191</v>
      </c>
      <c r="S435">
        <v>1</v>
      </c>
      <c r="T435">
        <v>4.5791377843117071E-4</v>
      </c>
      <c r="U435">
        <v>4.5791377843117071E-4</v>
      </c>
      <c r="V435">
        <v>1</v>
      </c>
      <c r="W435" t="b">
        <v>0</v>
      </c>
    </row>
    <row r="436" spans="1:23" x14ac:dyDescent="0.25">
      <c r="A436" t="s">
        <v>606</v>
      </c>
      <c r="B436" t="s">
        <v>180</v>
      </c>
      <c r="C436" t="s">
        <v>862</v>
      </c>
      <c r="D436">
        <v>65897071</v>
      </c>
      <c r="E436" t="s">
        <v>873</v>
      </c>
      <c r="F436">
        <v>26.54</v>
      </c>
      <c r="G436" t="s">
        <v>872</v>
      </c>
      <c r="H436" t="s">
        <v>1525</v>
      </c>
      <c r="I436">
        <v>1</v>
      </c>
      <c r="J436">
        <v>27.54</v>
      </c>
      <c r="K436">
        <v>26.54</v>
      </c>
      <c r="L436">
        <v>0.55000000000000004</v>
      </c>
      <c r="M436" t="s">
        <v>1593</v>
      </c>
      <c r="N436">
        <v>1</v>
      </c>
      <c r="O436">
        <v>961899545.38700008</v>
      </c>
      <c r="P436">
        <v>1210860130594.354</v>
      </c>
      <c r="Q436">
        <v>1207560973486.8889</v>
      </c>
      <c r="R436">
        <v>99.727536069269505</v>
      </c>
      <c r="S436">
        <v>1</v>
      </c>
      <c r="T436">
        <v>4.5369023351154531E-4</v>
      </c>
      <c r="U436">
        <v>4.5369023351154531E-4</v>
      </c>
      <c r="V436">
        <v>1</v>
      </c>
      <c r="W436" t="b">
        <v>0</v>
      </c>
    </row>
    <row r="437" spans="1:23" x14ac:dyDescent="0.25">
      <c r="A437" t="s">
        <v>535</v>
      </c>
      <c r="B437" t="s">
        <v>109</v>
      </c>
      <c r="C437" t="s">
        <v>862</v>
      </c>
      <c r="D437">
        <v>58250309</v>
      </c>
      <c r="E437" t="s">
        <v>873</v>
      </c>
      <c r="F437">
        <v>18.010000000000002</v>
      </c>
      <c r="G437" t="s">
        <v>872</v>
      </c>
      <c r="H437" t="s">
        <v>1526</v>
      </c>
      <c r="I437">
        <v>1</v>
      </c>
      <c r="J437">
        <v>18.32</v>
      </c>
      <c r="K437">
        <v>18.010000000000002</v>
      </c>
      <c r="L437">
        <v>0.9</v>
      </c>
      <c r="M437" t="s">
        <v>1593</v>
      </c>
      <c r="N437">
        <v>1</v>
      </c>
      <c r="O437">
        <v>944179258.58100009</v>
      </c>
      <c r="P437">
        <v>1210860130594.354</v>
      </c>
      <c r="Q437">
        <v>1208505152745.469</v>
      </c>
      <c r="R437">
        <v>99.805511983640173</v>
      </c>
      <c r="S437">
        <v>1</v>
      </c>
      <c r="T437">
        <v>4.4533227025284441E-4</v>
      </c>
      <c r="U437">
        <v>4.4533227025284441E-4</v>
      </c>
      <c r="V437">
        <v>1</v>
      </c>
      <c r="W437" t="b">
        <v>0</v>
      </c>
    </row>
    <row r="438" spans="1:23" x14ac:dyDescent="0.25">
      <c r="A438" t="s">
        <v>597</v>
      </c>
      <c r="B438" t="s">
        <v>171</v>
      </c>
      <c r="C438" t="s">
        <v>862</v>
      </c>
      <c r="D438">
        <v>45671645</v>
      </c>
      <c r="E438" t="s">
        <v>873</v>
      </c>
      <c r="F438">
        <v>23.28</v>
      </c>
      <c r="G438" t="s">
        <v>872</v>
      </c>
      <c r="H438" t="s">
        <v>1527</v>
      </c>
      <c r="I438">
        <v>1</v>
      </c>
      <c r="J438">
        <v>23.66</v>
      </c>
      <c r="K438">
        <v>23.28</v>
      </c>
      <c r="L438">
        <v>0.75</v>
      </c>
      <c r="M438" t="s">
        <v>1593</v>
      </c>
      <c r="N438">
        <v>1</v>
      </c>
      <c r="O438">
        <v>797426921.70000005</v>
      </c>
      <c r="P438">
        <v>1210860130594.354</v>
      </c>
      <c r="Q438">
        <v>1209302579667.1699</v>
      </c>
      <c r="R438">
        <v>99.87136822100004</v>
      </c>
      <c r="S438">
        <v>1</v>
      </c>
      <c r="T438">
        <v>3.7611495716936768E-4</v>
      </c>
      <c r="U438">
        <v>3.7611495716936768E-4</v>
      </c>
      <c r="V438">
        <v>1</v>
      </c>
      <c r="W438" t="b">
        <v>0</v>
      </c>
    </row>
    <row r="439" spans="1:23" x14ac:dyDescent="0.25">
      <c r="A439" t="s">
        <v>461</v>
      </c>
      <c r="B439" t="s">
        <v>35</v>
      </c>
      <c r="C439" t="s">
        <v>862</v>
      </c>
      <c r="D439">
        <v>32504164</v>
      </c>
      <c r="E439" t="s">
        <v>873</v>
      </c>
      <c r="F439">
        <v>25.32</v>
      </c>
      <c r="G439" t="s">
        <v>872</v>
      </c>
      <c r="H439" t="s">
        <v>1528</v>
      </c>
      <c r="I439">
        <v>1</v>
      </c>
      <c r="J439">
        <v>27.36</v>
      </c>
      <c r="K439">
        <v>25.32</v>
      </c>
      <c r="L439">
        <v>0.95000000000000007</v>
      </c>
      <c r="M439" t="s">
        <v>1593</v>
      </c>
      <c r="N439">
        <v>0</v>
      </c>
      <c r="O439">
        <v>781855160.85600007</v>
      </c>
      <c r="P439">
        <v>1210860130594.354</v>
      </c>
      <c r="Q439">
        <v>1210084434828.0259</v>
      </c>
      <c r="R439">
        <v>99.935938450137257</v>
      </c>
      <c r="S439">
        <v>1</v>
      </c>
      <c r="T439">
        <v>3.6877036921589493E-4</v>
      </c>
      <c r="U439">
        <v>3.6877036921589493E-4</v>
      </c>
      <c r="V439">
        <v>1</v>
      </c>
      <c r="W439" t="b">
        <v>0</v>
      </c>
    </row>
    <row r="440" spans="1:23" x14ac:dyDescent="0.25">
      <c r="A440" t="s">
        <v>623</v>
      </c>
      <c r="B440" t="s">
        <v>197</v>
      </c>
      <c r="C440" t="s">
        <v>862</v>
      </c>
      <c r="D440">
        <v>99181149</v>
      </c>
      <c r="E440" t="s">
        <v>873</v>
      </c>
      <c r="F440">
        <v>14.22</v>
      </c>
      <c r="G440" t="s">
        <v>872</v>
      </c>
      <c r="H440" t="s">
        <v>1529</v>
      </c>
      <c r="I440">
        <v>1</v>
      </c>
      <c r="J440">
        <v>15.492000000000001</v>
      </c>
      <c r="K440">
        <v>14.22</v>
      </c>
      <c r="L440">
        <v>0.55000000000000004</v>
      </c>
      <c r="M440" t="s">
        <v>1593</v>
      </c>
      <c r="N440">
        <v>1</v>
      </c>
      <c r="O440">
        <v>775695766.329</v>
      </c>
      <c r="P440">
        <v>1210860130594.354</v>
      </c>
      <c r="Q440">
        <v>1210860130594.354</v>
      </c>
      <c r="R440">
        <v>100</v>
      </c>
      <c r="S440">
        <v>1</v>
      </c>
      <c r="T440">
        <v>3.6586522474977488E-4</v>
      </c>
      <c r="U440">
        <v>3.6586522474977488E-4</v>
      </c>
      <c r="V440">
        <v>1</v>
      </c>
      <c r="W440" t="b">
        <v>0</v>
      </c>
    </row>
    <row r="441" spans="1:23" x14ac:dyDescent="0.25">
      <c r="A441" t="s">
        <v>1015</v>
      </c>
      <c r="B441" t="s">
        <v>1082</v>
      </c>
      <c r="C441" t="s">
        <v>869</v>
      </c>
      <c r="D441">
        <v>4184021624</v>
      </c>
      <c r="E441" t="s">
        <v>873</v>
      </c>
      <c r="F441">
        <v>3.76</v>
      </c>
      <c r="G441" t="s">
        <v>872</v>
      </c>
      <c r="H441" t="s">
        <v>1530</v>
      </c>
      <c r="I441">
        <v>1</v>
      </c>
      <c r="J441">
        <v>3.7050000000000001</v>
      </c>
      <c r="K441">
        <v>3.76</v>
      </c>
      <c r="L441">
        <v>0.70000000000000007</v>
      </c>
      <c r="M441" t="s">
        <v>1594</v>
      </c>
      <c r="N441">
        <v>0</v>
      </c>
      <c r="O441">
        <v>11012344914.368</v>
      </c>
      <c r="P441">
        <v>39911399664.805687</v>
      </c>
      <c r="Q441">
        <v>11012344914.368</v>
      </c>
      <c r="R441">
        <v>27.591978750068261</v>
      </c>
      <c r="S441">
        <v>0</v>
      </c>
      <c r="V441">
        <v>1</v>
      </c>
      <c r="W441" t="b">
        <v>0</v>
      </c>
    </row>
    <row r="442" spans="1:23" x14ac:dyDescent="0.25">
      <c r="A442" t="s">
        <v>1016</v>
      </c>
      <c r="B442" t="s">
        <v>1083</v>
      </c>
      <c r="C442" t="s">
        <v>869</v>
      </c>
      <c r="D442">
        <v>695415645</v>
      </c>
      <c r="E442" t="s">
        <v>873</v>
      </c>
      <c r="F442">
        <v>17.495000000000001</v>
      </c>
      <c r="G442" t="s">
        <v>872</v>
      </c>
      <c r="H442" t="s">
        <v>1531</v>
      </c>
      <c r="I442">
        <v>1</v>
      </c>
      <c r="J442">
        <v>14.414999999999999</v>
      </c>
      <c r="K442">
        <v>17.495000000000001</v>
      </c>
      <c r="L442">
        <v>0.60000000000000009</v>
      </c>
      <c r="M442" t="s">
        <v>1594</v>
      </c>
      <c r="N442">
        <v>0</v>
      </c>
      <c r="O442">
        <v>7299778025.5650024</v>
      </c>
      <c r="P442">
        <v>39911399664.805687</v>
      </c>
      <c r="Q442">
        <v>18312122939.932999</v>
      </c>
      <c r="R442">
        <v>45.881936223050673</v>
      </c>
      <c r="S442">
        <v>0</v>
      </c>
      <c r="V442">
        <v>1</v>
      </c>
      <c r="W442" t="b">
        <v>0</v>
      </c>
    </row>
    <row r="443" spans="1:23" x14ac:dyDescent="0.25">
      <c r="A443" t="s">
        <v>1017</v>
      </c>
      <c r="B443" t="s">
        <v>1084</v>
      </c>
      <c r="C443" t="s">
        <v>869</v>
      </c>
      <c r="D443">
        <v>15113989952</v>
      </c>
      <c r="E443" t="s">
        <v>873</v>
      </c>
      <c r="F443">
        <v>0.78239999999999998</v>
      </c>
      <c r="G443" t="s">
        <v>872</v>
      </c>
      <c r="H443" t="s">
        <v>1532</v>
      </c>
      <c r="I443">
        <v>1</v>
      </c>
      <c r="J443">
        <v>0.86499999999999999</v>
      </c>
      <c r="K443">
        <v>0.78239999999999998</v>
      </c>
      <c r="L443">
        <v>0.60000000000000009</v>
      </c>
      <c r="M443" t="s">
        <v>1594</v>
      </c>
      <c r="N443">
        <v>0</v>
      </c>
      <c r="O443">
        <v>7095111443.0668812</v>
      </c>
      <c r="P443">
        <v>39911399664.805687</v>
      </c>
      <c r="Q443">
        <v>25407234382.999889</v>
      </c>
      <c r="R443">
        <v>63.659091378356912</v>
      </c>
      <c r="S443">
        <v>0</v>
      </c>
      <c r="V443">
        <v>1</v>
      </c>
      <c r="W443" t="b">
        <v>0</v>
      </c>
    </row>
    <row r="444" spans="1:23" x14ac:dyDescent="0.25">
      <c r="A444" t="s">
        <v>651</v>
      </c>
      <c r="B444" t="s">
        <v>225</v>
      </c>
      <c r="C444" t="s">
        <v>869</v>
      </c>
      <c r="D444">
        <v>629293220</v>
      </c>
      <c r="E444" t="s">
        <v>873</v>
      </c>
      <c r="F444">
        <v>21.56</v>
      </c>
      <c r="G444" t="s">
        <v>872</v>
      </c>
      <c r="H444" t="s">
        <v>1533</v>
      </c>
      <c r="I444">
        <v>1</v>
      </c>
      <c r="J444">
        <v>19.760000000000002</v>
      </c>
      <c r="K444">
        <v>21.56</v>
      </c>
      <c r="L444">
        <v>0.45</v>
      </c>
      <c r="M444" t="s">
        <v>1594</v>
      </c>
      <c r="N444">
        <v>1</v>
      </c>
      <c r="O444">
        <v>6105402820.4399996</v>
      </c>
      <c r="P444">
        <v>39911399664.805687</v>
      </c>
      <c r="Q444">
        <v>31512637203.43988</v>
      </c>
      <c r="R444">
        <v>78.956482278490654</v>
      </c>
      <c r="S444">
        <v>1</v>
      </c>
      <c r="T444">
        <v>2.8796786988531482E-3</v>
      </c>
      <c r="U444">
        <v>2.8796786988531482E-3</v>
      </c>
      <c r="V444">
        <v>1</v>
      </c>
      <c r="W444" t="b">
        <v>0</v>
      </c>
    </row>
    <row r="445" spans="1:23" x14ac:dyDescent="0.25">
      <c r="A445" t="s">
        <v>563</v>
      </c>
      <c r="B445" t="s">
        <v>137</v>
      </c>
      <c r="C445" t="s">
        <v>869</v>
      </c>
      <c r="D445">
        <v>1051033116</v>
      </c>
      <c r="E445" t="s">
        <v>873</v>
      </c>
      <c r="F445">
        <v>11.29</v>
      </c>
      <c r="G445" t="s">
        <v>872</v>
      </c>
      <c r="H445" t="s">
        <v>1534</v>
      </c>
      <c r="I445">
        <v>1</v>
      </c>
      <c r="J445">
        <v>11.46</v>
      </c>
      <c r="K445">
        <v>11.29</v>
      </c>
      <c r="L445">
        <v>0.3</v>
      </c>
      <c r="M445" t="s">
        <v>1594</v>
      </c>
      <c r="N445">
        <v>1</v>
      </c>
      <c r="O445">
        <v>3559849163.8920002</v>
      </c>
      <c r="P445">
        <v>39911399664.805687</v>
      </c>
      <c r="Q445">
        <v>35072486367.331886</v>
      </c>
      <c r="R445">
        <v>87.87586168835665</v>
      </c>
      <c r="S445">
        <v>1</v>
      </c>
      <c r="T445">
        <v>1.6790410247904341E-3</v>
      </c>
      <c r="U445">
        <v>1.6790410247904341E-3</v>
      </c>
      <c r="V445">
        <v>1</v>
      </c>
      <c r="W445" t="b">
        <v>0</v>
      </c>
    </row>
    <row r="446" spans="1:23" x14ac:dyDescent="0.25">
      <c r="A446" t="s">
        <v>789</v>
      </c>
      <c r="B446" t="s">
        <v>363</v>
      </c>
      <c r="C446" t="s">
        <v>869</v>
      </c>
      <c r="D446">
        <v>2000000000</v>
      </c>
      <c r="E446" t="s">
        <v>873</v>
      </c>
      <c r="F446">
        <v>1.476</v>
      </c>
      <c r="G446" t="s">
        <v>872</v>
      </c>
      <c r="H446" t="s">
        <v>1535</v>
      </c>
      <c r="I446">
        <v>1</v>
      </c>
      <c r="J446">
        <v>1.6140000000000001</v>
      </c>
      <c r="K446">
        <v>1.476</v>
      </c>
      <c r="L446">
        <v>0.4</v>
      </c>
      <c r="M446" t="s">
        <v>1594</v>
      </c>
      <c r="N446">
        <v>1</v>
      </c>
      <c r="O446">
        <v>1180800000</v>
      </c>
      <c r="P446">
        <v>39911399664.805687</v>
      </c>
      <c r="Q446">
        <v>36253286367.331886</v>
      </c>
      <c r="R446">
        <v>90.834414908531585</v>
      </c>
      <c r="S446">
        <v>1</v>
      </c>
      <c r="T446">
        <v>5.5693697985364783E-4</v>
      </c>
      <c r="U446">
        <v>5.5693697985364783E-4</v>
      </c>
      <c r="V446">
        <v>1</v>
      </c>
      <c r="W446" t="b">
        <v>0</v>
      </c>
    </row>
    <row r="447" spans="1:23" x14ac:dyDescent="0.25">
      <c r="A447" t="s">
        <v>750</v>
      </c>
      <c r="B447" t="s">
        <v>324</v>
      </c>
      <c r="C447" t="s">
        <v>869</v>
      </c>
      <c r="D447">
        <v>667191262</v>
      </c>
      <c r="E447" t="s">
        <v>873</v>
      </c>
      <c r="F447">
        <v>3.31</v>
      </c>
      <c r="G447" t="s">
        <v>872</v>
      </c>
      <c r="H447" t="s">
        <v>1536</v>
      </c>
      <c r="I447">
        <v>1</v>
      </c>
      <c r="J447">
        <v>3.22</v>
      </c>
      <c r="K447">
        <v>3.31</v>
      </c>
      <c r="L447">
        <v>0.5</v>
      </c>
      <c r="M447" t="s">
        <v>1594</v>
      </c>
      <c r="N447">
        <v>1</v>
      </c>
      <c r="O447">
        <v>1104201538.6099999</v>
      </c>
      <c r="P447">
        <v>39911399664.805687</v>
      </c>
      <c r="Q447">
        <v>37357487905.941887</v>
      </c>
      <c r="R447">
        <v>93.601046868030863</v>
      </c>
      <c r="S447">
        <v>1</v>
      </c>
      <c r="T447">
        <v>5.208084942947193E-4</v>
      </c>
      <c r="U447">
        <v>5.208084942947193E-4</v>
      </c>
      <c r="V447">
        <v>1</v>
      </c>
      <c r="W447" t="b">
        <v>0</v>
      </c>
    </row>
    <row r="448" spans="1:23" x14ac:dyDescent="0.25">
      <c r="A448" t="s">
        <v>713</v>
      </c>
      <c r="B448" t="s">
        <v>287</v>
      </c>
      <c r="C448" t="s">
        <v>869</v>
      </c>
      <c r="D448">
        <v>515161380</v>
      </c>
      <c r="E448" t="s">
        <v>873</v>
      </c>
      <c r="F448">
        <v>3.6850000000000001</v>
      </c>
      <c r="G448" t="s">
        <v>872</v>
      </c>
      <c r="H448" t="s">
        <v>1537</v>
      </c>
      <c r="I448">
        <v>1</v>
      </c>
      <c r="J448">
        <v>3.7549999999999999</v>
      </c>
      <c r="K448">
        <v>3.6850000000000001</v>
      </c>
      <c r="L448">
        <v>0.35</v>
      </c>
      <c r="M448" t="s">
        <v>1594</v>
      </c>
      <c r="N448">
        <v>1</v>
      </c>
      <c r="O448">
        <v>664429389.85500002</v>
      </c>
      <c r="P448">
        <v>39911399664.805687</v>
      </c>
      <c r="Q448">
        <v>38021917295.796883</v>
      </c>
      <c r="R448">
        <v>95.26580780208775</v>
      </c>
      <c r="S448">
        <v>1</v>
      </c>
      <c r="T448">
        <v>3.1338524535217278E-4</v>
      </c>
      <c r="U448">
        <v>3.1338524535217278E-4</v>
      </c>
      <c r="V448">
        <v>1</v>
      </c>
      <c r="W448" t="b">
        <v>0</v>
      </c>
    </row>
    <row r="449" spans="1:23" x14ac:dyDescent="0.25">
      <c r="A449" t="s">
        <v>816</v>
      </c>
      <c r="B449" t="s">
        <v>390</v>
      </c>
      <c r="C449" t="s">
        <v>869</v>
      </c>
      <c r="D449">
        <v>711183069</v>
      </c>
      <c r="E449" t="s">
        <v>873</v>
      </c>
      <c r="F449">
        <v>2.9340000000000002</v>
      </c>
      <c r="G449" t="s">
        <v>872</v>
      </c>
      <c r="H449" t="s">
        <v>1538</v>
      </c>
      <c r="I449">
        <v>1</v>
      </c>
      <c r="J449">
        <v>3.0219999999999998</v>
      </c>
      <c r="K449">
        <v>2.9340000000000002</v>
      </c>
      <c r="L449">
        <v>0.3</v>
      </c>
      <c r="M449" t="s">
        <v>1594</v>
      </c>
      <c r="N449">
        <v>1</v>
      </c>
      <c r="O449">
        <v>625983337.33380008</v>
      </c>
      <c r="P449">
        <v>39911399664.805687</v>
      </c>
      <c r="Q449">
        <v>38647900633.130676</v>
      </c>
      <c r="R449">
        <v>96.834240236407524</v>
      </c>
      <c r="S449">
        <v>1</v>
      </c>
      <c r="T449">
        <v>2.9525175248424279E-4</v>
      </c>
      <c r="U449">
        <v>2.9525175248424279E-4</v>
      </c>
      <c r="V449">
        <v>1</v>
      </c>
      <c r="W449" t="b">
        <v>0</v>
      </c>
    </row>
    <row r="450" spans="1:23" x14ac:dyDescent="0.25">
      <c r="A450" t="s">
        <v>544</v>
      </c>
      <c r="B450" t="s">
        <v>118</v>
      </c>
      <c r="C450" t="s">
        <v>869</v>
      </c>
      <c r="D450">
        <v>133820000</v>
      </c>
      <c r="E450" t="s">
        <v>873</v>
      </c>
      <c r="F450">
        <v>7.07</v>
      </c>
      <c r="G450" t="s">
        <v>872</v>
      </c>
      <c r="H450" t="s">
        <v>1539</v>
      </c>
      <c r="I450">
        <v>1</v>
      </c>
      <c r="J450">
        <v>7.37</v>
      </c>
      <c r="K450">
        <v>7.07</v>
      </c>
      <c r="L450">
        <v>0.65</v>
      </c>
      <c r="M450" t="s">
        <v>1594</v>
      </c>
      <c r="N450">
        <v>1</v>
      </c>
      <c r="O450">
        <v>614969810</v>
      </c>
      <c r="P450">
        <v>39911399664.805687</v>
      </c>
      <c r="Q450">
        <v>39262870443.130676</v>
      </c>
      <c r="R450">
        <v>98.375077729366424</v>
      </c>
      <c r="S450">
        <v>1</v>
      </c>
      <c r="T450">
        <v>2.9005710423659519E-4</v>
      </c>
      <c r="U450">
        <v>2.9005710423659519E-4</v>
      </c>
      <c r="V450">
        <v>1</v>
      </c>
      <c r="W450" t="b">
        <v>0</v>
      </c>
    </row>
    <row r="451" spans="1:23" x14ac:dyDescent="0.25">
      <c r="A451" t="s">
        <v>702</v>
      </c>
      <c r="B451" t="s">
        <v>276</v>
      </c>
      <c r="C451" t="s">
        <v>869</v>
      </c>
      <c r="D451">
        <v>306775950</v>
      </c>
      <c r="E451" t="s">
        <v>873</v>
      </c>
      <c r="F451">
        <v>4.9859999999999998</v>
      </c>
      <c r="G451" t="s">
        <v>872</v>
      </c>
      <c r="H451" t="s">
        <v>1540</v>
      </c>
      <c r="I451">
        <v>1</v>
      </c>
      <c r="J451">
        <v>4.84</v>
      </c>
      <c r="K451">
        <v>4.9859999999999998</v>
      </c>
      <c r="L451">
        <v>0.25</v>
      </c>
      <c r="M451" t="s">
        <v>1594</v>
      </c>
      <c r="N451">
        <v>1</v>
      </c>
      <c r="O451">
        <v>382396221.67500001</v>
      </c>
      <c r="P451">
        <v>39911399664.805687</v>
      </c>
      <c r="Q451">
        <v>39645266664.805687</v>
      </c>
      <c r="R451">
        <v>99.333190511394974</v>
      </c>
      <c r="S451">
        <v>1</v>
      </c>
      <c r="T451">
        <v>1.80361277783808E-4</v>
      </c>
      <c r="U451">
        <v>1.80361277783808E-4</v>
      </c>
      <c r="V451">
        <v>1</v>
      </c>
      <c r="W451" t="b">
        <v>0</v>
      </c>
    </row>
    <row r="452" spans="1:23" x14ac:dyDescent="0.25">
      <c r="A452" t="s">
        <v>538</v>
      </c>
      <c r="B452" t="s">
        <v>112</v>
      </c>
      <c r="C452" t="s">
        <v>869</v>
      </c>
      <c r="D452">
        <v>133000000</v>
      </c>
      <c r="E452" t="s">
        <v>873</v>
      </c>
      <c r="F452">
        <v>6.67</v>
      </c>
      <c r="G452" t="s">
        <v>872</v>
      </c>
      <c r="H452" t="s">
        <v>1541</v>
      </c>
      <c r="I452">
        <v>1</v>
      </c>
      <c r="J452">
        <v>6.47</v>
      </c>
      <c r="K452">
        <v>6.67</v>
      </c>
      <c r="L452">
        <v>0.3</v>
      </c>
      <c r="M452" t="s">
        <v>1594</v>
      </c>
      <c r="N452">
        <v>0</v>
      </c>
      <c r="O452">
        <v>266133000</v>
      </c>
      <c r="P452">
        <v>39911399664.805687</v>
      </c>
      <c r="Q452">
        <v>39911399664.805687</v>
      </c>
      <c r="R452">
        <v>100</v>
      </c>
      <c r="S452">
        <v>1</v>
      </c>
      <c r="T452">
        <v>1.2552448277387441E-4</v>
      </c>
      <c r="U452">
        <v>1.2552448277387441E-4</v>
      </c>
      <c r="V452">
        <v>1</v>
      </c>
      <c r="W452" t="b">
        <v>0</v>
      </c>
    </row>
    <row r="453" spans="1:23" x14ac:dyDescent="0.25">
      <c r="A453" t="s">
        <v>1018</v>
      </c>
      <c r="B453" t="s">
        <v>1085</v>
      </c>
      <c r="C453" t="s">
        <v>864</v>
      </c>
      <c r="D453">
        <v>14885325000</v>
      </c>
      <c r="E453" t="s">
        <v>873</v>
      </c>
      <c r="F453">
        <v>8.8049999999999997</v>
      </c>
      <c r="G453" t="s">
        <v>872</v>
      </c>
      <c r="H453" t="s">
        <v>1542</v>
      </c>
      <c r="I453">
        <v>1</v>
      </c>
      <c r="J453">
        <v>9.7780000000000005</v>
      </c>
      <c r="K453">
        <v>8.8049999999999997</v>
      </c>
      <c r="L453">
        <v>1</v>
      </c>
      <c r="M453" t="s">
        <v>1595</v>
      </c>
      <c r="N453">
        <v>0</v>
      </c>
      <c r="O453">
        <v>131065286625</v>
      </c>
      <c r="P453">
        <v>655671145570.65002</v>
      </c>
      <c r="Q453">
        <v>131065286625</v>
      </c>
      <c r="R453">
        <v>19.9894852031242</v>
      </c>
      <c r="S453">
        <v>0</v>
      </c>
      <c r="V453">
        <v>1</v>
      </c>
      <c r="W453" t="b">
        <v>0</v>
      </c>
    </row>
    <row r="454" spans="1:23" x14ac:dyDescent="0.25">
      <c r="A454" t="s">
        <v>1019</v>
      </c>
      <c r="B454" t="s">
        <v>1086</v>
      </c>
      <c r="C454" t="s">
        <v>864</v>
      </c>
      <c r="D454">
        <v>6681227500</v>
      </c>
      <c r="E454" t="s">
        <v>873</v>
      </c>
      <c r="F454">
        <v>17.934999999999999</v>
      </c>
      <c r="G454" t="s">
        <v>872</v>
      </c>
      <c r="H454" t="s">
        <v>1543</v>
      </c>
      <c r="I454">
        <v>1</v>
      </c>
      <c r="J454">
        <v>17.71</v>
      </c>
      <c r="K454">
        <v>17.934999999999999</v>
      </c>
      <c r="L454">
        <v>0.9</v>
      </c>
      <c r="M454" t="s">
        <v>1595</v>
      </c>
      <c r="N454">
        <v>0</v>
      </c>
      <c r="O454">
        <v>107845033691.25</v>
      </c>
      <c r="P454">
        <v>655671145570.65002</v>
      </c>
      <c r="Q454">
        <v>238910320316.25</v>
      </c>
      <c r="R454">
        <v>36.437522366234262</v>
      </c>
      <c r="S454">
        <v>0</v>
      </c>
      <c r="V454">
        <v>1</v>
      </c>
      <c r="W454" t="b">
        <v>0</v>
      </c>
    </row>
    <row r="455" spans="1:23" x14ac:dyDescent="0.25">
      <c r="A455" t="s">
        <v>1020</v>
      </c>
      <c r="B455" t="s">
        <v>1087</v>
      </c>
      <c r="C455" t="s">
        <v>864</v>
      </c>
      <c r="D455">
        <v>5763285600</v>
      </c>
      <c r="E455" t="s">
        <v>873</v>
      </c>
      <c r="F455">
        <v>17.704999999999998</v>
      </c>
      <c r="G455" t="s">
        <v>872</v>
      </c>
      <c r="H455" t="s">
        <v>1544</v>
      </c>
      <c r="I455">
        <v>1</v>
      </c>
      <c r="J455">
        <v>19.425000000000001</v>
      </c>
      <c r="K455">
        <v>17.704999999999998</v>
      </c>
      <c r="L455">
        <v>1</v>
      </c>
      <c r="M455" t="s">
        <v>1595</v>
      </c>
      <c r="N455">
        <v>0</v>
      </c>
      <c r="O455">
        <v>102038971548</v>
      </c>
      <c r="P455">
        <v>655671145570.65002</v>
      </c>
      <c r="Q455">
        <v>340949291864.25</v>
      </c>
      <c r="R455">
        <v>52.000045170130477</v>
      </c>
      <c r="S455">
        <v>0</v>
      </c>
      <c r="V455">
        <v>1</v>
      </c>
      <c r="W455" t="b">
        <v>0</v>
      </c>
    </row>
    <row r="456" spans="1:23" x14ac:dyDescent="0.25">
      <c r="A456" t="s">
        <v>1021</v>
      </c>
      <c r="B456" t="s">
        <v>1088</v>
      </c>
      <c r="C456" t="s">
        <v>864</v>
      </c>
      <c r="D456">
        <v>3116652000</v>
      </c>
      <c r="E456" t="s">
        <v>873</v>
      </c>
      <c r="F456">
        <v>46.54</v>
      </c>
      <c r="G456" t="s">
        <v>872</v>
      </c>
      <c r="H456" t="s">
        <v>1545</v>
      </c>
      <c r="I456">
        <v>1</v>
      </c>
      <c r="J456">
        <v>55.08</v>
      </c>
      <c r="K456">
        <v>46.54</v>
      </c>
      <c r="L456">
        <v>0.35</v>
      </c>
      <c r="M456" t="s">
        <v>1595</v>
      </c>
      <c r="N456">
        <v>0</v>
      </c>
      <c r="O456">
        <v>50767144428</v>
      </c>
      <c r="P456">
        <v>655671145570.65002</v>
      </c>
      <c r="Q456">
        <v>391716436292.25</v>
      </c>
      <c r="R456">
        <v>59.742820610372839</v>
      </c>
      <c r="S456">
        <v>0</v>
      </c>
      <c r="V456">
        <v>1</v>
      </c>
      <c r="W456" t="b">
        <v>0</v>
      </c>
    </row>
    <row r="457" spans="1:23" x14ac:dyDescent="0.25">
      <c r="A457" t="s">
        <v>1022</v>
      </c>
      <c r="B457" t="s">
        <v>1089</v>
      </c>
      <c r="C457" t="s">
        <v>864</v>
      </c>
      <c r="D457">
        <v>7085565400</v>
      </c>
      <c r="E457" t="s">
        <v>873</v>
      </c>
      <c r="F457">
        <v>9.2539999999999996</v>
      </c>
      <c r="G457" t="s">
        <v>872</v>
      </c>
      <c r="H457" t="s">
        <v>1546</v>
      </c>
      <c r="I457">
        <v>1</v>
      </c>
      <c r="J457">
        <v>10.17</v>
      </c>
      <c r="K457">
        <v>9.2539999999999996</v>
      </c>
      <c r="L457">
        <v>0.5</v>
      </c>
      <c r="M457" t="s">
        <v>1595</v>
      </c>
      <c r="N457">
        <v>0</v>
      </c>
      <c r="O457">
        <v>32784911105.799999</v>
      </c>
      <c r="P457">
        <v>655671145570.65002</v>
      </c>
      <c r="Q457">
        <v>424501347398.04999</v>
      </c>
      <c r="R457">
        <v>64.74302708998944</v>
      </c>
      <c r="S457">
        <v>0</v>
      </c>
      <c r="V457">
        <v>1</v>
      </c>
      <c r="W457" t="b">
        <v>0</v>
      </c>
    </row>
    <row r="458" spans="1:23" x14ac:dyDescent="0.25">
      <c r="A458" t="s">
        <v>1023</v>
      </c>
      <c r="B458" t="s">
        <v>1090</v>
      </c>
      <c r="C458" t="s">
        <v>864</v>
      </c>
      <c r="D458">
        <v>450499200</v>
      </c>
      <c r="E458" t="s">
        <v>873</v>
      </c>
      <c r="F458">
        <v>61.84</v>
      </c>
      <c r="G458" t="s">
        <v>872</v>
      </c>
      <c r="H458" t="s">
        <v>1547</v>
      </c>
      <c r="I458">
        <v>1</v>
      </c>
      <c r="J458">
        <v>61.88</v>
      </c>
      <c r="K458">
        <v>61.84</v>
      </c>
      <c r="L458">
        <v>1</v>
      </c>
      <c r="M458" t="s">
        <v>1595</v>
      </c>
      <c r="N458">
        <v>0</v>
      </c>
      <c r="O458">
        <v>27858870528</v>
      </c>
      <c r="P458">
        <v>655671145570.65002</v>
      </c>
      <c r="Q458">
        <v>452360217926.04999</v>
      </c>
      <c r="R458">
        <v>68.99193612254318</v>
      </c>
      <c r="S458">
        <v>0</v>
      </c>
      <c r="V458">
        <v>1</v>
      </c>
      <c r="W458" t="b">
        <v>0</v>
      </c>
    </row>
    <row r="459" spans="1:23" x14ac:dyDescent="0.25">
      <c r="A459" t="s">
        <v>591</v>
      </c>
      <c r="B459" t="s">
        <v>165</v>
      </c>
      <c r="C459" t="s">
        <v>864</v>
      </c>
      <c r="D459">
        <v>733755400</v>
      </c>
      <c r="E459" t="s">
        <v>873</v>
      </c>
      <c r="F459">
        <v>54.12</v>
      </c>
      <c r="G459" t="s">
        <v>872</v>
      </c>
      <c r="H459" t="s">
        <v>1548</v>
      </c>
      <c r="I459">
        <v>1</v>
      </c>
      <c r="J459">
        <v>56.1</v>
      </c>
      <c r="K459">
        <v>54.12</v>
      </c>
      <c r="L459">
        <v>0.65</v>
      </c>
      <c r="M459" t="s">
        <v>1595</v>
      </c>
      <c r="N459">
        <v>1</v>
      </c>
      <c r="O459">
        <v>25812047461.200001</v>
      </c>
      <c r="P459">
        <v>655671145570.65002</v>
      </c>
      <c r="Q459">
        <v>478172265387.25</v>
      </c>
      <c r="R459">
        <v>72.928672950993217</v>
      </c>
      <c r="S459">
        <v>1</v>
      </c>
      <c r="T459">
        <v>1.2174528926896799E-2</v>
      </c>
      <c r="U459">
        <v>1.2174528926896799E-2</v>
      </c>
      <c r="V459">
        <v>1</v>
      </c>
      <c r="W459" t="b">
        <v>0</v>
      </c>
    </row>
    <row r="460" spans="1:23" x14ac:dyDescent="0.25">
      <c r="A460" t="s">
        <v>754</v>
      </c>
      <c r="B460" t="s">
        <v>328</v>
      </c>
      <c r="C460" t="s">
        <v>864</v>
      </c>
      <c r="D460">
        <v>1128372300</v>
      </c>
      <c r="E460" t="s">
        <v>873</v>
      </c>
      <c r="F460">
        <v>15.7</v>
      </c>
      <c r="G460" t="s">
        <v>872</v>
      </c>
      <c r="H460" t="s">
        <v>1549</v>
      </c>
      <c r="I460">
        <v>1</v>
      </c>
      <c r="J460">
        <v>16</v>
      </c>
      <c r="K460">
        <v>15.7</v>
      </c>
      <c r="L460">
        <v>1</v>
      </c>
      <c r="M460" t="s">
        <v>1595</v>
      </c>
      <c r="N460">
        <v>1</v>
      </c>
      <c r="O460">
        <v>17715445110</v>
      </c>
      <c r="P460">
        <v>655671145570.65002</v>
      </c>
      <c r="Q460">
        <v>495887710497.25</v>
      </c>
      <c r="R460">
        <v>75.630552579168977</v>
      </c>
      <c r="S460">
        <v>1</v>
      </c>
      <c r="T460">
        <v>8.3556796208726913E-3</v>
      </c>
      <c r="U460">
        <v>8.3556796208726913E-3</v>
      </c>
      <c r="V460">
        <v>1</v>
      </c>
      <c r="W460" t="b">
        <v>0</v>
      </c>
    </row>
    <row r="461" spans="1:23" x14ac:dyDescent="0.25">
      <c r="A461" t="s">
        <v>451</v>
      </c>
      <c r="B461" t="s">
        <v>25</v>
      </c>
      <c r="C461" t="s">
        <v>864</v>
      </c>
      <c r="D461">
        <v>1500000000</v>
      </c>
      <c r="E461" t="s">
        <v>873</v>
      </c>
      <c r="F461">
        <v>23.12</v>
      </c>
      <c r="G461" t="s">
        <v>872</v>
      </c>
      <c r="H461" t="s">
        <v>1550</v>
      </c>
      <c r="I461">
        <v>1</v>
      </c>
      <c r="J461">
        <v>23.29</v>
      </c>
      <c r="K461">
        <v>23.12</v>
      </c>
      <c r="L461">
        <v>0.5</v>
      </c>
      <c r="M461" t="s">
        <v>1595</v>
      </c>
      <c r="N461">
        <v>1</v>
      </c>
      <c r="O461">
        <v>17340000000</v>
      </c>
      <c r="P461">
        <v>655671145570.65002</v>
      </c>
      <c r="Q461">
        <v>513227710497.25</v>
      </c>
      <c r="R461">
        <v>78.275171015886741</v>
      </c>
      <c r="S461">
        <v>1</v>
      </c>
      <c r="T461">
        <v>8.1785969094361911E-3</v>
      </c>
      <c r="U461">
        <v>8.1785969094361911E-3</v>
      </c>
      <c r="V461">
        <v>1</v>
      </c>
      <c r="W461" t="b">
        <v>0</v>
      </c>
    </row>
    <row r="462" spans="1:23" x14ac:dyDescent="0.25">
      <c r="A462" t="s">
        <v>487</v>
      </c>
      <c r="B462" t="s">
        <v>61</v>
      </c>
      <c r="C462" t="s">
        <v>864</v>
      </c>
      <c r="D462">
        <v>5023677700</v>
      </c>
      <c r="E462" t="s">
        <v>873</v>
      </c>
      <c r="F462">
        <v>3.0939999999999999</v>
      </c>
      <c r="G462" t="s">
        <v>872</v>
      </c>
      <c r="H462" t="s">
        <v>1551</v>
      </c>
      <c r="I462">
        <v>1</v>
      </c>
      <c r="J462">
        <v>3.3239999999999998</v>
      </c>
      <c r="K462">
        <v>3.0939999999999999</v>
      </c>
      <c r="L462">
        <v>1</v>
      </c>
      <c r="M462" t="s">
        <v>1595</v>
      </c>
      <c r="N462">
        <v>1</v>
      </c>
      <c r="O462">
        <v>15543258803.799999</v>
      </c>
      <c r="P462">
        <v>655671145570.65002</v>
      </c>
      <c r="Q462">
        <v>528770969301.04999</v>
      </c>
      <c r="R462">
        <v>80.645758605229602</v>
      </c>
      <c r="S462">
        <v>1</v>
      </c>
      <c r="T462">
        <v>7.3311446606300771E-3</v>
      </c>
      <c r="U462">
        <v>7.3311446606300771E-3</v>
      </c>
      <c r="V462">
        <v>1</v>
      </c>
      <c r="W462" t="b">
        <v>0</v>
      </c>
    </row>
    <row r="463" spans="1:23" x14ac:dyDescent="0.25">
      <c r="A463" t="s">
        <v>522</v>
      </c>
      <c r="B463" t="s">
        <v>96</v>
      </c>
      <c r="C463" t="s">
        <v>864</v>
      </c>
      <c r="D463">
        <v>706475400</v>
      </c>
      <c r="E463" t="s">
        <v>873</v>
      </c>
      <c r="F463">
        <v>25.63</v>
      </c>
      <c r="G463" t="s">
        <v>872</v>
      </c>
      <c r="H463" t="s">
        <v>1552</v>
      </c>
      <c r="I463">
        <v>1</v>
      </c>
      <c r="J463">
        <v>25.35</v>
      </c>
      <c r="K463">
        <v>25.63</v>
      </c>
      <c r="L463">
        <v>0.85</v>
      </c>
      <c r="M463" t="s">
        <v>1595</v>
      </c>
      <c r="N463">
        <v>1</v>
      </c>
      <c r="O463">
        <v>15390919826.700001</v>
      </c>
      <c r="P463">
        <v>655671145570.65002</v>
      </c>
      <c r="Q463">
        <v>544161889127.74988</v>
      </c>
      <c r="R463">
        <v>82.993112142238573</v>
      </c>
      <c r="S463">
        <v>1</v>
      </c>
      <c r="T463">
        <v>7.2592923487905881E-3</v>
      </c>
      <c r="U463">
        <v>7.2592923487905881E-3</v>
      </c>
      <c r="V463">
        <v>1</v>
      </c>
      <c r="W463" t="b">
        <v>0</v>
      </c>
    </row>
    <row r="464" spans="1:23" x14ac:dyDescent="0.25">
      <c r="A464" t="s">
        <v>444</v>
      </c>
      <c r="B464" t="s">
        <v>18</v>
      </c>
      <c r="C464" t="s">
        <v>864</v>
      </c>
      <c r="D464">
        <v>271664580</v>
      </c>
      <c r="E464" t="s">
        <v>873</v>
      </c>
      <c r="F464">
        <v>72.3</v>
      </c>
      <c r="G464" t="s">
        <v>872</v>
      </c>
      <c r="H464" t="s">
        <v>1553</v>
      </c>
      <c r="I464">
        <v>1</v>
      </c>
      <c r="J464">
        <v>85.4</v>
      </c>
      <c r="K464">
        <v>72.3</v>
      </c>
      <c r="L464">
        <v>0.75</v>
      </c>
      <c r="M464" t="s">
        <v>1595</v>
      </c>
      <c r="N464">
        <v>1</v>
      </c>
      <c r="O464">
        <v>14731011850.5</v>
      </c>
      <c r="P464">
        <v>655671145570.65002</v>
      </c>
      <c r="Q464">
        <v>558892900978.25</v>
      </c>
      <c r="R464">
        <v>85.239819496987153</v>
      </c>
      <c r="S464">
        <v>1</v>
      </c>
      <c r="T464">
        <v>6.948039676664775E-3</v>
      </c>
      <c r="U464">
        <v>6.948039676664775E-3</v>
      </c>
      <c r="V464">
        <v>1</v>
      </c>
      <c r="W464" t="b">
        <v>0</v>
      </c>
    </row>
    <row r="465" spans="1:23" x14ac:dyDescent="0.25">
      <c r="A465" t="s">
        <v>808</v>
      </c>
      <c r="B465" t="s">
        <v>382</v>
      </c>
      <c r="C465" t="s">
        <v>864</v>
      </c>
      <c r="D465">
        <v>5670161600</v>
      </c>
      <c r="E465" t="s">
        <v>873</v>
      </c>
      <c r="F465">
        <v>3.6739999999999999</v>
      </c>
      <c r="G465" t="s">
        <v>872</v>
      </c>
      <c r="H465" t="s">
        <v>1554</v>
      </c>
      <c r="I465">
        <v>1</v>
      </c>
      <c r="J465">
        <v>3.6720000000000002</v>
      </c>
      <c r="K465">
        <v>3.6739999999999999</v>
      </c>
      <c r="L465">
        <v>0.65</v>
      </c>
      <c r="M465" t="s">
        <v>1595</v>
      </c>
      <c r="N465">
        <v>1</v>
      </c>
      <c r="O465">
        <v>13540912916.959999</v>
      </c>
      <c r="P465">
        <v>655671145570.65002</v>
      </c>
      <c r="Q465">
        <v>572433813895.20996</v>
      </c>
      <c r="R465">
        <v>87.305018340711612</v>
      </c>
      <c r="S465">
        <v>1</v>
      </c>
      <c r="T465">
        <v>6.3867167551092067E-3</v>
      </c>
      <c r="U465">
        <v>6.3867167551092067E-3</v>
      </c>
      <c r="V465">
        <v>1</v>
      </c>
      <c r="W465" t="b">
        <v>0</v>
      </c>
    </row>
    <row r="466" spans="1:23" x14ac:dyDescent="0.25">
      <c r="A466" t="s">
        <v>573</v>
      </c>
      <c r="B466" t="s">
        <v>147</v>
      </c>
      <c r="C466" t="s">
        <v>864</v>
      </c>
      <c r="D466">
        <v>1058752100</v>
      </c>
      <c r="E466" t="s">
        <v>873</v>
      </c>
      <c r="F466">
        <v>30.88</v>
      </c>
      <c r="G466" t="s">
        <v>872</v>
      </c>
      <c r="H466" t="s">
        <v>1555</v>
      </c>
      <c r="I466">
        <v>1</v>
      </c>
      <c r="J466">
        <v>30.19</v>
      </c>
      <c r="K466">
        <v>30.88</v>
      </c>
      <c r="L466">
        <v>0.3</v>
      </c>
      <c r="M466" t="s">
        <v>1595</v>
      </c>
      <c r="N466">
        <v>1</v>
      </c>
      <c r="O466">
        <v>9808279454.3999996</v>
      </c>
      <c r="P466">
        <v>655671145570.65002</v>
      </c>
      <c r="Q466">
        <v>582242093349.60999</v>
      </c>
      <c r="R466">
        <v>88.800932797319831</v>
      </c>
      <c r="S466">
        <v>1</v>
      </c>
      <c r="T466">
        <v>4.6261801633588418E-3</v>
      </c>
      <c r="U466">
        <v>4.6261801633588418E-3</v>
      </c>
      <c r="V466">
        <v>1</v>
      </c>
      <c r="W466" t="b">
        <v>0</v>
      </c>
    </row>
    <row r="467" spans="1:23" x14ac:dyDescent="0.25">
      <c r="A467" t="s">
        <v>489</v>
      </c>
      <c r="B467" t="s">
        <v>63</v>
      </c>
      <c r="C467" t="s">
        <v>864</v>
      </c>
      <c r="D467">
        <v>898866150</v>
      </c>
      <c r="E467" t="s">
        <v>873</v>
      </c>
      <c r="F467">
        <v>13.35</v>
      </c>
      <c r="G467" t="s">
        <v>872</v>
      </c>
      <c r="H467" t="s">
        <v>1556</v>
      </c>
      <c r="I467">
        <v>1</v>
      </c>
      <c r="J467">
        <v>13.78</v>
      </c>
      <c r="K467">
        <v>13.35</v>
      </c>
      <c r="L467">
        <v>0.7</v>
      </c>
      <c r="M467" t="s">
        <v>1595</v>
      </c>
      <c r="N467">
        <v>1</v>
      </c>
      <c r="O467">
        <v>8399904171.749999</v>
      </c>
      <c r="P467">
        <v>655671145570.65002</v>
      </c>
      <c r="Q467">
        <v>590641997521.35999</v>
      </c>
      <c r="R467">
        <v>90.08204822057661</v>
      </c>
      <c r="S467">
        <v>1</v>
      </c>
      <c r="T467">
        <v>3.9619048615129587E-3</v>
      </c>
      <c r="U467">
        <v>3.9619048615129587E-3</v>
      </c>
      <c r="V467">
        <v>1</v>
      </c>
      <c r="W467" t="b">
        <v>0</v>
      </c>
    </row>
    <row r="468" spans="1:23" x14ac:dyDescent="0.25">
      <c r="A468" t="s">
        <v>704</v>
      </c>
      <c r="B468" t="s">
        <v>278</v>
      </c>
      <c r="C468" t="s">
        <v>864</v>
      </c>
      <c r="D468">
        <v>969613830</v>
      </c>
      <c r="E468" t="s">
        <v>873</v>
      </c>
      <c r="F468">
        <v>26.42</v>
      </c>
      <c r="G468" t="s">
        <v>872</v>
      </c>
      <c r="H468" t="s">
        <v>1557</v>
      </c>
      <c r="I468">
        <v>1</v>
      </c>
      <c r="J468">
        <v>24.42</v>
      </c>
      <c r="K468">
        <v>26.42</v>
      </c>
      <c r="L468">
        <v>0.25</v>
      </c>
      <c r="M468" t="s">
        <v>1595</v>
      </c>
      <c r="N468">
        <v>0</v>
      </c>
      <c r="O468">
        <v>6404299347.1500006</v>
      </c>
      <c r="P468">
        <v>655671145570.65002</v>
      </c>
      <c r="Q468">
        <v>597046296868.51001</v>
      </c>
      <c r="R468">
        <v>91.05880301456348</v>
      </c>
      <c r="S468">
        <v>1</v>
      </c>
      <c r="T468">
        <v>3.0206564502713502E-3</v>
      </c>
      <c r="U468">
        <v>3.0206564502713502E-3</v>
      </c>
      <c r="V468">
        <v>1</v>
      </c>
      <c r="W468" t="b">
        <v>0</v>
      </c>
    </row>
    <row r="469" spans="1:23" x14ac:dyDescent="0.25">
      <c r="A469" t="s">
        <v>748</v>
      </c>
      <c r="B469" t="s">
        <v>322</v>
      </c>
      <c r="C469" t="s">
        <v>864</v>
      </c>
      <c r="D469">
        <v>541080000</v>
      </c>
      <c r="E469" t="s">
        <v>873</v>
      </c>
      <c r="F469">
        <v>15.04</v>
      </c>
      <c r="G469" t="s">
        <v>872</v>
      </c>
      <c r="H469" t="s">
        <v>1558</v>
      </c>
      <c r="I469">
        <v>1</v>
      </c>
      <c r="J469">
        <v>14.71</v>
      </c>
      <c r="K469">
        <v>15.04</v>
      </c>
      <c r="L469">
        <v>0.75</v>
      </c>
      <c r="M469" t="s">
        <v>1595</v>
      </c>
      <c r="N469">
        <v>1</v>
      </c>
      <c r="O469">
        <v>6103382400</v>
      </c>
      <c r="P469">
        <v>655671145570.65002</v>
      </c>
      <c r="Q469">
        <v>603149679268.51001</v>
      </c>
      <c r="R469">
        <v>91.989663315681057</v>
      </c>
      <c r="S469">
        <v>1</v>
      </c>
      <c r="T469">
        <v>2.8787257458908438E-3</v>
      </c>
      <c r="U469">
        <v>2.8787257458908438E-3</v>
      </c>
      <c r="V469">
        <v>1</v>
      </c>
      <c r="W469" t="b">
        <v>0</v>
      </c>
    </row>
    <row r="470" spans="1:23" x14ac:dyDescent="0.25">
      <c r="A470" t="s">
        <v>695</v>
      </c>
      <c r="B470" t="s">
        <v>269</v>
      </c>
      <c r="C470" t="s">
        <v>864</v>
      </c>
      <c r="D470">
        <v>563724900</v>
      </c>
      <c r="E470" t="s">
        <v>873</v>
      </c>
      <c r="F470">
        <v>12.37</v>
      </c>
      <c r="G470" t="s">
        <v>872</v>
      </c>
      <c r="H470" t="s">
        <v>1559</v>
      </c>
      <c r="I470">
        <v>1</v>
      </c>
      <c r="J470">
        <v>12.27</v>
      </c>
      <c r="K470">
        <v>12.37</v>
      </c>
      <c r="L470">
        <v>0.65</v>
      </c>
      <c r="M470" t="s">
        <v>1595</v>
      </c>
      <c r="N470">
        <v>1</v>
      </c>
      <c r="O470">
        <v>4532630058.4499998</v>
      </c>
      <c r="P470">
        <v>655671145570.65002</v>
      </c>
      <c r="Q470">
        <v>607682309326.95996</v>
      </c>
      <c r="R470">
        <v>92.680959568241491</v>
      </c>
      <c r="S470">
        <v>1</v>
      </c>
      <c r="T470">
        <v>2.1378635633020038E-3</v>
      </c>
      <c r="U470">
        <v>2.1378635633020038E-3</v>
      </c>
      <c r="V470">
        <v>1</v>
      </c>
      <c r="W470" t="b">
        <v>0</v>
      </c>
    </row>
    <row r="471" spans="1:23" x14ac:dyDescent="0.25">
      <c r="A471" t="s">
        <v>439</v>
      </c>
      <c r="B471" t="s">
        <v>13</v>
      </c>
      <c r="C471" t="s">
        <v>864</v>
      </c>
      <c r="D471">
        <v>54856650</v>
      </c>
      <c r="E471" t="s">
        <v>873</v>
      </c>
      <c r="F471">
        <v>169.1</v>
      </c>
      <c r="G471" t="s">
        <v>872</v>
      </c>
      <c r="H471" t="s">
        <v>1560</v>
      </c>
      <c r="I471">
        <v>1</v>
      </c>
      <c r="J471">
        <v>176.4</v>
      </c>
      <c r="K471">
        <v>169.1</v>
      </c>
      <c r="L471">
        <v>0.45</v>
      </c>
      <c r="M471" t="s">
        <v>1595</v>
      </c>
      <c r="N471">
        <v>1</v>
      </c>
      <c r="O471">
        <v>4174316781.75</v>
      </c>
      <c r="P471">
        <v>655671145570.65002</v>
      </c>
      <c r="Q471">
        <v>611856626108.70996</v>
      </c>
      <c r="R471">
        <v>93.317607499136329</v>
      </c>
      <c r="S471">
        <v>1</v>
      </c>
      <c r="T471">
        <v>1.9688612647190411E-3</v>
      </c>
      <c r="U471">
        <v>1.9688612647190411E-3</v>
      </c>
      <c r="V471">
        <v>1</v>
      </c>
      <c r="W471" t="b">
        <v>0</v>
      </c>
    </row>
    <row r="472" spans="1:23" x14ac:dyDescent="0.25">
      <c r="A472" t="s">
        <v>537</v>
      </c>
      <c r="B472" t="s">
        <v>111</v>
      </c>
      <c r="C472" t="s">
        <v>864</v>
      </c>
      <c r="D472">
        <v>3079553200</v>
      </c>
      <c r="E472" t="s">
        <v>873</v>
      </c>
      <c r="F472">
        <v>3.9380000000000002</v>
      </c>
      <c r="G472" t="s">
        <v>872</v>
      </c>
      <c r="H472" t="s">
        <v>1561</v>
      </c>
      <c r="I472">
        <v>1</v>
      </c>
      <c r="J472">
        <v>4.0919999999999996</v>
      </c>
      <c r="K472">
        <v>3.9380000000000002</v>
      </c>
      <c r="L472">
        <v>0.3</v>
      </c>
      <c r="M472" t="s">
        <v>1595</v>
      </c>
      <c r="N472">
        <v>1</v>
      </c>
      <c r="O472">
        <v>3638184150.48</v>
      </c>
      <c r="P472">
        <v>655671145570.65002</v>
      </c>
      <c r="Q472">
        <v>615494810259.18994</v>
      </c>
      <c r="R472">
        <v>93.872486904011396</v>
      </c>
      <c r="S472">
        <v>1</v>
      </c>
      <c r="T472">
        <v>1.7159885610770159E-3</v>
      </c>
      <c r="U472">
        <v>1.7159885610770159E-3</v>
      </c>
      <c r="V472">
        <v>1</v>
      </c>
      <c r="W472" t="b">
        <v>0</v>
      </c>
    </row>
    <row r="473" spans="1:23" x14ac:dyDescent="0.25">
      <c r="A473" t="s">
        <v>639</v>
      </c>
      <c r="B473" t="s">
        <v>213</v>
      </c>
      <c r="C473" t="s">
        <v>864</v>
      </c>
      <c r="D473">
        <v>176654400</v>
      </c>
      <c r="E473" t="s">
        <v>873</v>
      </c>
      <c r="F473">
        <v>45.06</v>
      </c>
      <c r="G473" t="s">
        <v>872</v>
      </c>
      <c r="H473" t="s">
        <v>1562</v>
      </c>
      <c r="I473">
        <v>1</v>
      </c>
      <c r="J473">
        <v>49.38</v>
      </c>
      <c r="K473">
        <v>45.06</v>
      </c>
      <c r="L473">
        <v>0.45</v>
      </c>
      <c r="M473" t="s">
        <v>1595</v>
      </c>
      <c r="N473">
        <v>1</v>
      </c>
      <c r="O473">
        <v>3582021268.8000002</v>
      </c>
      <c r="P473">
        <v>655671145570.65002</v>
      </c>
      <c r="Q473">
        <v>619076831527.98999</v>
      </c>
      <c r="R473">
        <v>94.41880059998509</v>
      </c>
      <c r="S473">
        <v>1</v>
      </c>
      <c r="T473">
        <v>1.6894987357867579E-3</v>
      </c>
      <c r="U473">
        <v>1.6894987357867579E-3</v>
      </c>
      <c r="V473">
        <v>1</v>
      </c>
      <c r="W473" t="b">
        <v>0</v>
      </c>
    </row>
    <row r="474" spans="1:23" x14ac:dyDescent="0.25">
      <c r="A474" t="s">
        <v>571</v>
      </c>
      <c r="B474" t="s">
        <v>145</v>
      </c>
      <c r="C474" t="s">
        <v>864</v>
      </c>
      <c r="D474">
        <v>261990080</v>
      </c>
      <c r="E474" t="s">
        <v>873</v>
      </c>
      <c r="F474">
        <v>14.06</v>
      </c>
      <c r="G474" t="s">
        <v>872</v>
      </c>
      <c r="H474" t="s">
        <v>1563</v>
      </c>
      <c r="I474">
        <v>1</v>
      </c>
      <c r="J474">
        <v>13.425000000000001</v>
      </c>
      <c r="K474">
        <v>14.06</v>
      </c>
      <c r="L474">
        <v>0.9</v>
      </c>
      <c r="M474" t="s">
        <v>1595</v>
      </c>
      <c r="N474">
        <v>1</v>
      </c>
      <c r="O474">
        <v>3315222472.3200002</v>
      </c>
      <c r="P474">
        <v>655671145570.65002</v>
      </c>
      <c r="Q474">
        <v>622392054000.30994</v>
      </c>
      <c r="R474">
        <v>94.924423349242204</v>
      </c>
      <c r="S474">
        <v>1</v>
      </c>
      <c r="T474">
        <v>1.5636602229648069E-3</v>
      </c>
      <c r="U474">
        <v>1.5636602229648069E-3</v>
      </c>
      <c r="V474">
        <v>1</v>
      </c>
      <c r="W474" t="b">
        <v>0</v>
      </c>
    </row>
    <row r="475" spans="1:23" x14ac:dyDescent="0.25">
      <c r="A475" t="s">
        <v>617</v>
      </c>
      <c r="B475" t="s">
        <v>191</v>
      </c>
      <c r="C475" t="s">
        <v>864</v>
      </c>
      <c r="D475">
        <v>426129800</v>
      </c>
      <c r="E475" t="s">
        <v>873</v>
      </c>
      <c r="F475">
        <v>10.145</v>
      </c>
      <c r="G475" t="s">
        <v>872</v>
      </c>
      <c r="H475" t="s">
        <v>1564</v>
      </c>
      <c r="I475">
        <v>1</v>
      </c>
      <c r="J475">
        <v>10.7</v>
      </c>
      <c r="K475">
        <v>10.145</v>
      </c>
      <c r="L475">
        <v>0.65</v>
      </c>
      <c r="M475" t="s">
        <v>1595</v>
      </c>
      <c r="N475">
        <v>1</v>
      </c>
      <c r="O475">
        <v>2810006433.6500001</v>
      </c>
      <c r="P475">
        <v>655671145570.65002</v>
      </c>
      <c r="Q475">
        <v>625202060433.95996</v>
      </c>
      <c r="R475">
        <v>95.352992831464022</v>
      </c>
      <c r="S475">
        <v>1</v>
      </c>
      <c r="T475">
        <v>1.32536966169237E-3</v>
      </c>
      <c r="U475">
        <v>1.32536966169237E-3</v>
      </c>
      <c r="V475">
        <v>1</v>
      </c>
      <c r="W475" t="b">
        <v>0</v>
      </c>
    </row>
    <row r="476" spans="1:23" x14ac:dyDescent="0.25">
      <c r="A476" t="s">
        <v>442</v>
      </c>
      <c r="B476" t="s">
        <v>16</v>
      </c>
      <c r="C476" t="s">
        <v>864</v>
      </c>
      <c r="D476">
        <v>249335370</v>
      </c>
      <c r="E476" t="s">
        <v>873</v>
      </c>
      <c r="F476">
        <v>11.53</v>
      </c>
      <c r="G476" t="s">
        <v>872</v>
      </c>
      <c r="H476" t="s">
        <v>1565</v>
      </c>
      <c r="I476">
        <v>1</v>
      </c>
      <c r="J476">
        <v>11.89</v>
      </c>
      <c r="K476">
        <v>11.53</v>
      </c>
      <c r="L476">
        <v>0.75</v>
      </c>
      <c r="M476" t="s">
        <v>1595</v>
      </c>
      <c r="N476">
        <v>1</v>
      </c>
      <c r="O476">
        <v>2156127612.0749998</v>
      </c>
      <c r="P476">
        <v>655671145570.65002</v>
      </c>
      <c r="Q476">
        <v>627358188046.03491</v>
      </c>
      <c r="R476">
        <v>95.681835670841735</v>
      </c>
      <c r="S476">
        <v>1</v>
      </c>
      <c r="T476">
        <v>1.0169607049865411E-3</v>
      </c>
      <c r="U476">
        <v>1.0169607049865411E-3</v>
      </c>
      <c r="V476">
        <v>1</v>
      </c>
      <c r="W476" t="b">
        <v>0</v>
      </c>
    </row>
    <row r="477" spans="1:23" x14ac:dyDescent="0.25">
      <c r="A477" t="s">
        <v>598</v>
      </c>
      <c r="B477" t="s">
        <v>172</v>
      </c>
      <c r="C477" t="s">
        <v>864</v>
      </c>
      <c r="D477">
        <v>192129070</v>
      </c>
      <c r="E477" t="s">
        <v>873</v>
      </c>
      <c r="F477">
        <v>23.08</v>
      </c>
      <c r="G477" t="s">
        <v>872</v>
      </c>
      <c r="H477" t="s">
        <v>1566</v>
      </c>
      <c r="I477">
        <v>1</v>
      </c>
      <c r="J477">
        <v>23.54</v>
      </c>
      <c r="K477">
        <v>23.08</v>
      </c>
      <c r="L477">
        <v>0.45</v>
      </c>
      <c r="M477" t="s">
        <v>1595</v>
      </c>
      <c r="N477">
        <v>1</v>
      </c>
      <c r="O477">
        <v>1995452521.02</v>
      </c>
      <c r="P477">
        <v>655671145570.65002</v>
      </c>
      <c r="Q477">
        <v>629353640567.05493</v>
      </c>
      <c r="R477">
        <v>95.986173071457927</v>
      </c>
      <c r="S477">
        <v>1</v>
      </c>
      <c r="T477">
        <v>9.4117657562519177E-4</v>
      </c>
      <c r="U477">
        <v>9.4117657562519177E-4</v>
      </c>
      <c r="V477">
        <v>1</v>
      </c>
      <c r="W477" t="b">
        <v>0</v>
      </c>
    </row>
    <row r="478" spans="1:23" x14ac:dyDescent="0.25">
      <c r="A478" t="s">
        <v>843</v>
      </c>
      <c r="B478" t="s">
        <v>417</v>
      </c>
      <c r="C478" t="s">
        <v>864</v>
      </c>
      <c r="D478">
        <v>46500000</v>
      </c>
      <c r="E478" t="s">
        <v>873</v>
      </c>
      <c r="F478">
        <v>52.3</v>
      </c>
      <c r="G478" t="s">
        <v>872</v>
      </c>
      <c r="H478" t="s">
        <v>1567</v>
      </c>
      <c r="I478">
        <v>1</v>
      </c>
      <c r="J478">
        <v>52.4</v>
      </c>
      <c r="K478">
        <v>52.3</v>
      </c>
      <c r="L478">
        <v>0.8</v>
      </c>
      <c r="M478" t="s">
        <v>1595</v>
      </c>
      <c r="N478">
        <v>1</v>
      </c>
      <c r="O478">
        <v>1945560000</v>
      </c>
      <c r="P478">
        <v>655671145570.65002</v>
      </c>
      <c r="Q478">
        <v>631299200567.05493</v>
      </c>
      <c r="R478">
        <v>96.282901090243428</v>
      </c>
      <c r="S478">
        <v>1</v>
      </c>
      <c r="T478">
        <v>9.1764423316739762E-4</v>
      </c>
      <c r="U478">
        <v>9.1764423316739762E-4</v>
      </c>
      <c r="V478">
        <v>1</v>
      </c>
      <c r="W478" t="b">
        <v>0</v>
      </c>
    </row>
    <row r="479" spans="1:23" x14ac:dyDescent="0.25">
      <c r="A479" t="s">
        <v>525</v>
      </c>
      <c r="B479" t="s">
        <v>99</v>
      </c>
      <c r="C479" t="s">
        <v>864</v>
      </c>
      <c r="D479">
        <v>119807490</v>
      </c>
      <c r="E479" t="s">
        <v>873</v>
      </c>
      <c r="F479">
        <v>29.15</v>
      </c>
      <c r="G479" t="s">
        <v>872</v>
      </c>
      <c r="H479" t="s">
        <v>1568</v>
      </c>
      <c r="I479">
        <v>1</v>
      </c>
      <c r="J479">
        <v>28.15</v>
      </c>
      <c r="K479">
        <v>29.15</v>
      </c>
      <c r="L479">
        <v>0.55000000000000004</v>
      </c>
      <c r="M479" t="s">
        <v>1595</v>
      </c>
      <c r="N479">
        <v>1</v>
      </c>
      <c r="O479">
        <v>1920813583.425</v>
      </c>
      <c r="P479">
        <v>655671145570.65002</v>
      </c>
      <c r="Q479">
        <v>633220014150.47998</v>
      </c>
      <c r="R479">
        <v>96.575854897407424</v>
      </c>
      <c r="S479">
        <v>1</v>
      </c>
      <c r="T479">
        <v>9.0597232047305424E-4</v>
      </c>
      <c r="U479">
        <v>9.0597232047305424E-4</v>
      </c>
      <c r="V479">
        <v>1</v>
      </c>
      <c r="W479" t="b">
        <v>0</v>
      </c>
    </row>
    <row r="480" spans="1:23" x14ac:dyDescent="0.25">
      <c r="A480" t="s">
        <v>616</v>
      </c>
      <c r="B480" t="s">
        <v>190</v>
      </c>
      <c r="C480" t="s">
        <v>864</v>
      </c>
      <c r="D480">
        <v>261425100</v>
      </c>
      <c r="E480" t="s">
        <v>873</v>
      </c>
      <c r="F480">
        <v>7.3049999999999997</v>
      </c>
      <c r="G480" t="s">
        <v>872</v>
      </c>
      <c r="H480" t="s">
        <v>1569</v>
      </c>
      <c r="I480">
        <v>1</v>
      </c>
      <c r="J480">
        <v>7.73</v>
      </c>
      <c r="K480">
        <v>7.3049999999999997</v>
      </c>
      <c r="L480">
        <v>1</v>
      </c>
      <c r="M480" t="s">
        <v>1595</v>
      </c>
      <c r="N480">
        <v>1</v>
      </c>
      <c r="O480">
        <v>1909710355.5</v>
      </c>
      <c r="P480">
        <v>655671145570.65002</v>
      </c>
      <c r="Q480">
        <v>635129724505.97998</v>
      </c>
      <c r="R480">
        <v>96.867115290426227</v>
      </c>
      <c r="S480">
        <v>1</v>
      </c>
      <c r="T480">
        <v>9.0073536397984935E-4</v>
      </c>
      <c r="U480">
        <v>9.0073536397984935E-4</v>
      </c>
      <c r="V480">
        <v>1</v>
      </c>
      <c r="W480" t="b">
        <v>0</v>
      </c>
    </row>
    <row r="481" spans="1:23" x14ac:dyDescent="0.25">
      <c r="A481" t="s">
        <v>763</v>
      </c>
      <c r="B481" t="s">
        <v>337</v>
      </c>
      <c r="C481" t="s">
        <v>864</v>
      </c>
      <c r="D481">
        <v>796857800</v>
      </c>
      <c r="E481" t="s">
        <v>873</v>
      </c>
      <c r="F481">
        <v>3.6720000000000002</v>
      </c>
      <c r="G481" t="s">
        <v>872</v>
      </c>
      <c r="H481" t="s">
        <v>1570</v>
      </c>
      <c r="I481">
        <v>1</v>
      </c>
      <c r="J481">
        <v>3.7440000000000002</v>
      </c>
      <c r="K481">
        <v>3.6720000000000002</v>
      </c>
      <c r="L481">
        <v>0.65</v>
      </c>
      <c r="M481" t="s">
        <v>1595</v>
      </c>
      <c r="N481">
        <v>1</v>
      </c>
      <c r="O481">
        <v>1901940197.04</v>
      </c>
      <c r="P481">
        <v>655671145570.65002</v>
      </c>
      <c r="Q481">
        <v>637031664703.02002</v>
      </c>
      <c r="R481">
        <v>97.157190613991787</v>
      </c>
      <c r="S481">
        <v>1</v>
      </c>
      <c r="T481">
        <v>8.970704854350521E-4</v>
      </c>
      <c r="U481">
        <v>8.970704854350521E-4</v>
      </c>
      <c r="V481">
        <v>1</v>
      </c>
      <c r="W481" t="b">
        <v>0</v>
      </c>
    </row>
    <row r="482" spans="1:23" x14ac:dyDescent="0.25">
      <c r="A482" t="s">
        <v>841</v>
      </c>
      <c r="B482" t="s">
        <v>415</v>
      </c>
      <c r="C482" t="s">
        <v>864</v>
      </c>
      <c r="D482">
        <v>35206257</v>
      </c>
      <c r="E482" t="s">
        <v>873</v>
      </c>
      <c r="F482">
        <v>81.5</v>
      </c>
      <c r="G482" t="s">
        <v>872</v>
      </c>
      <c r="H482" t="s">
        <v>1571</v>
      </c>
      <c r="I482">
        <v>1</v>
      </c>
      <c r="J482">
        <v>83.4</v>
      </c>
      <c r="K482">
        <v>81.5</v>
      </c>
      <c r="L482">
        <v>0.65</v>
      </c>
      <c r="M482" t="s">
        <v>1595</v>
      </c>
      <c r="N482">
        <v>1</v>
      </c>
      <c r="O482">
        <v>1865051464.575</v>
      </c>
      <c r="P482">
        <v>655671145570.65002</v>
      </c>
      <c r="Q482">
        <v>638896716167.59497</v>
      </c>
      <c r="R482">
        <v>97.441639834790081</v>
      </c>
      <c r="S482">
        <v>1</v>
      </c>
      <c r="T482">
        <v>8.7967151926831232E-4</v>
      </c>
      <c r="U482">
        <v>8.7967151926831232E-4</v>
      </c>
      <c r="V482">
        <v>1</v>
      </c>
      <c r="W482" t="b">
        <v>0</v>
      </c>
    </row>
    <row r="483" spans="1:23" x14ac:dyDescent="0.25">
      <c r="A483" t="s">
        <v>828</v>
      </c>
      <c r="B483" t="s">
        <v>402</v>
      </c>
      <c r="C483" t="s">
        <v>864</v>
      </c>
      <c r="D483">
        <v>2571434600</v>
      </c>
      <c r="E483" t="s">
        <v>873</v>
      </c>
      <c r="F483">
        <v>2.39</v>
      </c>
      <c r="G483" t="s">
        <v>872</v>
      </c>
      <c r="H483" t="s">
        <v>1572</v>
      </c>
      <c r="I483">
        <v>1</v>
      </c>
      <c r="J483">
        <v>2.7120000000000002</v>
      </c>
      <c r="K483">
        <v>2.39</v>
      </c>
      <c r="L483">
        <v>0.3</v>
      </c>
      <c r="M483" t="s">
        <v>1595</v>
      </c>
      <c r="N483">
        <v>1</v>
      </c>
      <c r="O483">
        <v>1843718608.2</v>
      </c>
      <c r="P483">
        <v>655671145570.65002</v>
      </c>
      <c r="Q483">
        <v>640740434775.79492</v>
      </c>
      <c r="R483">
        <v>97.722835464741948</v>
      </c>
      <c r="S483">
        <v>1</v>
      </c>
      <c r="T483">
        <v>8.6960964884051411E-4</v>
      </c>
      <c r="U483">
        <v>8.6960964884051411E-4</v>
      </c>
      <c r="V483">
        <v>1</v>
      </c>
      <c r="W483" t="b">
        <v>0</v>
      </c>
    </row>
    <row r="484" spans="1:23" x14ac:dyDescent="0.25">
      <c r="A484" t="s">
        <v>679</v>
      </c>
      <c r="B484" t="s">
        <v>253</v>
      </c>
      <c r="C484" t="s">
        <v>864</v>
      </c>
      <c r="D484">
        <v>132750000</v>
      </c>
      <c r="E484" t="s">
        <v>873</v>
      </c>
      <c r="F484">
        <v>29.34</v>
      </c>
      <c r="G484" t="s">
        <v>872</v>
      </c>
      <c r="H484" t="s">
        <v>1573</v>
      </c>
      <c r="I484">
        <v>1</v>
      </c>
      <c r="J484">
        <v>28.5</v>
      </c>
      <c r="K484">
        <v>29.34</v>
      </c>
      <c r="L484">
        <v>0.45</v>
      </c>
      <c r="M484" t="s">
        <v>1595</v>
      </c>
      <c r="N484">
        <v>1</v>
      </c>
      <c r="O484">
        <v>1752698250</v>
      </c>
      <c r="P484">
        <v>655671145570.65002</v>
      </c>
      <c r="Q484">
        <v>642493133025.79492</v>
      </c>
      <c r="R484">
        <v>97.990149081002201</v>
      </c>
      <c r="S484">
        <v>1</v>
      </c>
      <c r="T484">
        <v>8.26678921027925E-4</v>
      </c>
      <c r="U484">
        <v>8.26678921027925E-4</v>
      </c>
      <c r="V484">
        <v>1</v>
      </c>
      <c r="W484" t="b">
        <v>0</v>
      </c>
    </row>
    <row r="485" spans="1:23" x14ac:dyDescent="0.25">
      <c r="A485" t="s">
        <v>736</v>
      </c>
      <c r="B485" t="s">
        <v>310</v>
      </c>
      <c r="C485" t="s">
        <v>864</v>
      </c>
      <c r="D485">
        <v>174819670</v>
      </c>
      <c r="E485" t="s">
        <v>873</v>
      </c>
      <c r="F485">
        <v>14.15</v>
      </c>
      <c r="G485" t="s">
        <v>872</v>
      </c>
      <c r="H485" t="s">
        <v>1574</v>
      </c>
      <c r="I485">
        <v>1</v>
      </c>
      <c r="J485">
        <v>15.05</v>
      </c>
      <c r="K485">
        <v>14.15</v>
      </c>
      <c r="L485">
        <v>0.7</v>
      </c>
      <c r="M485" t="s">
        <v>1595</v>
      </c>
      <c r="N485">
        <v>1</v>
      </c>
      <c r="O485">
        <v>1731588831.3499999</v>
      </c>
      <c r="P485">
        <v>655671145570.65002</v>
      </c>
      <c r="Q485">
        <v>644224721857.14502</v>
      </c>
      <c r="R485">
        <v>98.2542431841281</v>
      </c>
      <c r="S485">
        <v>1</v>
      </c>
      <c r="T485">
        <v>8.1672243739869287E-4</v>
      </c>
      <c r="U485">
        <v>8.1672243739869287E-4</v>
      </c>
      <c r="V485">
        <v>1</v>
      </c>
      <c r="W485" t="b">
        <v>0</v>
      </c>
    </row>
    <row r="486" spans="1:23" x14ac:dyDescent="0.25">
      <c r="A486" t="s">
        <v>531</v>
      </c>
      <c r="B486" t="s">
        <v>105</v>
      </c>
      <c r="C486" t="s">
        <v>864</v>
      </c>
      <c r="D486">
        <v>627344670</v>
      </c>
      <c r="E486" t="s">
        <v>873</v>
      </c>
      <c r="F486">
        <v>5.085</v>
      </c>
      <c r="G486" t="s">
        <v>872</v>
      </c>
      <c r="H486" t="s">
        <v>1575</v>
      </c>
      <c r="I486">
        <v>1</v>
      </c>
      <c r="J486">
        <v>5.16</v>
      </c>
      <c r="K486">
        <v>5.085</v>
      </c>
      <c r="L486">
        <v>0.4</v>
      </c>
      <c r="M486" t="s">
        <v>1595</v>
      </c>
      <c r="N486">
        <v>1</v>
      </c>
      <c r="O486">
        <v>1276019058.78</v>
      </c>
      <c r="P486">
        <v>655671145570.65002</v>
      </c>
      <c r="Q486">
        <v>645500740915.92493</v>
      </c>
      <c r="R486">
        <v>98.448855844361816</v>
      </c>
      <c r="S486">
        <v>1</v>
      </c>
      <c r="T486">
        <v>6.0184806981082952E-4</v>
      </c>
      <c r="U486">
        <v>6.0184806981082952E-4</v>
      </c>
      <c r="V486">
        <v>1</v>
      </c>
      <c r="W486" t="b">
        <v>0</v>
      </c>
    </row>
    <row r="487" spans="1:23" x14ac:dyDescent="0.25">
      <c r="A487" t="s">
        <v>805</v>
      </c>
      <c r="B487" t="s">
        <v>379</v>
      </c>
      <c r="C487" t="s">
        <v>864</v>
      </c>
      <c r="D487">
        <v>80301260</v>
      </c>
      <c r="E487" t="s">
        <v>873</v>
      </c>
      <c r="F487">
        <v>26.32</v>
      </c>
      <c r="G487" t="s">
        <v>872</v>
      </c>
      <c r="H487" t="s">
        <v>1576</v>
      </c>
      <c r="I487">
        <v>1</v>
      </c>
      <c r="J487">
        <v>28.24</v>
      </c>
      <c r="K487">
        <v>26.32</v>
      </c>
      <c r="L487">
        <v>0.55000000000000004</v>
      </c>
      <c r="M487" t="s">
        <v>1595</v>
      </c>
      <c r="N487">
        <v>1</v>
      </c>
      <c r="O487">
        <v>1162441039.76</v>
      </c>
      <c r="P487">
        <v>655671145570.65002</v>
      </c>
      <c r="Q487">
        <v>646663181955.68494</v>
      </c>
      <c r="R487">
        <v>98.626146098418715</v>
      </c>
      <c r="S487">
        <v>1</v>
      </c>
      <c r="T487">
        <v>5.4827777942231424E-4</v>
      </c>
      <c r="U487">
        <v>5.4827777942231424E-4</v>
      </c>
      <c r="V487">
        <v>1</v>
      </c>
      <c r="W487" t="b">
        <v>0</v>
      </c>
    </row>
    <row r="488" spans="1:23" x14ac:dyDescent="0.25">
      <c r="A488" t="s">
        <v>586</v>
      </c>
      <c r="B488" t="s">
        <v>160</v>
      </c>
      <c r="C488" t="s">
        <v>864</v>
      </c>
      <c r="D488">
        <v>316223940</v>
      </c>
      <c r="E488" t="s">
        <v>873</v>
      </c>
      <c r="F488">
        <v>4.585</v>
      </c>
      <c r="G488" t="s">
        <v>872</v>
      </c>
      <c r="H488" t="s">
        <v>1577</v>
      </c>
      <c r="I488">
        <v>1</v>
      </c>
      <c r="J488">
        <v>4.8250000000000002</v>
      </c>
      <c r="K488">
        <v>4.585</v>
      </c>
      <c r="L488">
        <v>0.8</v>
      </c>
      <c r="M488" t="s">
        <v>1595</v>
      </c>
      <c r="N488">
        <v>1</v>
      </c>
      <c r="O488">
        <v>1159909411.9200001</v>
      </c>
      <c r="P488">
        <v>655671145570.65002</v>
      </c>
      <c r="Q488">
        <v>647823091367.60498</v>
      </c>
      <c r="R488">
        <v>98.803050240038445</v>
      </c>
      <c r="S488">
        <v>1</v>
      </c>
      <c r="T488">
        <v>5.4708371000893085E-4</v>
      </c>
      <c r="U488">
        <v>5.4708371000893085E-4</v>
      </c>
      <c r="V488">
        <v>1</v>
      </c>
      <c r="W488" t="b">
        <v>0</v>
      </c>
    </row>
    <row r="489" spans="1:23" x14ac:dyDescent="0.25">
      <c r="A489" t="s">
        <v>566</v>
      </c>
      <c r="B489" t="s">
        <v>140</v>
      </c>
      <c r="C489" t="s">
        <v>864</v>
      </c>
      <c r="D489">
        <v>87000000</v>
      </c>
      <c r="E489" t="s">
        <v>873</v>
      </c>
      <c r="F489">
        <v>27.4</v>
      </c>
      <c r="G489" t="s">
        <v>872</v>
      </c>
      <c r="H489" t="s">
        <v>1578</v>
      </c>
      <c r="I489">
        <v>1</v>
      </c>
      <c r="J489">
        <v>26.5</v>
      </c>
      <c r="K489">
        <v>27.4</v>
      </c>
      <c r="L489">
        <v>0.45</v>
      </c>
      <c r="M489" t="s">
        <v>1595</v>
      </c>
      <c r="N489">
        <v>1</v>
      </c>
      <c r="O489">
        <v>1072710000</v>
      </c>
      <c r="P489">
        <v>655671145570.65002</v>
      </c>
      <c r="Q489">
        <v>648895801367.60498</v>
      </c>
      <c r="R489">
        <v>98.966655121425504</v>
      </c>
      <c r="S489">
        <v>1</v>
      </c>
      <c r="T489">
        <v>5.0595517247527656E-4</v>
      </c>
      <c r="U489">
        <v>5.0595517247527656E-4</v>
      </c>
      <c r="V489">
        <v>1</v>
      </c>
      <c r="W489" t="b">
        <v>0</v>
      </c>
    </row>
    <row r="490" spans="1:23" x14ac:dyDescent="0.25">
      <c r="A490" t="s">
        <v>672</v>
      </c>
      <c r="B490" t="s">
        <v>246</v>
      </c>
      <c r="C490" t="s">
        <v>864</v>
      </c>
      <c r="D490">
        <v>51235764</v>
      </c>
      <c r="E490" t="s">
        <v>873</v>
      </c>
      <c r="F490">
        <v>57.95</v>
      </c>
      <c r="G490" t="s">
        <v>872</v>
      </c>
      <c r="H490" t="s">
        <v>1579</v>
      </c>
      <c r="I490">
        <v>1</v>
      </c>
      <c r="J490">
        <v>61.85</v>
      </c>
      <c r="K490">
        <v>57.95</v>
      </c>
      <c r="L490">
        <v>0.35</v>
      </c>
      <c r="M490" t="s">
        <v>1595</v>
      </c>
      <c r="N490">
        <v>1</v>
      </c>
      <c r="O490">
        <v>1039189383.33</v>
      </c>
      <c r="P490">
        <v>655671145570.65002</v>
      </c>
      <c r="Q490">
        <v>649934990750.93494</v>
      </c>
      <c r="R490">
        <v>99.125147589845099</v>
      </c>
      <c r="S490">
        <v>1</v>
      </c>
      <c r="T490">
        <v>4.9014481423423524E-4</v>
      </c>
      <c r="U490">
        <v>4.9014481423423524E-4</v>
      </c>
      <c r="V490">
        <v>1</v>
      </c>
      <c r="W490" t="b">
        <v>0</v>
      </c>
    </row>
    <row r="491" spans="1:23" x14ac:dyDescent="0.25">
      <c r="A491" t="s">
        <v>724</v>
      </c>
      <c r="B491" t="s">
        <v>298</v>
      </c>
      <c r="C491" t="s">
        <v>864</v>
      </c>
      <c r="D491">
        <v>18000000</v>
      </c>
      <c r="E491" t="s">
        <v>873</v>
      </c>
      <c r="F491">
        <v>75.650000000000006</v>
      </c>
      <c r="G491" t="s">
        <v>872</v>
      </c>
      <c r="H491" t="s">
        <v>1580</v>
      </c>
      <c r="I491">
        <v>1</v>
      </c>
      <c r="J491">
        <v>75.8</v>
      </c>
      <c r="K491">
        <v>75.650000000000006</v>
      </c>
      <c r="L491">
        <v>0.75</v>
      </c>
      <c r="M491" t="s">
        <v>1595</v>
      </c>
      <c r="N491">
        <v>1</v>
      </c>
      <c r="O491">
        <v>1021275000</v>
      </c>
      <c r="P491">
        <v>655671145570.65002</v>
      </c>
      <c r="Q491">
        <v>650956265750.93494</v>
      </c>
      <c r="R491">
        <v>99.280907837478253</v>
      </c>
      <c r="S491">
        <v>1</v>
      </c>
      <c r="T491">
        <v>4.8169530326899908E-4</v>
      </c>
      <c r="U491">
        <v>4.8169530326899908E-4</v>
      </c>
      <c r="V491">
        <v>1</v>
      </c>
      <c r="W491" t="b">
        <v>0</v>
      </c>
    </row>
    <row r="492" spans="1:23" x14ac:dyDescent="0.25">
      <c r="A492" t="s">
        <v>513</v>
      </c>
      <c r="B492" t="s">
        <v>87</v>
      </c>
      <c r="C492" t="s">
        <v>864</v>
      </c>
      <c r="D492">
        <v>34280750</v>
      </c>
      <c r="E492" t="s">
        <v>873</v>
      </c>
      <c r="F492">
        <v>52.3</v>
      </c>
      <c r="G492" t="s">
        <v>872</v>
      </c>
      <c r="H492" t="s">
        <v>1581</v>
      </c>
      <c r="I492">
        <v>1</v>
      </c>
      <c r="J492">
        <v>54.8</v>
      </c>
      <c r="K492">
        <v>52.3</v>
      </c>
      <c r="L492">
        <v>0.55000000000000004</v>
      </c>
      <c r="M492" t="s">
        <v>1595</v>
      </c>
      <c r="N492">
        <v>1</v>
      </c>
      <c r="O492">
        <v>986085773.75000012</v>
      </c>
      <c r="P492">
        <v>655671145570.65002</v>
      </c>
      <c r="Q492">
        <v>651942351524.68494</v>
      </c>
      <c r="R492">
        <v>99.431301183351621</v>
      </c>
      <c r="S492">
        <v>1</v>
      </c>
      <c r="T492">
        <v>4.6509792742968539E-4</v>
      </c>
      <c r="U492">
        <v>4.6509792742968539E-4</v>
      </c>
      <c r="V492">
        <v>1</v>
      </c>
      <c r="W492" t="b">
        <v>0</v>
      </c>
    </row>
    <row r="493" spans="1:23" x14ac:dyDescent="0.25">
      <c r="A493" t="s">
        <v>536</v>
      </c>
      <c r="B493" t="s">
        <v>110</v>
      </c>
      <c r="C493" t="s">
        <v>864</v>
      </c>
      <c r="D493">
        <v>324761840</v>
      </c>
      <c r="E493" t="s">
        <v>873</v>
      </c>
      <c r="F493">
        <v>20.14</v>
      </c>
      <c r="G493" t="s">
        <v>872</v>
      </c>
      <c r="H493" t="s">
        <v>1582</v>
      </c>
      <c r="I493">
        <v>1</v>
      </c>
      <c r="J493">
        <v>20.48</v>
      </c>
      <c r="K493">
        <v>20.14</v>
      </c>
      <c r="L493">
        <v>0.15</v>
      </c>
      <c r="M493" t="s">
        <v>1595</v>
      </c>
      <c r="N493">
        <v>1</v>
      </c>
      <c r="O493">
        <v>981105518.63999999</v>
      </c>
      <c r="P493">
        <v>655671145570.65002</v>
      </c>
      <c r="Q493">
        <v>652923457043.32495</v>
      </c>
      <c r="R493">
        <v>99.580934963222504</v>
      </c>
      <c r="S493">
        <v>1</v>
      </c>
      <c r="T493">
        <v>4.6274893671164328E-4</v>
      </c>
      <c r="U493">
        <v>4.6274893671164328E-4</v>
      </c>
      <c r="V493">
        <v>1</v>
      </c>
      <c r="W493" t="b">
        <v>0</v>
      </c>
    </row>
    <row r="494" spans="1:23" x14ac:dyDescent="0.25">
      <c r="A494" t="s">
        <v>458</v>
      </c>
      <c r="B494" t="s">
        <v>32</v>
      </c>
      <c r="C494" t="s">
        <v>864</v>
      </c>
      <c r="D494">
        <v>214785200</v>
      </c>
      <c r="E494" t="s">
        <v>873</v>
      </c>
      <c r="F494">
        <v>12.48</v>
      </c>
      <c r="G494" t="s">
        <v>872</v>
      </c>
      <c r="H494" t="s">
        <v>1583</v>
      </c>
      <c r="I494">
        <v>1</v>
      </c>
      <c r="J494">
        <v>13.22</v>
      </c>
      <c r="K494">
        <v>12.48</v>
      </c>
      <c r="L494">
        <v>0.35</v>
      </c>
      <c r="M494" t="s">
        <v>1595</v>
      </c>
      <c r="N494">
        <v>1</v>
      </c>
      <c r="O494">
        <v>938181753.5999999</v>
      </c>
      <c r="P494">
        <v>655671145570.65002</v>
      </c>
      <c r="Q494">
        <v>653861638796.92493</v>
      </c>
      <c r="R494">
        <v>99.724022204431435</v>
      </c>
      <c r="S494">
        <v>1</v>
      </c>
      <c r="T494">
        <v>4.4250348272678109E-4</v>
      </c>
      <c r="U494">
        <v>4.4250348272678109E-4</v>
      </c>
      <c r="V494">
        <v>1</v>
      </c>
      <c r="W494" t="b">
        <v>0</v>
      </c>
    </row>
    <row r="495" spans="1:23" x14ac:dyDescent="0.25">
      <c r="A495" t="s">
        <v>624</v>
      </c>
      <c r="B495" t="s">
        <v>198</v>
      </c>
      <c r="C495" t="s">
        <v>864</v>
      </c>
      <c r="D495">
        <v>247239580</v>
      </c>
      <c r="E495" t="s">
        <v>873</v>
      </c>
      <c r="F495">
        <v>6.19</v>
      </c>
      <c r="G495" t="s">
        <v>872</v>
      </c>
      <c r="H495" t="s">
        <v>1584</v>
      </c>
      <c r="I495">
        <v>1</v>
      </c>
      <c r="J495">
        <v>6.91</v>
      </c>
      <c r="K495">
        <v>6.19</v>
      </c>
      <c r="L495">
        <v>0.6</v>
      </c>
      <c r="M495" t="s">
        <v>1595</v>
      </c>
      <c r="N495">
        <v>1</v>
      </c>
      <c r="O495">
        <v>918247800.12</v>
      </c>
      <c r="P495">
        <v>655671145570.65002</v>
      </c>
      <c r="Q495">
        <v>654779886597.04492</v>
      </c>
      <c r="R495">
        <v>99.864069209141519</v>
      </c>
      <c r="S495">
        <v>1</v>
      </c>
      <c r="T495">
        <v>4.3310141984763628E-4</v>
      </c>
      <c r="U495">
        <v>4.3310141984763628E-4</v>
      </c>
      <c r="V495">
        <v>1</v>
      </c>
      <c r="W495" t="b">
        <v>0</v>
      </c>
    </row>
    <row r="496" spans="1:23" x14ac:dyDescent="0.25">
      <c r="A496" t="s">
        <v>615</v>
      </c>
      <c r="B496" t="s">
        <v>189</v>
      </c>
      <c r="C496" t="s">
        <v>864</v>
      </c>
      <c r="D496">
        <v>28579733</v>
      </c>
      <c r="E496" t="s">
        <v>873</v>
      </c>
      <c r="F496">
        <v>69.3</v>
      </c>
      <c r="G496" t="s">
        <v>872</v>
      </c>
      <c r="H496" t="s">
        <v>1585</v>
      </c>
      <c r="I496">
        <v>1</v>
      </c>
      <c r="J496">
        <v>70.7</v>
      </c>
      <c r="K496">
        <v>69.3</v>
      </c>
      <c r="L496">
        <v>0.45</v>
      </c>
      <c r="M496" t="s">
        <v>1595</v>
      </c>
      <c r="N496">
        <v>0</v>
      </c>
      <c r="O496">
        <v>891258973.6049999</v>
      </c>
      <c r="P496">
        <v>655671145570.65002</v>
      </c>
      <c r="Q496">
        <v>655671145570.65002</v>
      </c>
      <c r="R496">
        <v>100</v>
      </c>
      <c r="S496">
        <v>1</v>
      </c>
      <c r="T496">
        <v>4.2037185046327132E-4</v>
      </c>
      <c r="U496">
        <v>4.2037185046327132E-4</v>
      </c>
      <c r="V496">
        <v>1</v>
      </c>
      <c r="W496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EZMS Composition</vt:lpstr>
      <vt:lpstr>EZMS Inclusions</vt:lpstr>
      <vt:lpstr>EZMS Exclusions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2025-12-15T13:22:29Z</dcterms:created>
  <dcterms:modified xsi:type="dcterms:W3CDTF">2025-12-16T08:40:58Z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2025-12-16T08:40:58Z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a2fbb65b-24e8-4cb0-b89e-fff56dbda8df</vt:lpwstr>
  </property>
  <property fmtid="{D5CDD505-2E9C-101B-9397-08002B2CF9AE}" pid="8" name="MSIP_Label_ac0b9ce6-6e99-42a1-af95-429494370cbc_ContentBits">
    <vt:lpwstr>2</vt:lpwstr>
  </property>
</Properties>
</file>