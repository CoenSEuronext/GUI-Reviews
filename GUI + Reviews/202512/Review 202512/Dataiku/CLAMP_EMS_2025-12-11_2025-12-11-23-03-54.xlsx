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5" documentId="11_C7F22A69EAC36D87AC36FED53C95CAB02D95CE4F" xr6:coauthVersionLast="47" xr6:coauthVersionMax="47" xr10:uidLastSave="{F727FD58-FA36-4D48-9F0D-B07426AFFB9E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<sst xmlns="http://schemas.openxmlformats.org/spreadsheetml/2006/main" count="229" uniqueCount="104">
  <si>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</si>
  <si>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</si>
  <si>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</si>
  <si>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</si>
  <si>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</si>
  <si>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</si>
  <si>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</si>
  <si>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</si>
  <si>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</si>
  <si>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</si>
  <si>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AHOLD DEL</t>
  </si>
  <si>
    <t>ALLIANZ SE</t>
  </si>
  <si>
    <t>ASML HOLDING</t>
  </si>
  <si>
    <t>AXA</t>
  </si>
  <si>
    <t>BANCO SANTANDER CENT</t>
  </si>
  <si>
    <t>BNP PARIBAS ACT.A</t>
  </si>
  <si>
    <t>DANONE</t>
  </si>
  <si>
    <t>DEUTSCHE BANK</t>
  </si>
  <si>
    <t>DEUTSCHE POST</t>
  </si>
  <si>
    <t>DEUTSCHE TELEKOM AG</t>
  </si>
  <si>
    <t>GENERALI</t>
  </si>
  <si>
    <t>HEIDELBERG MAT</t>
  </si>
  <si>
    <t>HEINEKEN</t>
  </si>
  <si>
    <t>INDITEX</t>
  </si>
  <si>
    <t>ING GROEP N.V.</t>
  </si>
  <si>
    <t>INTESA SANPAOLO</t>
  </si>
  <si>
    <t>KBC</t>
  </si>
  <si>
    <t>KONE OYJ</t>
  </si>
  <si>
    <t>L'OREAL</t>
  </si>
  <si>
    <t>MERCEDES-BENZ GROUP</t>
  </si>
  <si>
    <t>MUNICH RE</t>
  </si>
  <si>
    <t>NOKIA</t>
  </si>
  <si>
    <t>NORDEA BANK ABP</t>
  </si>
  <si>
    <t>ORANGE</t>
  </si>
  <si>
    <t>PRYSMIAN</t>
  </si>
  <si>
    <t>RELX</t>
  </si>
  <si>
    <t>RYANAIR HOLD. PLC</t>
  </si>
  <si>
    <t>SAFRAN</t>
  </si>
  <si>
    <t>SAINT GOBAIN</t>
  </si>
  <si>
    <t>SANOFI</t>
  </si>
  <si>
    <t>SAP</t>
  </si>
  <si>
    <t>SIEMENS AG</t>
  </si>
  <si>
    <t>SOCIETE GENERALE</t>
  </si>
  <si>
    <t>UCB</t>
  </si>
  <si>
    <t>UNICREDIT</t>
  </si>
  <si>
    <t>UNILEVER</t>
  </si>
  <si>
    <t>VINCI</t>
  </si>
  <si>
    <t>WOLTERS KLUWER</t>
  </si>
  <si>
    <t>BE0974293251</t>
  </si>
  <si>
    <t>DE000A1EWWW0</t>
  </si>
  <si>
    <t>NL0011794037</t>
  </si>
  <si>
    <t>DE0008404005</t>
  </si>
  <si>
    <t>NL0010273215</t>
  </si>
  <si>
    <t>FR0000120628</t>
  </si>
  <si>
    <t>ES0113900J37</t>
  </si>
  <si>
    <t>FR0000131104</t>
  </si>
  <si>
    <t>FR0000120644</t>
  </si>
  <si>
    <t>DE0005140008</t>
  </si>
  <si>
    <t>DE0005552004</t>
  </si>
  <si>
    <t>DE0005557508</t>
  </si>
  <si>
    <t>IT0000062072</t>
  </si>
  <si>
    <t>DE0006047004</t>
  </si>
  <si>
    <t>NL0000009165</t>
  </si>
  <si>
    <t>ES0148396007</t>
  </si>
  <si>
    <t>NL0011821202</t>
  </si>
  <si>
    <t>IT0000072618</t>
  </si>
  <si>
    <t>BE0003565737</t>
  </si>
  <si>
    <t>FI0009013403</t>
  </si>
  <si>
    <t>FR0000120321</t>
  </si>
  <si>
    <t>DE0007100000</t>
  </si>
  <si>
    <t>DE0008430026</t>
  </si>
  <si>
    <t>FI0009000681</t>
  </si>
  <si>
    <t>FI4000297767</t>
  </si>
  <si>
    <t>FR0000133308</t>
  </si>
  <si>
    <t>IT0004176001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</si>
  <si>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</si>
  <si>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</si>
  <si>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</si>
  <si>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</si>
  <si>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</si>
  <si>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</si>
  <si>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</si>
  <si>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FR0000130809</t>
  </si>
  <si>
    <t>BE0003739530</t>
  </si>
  <si>
    <t>IT0005239360</t>
  </si>
  <si>
    <t>GB00BVZK7T90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</si>
  <si>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</si>
  <si>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</si>
  <si>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</si>
  <si>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</si>
  <si>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</si>
  <si>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</si>
  <si>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</si>
  <si>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</si>
  <si>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</si>
  <si>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</si>
  <si>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</si>
  <si>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</si>
  <si>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MAGNUM</t>
  </si>
  <si>
    <t>MTU AERO ENGINES AG</t>
  </si>
  <si>
    <t>VOLKSWAGEN PREF</t>
  </si>
  <si>
    <t>NL0015002MS2</t>
  </si>
  <si>
    <t>DE000A0D9PT0</t>
  </si>
  <si>
    <t>DE0007664039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</si>
</sst>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CLAMP_df_20251212_163321.xlsx" TargetMode="External"/><Relationship Id="rId1" Type="http://schemas.openxmlformats.org/officeDocument/2006/relationships/externalLinkPath" Target="/personal/csonneveld_euronext_com/Documents/Documents/Projects/GUI%20+%20Reviews/202512/Review%20202512/Coen/CLAMP_df_20251212_1633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Index Market Cap"/>
      <sheetName val="Full Universe"/>
      <sheetName val="Top 75 Carbon Budget"/>
      <sheetName val="Final Selection"/>
    </sheetNames>
    <sheetDataSet>
      <sheetData sheetId="0">
        <row r="2">
          <cell r="B2" t="str">
            <v>BE0974293251</v>
          </cell>
        </row>
        <row r="3">
          <cell r="B3" t="str">
            <v>DE000A1EWWW0</v>
          </cell>
        </row>
        <row r="4">
          <cell r="B4" t="str">
            <v>NL0012969182</v>
          </cell>
        </row>
        <row r="5">
          <cell r="B5" t="str">
            <v>NL0011794037</v>
          </cell>
        </row>
        <row r="6">
          <cell r="B6" t="str">
            <v>DE0008404005</v>
          </cell>
        </row>
        <row r="7">
          <cell r="B7" t="str">
            <v>NL0010273215</v>
          </cell>
        </row>
        <row r="8">
          <cell r="B8" t="str">
            <v>FR0000120628</v>
          </cell>
        </row>
        <row r="9">
          <cell r="B9" t="str">
            <v>ES0113900J37</v>
          </cell>
        </row>
        <row r="10">
          <cell r="B10" t="str">
            <v>FR0000131104</v>
          </cell>
        </row>
        <row r="11">
          <cell r="B11" t="str">
            <v>ES0140609019</v>
          </cell>
        </row>
        <row r="12">
          <cell r="B12" t="str">
            <v>FR0000120644</v>
          </cell>
        </row>
        <row r="13">
          <cell r="B13" t="str">
            <v>DE0005140008</v>
          </cell>
        </row>
        <row r="14">
          <cell r="B14" t="str">
            <v>DE0005552004</v>
          </cell>
        </row>
        <row r="15">
          <cell r="B15" t="str">
            <v>DE0005557508</v>
          </cell>
        </row>
        <row r="16">
          <cell r="B16" t="str">
            <v>DE000ENAG999</v>
          </cell>
        </row>
        <row r="17">
          <cell r="B17" t="str">
            <v>FR0010208488</v>
          </cell>
        </row>
        <row r="18">
          <cell r="B18" t="str">
            <v>IT0000062072</v>
          </cell>
        </row>
        <row r="19">
          <cell r="B19" t="str">
            <v>DE0006047004</v>
          </cell>
        </row>
        <row r="20">
          <cell r="B20" t="str">
            <v>ES0144580Y14</v>
          </cell>
        </row>
        <row r="21">
          <cell r="B21" t="str">
            <v>ES0148396007</v>
          </cell>
        </row>
        <row r="22">
          <cell r="B22" t="str">
            <v>NL0011821202</v>
          </cell>
        </row>
        <row r="23">
          <cell r="B23" t="str">
            <v>IT0000072618</v>
          </cell>
        </row>
        <row r="24">
          <cell r="B24" t="str">
            <v>FR0000120321</v>
          </cell>
        </row>
        <row r="25">
          <cell r="B25" t="str">
            <v>DE0007100000</v>
          </cell>
        </row>
        <row r="26">
          <cell r="B26" t="str">
            <v>DE0008430026</v>
          </cell>
        </row>
        <row r="27">
          <cell r="B27" t="str">
            <v>FI0009000681</v>
          </cell>
        </row>
        <row r="28">
          <cell r="B28" t="str">
            <v>FI4000297767</v>
          </cell>
        </row>
        <row r="29">
          <cell r="B29" t="str">
            <v>GB00B2B0DG97</v>
          </cell>
        </row>
        <row r="30">
          <cell r="B30" t="str">
            <v>IE00BYTBXV33</v>
          </cell>
        </row>
        <row r="31">
          <cell r="B31" t="str">
            <v>FR0000073272</v>
          </cell>
        </row>
        <row r="32">
          <cell r="B32" t="str">
            <v>FR0000125007</v>
          </cell>
        </row>
        <row r="33">
          <cell r="B33" t="str">
            <v>FR0000120578</v>
          </cell>
        </row>
        <row r="34">
          <cell r="B34" t="str">
            <v>DE0007164600</v>
          </cell>
        </row>
        <row r="35">
          <cell r="B35" t="str">
            <v>DE0007236101</v>
          </cell>
        </row>
        <row r="36">
          <cell r="B36" t="str">
            <v>DE000ENER6Y0</v>
          </cell>
        </row>
        <row r="37">
          <cell r="B37" t="str">
            <v>FR0000130809</v>
          </cell>
        </row>
        <row r="38">
          <cell r="B38" t="str">
            <v>BE0003739530</v>
          </cell>
        </row>
        <row r="39">
          <cell r="B39" t="str">
            <v>IT0005239360</v>
          </cell>
        </row>
        <row r="40">
          <cell r="B40" t="str">
            <v>GB00BVZK7T90</v>
          </cell>
        </row>
        <row r="41">
          <cell r="B41" t="str">
            <v>FR0000125486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J11" sqref="J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  <c r="I2" t="b">
        <f>ISNUMBER(MATCH(B2,'[1]Index Composition'!$B$2:$B$41,0))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  <c r="I3" t="b">
        <f>ISNUMBER(MATCH(B3,'[1]Index Composition'!$B$2:$B$41,0))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2207788</v>
      </c>
      <c r="E4">
        <v>1</v>
      </c>
      <c r="F4">
        <v>1</v>
      </c>
      <c r="G4" t="s">
        <v>96</v>
      </c>
      <c r="H4" t="s">
        <v>97</v>
      </c>
      <c r="I4" t="b">
        <f>ISNUMBER(MATCH(B4,'[1]Index Composition'!$B$2:$B$41,0))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200311</v>
      </c>
      <c r="E5">
        <v>1</v>
      </c>
      <c r="F5">
        <v>1</v>
      </c>
      <c r="G5" t="s">
        <v>96</v>
      </c>
      <c r="H5" t="s">
        <v>97</v>
      </c>
      <c r="I5" t="b">
        <f>ISNUMBER(MATCH(B5,'[1]Index Composition'!$B$2:$B$41,0))</f>
        <v>1</v>
      </c>
    </row>
    <row r="6" spans="1:9" x14ac:dyDescent="0.25">
      <c r="A6" t="s">
        <v>12</v>
      </c>
      <c r="B6" t="s">
        <v>52</v>
      </c>
      <c r="C6" t="s">
        <v>90</v>
      </c>
      <c r="D6">
        <v>81751</v>
      </c>
      <c r="E6">
        <v>1</v>
      </c>
      <c r="F6">
        <v>1</v>
      </c>
      <c r="G6" t="s">
        <v>96</v>
      </c>
      <c r="H6" t="s">
        <v>97</v>
      </c>
      <c r="I6" t="b">
        <f>ISNUMBER(MATCH(B6,'[1]Index Composition'!$B$2:$B$41,0))</f>
        <v>1</v>
      </c>
    </row>
    <row r="7" spans="1:9" x14ac:dyDescent="0.25">
      <c r="A7" t="s">
        <v>13</v>
      </c>
      <c r="B7" t="s">
        <v>53</v>
      </c>
      <c r="C7" t="s">
        <v>91</v>
      </c>
      <c r="D7">
        <v>1927320</v>
      </c>
      <c r="E7">
        <v>1</v>
      </c>
      <c r="F7">
        <v>1</v>
      </c>
      <c r="G7" t="s">
        <v>96</v>
      </c>
      <c r="H7" t="s">
        <v>97</v>
      </c>
      <c r="I7" t="b">
        <f>ISNUMBER(MATCH(B7,'[1]Index Composition'!$B$2:$B$41,0))</f>
        <v>1</v>
      </c>
    </row>
    <row r="8" spans="1:9" x14ac:dyDescent="0.25">
      <c r="A8" t="s">
        <v>14</v>
      </c>
      <c r="B8" t="s">
        <v>54</v>
      </c>
      <c r="C8" t="s">
        <v>92</v>
      </c>
      <c r="D8">
        <v>7866572</v>
      </c>
      <c r="E8">
        <v>1</v>
      </c>
      <c r="F8">
        <v>1</v>
      </c>
      <c r="G8" t="s">
        <v>96</v>
      </c>
      <c r="H8" t="s">
        <v>97</v>
      </c>
      <c r="I8" t="b">
        <f>ISNUMBER(MATCH(B8,'[1]Index Composition'!$B$2:$B$41,0))</f>
        <v>1</v>
      </c>
    </row>
    <row r="9" spans="1:9" x14ac:dyDescent="0.25">
      <c r="A9" t="s">
        <v>15</v>
      </c>
      <c r="B9" t="s">
        <v>55</v>
      </c>
      <c r="C9" t="s">
        <v>91</v>
      </c>
      <c r="D9">
        <v>977747</v>
      </c>
      <c r="E9">
        <v>1</v>
      </c>
      <c r="F9">
        <v>1</v>
      </c>
      <c r="G9" t="s">
        <v>96</v>
      </c>
      <c r="H9" t="s">
        <v>97</v>
      </c>
      <c r="I9" t="b">
        <f>ISNUMBER(MATCH(B9,'[1]Index Composition'!$B$2:$B$41,0))</f>
        <v>1</v>
      </c>
    </row>
    <row r="10" spans="1:9" x14ac:dyDescent="0.25">
      <c r="A10" t="s">
        <v>16</v>
      </c>
      <c r="B10" t="s">
        <v>56</v>
      </c>
      <c r="C10" t="s">
        <v>91</v>
      </c>
      <c r="D10">
        <v>1015303</v>
      </c>
      <c r="E10">
        <v>1</v>
      </c>
      <c r="F10">
        <v>1</v>
      </c>
      <c r="G10" t="s">
        <v>96</v>
      </c>
      <c r="H10" t="s">
        <v>97</v>
      </c>
      <c r="I10" t="b">
        <f>ISNUMBER(MATCH(B10,'[1]Index Composition'!$B$2:$B$41,0))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2358765</v>
      </c>
      <c r="E11">
        <v>1</v>
      </c>
      <c r="F11">
        <v>1</v>
      </c>
      <c r="G11" t="s">
        <v>96</v>
      </c>
      <c r="H11" t="s">
        <v>97</v>
      </c>
      <c r="I11" t="b">
        <f>ISNUMBER(MATCH(B11,'[1]Index Composition'!$B$2:$B$41,0))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1636582</v>
      </c>
      <c r="E12">
        <v>1</v>
      </c>
      <c r="F12">
        <v>1</v>
      </c>
      <c r="G12" t="s">
        <v>96</v>
      </c>
      <c r="H12" t="s">
        <v>97</v>
      </c>
      <c r="I12" t="b">
        <f>ISNUMBER(MATCH(B12,'[1]Index Composition'!$B$2:$B$41,0))</f>
        <v>1</v>
      </c>
    </row>
    <row r="13" spans="1:9" x14ac:dyDescent="0.25">
      <c r="A13" t="s">
        <v>19</v>
      </c>
      <c r="B13" t="s">
        <v>59</v>
      </c>
      <c r="C13" t="s">
        <v>89</v>
      </c>
      <c r="D13">
        <v>2857331</v>
      </c>
      <c r="E13">
        <v>1</v>
      </c>
      <c r="F13">
        <v>1</v>
      </c>
      <c r="G13" t="s">
        <v>96</v>
      </c>
      <c r="H13" t="s">
        <v>97</v>
      </c>
      <c r="I13" t="b">
        <f>ISNUMBER(MATCH(B13,'[1]Index Composition'!$B$2:$B$41,0))</f>
        <v>1</v>
      </c>
    </row>
    <row r="14" spans="1:9" x14ac:dyDescent="0.25">
      <c r="A14" t="s">
        <v>20</v>
      </c>
      <c r="B14" t="s">
        <v>60</v>
      </c>
      <c r="C14" t="s">
        <v>93</v>
      </c>
      <c r="D14">
        <v>2229546</v>
      </c>
      <c r="E14">
        <v>1</v>
      </c>
      <c r="F14">
        <v>1</v>
      </c>
      <c r="G14" t="s">
        <v>96</v>
      </c>
      <c r="H14" t="s">
        <v>97</v>
      </c>
      <c r="I14" t="b">
        <f>ISNUMBER(MATCH(B14,'[1]Index Composition'!$B$2:$B$41,0))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342320</v>
      </c>
      <c r="E15">
        <v>1</v>
      </c>
      <c r="F15">
        <v>1</v>
      </c>
      <c r="G15" t="s">
        <v>96</v>
      </c>
      <c r="H15" t="s">
        <v>97</v>
      </c>
      <c r="I15" t="b">
        <f>ISNUMBER(MATCH(B15,'[1]Index Composition'!$B$2:$B$41,0))</f>
        <v>1</v>
      </c>
    </row>
    <row r="16" spans="1:9" x14ac:dyDescent="0.25">
      <c r="A16" t="s">
        <v>22</v>
      </c>
      <c r="B16" t="s">
        <v>62</v>
      </c>
      <c r="C16" t="s">
        <v>90</v>
      </c>
      <c r="D16">
        <v>1114450</v>
      </c>
      <c r="E16">
        <v>1</v>
      </c>
      <c r="F16">
        <v>1</v>
      </c>
      <c r="G16" t="s">
        <v>96</v>
      </c>
      <c r="H16" t="s">
        <v>97</v>
      </c>
      <c r="I16" t="b">
        <f>ISNUMBER(MATCH(B16,'[1]Index Composition'!$B$2:$B$41,0))</f>
        <v>0</v>
      </c>
    </row>
    <row r="17" spans="1:9" x14ac:dyDescent="0.25">
      <c r="A17" t="s">
        <v>23</v>
      </c>
      <c r="B17" t="s">
        <v>63</v>
      </c>
      <c r="C17" t="s">
        <v>92</v>
      </c>
      <c r="D17">
        <v>1396502</v>
      </c>
      <c r="E17">
        <v>1</v>
      </c>
      <c r="F17">
        <v>1</v>
      </c>
      <c r="G17" t="s">
        <v>96</v>
      </c>
      <c r="H17" t="s">
        <v>97</v>
      </c>
      <c r="I17" t="b">
        <f>ISNUMBER(MATCH(B17,'[1]Index Composition'!$B$2:$B$41,0))</f>
        <v>1</v>
      </c>
    </row>
    <row r="18" spans="1:9" x14ac:dyDescent="0.25">
      <c r="A18" t="s">
        <v>24</v>
      </c>
      <c r="B18" t="s">
        <v>64</v>
      </c>
      <c r="C18" t="s">
        <v>90</v>
      </c>
      <c r="D18">
        <v>3273860</v>
      </c>
      <c r="E18">
        <v>1</v>
      </c>
      <c r="F18">
        <v>1</v>
      </c>
      <c r="G18" t="s">
        <v>96</v>
      </c>
      <c r="H18" t="s">
        <v>97</v>
      </c>
      <c r="I18" t="b">
        <f>ISNUMBER(MATCH(B18,'[1]Index Composition'!$B$2:$B$41,0))</f>
        <v>1</v>
      </c>
    </row>
    <row r="19" spans="1:9" x14ac:dyDescent="0.25">
      <c r="A19" t="s">
        <v>25</v>
      </c>
      <c r="B19" t="s">
        <v>65</v>
      </c>
      <c r="C19" t="s">
        <v>93</v>
      </c>
      <c r="D19">
        <v>13438040</v>
      </c>
      <c r="E19">
        <v>1</v>
      </c>
      <c r="F19">
        <v>1</v>
      </c>
      <c r="G19" t="s">
        <v>96</v>
      </c>
      <c r="H19" t="s">
        <v>97</v>
      </c>
      <c r="I19" t="b">
        <f>ISNUMBER(MATCH(B19,'[1]Index Composition'!$B$2:$B$41,0))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704712</v>
      </c>
      <c r="E20">
        <v>1</v>
      </c>
      <c r="F20">
        <v>1</v>
      </c>
      <c r="G20" t="s">
        <v>96</v>
      </c>
      <c r="H20" t="s">
        <v>97</v>
      </c>
      <c r="I20" t="b">
        <f>ISNUMBER(MATCH(B20,'[1]Index Composition'!$B$2:$B$41,0))</f>
        <v>0</v>
      </c>
    </row>
    <row r="21" spans="1:9" x14ac:dyDescent="0.25">
      <c r="A21" t="s">
        <v>27</v>
      </c>
      <c r="B21" t="s">
        <v>67</v>
      </c>
      <c r="C21" t="s">
        <v>94</v>
      </c>
      <c r="D21">
        <v>1305931</v>
      </c>
      <c r="E21">
        <v>1</v>
      </c>
      <c r="F21">
        <v>1</v>
      </c>
      <c r="G21" t="s">
        <v>96</v>
      </c>
      <c r="H21" t="s">
        <v>97</v>
      </c>
      <c r="I21" t="b">
        <f>ISNUMBER(MATCH(B21,'[1]Index Composition'!$B$2:$B$41,0))</f>
        <v>0</v>
      </c>
    </row>
    <row r="22" spans="1:9" x14ac:dyDescent="0.25">
      <c r="A22" t="s">
        <v>28</v>
      </c>
      <c r="B22" t="s">
        <v>68</v>
      </c>
      <c r="C22" t="s">
        <v>91</v>
      </c>
      <c r="D22">
        <v>206800</v>
      </c>
      <c r="E22">
        <v>1</v>
      </c>
      <c r="F22">
        <v>1</v>
      </c>
      <c r="G22" t="s">
        <v>96</v>
      </c>
      <c r="H22" t="s">
        <v>97</v>
      </c>
      <c r="I22" t="b">
        <f>ISNUMBER(MATCH(B22,'[1]Index Composition'!$B$2:$B$41,0))</f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1257880</v>
      </c>
      <c r="E23">
        <v>1</v>
      </c>
      <c r="F23">
        <v>1</v>
      </c>
      <c r="G23" t="s">
        <v>96</v>
      </c>
      <c r="H23" t="s">
        <v>97</v>
      </c>
      <c r="I23" t="b">
        <f>ISNUMBER(MATCH(B23,'[1]Index Composition'!$B$2:$B$41,0))</f>
        <v>1</v>
      </c>
    </row>
    <row r="24" spans="1:9" x14ac:dyDescent="0.25">
      <c r="A24" t="s">
        <v>30</v>
      </c>
      <c r="B24" t="s">
        <v>70</v>
      </c>
      <c r="C24" t="s">
        <v>89</v>
      </c>
      <c r="D24">
        <v>137651</v>
      </c>
      <c r="E24">
        <v>1</v>
      </c>
      <c r="F24">
        <v>1</v>
      </c>
      <c r="G24" t="s">
        <v>96</v>
      </c>
      <c r="H24" t="s">
        <v>97</v>
      </c>
      <c r="I24" t="b">
        <f>ISNUMBER(MATCH(B24,'[1]Index Composition'!$B$2:$B$41,0))</f>
        <v>1</v>
      </c>
    </row>
    <row r="25" spans="1:9" x14ac:dyDescent="0.25">
      <c r="A25" t="s">
        <v>31</v>
      </c>
      <c r="B25" t="s">
        <v>71</v>
      </c>
      <c r="C25" t="s">
        <v>94</v>
      </c>
      <c r="D25">
        <v>14228513</v>
      </c>
      <c r="E25">
        <v>1</v>
      </c>
      <c r="F25">
        <v>1</v>
      </c>
      <c r="G25" t="s">
        <v>96</v>
      </c>
      <c r="H25" t="s">
        <v>97</v>
      </c>
      <c r="I25" t="b">
        <f>ISNUMBER(MATCH(B25,'[1]Index Composition'!$B$2:$B$41,0))</f>
        <v>1</v>
      </c>
    </row>
    <row r="26" spans="1:9" x14ac:dyDescent="0.25">
      <c r="A26" t="s">
        <v>32</v>
      </c>
      <c r="B26" t="s">
        <v>72</v>
      </c>
      <c r="C26" t="s">
        <v>94</v>
      </c>
      <c r="D26">
        <v>4902444</v>
      </c>
      <c r="E26">
        <v>1</v>
      </c>
      <c r="F26">
        <v>1</v>
      </c>
      <c r="G26" t="s">
        <v>96</v>
      </c>
      <c r="H26" t="s">
        <v>97</v>
      </c>
      <c r="I26" t="b">
        <f>ISNUMBER(MATCH(B26,'[1]Index Composition'!$B$2:$B$41,0))</f>
        <v>1</v>
      </c>
    </row>
    <row r="27" spans="1:9" x14ac:dyDescent="0.25">
      <c r="A27" t="s">
        <v>33</v>
      </c>
      <c r="B27" t="s">
        <v>73</v>
      </c>
      <c r="C27" t="s">
        <v>91</v>
      </c>
      <c r="D27">
        <v>5600243</v>
      </c>
      <c r="E27">
        <v>1</v>
      </c>
      <c r="F27">
        <v>1</v>
      </c>
      <c r="G27" t="s">
        <v>96</v>
      </c>
      <c r="H27" t="s">
        <v>97</v>
      </c>
      <c r="I27" t="b">
        <f>ISNUMBER(MATCH(B27,'[1]Index Composition'!$B$2:$B$41,0))</f>
        <v>0</v>
      </c>
    </row>
    <row r="28" spans="1:9" x14ac:dyDescent="0.25">
      <c r="A28" t="s">
        <v>34</v>
      </c>
      <c r="B28" t="s">
        <v>74</v>
      </c>
      <c r="C28" t="s">
        <v>93</v>
      </c>
      <c r="D28">
        <v>916579</v>
      </c>
      <c r="E28">
        <v>1</v>
      </c>
      <c r="F28">
        <v>1</v>
      </c>
      <c r="G28" t="s">
        <v>96</v>
      </c>
      <c r="H28" t="s">
        <v>97</v>
      </c>
      <c r="I28" t="b">
        <f>ISNUMBER(MATCH(B28,'[1]Index Composition'!$B$2:$B$41,0))</f>
        <v>0</v>
      </c>
    </row>
    <row r="29" spans="1:9" x14ac:dyDescent="0.25">
      <c r="A29" t="s">
        <v>35</v>
      </c>
      <c r="B29" t="s">
        <v>75</v>
      </c>
      <c r="C29" t="s">
        <v>90</v>
      </c>
      <c r="D29">
        <v>2243855</v>
      </c>
      <c r="E29">
        <v>1</v>
      </c>
      <c r="F29">
        <v>1</v>
      </c>
      <c r="G29" t="s">
        <v>96</v>
      </c>
      <c r="H29" t="s">
        <v>97</v>
      </c>
      <c r="I29" t="b">
        <f>ISNUMBER(MATCH(B29,'[1]Index Composition'!$B$2:$B$41,0))</f>
        <v>1</v>
      </c>
    </row>
    <row r="30" spans="1:9" x14ac:dyDescent="0.25">
      <c r="A30" t="s">
        <v>36</v>
      </c>
      <c r="B30" t="s">
        <v>76</v>
      </c>
      <c r="C30" t="s">
        <v>95</v>
      </c>
      <c r="D30">
        <v>2646004</v>
      </c>
      <c r="E30">
        <v>1</v>
      </c>
      <c r="F30">
        <v>1</v>
      </c>
      <c r="G30" t="s">
        <v>96</v>
      </c>
      <c r="H30" t="s">
        <v>97</v>
      </c>
      <c r="I30" t="b">
        <f>ISNUMBER(MATCH(B30,'[1]Index Composition'!$B$2:$B$41,0))</f>
        <v>1</v>
      </c>
    </row>
    <row r="31" spans="1:9" x14ac:dyDescent="0.25">
      <c r="A31" t="s">
        <v>37</v>
      </c>
      <c r="B31" t="s">
        <v>77</v>
      </c>
      <c r="C31" t="s">
        <v>91</v>
      </c>
      <c r="D31">
        <v>264055</v>
      </c>
      <c r="E31">
        <v>1</v>
      </c>
      <c r="F31">
        <v>1</v>
      </c>
      <c r="G31" t="s">
        <v>96</v>
      </c>
      <c r="H31" t="s">
        <v>97</v>
      </c>
      <c r="I31" t="b">
        <f>ISNUMBER(MATCH(B31,'[1]Index Composition'!$B$2:$B$41,0))</f>
        <v>1</v>
      </c>
    </row>
    <row r="32" spans="1:9" x14ac:dyDescent="0.25">
      <c r="A32" t="s">
        <v>38</v>
      </c>
      <c r="B32" t="s">
        <v>78</v>
      </c>
      <c r="C32" t="s">
        <v>91</v>
      </c>
      <c r="D32">
        <v>882710</v>
      </c>
      <c r="E32">
        <v>1</v>
      </c>
      <c r="F32">
        <v>1</v>
      </c>
      <c r="G32" t="s">
        <v>96</v>
      </c>
      <c r="H32" t="s">
        <v>97</v>
      </c>
      <c r="I32" t="b">
        <f>ISNUMBER(MATCH(B32,'[1]Index Composition'!$B$2:$B$41,0))</f>
        <v>1</v>
      </c>
    </row>
    <row r="33" spans="1:9" x14ac:dyDescent="0.25">
      <c r="A33" t="s">
        <v>39</v>
      </c>
      <c r="B33" t="s">
        <v>79</v>
      </c>
      <c r="C33" t="s">
        <v>91</v>
      </c>
      <c r="D33">
        <v>919648</v>
      </c>
      <c r="E33">
        <v>1</v>
      </c>
      <c r="F33">
        <v>1</v>
      </c>
      <c r="G33" t="s">
        <v>96</v>
      </c>
      <c r="H33" t="s">
        <v>97</v>
      </c>
      <c r="I33" t="b">
        <f>ISNUMBER(MATCH(B33,'[1]Index Composition'!$B$2:$B$41,0))</f>
        <v>1</v>
      </c>
    </row>
    <row r="34" spans="1:9" x14ac:dyDescent="0.25">
      <c r="A34" t="s">
        <v>40</v>
      </c>
      <c r="B34" t="s">
        <v>80</v>
      </c>
      <c r="C34" t="s">
        <v>89</v>
      </c>
      <c r="D34">
        <v>367508</v>
      </c>
      <c r="E34">
        <v>1</v>
      </c>
      <c r="F34">
        <v>1</v>
      </c>
      <c r="G34" t="s">
        <v>96</v>
      </c>
      <c r="H34" t="s">
        <v>97</v>
      </c>
      <c r="I34" t="b">
        <f>ISNUMBER(MATCH(B34,'[1]Index Composition'!$B$2:$B$41,0))</f>
        <v>1</v>
      </c>
    </row>
    <row r="35" spans="1:9" x14ac:dyDescent="0.25">
      <c r="A35" t="s">
        <v>41</v>
      </c>
      <c r="B35" t="s">
        <v>81</v>
      </c>
      <c r="C35" t="s">
        <v>89</v>
      </c>
      <c r="D35">
        <v>322040</v>
      </c>
      <c r="E35">
        <v>1</v>
      </c>
      <c r="F35">
        <v>1</v>
      </c>
      <c r="G35" t="s">
        <v>96</v>
      </c>
      <c r="H35" t="s">
        <v>97</v>
      </c>
      <c r="I35" t="b">
        <f>ISNUMBER(MATCH(B35,'[1]Index Composition'!$B$2:$B$41,0))</f>
        <v>1</v>
      </c>
    </row>
    <row r="36" spans="1:9" x14ac:dyDescent="0.25">
      <c r="A36" t="s">
        <v>42</v>
      </c>
      <c r="B36" t="s">
        <v>82</v>
      </c>
      <c r="C36" t="s">
        <v>91</v>
      </c>
      <c r="D36">
        <v>1195142</v>
      </c>
      <c r="E36">
        <v>1</v>
      </c>
      <c r="F36">
        <v>1</v>
      </c>
      <c r="G36" t="s">
        <v>96</v>
      </c>
      <c r="H36" t="s">
        <v>97</v>
      </c>
      <c r="I36" t="b">
        <f>ISNUMBER(MATCH(B36,'[1]Index Composition'!$B$2:$B$41,0))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319565</v>
      </c>
      <c r="E37">
        <v>1</v>
      </c>
      <c r="F37">
        <v>1</v>
      </c>
      <c r="G37" t="s">
        <v>96</v>
      </c>
      <c r="H37" t="s">
        <v>97</v>
      </c>
      <c r="I37" t="b">
        <f>ISNUMBER(MATCH(B37,'[1]Index Composition'!$B$2:$B$41,0))</f>
        <v>1</v>
      </c>
    </row>
    <row r="38" spans="1:9" x14ac:dyDescent="0.25">
      <c r="A38" t="s">
        <v>44</v>
      </c>
      <c r="B38" t="s">
        <v>84</v>
      </c>
      <c r="C38" t="s">
        <v>93</v>
      </c>
      <c r="D38">
        <v>1125210</v>
      </c>
      <c r="E38">
        <v>1</v>
      </c>
      <c r="F38">
        <v>1</v>
      </c>
      <c r="G38" t="s">
        <v>96</v>
      </c>
      <c r="H38" t="s">
        <v>97</v>
      </c>
      <c r="I38" t="b">
        <f>ISNUMBER(MATCH(B38,'[1]Index Composition'!$B$2:$B$41,0))</f>
        <v>1</v>
      </c>
    </row>
    <row r="39" spans="1:9" x14ac:dyDescent="0.25">
      <c r="A39" t="s">
        <v>45</v>
      </c>
      <c r="B39" t="s">
        <v>85</v>
      </c>
      <c r="C39" t="s">
        <v>90</v>
      </c>
      <c r="D39">
        <v>1386184</v>
      </c>
      <c r="E39">
        <v>1</v>
      </c>
      <c r="F39">
        <v>1</v>
      </c>
      <c r="G39" t="s">
        <v>96</v>
      </c>
      <c r="H39" t="s">
        <v>97</v>
      </c>
      <c r="I39" t="b">
        <f>ISNUMBER(MATCH(B39,'[1]Index Composition'!$B$2:$B$41,0))</f>
        <v>1</v>
      </c>
    </row>
    <row r="40" spans="1:9" x14ac:dyDescent="0.25">
      <c r="A40" t="s">
        <v>46</v>
      </c>
      <c r="B40" t="s">
        <v>86</v>
      </c>
      <c r="C40" t="s">
        <v>91</v>
      </c>
      <c r="D40">
        <v>642065</v>
      </c>
      <c r="E40">
        <v>1</v>
      </c>
      <c r="F40">
        <v>1</v>
      </c>
      <c r="G40" t="s">
        <v>96</v>
      </c>
      <c r="H40" t="s">
        <v>97</v>
      </c>
      <c r="I40" t="b">
        <f>ISNUMBER(MATCH(B40,'[1]Index Composition'!$B$2:$B$41,0))</f>
        <v>1</v>
      </c>
    </row>
    <row r="41" spans="1:9" x14ac:dyDescent="0.25">
      <c r="A41" t="s">
        <v>47</v>
      </c>
      <c r="B41" t="s">
        <v>87</v>
      </c>
      <c r="C41" t="s">
        <v>90</v>
      </c>
      <c r="D41">
        <v>867772</v>
      </c>
      <c r="E41">
        <v>1</v>
      </c>
      <c r="F41">
        <v>1</v>
      </c>
      <c r="G41" t="s">
        <v>96</v>
      </c>
      <c r="H41" t="s">
        <v>97</v>
      </c>
      <c r="I41" t="b">
        <f>ISNUMBER(MATCH(B41,'[1]Index Composition'!$B$2:$B$41,0))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22</v>
      </c>
      <c r="B2" t="s">
        <v>62</v>
      </c>
      <c r="C2" t="s">
        <v>90</v>
      </c>
    </row>
    <row r="3" spans="1:3" x14ac:dyDescent="0.25">
      <c r="A3" t="s">
        <v>31</v>
      </c>
      <c r="B3" t="s">
        <v>71</v>
      </c>
      <c r="C3" t="s">
        <v>94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98</v>
      </c>
      <c r="B2" t="s">
        <v>101</v>
      </c>
      <c r="C2" t="s">
        <v>90</v>
      </c>
    </row>
    <row r="3" spans="1:3" x14ac:dyDescent="0.25">
      <c r="A3" t="s">
        <v>99</v>
      </c>
      <c r="B3" t="s">
        <v>102</v>
      </c>
      <c r="C3" t="s">
        <v>89</v>
      </c>
    </row>
    <row r="4" spans="1:3" x14ac:dyDescent="0.25">
      <c r="A4" t="s">
        <v>100</v>
      </c>
      <c r="B4" t="s">
        <v>103</v>
      </c>
      <c r="C4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2025-12-11T23:06:03Z</dcterms:created>
  <dcterms:modified xsi:type="dcterms:W3CDTF">2025-12-12T15:58:13Z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2025-12-12T15:58:13Z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0195bafa-5485-4bff-8a90-0f5959a41f2d</vt:lpwstr>
  </property>
  <property fmtid="{D5CDD505-2E9C-101B-9397-08002B2CF9AE}" pid="8" name="MSIP_Label_ac0b9ce6-6e99-42a1-af95-429494370cbc_ContentBits">
    <vt:lpwstr>2</vt:lpwstr>
  </property>
</Properties>
</file>