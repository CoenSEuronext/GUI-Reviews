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Review 202512/Dataiku/"/>
    </mc:Choice>
  </mc:AlternateContent>
  <xr:revisionPtr revIDLastSave="5" documentId="11_06E32A6950EB6137A59DCD7639243A05E7961587" xr6:coauthVersionLast="47" xr6:coauthVersionMax="47" xr10:uidLastSave="{9799DD8C-06C6-45A9-81B9-94883D6BC418}"/>
  <bookViews>
    <workbookView xWindow="-29370" yWindow="195" windowWidth="29040" windowHeight="15720" xr2:uid="{00000000-000D-0000-FFFF-FFFF00000000}"/>
  </bookViews>
  <sheets>
    <sheet name="selection" sheetId="1" r:id="rId1"/>
    <sheet name="inclusion" sheetId="2" r:id="rId2"/>
    <sheet name="exclusion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" i="1" l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<sst xmlns="http://schemas.openxmlformats.org/spreadsheetml/2006/main" count="480" uniqueCount="200">
  <si>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</si>
  <si>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</si>
  <si>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</si>
  <si>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</si>
  <si>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</si>
  <si>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</si>
  <si>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</si>
  <si>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</si>
  <si>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ACADIA REALTY TRUST</t>
  </si>
  <si>
    <t>AGREE REALTY CORP</t>
  </si>
  <si>
    <t>ALEXANDRIA RE EQ</t>
  </si>
  <si>
    <t>AMERICAN HEALTHCARE</t>
  </si>
  <si>
    <t>AMERICAN HOMES 4RENT</t>
  </si>
  <si>
    <t>AMERICAN TOWER CORP</t>
  </si>
  <si>
    <t>AMERICOLD REALTY TR.</t>
  </si>
  <si>
    <t>APPLE HOSPITALITY</t>
  </si>
  <si>
    <t>AVALONBAY COMMUNIT.</t>
  </si>
  <si>
    <t>BRIXMOR PROPERTY</t>
  </si>
  <si>
    <t>BROADSTONE NET LEASE</t>
  </si>
  <si>
    <t>BXP INC</t>
  </si>
  <si>
    <t>CAMDEN PROPERTY TR</t>
  </si>
  <si>
    <t>CARETRUST REIT INC</t>
  </si>
  <si>
    <t>CBRE GROUP INC.</t>
  </si>
  <si>
    <t>COMPASS INC CLASS A</t>
  </si>
  <si>
    <t>COPT DEFENSE PROP</t>
  </si>
  <si>
    <t>COSTAR GROUP INC.</t>
  </si>
  <si>
    <t>COUSINS PROPERTIES</t>
  </si>
  <si>
    <t>CROWN CASTLE INC</t>
  </si>
  <si>
    <t>CUBESMART</t>
  </si>
  <si>
    <t>CUSHMAN &amp; WAKEFIELD</t>
  </si>
  <si>
    <t>DIGITAL REALTY TRUST</t>
  </si>
  <si>
    <t>EASTGROUP PROPERTIES</t>
  </si>
  <si>
    <t>EPR PROPERTIES</t>
  </si>
  <si>
    <t>EQUINIX INC</t>
  </si>
  <si>
    <t>EQUITY LIFESTYLE PRP</t>
  </si>
  <si>
    <t>EQUITY RESIDENTIAL</t>
  </si>
  <si>
    <t>ESSENTIAL PROPERTIES</t>
  </si>
  <si>
    <t>ESSEX PROPERTY TRUST</t>
  </si>
  <si>
    <t>EXTRA SPACE STORAGE</t>
  </si>
  <si>
    <t>FEDERAL REALTY INVS</t>
  </si>
  <si>
    <t>FERMI INC.</t>
  </si>
  <si>
    <t>FIRST INDUSTRIAL REA</t>
  </si>
  <si>
    <t>FOUR CORNERS PROPTY</t>
  </si>
  <si>
    <t>GAMING AND LEISURE</t>
  </si>
  <si>
    <t>HANNON ARMSTRONG SUS</t>
  </si>
  <si>
    <t>HEALTHCARE REALTY TR</t>
  </si>
  <si>
    <t>HEALTHPEAK PROP.</t>
  </si>
  <si>
    <t>HIGHWOODS PROPERTIES</t>
  </si>
  <si>
    <t>HOST HOTELS RESORT</t>
  </si>
  <si>
    <t>HOWARD HUGHES HOLD</t>
  </si>
  <si>
    <t>INDEPENDENCE REALTY</t>
  </si>
  <si>
    <t>INVITATION HOMES INC</t>
  </si>
  <si>
    <t>IRON MOUNTAIN INC</t>
  </si>
  <si>
    <t>JONES LANG LASALLE</t>
  </si>
  <si>
    <t>KILROY REALTY CORP</t>
  </si>
  <si>
    <t>KIMCO REALTY CORP</t>
  </si>
  <si>
    <t>KITE REALTY GROUP</t>
  </si>
  <si>
    <t>LAMAR ADVERTISING A</t>
  </si>
  <si>
    <t>LXP INDUSTRIAL TRUST</t>
  </si>
  <si>
    <t>MACERICH COMPANY</t>
  </si>
  <si>
    <t>MEDICAL PROPERTIES</t>
  </si>
  <si>
    <t>MID-AMERICA APT COMM</t>
  </si>
  <si>
    <t>MILLROSE PROPERTIES</t>
  </si>
  <si>
    <t>NATIONAL HEALTH INV</t>
  </si>
  <si>
    <t>NEWMARK GROUP A</t>
  </si>
  <si>
    <t>NNN REIT INC</t>
  </si>
  <si>
    <t>OMEGA HEALTHCARE INV</t>
  </si>
  <si>
    <t>OPENDOOR TECHNOLOGIE</t>
  </si>
  <si>
    <t>OUTFRONT MEDIA INC</t>
  </si>
  <si>
    <t>PHILLIPS EDISON &amp; CO</t>
  </si>
  <si>
    <t>POTLATCHDELTIC CORP</t>
  </si>
  <si>
    <t>PROLOGIS INC</t>
  </si>
  <si>
    <t>PUBLIC STORAGE</t>
  </si>
  <si>
    <t>RAYONIER INC</t>
  </si>
  <si>
    <t>REALTY INCOME CORP.</t>
  </si>
  <si>
    <t>REGENCY CENTERS</t>
  </si>
  <si>
    <t>REXFORD INDUSTRIAL</t>
  </si>
  <si>
    <t>RYMAN HOSPITALITY</t>
  </si>
  <si>
    <t>SABRA HEALTH CARE</t>
  </si>
  <si>
    <t>SBA COMMUNICATIONS</t>
  </si>
  <si>
    <t>SIMON PROPERTY GROUP</t>
  </si>
  <si>
    <t>SL GREEN REALTY CORP</t>
  </si>
  <si>
    <t>ST. JOE CO</t>
  </si>
  <si>
    <t>STAG INDUSTRIAL INC</t>
  </si>
  <si>
    <t>SUN COMMUNITIES INC</t>
  </si>
  <si>
    <t>TANGER INC.</t>
  </si>
  <si>
    <t>TERRENO REALTY CORP</t>
  </si>
  <si>
    <t>UDR INC</t>
  </si>
  <si>
    <t>URBAN EDGE PROPERTIE</t>
  </si>
  <si>
    <t>VENTAS INC</t>
  </si>
  <si>
    <t>VICI PROPERTIES INC</t>
  </si>
  <si>
    <t>VORNADO REALTY</t>
  </si>
  <si>
    <t>WELLTOWER INC</t>
  </si>
  <si>
    <t>WEYERHAEUSER CO</t>
  </si>
  <si>
    <t>WP CAREY INC</t>
  </si>
  <si>
    <t>ZILLOW GROUP INCA</t>
  </si>
  <si>
    <t>ZILLOW GRP CLASS C</t>
  </si>
  <si>
    <t>US0042391096</t>
  </si>
  <si>
    <t>US0084921008</t>
  </si>
  <si>
    <t>US0152711091</t>
  </si>
  <si>
    <t>US3981823038</t>
  </si>
  <si>
    <t>US02665T3068</t>
  </si>
  <si>
    <t>US03027X1000</t>
  </si>
  <si>
    <t>US03064D1081</t>
  </si>
  <si>
    <t>US03784Y2000</t>
  </si>
  <si>
    <t>US0534841012</t>
  </si>
  <si>
    <t>US11120U1051</t>
  </si>
  <si>
    <t>US11135E2037</t>
  </si>
  <si>
    <t>US1011211018</t>
  </si>
  <si>
    <t>US1331311027</t>
  </si>
  <si>
    <t>US14174T1079</t>
  </si>
  <si>
    <t>US12504L1098</t>
  </si>
  <si>
    <t>US20464U1007</t>
  </si>
  <si>
    <t>US22002T1088</t>
  </si>
  <si>
    <t>US22160N1090</t>
  </si>
  <si>
    <t>US2227955026</t>
  </si>
  <si>
    <t>US22822V1017</t>
  </si>
  <si>
    <t>US2296631094</t>
  </si>
  <si>
    <t>BMG2717C1064</t>
  </si>
  <si>
    <t>US2538681030</t>
  </si>
  <si>
    <t>US2772761019</t>
  </si>
  <si>
    <t>US26884U1097</t>
  </si>
  <si>
    <t>US29444U7000</t>
  </si>
  <si>
    <t>US29472R1086</t>
  </si>
  <si>
    <t>US29476L1070</t>
  </si>
  <si>
    <t>US29670E1073</t>
  </si>
  <si>
    <t>US2971781057</t>
  </si>
  <si>
    <t>US30225T1025</t>
  </si>
  <si>
    <t>US3137451015</t>
  </si>
  <si>
    <t>US3149111086</t>
  </si>
  <si>
    <t>US32054K1034</t>
  </si>
  <si>
    <t>US35086T1097</t>
  </si>
  <si>
    <t>US36467J1088</t>
  </si>
  <si>
    <t>US41068X1000</t>
  </si>
  <si>
    <t>US42226K1051</t>
  </si>
  <si>
    <t>US42250P1030</t>
  </si>
  <si>
    <t>US4312841087</t>
  </si>
  <si>
    <t>US44107P1049</t>
  </si>
  <si>
    <t>US44267T1025</t>
  </si>
  <si>
    <t>US45378A1060</t>
  </si>
  <si>
    <t>US46187W1071</t>
  </si>
  <si>
    <t>US46284V1017</t>
  </si>
  <si>
    <t>US48020Q1076</t>
  </si>
  <si>
    <t>US49427F1084</t>
  </si>
  <si>
    <t>US49446R1095</t>
  </si>
  <si>
    <t>US49803T3005</t>
  </si>
  <si>
    <t>US5128161099</t>
  </si>
  <si>
    <t>US5290434084</t>
  </si>
  <si>
    <t>US5543821012</t>
  </si>
  <si>
    <t>US58463J3041</t>
  </si>
  <si>
    <t>US59522J1034</t>
  </si>
  <si>
    <t>US6011371027</t>
  </si>
  <si>
    <t>US63633D1046</t>
  </si>
  <si>
    <t>US65158N1028</t>
  </si>
  <si>
    <t>US6374171063</t>
  </si>
  <si>
    <t>US6819361006</t>
  </si>
  <si>
    <t>US6837121036</t>
  </si>
  <si>
    <t>US69007J3041</t>
  </si>
  <si>
    <t>US71844V2016</t>
  </si>
  <si>
    <t>US7376301039</t>
  </si>
  <si>
    <t>US74340W1036</t>
  </si>
  <si>
    <t>US74460D1090</t>
  </si>
  <si>
    <t>US7549071030</t>
  </si>
  <si>
    <t>US7561091049</t>
  </si>
  <si>
    <t>US7588491032</t>
  </si>
  <si>
    <t>US76169C1009</t>
  </si>
  <si>
    <t>US78377T1079</t>
  </si>
  <si>
    <t>US78573L1061</t>
  </si>
  <si>
    <t>US78410G1040</t>
  </si>
  <si>
    <t>US8288061091</t>
  </si>
  <si>
    <t>US78440X8873</t>
  </si>
  <si>
    <t>US7901481009</t>
  </si>
  <si>
    <t>US85254J1025</t>
  </si>
  <si>
    <t>US8666741041</t>
  </si>
  <si>
    <t>US8754651060</t>
  </si>
  <si>
    <t>US88146M1018</t>
  </si>
  <si>
    <t>US9026531049</t>
  </si>
  <si>
    <t>US91704F1049</t>
  </si>
  <si>
    <t>US92276F1003</t>
  </si>
  <si>
    <t>US9256521090</t>
  </si>
  <si>
    <t>US9290421091</t>
  </si>
  <si>
    <t>US95040Q1040</t>
  </si>
  <si>
    <t>US9621661043</t>
  </si>
  <si>
    <t>US92936U1097</t>
  </si>
  <si>
    <t>US98954M1018</t>
  </si>
  <si>
    <t>US98954M2008</t>
  </si>
  <si>
    <t>XNYS</t>
  </si>
  <si>
    <t>XNGS</t>
  </si>
  <si>
    <t>22-Dec-25</t>
  </si>
  <si>
    <t>USD</t>
  </si>
  <si>
    <t>DOUGLAS EMMETT INC</t>
  </si>
  <si>
    <t>GEO GROUP</t>
  </si>
  <si>
    <t>INVENTRUST PROPERT</t>
  </si>
  <si>
    <t>LINEAGE INC.</t>
  </si>
  <si>
    <t>PARK HOTELS &amp; RESORT</t>
  </si>
  <si>
    <t>US25960P1093</t>
  </si>
  <si>
    <t>US36162J1060</t>
  </si>
  <si>
    <t>US46124J2015</t>
  </si>
  <si>
    <t>US53566V1061</t>
  </si>
  <si>
    <t>US7005171050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</si>
</sst>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uronext-my.sharepoint.com/personal/csonneveld_euronext_com/Documents/Documents/Projects/GUI%20+%20Reviews/202512/Review%20202512/Coen/EUREP_df_20251212_172645.xlsx" TargetMode="External"/><Relationship Id="rId1" Type="http://schemas.openxmlformats.org/officeDocument/2006/relationships/externalLinkPath" Target="/personal/csonneveld_euronext_com/Documents/Documents/Projects/GUI%20+%20Reviews/202512/Review%20202512/Coen/EUREP_df_20251212_17264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 Composition"/>
      <sheetName val="Eligible Companies"/>
      <sheetName val="Inclusion"/>
      <sheetName val="Exclusion"/>
      <sheetName val="Full Universe"/>
      <sheetName val="Index Market Cap"/>
    </sheetNames>
    <sheetDataSet>
      <sheetData sheetId="0">
        <row r="2">
          <cell r="B2" t="str">
            <v>US0042391096</v>
          </cell>
        </row>
        <row r="3">
          <cell r="B3" t="str">
            <v>US0084921008</v>
          </cell>
        </row>
        <row r="4">
          <cell r="B4" t="str">
            <v>US0152711091</v>
          </cell>
        </row>
        <row r="5">
          <cell r="B5" t="str">
            <v>US3981823038</v>
          </cell>
        </row>
        <row r="6">
          <cell r="B6" t="str">
            <v>US02665T3068</v>
          </cell>
        </row>
        <row r="7">
          <cell r="B7" t="str">
            <v>US03027X1000</v>
          </cell>
        </row>
        <row r="8">
          <cell r="B8" t="str">
            <v>US03064D1081</v>
          </cell>
        </row>
        <row r="9">
          <cell r="B9" t="str">
            <v>US03784Y2000</v>
          </cell>
        </row>
        <row r="10">
          <cell r="B10" t="str">
            <v>US0534841012</v>
          </cell>
        </row>
        <row r="11">
          <cell r="B11" t="str">
            <v>US11120U1051</v>
          </cell>
        </row>
        <row r="12">
          <cell r="B12" t="str">
            <v>US11135E2037</v>
          </cell>
        </row>
        <row r="13">
          <cell r="B13" t="str">
            <v>US1011211018</v>
          </cell>
        </row>
        <row r="14">
          <cell r="B14" t="str">
            <v>US1331311027</v>
          </cell>
        </row>
        <row r="15">
          <cell r="B15" t="str">
            <v>US14174T1079</v>
          </cell>
        </row>
        <row r="16">
          <cell r="B16" t="str">
            <v>US12504L1098</v>
          </cell>
        </row>
        <row r="17">
          <cell r="B17" t="str">
            <v>US20464U1007</v>
          </cell>
        </row>
        <row r="18">
          <cell r="B18" t="str">
            <v>US22002T1088</v>
          </cell>
        </row>
        <row r="19">
          <cell r="B19" t="str">
            <v>US22160N1090</v>
          </cell>
        </row>
        <row r="20">
          <cell r="B20" t="str">
            <v>US2227955026</v>
          </cell>
        </row>
        <row r="21">
          <cell r="B21" t="str">
            <v>US22822V1017</v>
          </cell>
        </row>
        <row r="22">
          <cell r="B22" t="str">
            <v>US2296631094</v>
          </cell>
        </row>
        <row r="23">
          <cell r="B23" t="str">
            <v>US2538681030</v>
          </cell>
        </row>
        <row r="24">
          <cell r="B24" t="str">
            <v>US2772761019</v>
          </cell>
        </row>
        <row r="25">
          <cell r="B25" t="str">
            <v>US26884U1097</v>
          </cell>
        </row>
        <row r="26">
          <cell r="B26" t="str">
            <v>US29444U7000</v>
          </cell>
        </row>
        <row r="27">
          <cell r="B27" t="str">
            <v>US29472R1086</v>
          </cell>
        </row>
        <row r="28">
          <cell r="B28" t="str">
            <v>US29476L1070</v>
          </cell>
        </row>
        <row r="29">
          <cell r="B29" t="str">
            <v>US29670E1073</v>
          </cell>
        </row>
        <row r="30">
          <cell r="B30" t="str">
            <v>US2971781057</v>
          </cell>
        </row>
        <row r="31">
          <cell r="B31" t="str">
            <v>US30225T1025</v>
          </cell>
        </row>
        <row r="32">
          <cell r="B32" t="str">
            <v>US3137451015</v>
          </cell>
        </row>
        <row r="33">
          <cell r="B33" t="str">
            <v>US3149111086</v>
          </cell>
        </row>
        <row r="34">
          <cell r="B34" t="str">
            <v>US32054K1034</v>
          </cell>
        </row>
        <row r="35">
          <cell r="B35" t="str">
            <v>US35086T1097</v>
          </cell>
        </row>
        <row r="36">
          <cell r="B36" t="str">
            <v>US36467J1088</v>
          </cell>
        </row>
        <row r="37">
          <cell r="B37" t="str">
            <v>US41068X1000</v>
          </cell>
        </row>
        <row r="38">
          <cell r="B38" t="str">
            <v>US42226K1051</v>
          </cell>
        </row>
        <row r="39">
          <cell r="B39" t="str">
            <v>US42250P1030</v>
          </cell>
        </row>
        <row r="40">
          <cell r="B40" t="str">
            <v>US4312841087</v>
          </cell>
        </row>
        <row r="41">
          <cell r="B41" t="str">
            <v>US44107P1049</v>
          </cell>
        </row>
        <row r="42">
          <cell r="B42" t="str">
            <v>US44267T1025</v>
          </cell>
        </row>
        <row r="43">
          <cell r="B43" t="str">
            <v>US45378A1060</v>
          </cell>
        </row>
        <row r="44">
          <cell r="B44" t="str">
            <v>US46187W1071</v>
          </cell>
        </row>
        <row r="45">
          <cell r="B45" t="str">
            <v>US46284V1017</v>
          </cell>
        </row>
        <row r="46">
          <cell r="B46" t="str">
            <v>US48020Q1076</v>
          </cell>
        </row>
        <row r="47">
          <cell r="B47" t="str">
            <v>US49427F1084</v>
          </cell>
        </row>
        <row r="48">
          <cell r="B48" t="str">
            <v>US49446R1095</v>
          </cell>
        </row>
        <row r="49">
          <cell r="B49" t="str">
            <v>US49803T3005</v>
          </cell>
        </row>
        <row r="50">
          <cell r="B50" t="str">
            <v>US5128161099</v>
          </cell>
        </row>
        <row r="51">
          <cell r="B51" t="str">
            <v>US5290434084</v>
          </cell>
        </row>
        <row r="52">
          <cell r="B52" t="str">
            <v>US5543821012</v>
          </cell>
        </row>
        <row r="53">
          <cell r="B53" t="str">
            <v>US58463J3041</v>
          </cell>
        </row>
        <row r="54">
          <cell r="B54" t="str">
            <v>US59522J1034</v>
          </cell>
        </row>
        <row r="55">
          <cell r="B55" t="str">
            <v>US6011371027</v>
          </cell>
        </row>
        <row r="56">
          <cell r="B56" t="str">
            <v>US63633D1046</v>
          </cell>
        </row>
        <row r="57">
          <cell r="B57" t="str">
            <v>US65158N1028</v>
          </cell>
        </row>
        <row r="58">
          <cell r="B58" t="str">
            <v>US6374171063</v>
          </cell>
        </row>
        <row r="59">
          <cell r="B59" t="str">
            <v>US6819361006</v>
          </cell>
        </row>
        <row r="60">
          <cell r="B60" t="str">
            <v>US6837121036</v>
          </cell>
        </row>
        <row r="61">
          <cell r="B61" t="str">
            <v>US69007J3041</v>
          </cell>
        </row>
        <row r="62">
          <cell r="B62" t="str">
            <v>US71844V2016</v>
          </cell>
        </row>
        <row r="63">
          <cell r="B63" t="str">
            <v>US7376301039</v>
          </cell>
        </row>
        <row r="64">
          <cell r="B64" t="str">
            <v>US74340W1036</v>
          </cell>
        </row>
        <row r="65">
          <cell r="B65" t="str">
            <v>US74460D1090</v>
          </cell>
        </row>
        <row r="66">
          <cell r="B66" t="str">
            <v>US7549071030</v>
          </cell>
        </row>
        <row r="67">
          <cell r="B67" t="str">
            <v>US7561091049</v>
          </cell>
        </row>
        <row r="68">
          <cell r="B68" t="str">
            <v>US7588491032</v>
          </cell>
        </row>
        <row r="69">
          <cell r="B69" t="str">
            <v>US76169C1009</v>
          </cell>
        </row>
        <row r="70">
          <cell r="B70" t="str">
            <v>US78377T1079</v>
          </cell>
        </row>
        <row r="71">
          <cell r="B71" t="str">
            <v>US78573L1061</v>
          </cell>
        </row>
        <row r="72">
          <cell r="B72" t="str">
            <v>US78410G1040</v>
          </cell>
        </row>
        <row r="73">
          <cell r="B73" t="str">
            <v>US8288061091</v>
          </cell>
        </row>
        <row r="74">
          <cell r="B74" t="str">
            <v>US78440X8873</v>
          </cell>
        </row>
        <row r="75">
          <cell r="B75" t="str">
            <v>US7901481009</v>
          </cell>
        </row>
        <row r="76">
          <cell r="B76" t="str">
            <v>US85254J1025</v>
          </cell>
        </row>
        <row r="77">
          <cell r="B77" t="str">
            <v>US8666741041</v>
          </cell>
        </row>
        <row r="78">
          <cell r="B78" t="str">
            <v>US8754651060</v>
          </cell>
        </row>
        <row r="79">
          <cell r="B79" t="str">
            <v>US88146M1018</v>
          </cell>
        </row>
        <row r="80">
          <cell r="B80" t="str">
            <v>US9026531049</v>
          </cell>
        </row>
        <row r="81">
          <cell r="B81" t="str">
            <v>US91704F1049</v>
          </cell>
        </row>
        <row r="82">
          <cell r="B82" t="str">
            <v>US92276F1003</v>
          </cell>
        </row>
        <row r="83">
          <cell r="B83" t="str">
            <v>US9256521090</v>
          </cell>
        </row>
        <row r="84">
          <cell r="B84" t="str">
            <v>US9290421091</v>
          </cell>
        </row>
        <row r="85">
          <cell r="B85" t="str">
            <v>US95040Q1040</v>
          </cell>
        </row>
        <row r="86">
          <cell r="B86" t="str">
            <v>US9621661043</v>
          </cell>
        </row>
        <row r="87">
          <cell r="B87" t="str">
            <v>US92936U1097</v>
          </cell>
        </row>
        <row r="88">
          <cell r="B88" t="str">
            <v>US98954M1018</v>
          </cell>
        </row>
        <row r="89">
          <cell r="B89" t="str">
            <v>US98954M2008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0"/>
  <sheetViews>
    <sheetView tabSelected="1" topLeftCell="A22" workbookViewId="0">
      <selection activeCell="I24" sqref="I24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t="s">
        <v>8</v>
      </c>
      <c r="B2" t="s">
        <v>97</v>
      </c>
      <c r="C2" t="s">
        <v>186</v>
      </c>
      <c r="D2">
        <v>131034620</v>
      </c>
      <c r="E2">
        <v>1</v>
      </c>
      <c r="F2">
        <v>1</v>
      </c>
      <c r="G2" t="s">
        <v>188</v>
      </c>
      <c r="H2" t="s">
        <v>189</v>
      </c>
      <c r="I2" t="b">
        <f>ISNUMBER(MATCH(B2,'[1]Index Composition'!$B$2:$B$89,0))</f>
        <v>1</v>
      </c>
    </row>
    <row r="3" spans="1:9" x14ac:dyDescent="0.25">
      <c r="A3" t="s">
        <v>9</v>
      </c>
      <c r="B3" t="s">
        <v>98</v>
      </c>
      <c r="C3" t="s">
        <v>186</v>
      </c>
      <c r="D3">
        <v>114934390</v>
      </c>
      <c r="E3">
        <v>1</v>
      </c>
      <c r="F3">
        <v>1</v>
      </c>
      <c r="G3" t="s">
        <v>188</v>
      </c>
      <c r="H3" t="s">
        <v>189</v>
      </c>
      <c r="I3" t="b">
        <f>ISNUMBER(MATCH(B3,'[1]Index Composition'!$B$2:$B$89,0))</f>
        <v>1</v>
      </c>
    </row>
    <row r="4" spans="1:9" x14ac:dyDescent="0.25">
      <c r="A4" t="s">
        <v>10</v>
      </c>
      <c r="B4" t="s">
        <v>99</v>
      </c>
      <c r="C4" t="s">
        <v>186</v>
      </c>
      <c r="D4">
        <v>172825060</v>
      </c>
      <c r="E4">
        <v>0.9</v>
      </c>
      <c r="F4">
        <v>1</v>
      </c>
      <c r="G4" t="s">
        <v>188</v>
      </c>
      <c r="H4" t="s">
        <v>189</v>
      </c>
      <c r="I4" t="b">
        <f>ISNUMBER(MATCH(B4,'[1]Index Composition'!$B$2:$B$89,0))</f>
        <v>1</v>
      </c>
    </row>
    <row r="5" spans="1:9" x14ac:dyDescent="0.25">
      <c r="A5" t="s">
        <v>11</v>
      </c>
      <c r="B5" t="s">
        <v>100</v>
      </c>
      <c r="C5" t="s">
        <v>186</v>
      </c>
      <c r="D5">
        <v>176908230</v>
      </c>
      <c r="E5">
        <v>1</v>
      </c>
      <c r="F5">
        <v>1</v>
      </c>
      <c r="G5" t="s">
        <v>188</v>
      </c>
      <c r="H5" t="s">
        <v>189</v>
      </c>
      <c r="I5" t="b">
        <f>ISNUMBER(MATCH(B5,'[1]Index Composition'!$B$2:$B$89,0))</f>
        <v>1</v>
      </c>
    </row>
    <row r="6" spans="1:9" x14ac:dyDescent="0.25">
      <c r="A6" t="s">
        <v>12</v>
      </c>
      <c r="B6" t="s">
        <v>101</v>
      </c>
      <c r="C6" t="s">
        <v>186</v>
      </c>
      <c r="D6">
        <v>370470830</v>
      </c>
      <c r="E6">
        <v>0.9</v>
      </c>
      <c r="F6">
        <v>1</v>
      </c>
      <c r="G6" t="s">
        <v>188</v>
      </c>
      <c r="H6" t="s">
        <v>189</v>
      </c>
      <c r="I6" t="b">
        <f>ISNUMBER(MATCH(B6,'[1]Index Composition'!$B$2:$B$89,0))</f>
        <v>1</v>
      </c>
    </row>
    <row r="7" spans="1:9" x14ac:dyDescent="0.25">
      <c r="A7" t="s">
        <v>13</v>
      </c>
      <c r="B7" t="s">
        <v>102</v>
      </c>
      <c r="C7" t="s">
        <v>186</v>
      </c>
      <c r="D7">
        <v>468146640</v>
      </c>
      <c r="E7">
        <v>1</v>
      </c>
      <c r="F7">
        <v>1</v>
      </c>
      <c r="G7" t="s">
        <v>188</v>
      </c>
      <c r="H7" t="s">
        <v>189</v>
      </c>
      <c r="I7" t="b">
        <f>ISNUMBER(MATCH(B7,'[1]Index Composition'!$B$2:$B$89,0))</f>
        <v>1</v>
      </c>
    </row>
    <row r="8" spans="1:9" x14ac:dyDescent="0.25">
      <c r="A8" t="s">
        <v>14</v>
      </c>
      <c r="B8" t="s">
        <v>103</v>
      </c>
      <c r="C8" t="s">
        <v>186</v>
      </c>
      <c r="D8">
        <v>284854500</v>
      </c>
      <c r="E8">
        <v>1</v>
      </c>
      <c r="F8">
        <v>1</v>
      </c>
      <c r="G8" t="s">
        <v>188</v>
      </c>
      <c r="H8" t="s">
        <v>189</v>
      </c>
      <c r="I8" t="b">
        <f>ISNUMBER(MATCH(B8,'[1]Index Composition'!$B$2:$B$89,0))</f>
        <v>1</v>
      </c>
    </row>
    <row r="9" spans="1:9" x14ac:dyDescent="0.25">
      <c r="A9" t="s">
        <v>15</v>
      </c>
      <c r="B9" t="s">
        <v>104</v>
      </c>
      <c r="C9" t="s">
        <v>186</v>
      </c>
      <c r="D9">
        <v>236575700</v>
      </c>
      <c r="E9">
        <v>0.95</v>
      </c>
      <c r="F9">
        <v>1</v>
      </c>
      <c r="G9" t="s">
        <v>188</v>
      </c>
      <c r="H9" t="s">
        <v>189</v>
      </c>
      <c r="I9" t="b">
        <f>ISNUMBER(MATCH(B9,'[1]Index Composition'!$B$2:$B$89,0))</f>
        <v>1</v>
      </c>
    </row>
    <row r="10" spans="1:9" x14ac:dyDescent="0.25">
      <c r="A10" t="s">
        <v>16</v>
      </c>
      <c r="B10" t="s">
        <v>105</v>
      </c>
      <c r="C10" t="s">
        <v>186</v>
      </c>
      <c r="D10">
        <v>141594940</v>
      </c>
      <c r="E10">
        <v>0.95</v>
      </c>
      <c r="F10">
        <v>1</v>
      </c>
      <c r="G10" t="s">
        <v>188</v>
      </c>
      <c r="H10" t="s">
        <v>189</v>
      </c>
      <c r="I10" t="b">
        <f>ISNUMBER(MATCH(B10,'[1]Index Composition'!$B$2:$B$89,0))</f>
        <v>1</v>
      </c>
    </row>
    <row r="11" spans="1:9" x14ac:dyDescent="0.25">
      <c r="A11" t="s">
        <v>17</v>
      </c>
      <c r="B11" t="s">
        <v>106</v>
      </c>
      <c r="C11" t="s">
        <v>186</v>
      </c>
      <c r="D11">
        <v>306100000</v>
      </c>
      <c r="E11">
        <v>1</v>
      </c>
      <c r="F11">
        <v>1</v>
      </c>
      <c r="G11" t="s">
        <v>188</v>
      </c>
      <c r="H11" t="s">
        <v>189</v>
      </c>
      <c r="I11" t="b">
        <f>ISNUMBER(MATCH(B11,'[1]Index Composition'!$B$2:$B$89,0))</f>
        <v>1</v>
      </c>
    </row>
    <row r="12" spans="1:9" x14ac:dyDescent="0.25">
      <c r="A12" t="s">
        <v>18</v>
      </c>
      <c r="B12" t="s">
        <v>107</v>
      </c>
      <c r="C12" t="s">
        <v>186</v>
      </c>
      <c r="D12">
        <v>189216030</v>
      </c>
      <c r="E12">
        <v>1</v>
      </c>
      <c r="F12">
        <v>1</v>
      </c>
      <c r="G12" t="s">
        <v>188</v>
      </c>
      <c r="H12" t="s">
        <v>189</v>
      </c>
      <c r="I12" t="b">
        <f>ISNUMBER(MATCH(B12,'[1]Index Composition'!$B$2:$B$89,0))</f>
        <v>1</v>
      </c>
    </row>
    <row r="13" spans="1:9" x14ac:dyDescent="0.25">
      <c r="A13" t="s">
        <v>19</v>
      </c>
      <c r="B13" t="s">
        <v>108</v>
      </c>
      <c r="C13" t="s">
        <v>186</v>
      </c>
      <c r="D13">
        <v>158468690</v>
      </c>
      <c r="E13">
        <v>0.95</v>
      </c>
      <c r="F13">
        <v>1</v>
      </c>
      <c r="G13" t="s">
        <v>188</v>
      </c>
      <c r="H13" t="s">
        <v>189</v>
      </c>
      <c r="I13" t="b">
        <f>ISNUMBER(MATCH(B13,'[1]Index Composition'!$B$2:$B$89,0))</f>
        <v>1</v>
      </c>
    </row>
    <row r="14" spans="1:9" x14ac:dyDescent="0.25">
      <c r="A14" t="s">
        <v>20</v>
      </c>
      <c r="B14" t="s">
        <v>109</v>
      </c>
      <c r="C14" t="s">
        <v>186</v>
      </c>
      <c r="D14">
        <v>106395330</v>
      </c>
      <c r="E14">
        <v>1</v>
      </c>
      <c r="F14">
        <v>1</v>
      </c>
      <c r="G14" t="s">
        <v>188</v>
      </c>
      <c r="H14" t="s">
        <v>189</v>
      </c>
      <c r="I14" t="b">
        <f>ISNUMBER(MATCH(B14,'[1]Index Composition'!$B$2:$B$89,0))</f>
        <v>1</v>
      </c>
    </row>
    <row r="15" spans="1:9" x14ac:dyDescent="0.25">
      <c r="A15" t="s">
        <v>21</v>
      </c>
      <c r="B15" t="s">
        <v>110</v>
      </c>
      <c r="C15" t="s">
        <v>186</v>
      </c>
      <c r="D15">
        <v>223300320</v>
      </c>
      <c r="E15">
        <v>1</v>
      </c>
      <c r="F15">
        <v>1</v>
      </c>
      <c r="G15" t="s">
        <v>188</v>
      </c>
      <c r="H15" t="s">
        <v>189</v>
      </c>
      <c r="I15" t="b">
        <f>ISNUMBER(MATCH(B15,'[1]Index Composition'!$B$2:$B$89,0))</f>
        <v>1</v>
      </c>
    </row>
    <row r="16" spans="1:9" x14ac:dyDescent="0.25">
      <c r="A16" t="s">
        <v>22</v>
      </c>
      <c r="B16" t="s">
        <v>111</v>
      </c>
      <c r="C16" t="s">
        <v>186</v>
      </c>
      <c r="D16">
        <v>297593000</v>
      </c>
      <c r="E16">
        <v>1</v>
      </c>
      <c r="F16">
        <v>1</v>
      </c>
      <c r="G16" t="s">
        <v>188</v>
      </c>
      <c r="H16" t="s">
        <v>189</v>
      </c>
      <c r="I16" t="b">
        <f>ISNUMBER(MATCH(B16,'[1]Index Composition'!$B$2:$B$89,0))</f>
        <v>1</v>
      </c>
    </row>
    <row r="17" spans="1:9" x14ac:dyDescent="0.25">
      <c r="A17" t="s">
        <v>23</v>
      </c>
      <c r="B17" t="s">
        <v>112</v>
      </c>
      <c r="C17" t="s">
        <v>186</v>
      </c>
      <c r="D17">
        <v>561061460</v>
      </c>
      <c r="E17">
        <v>0.9</v>
      </c>
      <c r="F17">
        <v>1</v>
      </c>
      <c r="G17" t="s">
        <v>188</v>
      </c>
      <c r="H17" t="s">
        <v>189</v>
      </c>
      <c r="I17" t="b">
        <f>ISNUMBER(MATCH(B17,'[1]Index Composition'!$B$2:$B$89,0))</f>
        <v>1</v>
      </c>
    </row>
    <row r="18" spans="1:9" x14ac:dyDescent="0.25">
      <c r="A18" t="s">
        <v>24</v>
      </c>
      <c r="B18" t="s">
        <v>113</v>
      </c>
      <c r="C18" t="s">
        <v>186</v>
      </c>
      <c r="D18">
        <v>113210594</v>
      </c>
      <c r="E18">
        <v>1</v>
      </c>
      <c r="F18">
        <v>1</v>
      </c>
      <c r="G18" t="s">
        <v>188</v>
      </c>
      <c r="H18" t="s">
        <v>189</v>
      </c>
      <c r="I18" t="b">
        <f>ISNUMBER(MATCH(B18,'[1]Index Composition'!$B$2:$B$89,0))</f>
        <v>1</v>
      </c>
    </row>
    <row r="19" spans="1:9" x14ac:dyDescent="0.25">
      <c r="A19" t="s">
        <v>25</v>
      </c>
      <c r="B19" t="s">
        <v>114</v>
      </c>
      <c r="C19" t="s">
        <v>187</v>
      </c>
      <c r="D19">
        <v>423822780</v>
      </c>
      <c r="E19">
        <v>1</v>
      </c>
      <c r="F19">
        <v>1</v>
      </c>
      <c r="G19" t="s">
        <v>188</v>
      </c>
      <c r="H19" t="s">
        <v>189</v>
      </c>
      <c r="I19" t="b">
        <f>ISNUMBER(MATCH(B19,'[1]Index Composition'!$B$2:$B$89,0))</f>
        <v>1</v>
      </c>
    </row>
    <row r="20" spans="1:9" x14ac:dyDescent="0.25">
      <c r="A20" t="s">
        <v>26</v>
      </c>
      <c r="B20" t="s">
        <v>115</v>
      </c>
      <c r="C20" t="s">
        <v>186</v>
      </c>
      <c r="D20">
        <v>167965500</v>
      </c>
      <c r="E20">
        <v>1</v>
      </c>
      <c r="F20">
        <v>1</v>
      </c>
      <c r="G20" t="s">
        <v>188</v>
      </c>
      <c r="H20" t="s">
        <v>189</v>
      </c>
      <c r="I20" t="b">
        <f>ISNUMBER(MATCH(B20,'[1]Index Composition'!$B$2:$B$89,0))</f>
        <v>1</v>
      </c>
    </row>
    <row r="21" spans="1:9" x14ac:dyDescent="0.25">
      <c r="A21" t="s">
        <v>27</v>
      </c>
      <c r="B21" t="s">
        <v>116</v>
      </c>
      <c r="C21" t="s">
        <v>186</v>
      </c>
      <c r="D21">
        <v>435479000</v>
      </c>
      <c r="E21">
        <v>1</v>
      </c>
      <c r="F21">
        <v>1</v>
      </c>
      <c r="G21" t="s">
        <v>188</v>
      </c>
      <c r="H21" t="s">
        <v>189</v>
      </c>
      <c r="I21" t="b">
        <f>ISNUMBER(MATCH(B21,'[1]Index Composition'!$B$2:$B$89,0))</f>
        <v>1</v>
      </c>
    </row>
    <row r="22" spans="1:9" x14ac:dyDescent="0.25">
      <c r="A22" t="s">
        <v>28</v>
      </c>
      <c r="B22" t="s">
        <v>117</v>
      </c>
      <c r="C22" t="s">
        <v>186</v>
      </c>
      <c r="D22">
        <v>228035930</v>
      </c>
      <c r="E22">
        <v>1</v>
      </c>
      <c r="F22">
        <v>1</v>
      </c>
      <c r="G22" t="s">
        <v>188</v>
      </c>
      <c r="H22" t="s">
        <v>189</v>
      </c>
      <c r="I22" t="b">
        <f>ISNUMBER(MATCH(B22,'[1]Index Composition'!$B$2:$B$89,0))</f>
        <v>1</v>
      </c>
    </row>
    <row r="23" spans="1:9" x14ac:dyDescent="0.25">
      <c r="A23" t="s">
        <v>29</v>
      </c>
      <c r="B23" t="s">
        <v>118</v>
      </c>
      <c r="C23" t="s">
        <v>186</v>
      </c>
      <c r="D23">
        <v>231604550</v>
      </c>
      <c r="E23">
        <v>1</v>
      </c>
      <c r="F23">
        <v>1</v>
      </c>
      <c r="G23" t="s">
        <v>188</v>
      </c>
      <c r="H23" t="s">
        <v>189</v>
      </c>
      <c r="I23" t="b">
        <f>ISNUMBER(MATCH(B23,'[1]Index Composition'!$B$2:$B$89,0))</f>
        <v>0</v>
      </c>
    </row>
    <row r="24" spans="1:9" x14ac:dyDescent="0.25">
      <c r="A24" t="s">
        <v>30</v>
      </c>
      <c r="B24" t="s">
        <v>119</v>
      </c>
      <c r="C24" t="s">
        <v>186</v>
      </c>
      <c r="D24">
        <v>343501560</v>
      </c>
      <c r="E24">
        <v>0.95</v>
      </c>
      <c r="F24">
        <v>1</v>
      </c>
      <c r="G24" t="s">
        <v>188</v>
      </c>
      <c r="H24" t="s">
        <v>189</v>
      </c>
      <c r="I24" t="b">
        <f>ISNUMBER(MATCH(B24,'[1]Index Composition'!$B$2:$B$89,0))</f>
        <v>1</v>
      </c>
    </row>
    <row r="25" spans="1:9" x14ac:dyDescent="0.25">
      <c r="A25" t="s">
        <v>31</v>
      </c>
      <c r="B25" t="s">
        <v>120</v>
      </c>
      <c r="C25" t="s">
        <v>186</v>
      </c>
      <c r="D25">
        <v>53348644</v>
      </c>
      <c r="E25">
        <v>1</v>
      </c>
      <c r="F25">
        <v>1</v>
      </c>
      <c r="G25" t="s">
        <v>188</v>
      </c>
      <c r="H25" t="s">
        <v>189</v>
      </c>
      <c r="I25" t="b">
        <f>ISNUMBER(MATCH(B25,'[1]Index Composition'!$B$2:$B$89,0))</f>
        <v>1</v>
      </c>
    </row>
    <row r="26" spans="1:9" x14ac:dyDescent="0.25">
      <c r="A26" t="s">
        <v>32</v>
      </c>
      <c r="B26" t="s">
        <v>121</v>
      </c>
      <c r="C26" t="s">
        <v>186</v>
      </c>
      <c r="D26">
        <v>76140340</v>
      </c>
      <c r="E26">
        <v>1</v>
      </c>
      <c r="F26">
        <v>1</v>
      </c>
      <c r="G26" t="s">
        <v>188</v>
      </c>
      <c r="H26" t="s">
        <v>189</v>
      </c>
      <c r="I26" t="b">
        <f>ISNUMBER(MATCH(B26,'[1]Index Composition'!$B$2:$B$89,0))</f>
        <v>1</v>
      </c>
    </row>
    <row r="27" spans="1:9" x14ac:dyDescent="0.25">
      <c r="A27" t="s">
        <v>33</v>
      </c>
      <c r="B27" t="s">
        <v>122</v>
      </c>
      <c r="C27" t="s">
        <v>187</v>
      </c>
      <c r="D27">
        <v>98186080</v>
      </c>
      <c r="E27">
        <v>1</v>
      </c>
      <c r="F27">
        <v>1</v>
      </c>
      <c r="G27" t="s">
        <v>188</v>
      </c>
      <c r="H27" t="s">
        <v>189</v>
      </c>
      <c r="I27" t="b">
        <f>ISNUMBER(MATCH(B27,'[1]Index Composition'!$B$2:$B$89,0))</f>
        <v>1</v>
      </c>
    </row>
    <row r="28" spans="1:9" x14ac:dyDescent="0.25">
      <c r="A28" t="s">
        <v>34</v>
      </c>
      <c r="B28" t="s">
        <v>123</v>
      </c>
      <c r="C28" t="s">
        <v>186</v>
      </c>
      <c r="D28">
        <v>193828480</v>
      </c>
      <c r="E28">
        <v>1</v>
      </c>
      <c r="F28">
        <v>1</v>
      </c>
      <c r="G28" t="s">
        <v>188</v>
      </c>
      <c r="H28" t="s">
        <v>189</v>
      </c>
      <c r="I28" t="b">
        <f>ISNUMBER(MATCH(B28,'[1]Index Composition'!$B$2:$B$89,0))</f>
        <v>1</v>
      </c>
    </row>
    <row r="29" spans="1:9" x14ac:dyDescent="0.25">
      <c r="A29" t="s">
        <v>35</v>
      </c>
      <c r="B29" t="s">
        <v>124</v>
      </c>
      <c r="C29" t="s">
        <v>186</v>
      </c>
      <c r="D29">
        <v>380474730</v>
      </c>
      <c r="E29">
        <v>0.9</v>
      </c>
      <c r="F29">
        <v>1</v>
      </c>
      <c r="G29" t="s">
        <v>188</v>
      </c>
      <c r="H29" t="s">
        <v>189</v>
      </c>
      <c r="I29" t="b">
        <f>ISNUMBER(MATCH(B29,'[1]Index Composition'!$B$2:$B$89,0))</f>
        <v>1</v>
      </c>
    </row>
    <row r="30" spans="1:9" x14ac:dyDescent="0.25">
      <c r="A30" t="s">
        <v>36</v>
      </c>
      <c r="B30" t="s">
        <v>125</v>
      </c>
      <c r="C30" t="s">
        <v>186</v>
      </c>
      <c r="D30">
        <v>198144550</v>
      </c>
      <c r="E30">
        <v>1</v>
      </c>
      <c r="F30">
        <v>1</v>
      </c>
      <c r="G30" t="s">
        <v>188</v>
      </c>
      <c r="H30" t="s">
        <v>189</v>
      </c>
      <c r="I30" t="b">
        <f>ISNUMBER(MATCH(B30,'[1]Index Composition'!$B$2:$B$89,0))</f>
        <v>1</v>
      </c>
    </row>
    <row r="31" spans="1:9" x14ac:dyDescent="0.25">
      <c r="A31" t="s">
        <v>37</v>
      </c>
      <c r="B31" t="s">
        <v>126</v>
      </c>
      <c r="C31" t="s">
        <v>186</v>
      </c>
      <c r="D31">
        <v>64404020</v>
      </c>
      <c r="E31">
        <v>1</v>
      </c>
      <c r="F31">
        <v>1</v>
      </c>
      <c r="G31" t="s">
        <v>188</v>
      </c>
      <c r="H31" t="s">
        <v>189</v>
      </c>
      <c r="I31" t="b">
        <f>ISNUMBER(MATCH(B31,'[1]Index Composition'!$B$2:$B$89,0))</f>
        <v>1</v>
      </c>
    </row>
    <row r="32" spans="1:9" x14ac:dyDescent="0.25">
      <c r="A32" t="s">
        <v>38</v>
      </c>
      <c r="B32" t="s">
        <v>127</v>
      </c>
      <c r="C32" t="s">
        <v>186</v>
      </c>
      <c r="D32">
        <v>212247570</v>
      </c>
      <c r="E32">
        <v>1</v>
      </c>
      <c r="F32">
        <v>1</v>
      </c>
      <c r="G32" t="s">
        <v>188</v>
      </c>
      <c r="H32" t="s">
        <v>189</v>
      </c>
      <c r="I32" t="b">
        <f>ISNUMBER(MATCH(B32,'[1]Index Composition'!$B$2:$B$89,0))</f>
        <v>1</v>
      </c>
    </row>
    <row r="33" spans="1:9" x14ac:dyDescent="0.25">
      <c r="A33" t="s">
        <v>39</v>
      </c>
      <c r="B33" t="s">
        <v>128</v>
      </c>
      <c r="C33" t="s">
        <v>186</v>
      </c>
      <c r="D33">
        <v>86270035</v>
      </c>
      <c r="E33">
        <v>0.9</v>
      </c>
      <c r="F33">
        <v>1</v>
      </c>
      <c r="G33" t="s">
        <v>188</v>
      </c>
      <c r="H33" t="s">
        <v>189</v>
      </c>
      <c r="I33" t="b">
        <f>ISNUMBER(MATCH(B33,'[1]Index Composition'!$B$2:$B$89,0))</f>
        <v>1</v>
      </c>
    </row>
    <row r="34" spans="1:9" x14ac:dyDescent="0.25">
      <c r="A34" t="s">
        <v>40</v>
      </c>
      <c r="B34" t="s">
        <v>129</v>
      </c>
      <c r="C34" t="s">
        <v>187</v>
      </c>
      <c r="D34">
        <v>614025400</v>
      </c>
      <c r="E34">
        <v>0.45</v>
      </c>
      <c r="F34">
        <v>1</v>
      </c>
      <c r="G34" t="s">
        <v>188</v>
      </c>
      <c r="H34" t="s">
        <v>189</v>
      </c>
      <c r="I34" t="b">
        <f>ISNUMBER(MATCH(B34,'[1]Index Composition'!$B$2:$B$89,0))</f>
        <v>1</v>
      </c>
    </row>
    <row r="35" spans="1:9" x14ac:dyDescent="0.25">
      <c r="A35" t="s">
        <v>41</v>
      </c>
      <c r="B35" t="s">
        <v>130</v>
      </c>
      <c r="C35" t="s">
        <v>186</v>
      </c>
      <c r="D35">
        <v>132422260</v>
      </c>
      <c r="E35">
        <v>1</v>
      </c>
      <c r="F35">
        <v>1</v>
      </c>
      <c r="G35" t="s">
        <v>188</v>
      </c>
      <c r="H35" t="s">
        <v>189</v>
      </c>
      <c r="I35" t="b">
        <f>ISNUMBER(MATCH(B35,'[1]Index Composition'!$B$2:$B$89,0))</f>
        <v>1</v>
      </c>
    </row>
    <row r="36" spans="1:9" x14ac:dyDescent="0.25">
      <c r="A36" t="s">
        <v>42</v>
      </c>
      <c r="B36" t="s">
        <v>131</v>
      </c>
      <c r="C36" t="s">
        <v>186</v>
      </c>
      <c r="D36">
        <v>106082016</v>
      </c>
      <c r="E36">
        <v>1</v>
      </c>
      <c r="F36">
        <v>1</v>
      </c>
      <c r="G36" t="s">
        <v>188</v>
      </c>
      <c r="H36" t="s">
        <v>189</v>
      </c>
      <c r="I36" t="b">
        <f>ISNUMBER(MATCH(B36,'[1]Index Composition'!$B$2:$B$89,0))</f>
        <v>1</v>
      </c>
    </row>
    <row r="37" spans="1:9" x14ac:dyDescent="0.25">
      <c r="A37" t="s">
        <v>43</v>
      </c>
      <c r="B37" t="s">
        <v>132</v>
      </c>
      <c r="C37" t="s">
        <v>187</v>
      </c>
      <c r="D37">
        <v>283008330</v>
      </c>
      <c r="E37">
        <v>1</v>
      </c>
      <c r="F37">
        <v>1</v>
      </c>
      <c r="G37" t="s">
        <v>188</v>
      </c>
      <c r="H37" t="s">
        <v>189</v>
      </c>
      <c r="I37" t="b">
        <f>ISNUMBER(MATCH(B37,'[1]Index Composition'!$B$2:$B$89,0))</f>
        <v>1</v>
      </c>
    </row>
    <row r="38" spans="1:9" x14ac:dyDescent="0.25">
      <c r="A38" t="s">
        <v>44</v>
      </c>
      <c r="B38" t="s">
        <v>133</v>
      </c>
      <c r="C38" t="s">
        <v>186</v>
      </c>
      <c r="D38">
        <v>126079190</v>
      </c>
      <c r="E38">
        <v>1</v>
      </c>
      <c r="F38">
        <v>1</v>
      </c>
      <c r="G38" t="s">
        <v>188</v>
      </c>
      <c r="H38" t="s">
        <v>189</v>
      </c>
      <c r="I38" t="b">
        <f>ISNUMBER(MATCH(B38,'[1]Index Composition'!$B$2:$B$89,0))</f>
        <v>1</v>
      </c>
    </row>
    <row r="39" spans="1:9" x14ac:dyDescent="0.25">
      <c r="A39" t="s">
        <v>45</v>
      </c>
      <c r="B39" t="s">
        <v>134</v>
      </c>
      <c r="C39" t="s">
        <v>186</v>
      </c>
      <c r="D39">
        <v>351628700</v>
      </c>
      <c r="E39">
        <v>1</v>
      </c>
      <c r="F39">
        <v>1</v>
      </c>
      <c r="G39" t="s">
        <v>188</v>
      </c>
      <c r="H39" t="s">
        <v>189</v>
      </c>
      <c r="I39" t="b">
        <f>ISNUMBER(MATCH(B39,'[1]Index Composition'!$B$2:$B$89,0))</f>
        <v>1</v>
      </c>
    </row>
    <row r="40" spans="1:9" x14ac:dyDescent="0.25">
      <c r="A40" t="s">
        <v>46</v>
      </c>
      <c r="B40" t="s">
        <v>135</v>
      </c>
      <c r="C40" t="s">
        <v>186</v>
      </c>
      <c r="D40">
        <v>694949800</v>
      </c>
      <c r="E40">
        <v>1</v>
      </c>
      <c r="F40">
        <v>1</v>
      </c>
      <c r="G40" t="s">
        <v>188</v>
      </c>
      <c r="H40" t="s">
        <v>189</v>
      </c>
      <c r="I40" t="b">
        <f>ISNUMBER(MATCH(B40,'[1]Index Composition'!$B$2:$B$89,0))</f>
        <v>1</v>
      </c>
    </row>
    <row r="41" spans="1:9" x14ac:dyDescent="0.25">
      <c r="A41" t="s">
        <v>47</v>
      </c>
      <c r="B41" t="s">
        <v>136</v>
      </c>
      <c r="C41" t="s">
        <v>186</v>
      </c>
      <c r="D41">
        <v>109893940</v>
      </c>
      <c r="E41">
        <v>1</v>
      </c>
      <c r="F41">
        <v>1</v>
      </c>
      <c r="G41" t="s">
        <v>188</v>
      </c>
      <c r="H41" t="s">
        <v>189</v>
      </c>
      <c r="I41" t="b">
        <f>ISNUMBER(MATCH(B41,'[1]Index Composition'!$B$2:$B$89,0))</f>
        <v>1</v>
      </c>
    </row>
    <row r="42" spans="1:9" x14ac:dyDescent="0.25">
      <c r="A42" t="s">
        <v>48</v>
      </c>
      <c r="B42" t="s">
        <v>137</v>
      </c>
      <c r="C42" t="s">
        <v>187</v>
      </c>
      <c r="D42">
        <v>687689450</v>
      </c>
      <c r="E42">
        <v>0.95</v>
      </c>
      <c r="F42">
        <v>1</v>
      </c>
      <c r="G42" t="s">
        <v>188</v>
      </c>
      <c r="H42" t="s">
        <v>189</v>
      </c>
      <c r="I42" t="b">
        <f>ISNUMBER(MATCH(B42,'[1]Index Composition'!$B$2:$B$89,0))</f>
        <v>1</v>
      </c>
    </row>
    <row r="43" spans="1:9" x14ac:dyDescent="0.25">
      <c r="A43" t="s">
        <v>49</v>
      </c>
      <c r="B43" t="s">
        <v>138</v>
      </c>
      <c r="C43" t="s">
        <v>186</v>
      </c>
      <c r="D43">
        <v>59390960</v>
      </c>
      <c r="E43">
        <v>0.7</v>
      </c>
      <c r="F43">
        <v>1</v>
      </c>
      <c r="G43" t="s">
        <v>188</v>
      </c>
      <c r="H43" t="s">
        <v>189</v>
      </c>
      <c r="I43" t="b">
        <f>ISNUMBER(MATCH(B43,'[1]Index Composition'!$B$2:$B$89,0))</f>
        <v>1</v>
      </c>
    </row>
    <row r="44" spans="1:9" x14ac:dyDescent="0.25">
      <c r="A44" t="s">
        <v>50</v>
      </c>
      <c r="B44" t="s">
        <v>139</v>
      </c>
      <c r="C44" t="s">
        <v>186</v>
      </c>
      <c r="D44">
        <v>239112980</v>
      </c>
      <c r="E44">
        <v>1</v>
      </c>
      <c r="F44">
        <v>1</v>
      </c>
      <c r="G44" t="s">
        <v>188</v>
      </c>
      <c r="H44" t="s">
        <v>189</v>
      </c>
      <c r="I44" t="b">
        <f>ISNUMBER(MATCH(B44,'[1]Index Composition'!$B$2:$B$89,0))</f>
        <v>1</v>
      </c>
    </row>
    <row r="45" spans="1:9" x14ac:dyDescent="0.25">
      <c r="A45" t="s">
        <v>51</v>
      </c>
      <c r="B45" t="s">
        <v>140</v>
      </c>
      <c r="C45" t="s">
        <v>186</v>
      </c>
      <c r="D45">
        <v>613020570</v>
      </c>
      <c r="E45">
        <v>0.9</v>
      </c>
      <c r="F45">
        <v>1</v>
      </c>
      <c r="G45" t="s">
        <v>188</v>
      </c>
      <c r="H45" t="s">
        <v>189</v>
      </c>
      <c r="I45" t="b">
        <f>ISNUMBER(MATCH(B45,'[1]Index Composition'!$B$2:$B$89,0))</f>
        <v>1</v>
      </c>
    </row>
    <row r="46" spans="1:9" x14ac:dyDescent="0.25">
      <c r="A46" t="s">
        <v>52</v>
      </c>
      <c r="B46" t="s">
        <v>141</v>
      </c>
      <c r="C46" t="s">
        <v>186</v>
      </c>
      <c r="D46">
        <v>295589480</v>
      </c>
      <c r="E46">
        <v>1</v>
      </c>
      <c r="F46">
        <v>1</v>
      </c>
      <c r="G46" t="s">
        <v>188</v>
      </c>
      <c r="H46" t="s">
        <v>189</v>
      </c>
      <c r="I46" t="b">
        <f>ISNUMBER(MATCH(B46,'[1]Index Composition'!$B$2:$B$89,0))</f>
        <v>1</v>
      </c>
    </row>
    <row r="47" spans="1:9" x14ac:dyDescent="0.25">
      <c r="A47" t="s">
        <v>53</v>
      </c>
      <c r="B47" t="s">
        <v>142</v>
      </c>
      <c r="C47" t="s">
        <v>186</v>
      </c>
      <c r="D47">
        <v>47194630</v>
      </c>
      <c r="E47">
        <v>1</v>
      </c>
      <c r="F47">
        <v>1</v>
      </c>
      <c r="G47" t="s">
        <v>188</v>
      </c>
      <c r="H47" t="s">
        <v>189</v>
      </c>
      <c r="I47" t="b">
        <f>ISNUMBER(MATCH(B47,'[1]Index Composition'!$B$2:$B$89,0))</f>
        <v>1</v>
      </c>
    </row>
    <row r="48" spans="1:9" x14ac:dyDescent="0.25">
      <c r="A48" t="s">
        <v>54</v>
      </c>
      <c r="B48" t="s">
        <v>143</v>
      </c>
      <c r="C48" t="s">
        <v>186</v>
      </c>
      <c r="D48">
        <v>118305700</v>
      </c>
      <c r="E48">
        <v>0.85</v>
      </c>
      <c r="F48">
        <v>1</v>
      </c>
      <c r="G48" t="s">
        <v>188</v>
      </c>
      <c r="H48" t="s">
        <v>189</v>
      </c>
      <c r="I48" t="b">
        <f>ISNUMBER(MATCH(B48,'[1]Index Composition'!$B$2:$B$89,0))</f>
        <v>1</v>
      </c>
    </row>
    <row r="49" spans="1:9" x14ac:dyDescent="0.25">
      <c r="A49" t="s">
        <v>55</v>
      </c>
      <c r="B49" t="s">
        <v>144</v>
      </c>
      <c r="C49" t="s">
        <v>186</v>
      </c>
      <c r="D49">
        <v>677194030</v>
      </c>
      <c r="E49">
        <v>1</v>
      </c>
      <c r="F49">
        <v>1</v>
      </c>
      <c r="G49" t="s">
        <v>188</v>
      </c>
      <c r="H49" t="s">
        <v>189</v>
      </c>
      <c r="I49" t="b">
        <f>ISNUMBER(MATCH(B49,'[1]Index Composition'!$B$2:$B$89,0))</f>
        <v>1</v>
      </c>
    </row>
    <row r="50" spans="1:9" x14ac:dyDescent="0.25">
      <c r="A50" t="s">
        <v>56</v>
      </c>
      <c r="B50" t="s">
        <v>145</v>
      </c>
      <c r="C50" t="s">
        <v>186</v>
      </c>
      <c r="D50">
        <v>216505970</v>
      </c>
      <c r="E50">
        <v>1</v>
      </c>
      <c r="F50">
        <v>1</v>
      </c>
      <c r="G50" t="s">
        <v>188</v>
      </c>
      <c r="H50" t="s">
        <v>189</v>
      </c>
      <c r="I50" t="b">
        <f>ISNUMBER(MATCH(B50,'[1]Index Composition'!$B$2:$B$89,0))</f>
        <v>1</v>
      </c>
    </row>
    <row r="51" spans="1:9" x14ac:dyDescent="0.25">
      <c r="A51" t="s">
        <v>57</v>
      </c>
      <c r="B51" t="s">
        <v>146</v>
      </c>
      <c r="C51" t="s">
        <v>187</v>
      </c>
      <c r="D51">
        <v>86863495</v>
      </c>
      <c r="E51">
        <v>1</v>
      </c>
      <c r="F51">
        <v>1</v>
      </c>
      <c r="G51" t="s">
        <v>188</v>
      </c>
      <c r="H51" t="s">
        <v>189</v>
      </c>
      <c r="I51" t="b">
        <f>ISNUMBER(MATCH(B51,'[1]Index Composition'!$B$2:$B$89,0))</f>
        <v>1</v>
      </c>
    </row>
    <row r="52" spans="1:9" x14ac:dyDescent="0.25">
      <c r="A52" t="s">
        <v>58</v>
      </c>
      <c r="B52" t="s">
        <v>147</v>
      </c>
      <c r="C52" t="s">
        <v>186</v>
      </c>
      <c r="D52">
        <v>59158844</v>
      </c>
      <c r="E52">
        <v>1</v>
      </c>
      <c r="F52">
        <v>1</v>
      </c>
      <c r="G52" t="s">
        <v>188</v>
      </c>
      <c r="H52" t="s">
        <v>189</v>
      </c>
      <c r="I52" t="b">
        <f>ISNUMBER(MATCH(B52,'[1]Index Composition'!$B$2:$B$89,0))</f>
        <v>1</v>
      </c>
    </row>
    <row r="53" spans="1:9" x14ac:dyDescent="0.25">
      <c r="A53" t="s">
        <v>59</v>
      </c>
      <c r="B53" t="s">
        <v>148</v>
      </c>
      <c r="C53" t="s">
        <v>186</v>
      </c>
      <c r="D53">
        <v>256118070</v>
      </c>
      <c r="E53">
        <v>1</v>
      </c>
      <c r="F53">
        <v>1</v>
      </c>
      <c r="G53" t="s">
        <v>188</v>
      </c>
      <c r="H53" t="s">
        <v>189</v>
      </c>
      <c r="I53" t="b">
        <f>ISNUMBER(MATCH(B53,'[1]Index Composition'!$B$2:$B$89,0))</f>
        <v>1</v>
      </c>
    </row>
    <row r="54" spans="1:9" x14ac:dyDescent="0.25">
      <c r="A54" t="s">
        <v>60</v>
      </c>
      <c r="B54" t="s">
        <v>149</v>
      </c>
      <c r="C54" t="s">
        <v>186</v>
      </c>
      <c r="D54">
        <v>601500000</v>
      </c>
      <c r="E54">
        <v>0.85</v>
      </c>
      <c r="F54">
        <v>1</v>
      </c>
      <c r="G54" t="s">
        <v>188</v>
      </c>
      <c r="H54" t="s">
        <v>189</v>
      </c>
      <c r="I54" t="b">
        <f>ISNUMBER(MATCH(B54,'[1]Index Composition'!$B$2:$B$89,0))</f>
        <v>1</v>
      </c>
    </row>
    <row r="55" spans="1:9" x14ac:dyDescent="0.25">
      <c r="A55" t="s">
        <v>61</v>
      </c>
      <c r="B55" t="s">
        <v>150</v>
      </c>
      <c r="C55" t="s">
        <v>186</v>
      </c>
      <c r="D55">
        <v>117081740</v>
      </c>
      <c r="E55">
        <v>1</v>
      </c>
      <c r="F55">
        <v>1</v>
      </c>
      <c r="G55" t="s">
        <v>188</v>
      </c>
      <c r="H55" t="s">
        <v>189</v>
      </c>
      <c r="I55" t="b">
        <f>ISNUMBER(MATCH(B55,'[1]Index Composition'!$B$2:$B$89,0))</f>
        <v>1</v>
      </c>
    </row>
    <row r="56" spans="1:9" x14ac:dyDescent="0.25">
      <c r="A56" t="s">
        <v>62</v>
      </c>
      <c r="B56" t="s">
        <v>151</v>
      </c>
      <c r="C56" t="s">
        <v>186</v>
      </c>
      <c r="D56">
        <v>154183690</v>
      </c>
      <c r="E56">
        <v>0.8</v>
      </c>
      <c r="F56">
        <v>1</v>
      </c>
      <c r="G56" t="s">
        <v>188</v>
      </c>
      <c r="H56" t="s">
        <v>189</v>
      </c>
      <c r="I56" t="b">
        <f>ISNUMBER(MATCH(B56,'[1]Index Composition'!$B$2:$B$89,0))</f>
        <v>1</v>
      </c>
    </row>
    <row r="57" spans="1:9" x14ac:dyDescent="0.25">
      <c r="A57" t="s">
        <v>63</v>
      </c>
      <c r="B57" t="s">
        <v>152</v>
      </c>
      <c r="C57" t="s">
        <v>186</v>
      </c>
      <c r="D57">
        <v>47638500</v>
      </c>
      <c r="E57">
        <v>1</v>
      </c>
      <c r="F57">
        <v>1</v>
      </c>
      <c r="G57" t="s">
        <v>188</v>
      </c>
      <c r="H57" t="s">
        <v>189</v>
      </c>
      <c r="I57" t="b">
        <f>ISNUMBER(MATCH(B57,'[1]Index Composition'!$B$2:$B$89,0))</f>
        <v>1</v>
      </c>
    </row>
    <row r="58" spans="1:9" x14ac:dyDescent="0.25">
      <c r="A58" t="s">
        <v>64</v>
      </c>
      <c r="B58" t="s">
        <v>153</v>
      </c>
      <c r="C58" t="s">
        <v>187</v>
      </c>
      <c r="D58">
        <v>159126880</v>
      </c>
      <c r="E58">
        <v>1</v>
      </c>
      <c r="F58">
        <v>1</v>
      </c>
      <c r="G58" t="s">
        <v>188</v>
      </c>
      <c r="H58" t="s">
        <v>189</v>
      </c>
      <c r="I58" t="b">
        <f>ISNUMBER(MATCH(B58,'[1]Index Composition'!$B$2:$B$89,0))</f>
        <v>1</v>
      </c>
    </row>
    <row r="59" spans="1:9" x14ac:dyDescent="0.25">
      <c r="A59" t="s">
        <v>65</v>
      </c>
      <c r="B59" t="s">
        <v>154</v>
      </c>
      <c r="C59" t="s">
        <v>186</v>
      </c>
      <c r="D59">
        <v>189920820</v>
      </c>
      <c r="E59">
        <v>1</v>
      </c>
      <c r="F59">
        <v>1</v>
      </c>
      <c r="G59" t="s">
        <v>188</v>
      </c>
      <c r="H59" t="s">
        <v>189</v>
      </c>
      <c r="I59" t="b">
        <f>ISNUMBER(MATCH(B59,'[1]Index Composition'!$B$2:$B$89,0))</f>
        <v>1</v>
      </c>
    </row>
    <row r="60" spans="1:9" x14ac:dyDescent="0.25">
      <c r="A60" t="s">
        <v>66</v>
      </c>
      <c r="B60" t="s">
        <v>155</v>
      </c>
      <c r="C60" t="s">
        <v>186</v>
      </c>
      <c r="D60">
        <v>295529000</v>
      </c>
      <c r="E60">
        <v>1</v>
      </c>
      <c r="F60">
        <v>1</v>
      </c>
      <c r="G60" t="s">
        <v>188</v>
      </c>
      <c r="H60" t="s">
        <v>189</v>
      </c>
      <c r="I60" t="b">
        <f>ISNUMBER(MATCH(B60,'[1]Index Composition'!$B$2:$B$89,0))</f>
        <v>1</v>
      </c>
    </row>
    <row r="61" spans="1:9" x14ac:dyDescent="0.25">
      <c r="A61" t="s">
        <v>67</v>
      </c>
      <c r="B61" t="s">
        <v>156</v>
      </c>
      <c r="C61" t="s">
        <v>187</v>
      </c>
      <c r="D61">
        <v>953425660</v>
      </c>
      <c r="E61">
        <v>0.9</v>
      </c>
      <c r="F61">
        <v>1</v>
      </c>
      <c r="G61" t="s">
        <v>188</v>
      </c>
      <c r="H61" t="s">
        <v>189</v>
      </c>
      <c r="I61" t="b">
        <f>ISNUMBER(MATCH(B61,'[1]Index Composition'!$B$2:$B$89,0))</f>
        <v>1</v>
      </c>
    </row>
    <row r="62" spans="1:9" x14ac:dyDescent="0.25">
      <c r="A62" t="s">
        <v>68</v>
      </c>
      <c r="B62" t="s">
        <v>157</v>
      </c>
      <c r="C62" t="s">
        <v>186</v>
      </c>
      <c r="D62">
        <v>167234560</v>
      </c>
      <c r="E62">
        <v>0.95</v>
      </c>
      <c r="F62">
        <v>1</v>
      </c>
      <c r="G62" t="s">
        <v>188</v>
      </c>
      <c r="H62" t="s">
        <v>189</v>
      </c>
      <c r="I62" t="b">
        <f>ISNUMBER(MATCH(B62,'[1]Index Composition'!$B$2:$B$89,0))</f>
        <v>1</v>
      </c>
    </row>
    <row r="63" spans="1:9" x14ac:dyDescent="0.25">
      <c r="A63" t="s">
        <v>69</v>
      </c>
      <c r="B63" t="s">
        <v>158</v>
      </c>
      <c r="C63" t="s">
        <v>187</v>
      </c>
      <c r="D63">
        <v>125800000</v>
      </c>
      <c r="E63">
        <v>1</v>
      </c>
      <c r="F63">
        <v>1</v>
      </c>
      <c r="G63" t="s">
        <v>188</v>
      </c>
      <c r="H63" t="s">
        <v>189</v>
      </c>
      <c r="I63" t="b">
        <f>ISNUMBER(MATCH(B63,'[1]Index Composition'!$B$2:$B$89,0))</f>
        <v>1</v>
      </c>
    </row>
    <row r="64" spans="1:9" x14ac:dyDescent="0.25">
      <c r="A64" t="s">
        <v>70</v>
      </c>
      <c r="B64" t="s">
        <v>159</v>
      </c>
      <c r="C64" t="s">
        <v>187</v>
      </c>
      <c r="D64">
        <v>77291000</v>
      </c>
      <c r="E64">
        <v>0.95</v>
      </c>
      <c r="F64">
        <v>1</v>
      </c>
      <c r="G64" t="s">
        <v>188</v>
      </c>
      <c r="H64" t="s">
        <v>189</v>
      </c>
      <c r="I64" t="b">
        <f>ISNUMBER(MATCH(B64,'[1]Index Composition'!$B$2:$B$89,0))</f>
        <v>1</v>
      </c>
    </row>
    <row r="65" spans="1:9" x14ac:dyDescent="0.25">
      <c r="A65" t="s">
        <v>71</v>
      </c>
      <c r="B65" t="s">
        <v>160</v>
      </c>
      <c r="C65" t="s">
        <v>186</v>
      </c>
      <c r="D65">
        <v>928867000</v>
      </c>
      <c r="E65">
        <v>1</v>
      </c>
      <c r="F65">
        <v>1</v>
      </c>
      <c r="G65" t="s">
        <v>188</v>
      </c>
      <c r="H65" t="s">
        <v>189</v>
      </c>
      <c r="I65" t="b">
        <f>ISNUMBER(MATCH(B65,'[1]Index Composition'!$B$2:$B$89,0))</f>
        <v>1</v>
      </c>
    </row>
    <row r="66" spans="1:9" x14ac:dyDescent="0.25">
      <c r="A66" t="s">
        <v>72</v>
      </c>
      <c r="B66" t="s">
        <v>161</v>
      </c>
      <c r="C66" t="s">
        <v>186</v>
      </c>
      <c r="D66">
        <v>175463010</v>
      </c>
      <c r="E66">
        <v>0.9</v>
      </c>
      <c r="F66">
        <v>1</v>
      </c>
      <c r="G66" t="s">
        <v>188</v>
      </c>
      <c r="H66" t="s">
        <v>189</v>
      </c>
      <c r="I66" t="b">
        <f>ISNUMBER(MATCH(B66,'[1]Index Composition'!$B$2:$B$89,0))</f>
        <v>1</v>
      </c>
    </row>
    <row r="67" spans="1:9" x14ac:dyDescent="0.25">
      <c r="A67" t="s">
        <v>73</v>
      </c>
      <c r="B67" t="s">
        <v>162</v>
      </c>
      <c r="C67" t="s">
        <v>186</v>
      </c>
      <c r="D67">
        <v>153899830</v>
      </c>
      <c r="E67">
        <v>0.9</v>
      </c>
      <c r="F67">
        <v>1</v>
      </c>
      <c r="G67" t="s">
        <v>188</v>
      </c>
      <c r="H67" t="s">
        <v>189</v>
      </c>
      <c r="I67" t="b">
        <f>ISNUMBER(MATCH(B67,'[1]Index Composition'!$B$2:$B$89,0))</f>
        <v>1</v>
      </c>
    </row>
    <row r="68" spans="1:9" x14ac:dyDescent="0.25">
      <c r="A68" t="s">
        <v>74</v>
      </c>
      <c r="B68" t="s">
        <v>163</v>
      </c>
      <c r="C68" t="s">
        <v>186</v>
      </c>
      <c r="D68">
        <v>919905760</v>
      </c>
      <c r="E68">
        <v>1</v>
      </c>
      <c r="F68">
        <v>1</v>
      </c>
      <c r="G68" t="s">
        <v>188</v>
      </c>
      <c r="H68" t="s">
        <v>189</v>
      </c>
      <c r="I68" t="b">
        <f>ISNUMBER(MATCH(B68,'[1]Index Composition'!$B$2:$B$89,0))</f>
        <v>1</v>
      </c>
    </row>
    <row r="69" spans="1:9" x14ac:dyDescent="0.25">
      <c r="A69" t="s">
        <v>75</v>
      </c>
      <c r="B69" t="s">
        <v>164</v>
      </c>
      <c r="C69" t="s">
        <v>187</v>
      </c>
      <c r="D69">
        <v>182900970</v>
      </c>
      <c r="E69">
        <v>0.9</v>
      </c>
      <c r="F69">
        <v>1</v>
      </c>
      <c r="G69" t="s">
        <v>188</v>
      </c>
      <c r="H69" t="s">
        <v>189</v>
      </c>
      <c r="I69" t="b">
        <f>ISNUMBER(MATCH(B69,'[1]Index Composition'!$B$2:$B$89,0))</f>
        <v>1</v>
      </c>
    </row>
    <row r="70" spans="1:9" x14ac:dyDescent="0.25">
      <c r="A70" t="s">
        <v>76</v>
      </c>
      <c r="B70" t="s">
        <v>165</v>
      </c>
      <c r="C70" t="s">
        <v>186</v>
      </c>
      <c r="D70">
        <v>232810410</v>
      </c>
      <c r="E70">
        <v>1</v>
      </c>
      <c r="F70">
        <v>1</v>
      </c>
      <c r="G70" t="s">
        <v>188</v>
      </c>
      <c r="H70" t="s">
        <v>189</v>
      </c>
      <c r="I70" t="b">
        <f>ISNUMBER(MATCH(B70,'[1]Index Composition'!$B$2:$B$89,0))</f>
        <v>1</v>
      </c>
    </row>
    <row r="71" spans="1:9" x14ac:dyDescent="0.25">
      <c r="A71" t="s">
        <v>77</v>
      </c>
      <c r="B71" t="s">
        <v>166</v>
      </c>
      <c r="C71" t="s">
        <v>186</v>
      </c>
      <c r="D71">
        <v>63004074</v>
      </c>
      <c r="E71">
        <v>1</v>
      </c>
      <c r="F71">
        <v>1</v>
      </c>
      <c r="G71" t="s">
        <v>188</v>
      </c>
      <c r="H71" t="s">
        <v>189</v>
      </c>
      <c r="I71" t="b">
        <f>ISNUMBER(MATCH(B71,'[1]Index Composition'!$B$2:$B$89,0))</f>
        <v>1</v>
      </c>
    </row>
    <row r="72" spans="1:9" x14ac:dyDescent="0.25">
      <c r="A72" t="s">
        <v>78</v>
      </c>
      <c r="B72" t="s">
        <v>167</v>
      </c>
      <c r="C72" t="s">
        <v>187</v>
      </c>
      <c r="D72">
        <v>249349670</v>
      </c>
      <c r="E72">
        <v>1</v>
      </c>
      <c r="F72">
        <v>1</v>
      </c>
      <c r="G72" t="s">
        <v>188</v>
      </c>
      <c r="H72" t="s">
        <v>189</v>
      </c>
      <c r="I72" t="b">
        <f>ISNUMBER(MATCH(B72,'[1]Index Composition'!$B$2:$B$89,0))</f>
        <v>1</v>
      </c>
    </row>
    <row r="73" spans="1:9" x14ac:dyDescent="0.25">
      <c r="A73" t="s">
        <v>79</v>
      </c>
      <c r="B73" t="s">
        <v>168</v>
      </c>
      <c r="C73" t="s">
        <v>187</v>
      </c>
      <c r="D73">
        <v>106546870</v>
      </c>
      <c r="E73">
        <v>1</v>
      </c>
      <c r="F73">
        <v>1</v>
      </c>
      <c r="G73" t="s">
        <v>188</v>
      </c>
      <c r="H73" t="s">
        <v>189</v>
      </c>
      <c r="I73" t="b">
        <f>ISNUMBER(MATCH(B73,'[1]Index Composition'!$B$2:$B$89,0))</f>
        <v>1</v>
      </c>
    </row>
    <row r="74" spans="1:9" x14ac:dyDescent="0.25">
      <c r="A74" t="s">
        <v>80</v>
      </c>
      <c r="B74" t="s">
        <v>169</v>
      </c>
      <c r="C74" t="s">
        <v>186</v>
      </c>
      <c r="D74">
        <v>326462070</v>
      </c>
      <c r="E74">
        <v>1</v>
      </c>
      <c r="F74">
        <v>1</v>
      </c>
      <c r="G74" t="s">
        <v>188</v>
      </c>
      <c r="H74" t="s">
        <v>189</v>
      </c>
      <c r="I74" t="b">
        <f>ISNUMBER(MATCH(B74,'[1]Index Composition'!$B$2:$B$89,0))</f>
        <v>1</v>
      </c>
    </row>
    <row r="75" spans="1:9" x14ac:dyDescent="0.25">
      <c r="A75" t="s">
        <v>81</v>
      </c>
      <c r="B75" t="s">
        <v>170</v>
      </c>
      <c r="C75" t="s">
        <v>186</v>
      </c>
      <c r="D75">
        <v>71025890</v>
      </c>
      <c r="E75">
        <v>1</v>
      </c>
      <c r="F75">
        <v>1</v>
      </c>
      <c r="G75" t="s">
        <v>188</v>
      </c>
      <c r="H75" t="s">
        <v>189</v>
      </c>
      <c r="I75" t="b">
        <f>ISNUMBER(MATCH(B75,'[1]Index Composition'!$B$2:$B$89,0))</f>
        <v>1</v>
      </c>
    </row>
    <row r="76" spans="1:9" x14ac:dyDescent="0.25">
      <c r="A76" t="s">
        <v>82</v>
      </c>
      <c r="B76" t="s">
        <v>171</v>
      </c>
      <c r="C76" t="s">
        <v>186</v>
      </c>
      <c r="D76">
        <v>57744530</v>
      </c>
      <c r="E76">
        <v>1</v>
      </c>
      <c r="F76">
        <v>1</v>
      </c>
      <c r="G76" t="s">
        <v>188</v>
      </c>
      <c r="H76" t="s">
        <v>189</v>
      </c>
      <c r="I76" t="b">
        <f>ISNUMBER(MATCH(B76,'[1]Index Composition'!$B$2:$B$89,0))</f>
        <v>1</v>
      </c>
    </row>
    <row r="77" spans="1:9" x14ac:dyDescent="0.25">
      <c r="A77" t="s">
        <v>83</v>
      </c>
      <c r="B77" t="s">
        <v>172</v>
      </c>
      <c r="C77" t="s">
        <v>186</v>
      </c>
      <c r="D77">
        <v>186750080</v>
      </c>
      <c r="E77">
        <v>1</v>
      </c>
      <c r="F77">
        <v>1</v>
      </c>
      <c r="G77" t="s">
        <v>188</v>
      </c>
      <c r="H77" t="s">
        <v>189</v>
      </c>
      <c r="I77" t="b">
        <f>ISNUMBER(MATCH(B77,'[1]Index Composition'!$B$2:$B$89,0))</f>
        <v>1</v>
      </c>
    </row>
    <row r="78" spans="1:9" x14ac:dyDescent="0.25">
      <c r="A78" t="s">
        <v>84</v>
      </c>
      <c r="B78" t="s">
        <v>173</v>
      </c>
      <c r="C78" t="s">
        <v>186</v>
      </c>
      <c r="D78">
        <v>123668390</v>
      </c>
      <c r="E78">
        <v>0.95</v>
      </c>
      <c r="F78">
        <v>1</v>
      </c>
      <c r="G78" t="s">
        <v>188</v>
      </c>
      <c r="H78" t="s">
        <v>189</v>
      </c>
      <c r="I78" t="b">
        <f>ISNUMBER(MATCH(B78,'[1]Index Composition'!$B$2:$B$89,0))</f>
        <v>1</v>
      </c>
    </row>
    <row r="79" spans="1:9" x14ac:dyDescent="0.25">
      <c r="A79" t="s">
        <v>85</v>
      </c>
      <c r="B79" t="s">
        <v>174</v>
      </c>
      <c r="C79" t="s">
        <v>186</v>
      </c>
      <c r="D79">
        <v>115110000</v>
      </c>
      <c r="E79">
        <v>1</v>
      </c>
      <c r="F79">
        <v>1</v>
      </c>
      <c r="G79" t="s">
        <v>188</v>
      </c>
      <c r="H79" t="s">
        <v>189</v>
      </c>
      <c r="I79" t="b">
        <f>ISNUMBER(MATCH(B79,'[1]Index Composition'!$B$2:$B$89,0))</f>
        <v>1</v>
      </c>
    </row>
    <row r="80" spans="1:9" x14ac:dyDescent="0.25">
      <c r="A80" t="s">
        <v>86</v>
      </c>
      <c r="B80" t="s">
        <v>175</v>
      </c>
      <c r="C80" t="s">
        <v>186</v>
      </c>
      <c r="D80">
        <v>103395220</v>
      </c>
      <c r="E80">
        <v>1</v>
      </c>
      <c r="F80">
        <v>1</v>
      </c>
      <c r="G80" t="s">
        <v>188</v>
      </c>
      <c r="H80" t="s">
        <v>189</v>
      </c>
      <c r="I80" t="b">
        <f>ISNUMBER(MATCH(B80,'[1]Index Composition'!$B$2:$B$89,0))</f>
        <v>1</v>
      </c>
    </row>
    <row r="81" spans="1:9" x14ac:dyDescent="0.25">
      <c r="A81" t="s">
        <v>87</v>
      </c>
      <c r="B81" t="s">
        <v>176</v>
      </c>
      <c r="C81" t="s">
        <v>186</v>
      </c>
      <c r="D81">
        <v>330485800</v>
      </c>
      <c r="E81">
        <v>0.9</v>
      </c>
      <c r="F81">
        <v>1</v>
      </c>
      <c r="G81" t="s">
        <v>188</v>
      </c>
      <c r="H81" t="s">
        <v>189</v>
      </c>
      <c r="I81" t="b">
        <f>ISNUMBER(MATCH(B81,'[1]Index Composition'!$B$2:$B$89,0))</f>
        <v>1</v>
      </c>
    </row>
    <row r="82" spans="1:9" x14ac:dyDescent="0.25">
      <c r="A82" t="s">
        <v>88</v>
      </c>
      <c r="B82" t="s">
        <v>177</v>
      </c>
      <c r="C82" t="s">
        <v>186</v>
      </c>
      <c r="D82">
        <v>125853676</v>
      </c>
      <c r="E82">
        <v>1</v>
      </c>
      <c r="F82">
        <v>1</v>
      </c>
      <c r="G82" t="s">
        <v>188</v>
      </c>
      <c r="H82" t="s">
        <v>189</v>
      </c>
      <c r="I82" t="b">
        <f>ISNUMBER(MATCH(B82,'[1]Index Composition'!$B$2:$B$89,0))</f>
        <v>1</v>
      </c>
    </row>
    <row r="83" spans="1:9" x14ac:dyDescent="0.25">
      <c r="A83" t="s">
        <v>89</v>
      </c>
      <c r="B83" t="s">
        <v>178</v>
      </c>
      <c r="C83" t="s">
        <v>186</v>
      </c>
      <c r="D83">
        <v>469732820</v>
      </c>
      <c r="E83">
        <v>1</v>
      </c>
      <c r="F83">
        <v>1</v>
      </c>
      <c r="G83" t="s">
        <v>188</v>
      </c>
      <c r="H83" t="s">
        <v>189</v>
      </c>
      <c r="I83" t="b">
        <f>ISNUMBER(MATCH(B83,'[1]Index Composition'!$B$2:$B$89,0))</f>
        <v>1</v>
      </c>
    </row>
    <row r="84" spans="1:9" x14ac:dyDescent="0.25">
      <c r="A84" t="s">
        <v>90</v>
      </c>
      <c r="B84" t="s">
        <v>179</v>
      </c>
      <c r="C84" t="s">
        <v>186</v>
      </c>
      <c r="D84">
        <v>1068811400</v>
      </c>
      <c r="E84">
        <v>1</v>
      </c>
      <c r="F84">
        <v>1</v>
      </c>
      <c r="G84" t="s">
        <v>188</v>
      </c>
      <c r="H84" t="s">
        <v>189</v>
      </c>
      <c r="I84" t="b">
        <f>ISNUMBER(MATCH(B84,'[1]Index Composition'!$B$2:$B$89,0))</f>
        <v>1</v>
      </c>
    </row>
    <row r="85" spans="1:9" x14ac:dyDescent="0.25">
      <c r="A85" t="s">
        <v>91</v>
      </c>
      <c r="B85" t="s">
        <v>180</v>
      </c>
      <c r="C85" t="s">
        <v>186</v>
      </c>
      <c r="D85">
        <v>192054820</v>
      </c>
      <c r="E85">
        <v>0.85</v>
      </c>
      <c r="F85">
        <v>1</v>
      </c>
      <c r="G85" t="s">
        <v>188</v>
      </c>
      <c r="H85" t="s">
        <v>189</v>
      </c>
      <c r="I85" t="b">
        <f>ISNUMBER(MATCH(B85,'[1]Index Composition'!$B$2:$B$89,0))</f>
        <v>1</v>
      </c>
    </row>
    <row r="86" spans="1:9" x14ac:dyDescent="0.25">
      <c r="A86" t="s">
        <v>92</v>
      </c>
      <c r="B86" t="s">
        <v>181</v>
      </c>
      <c r="C86" t="s">
        <v>186</v>
      </c>
      <c r="D86">
        <v>686328060</v>
      </c>
      <c r="E86">
        <v>1</v>
      </c>
      <c r="F86">
        <v>1</v>
      </c>
      <c r="G86" t="s">
        <v>188</v>
      </c>
      <c r="H86" t="s">
        <v>189</v>
      </c>
      <c r="I86" t="b">
        <f>ISNUMBER(MATCH(B86,'[1]Index Composition'!$B$2:$B$89,0))</f>
        <v>1</v>
      </c>
    </row>
    <row r="87" spans="1:9" x14ac:dyDescent="0.25">
      <c r="A87" t="s">
        <v>93</v>
      </c>
      <c r="B87" t="s">
        <v>182</v>
      </c>
      <c r="C87" t="s">
        <v>186</v>
      </c>
      <c r="D87">
        <v>720861000</v>
      </c>
      <c r="E87">
        <v>1</v>
      </c>
      <c r="F87">
        <v>1</v>
      </c>
      <c r="G87" t="s">
        <v>188</v>
      </c>
      <c r="H87" t="s">
        <v>189</v>
      </c>
      <c r="I87" t="b">
        <f>ISNUMBER(MATCH(B87,'[1]Index Composition'!$B$2:$B$89,0))</f>
        <v>1</v>
      </c>
    </row>
    <row r="88" spans="1:9" x14ac:dyDescent="0.25">
      <c r="A88" t="s">
        <v>94</v>
      </c>
      <c r="B88" t="s">
        <v>183</v>
      </c>
      <c r="C88" t="s">
        <v>186</v>
      </c>
      <c r="D88">
        <v>219145020</v>
      </c>
      <c r="E88">
        <v>1</v>
      </c>
      <c r="F88">
        <v>1</v>
      </c>
      <c r="G88" t="s">
        <v>188</v>
      </c>
      <c r="H88" t="s">
        <v>189</v>
      </c>
      <c r="I88" t="b">
        <f>ISNUMBER(MATCH(B88,'[1]Index Composition'!$B$2:$B$89,0))</f>
        <v>1</v>
      </c>
    </row>
    <row r="89" spans="1:9" x14ac:dyDescent="0.25">
      <c r="A89" t="s">
        <v>95</v>
      </c>
      <c r="B89" t="s">
        <v>184</v>
      </c>
      <c r="C89" t="s">
        <v>187</v>
      </c>
      <c r="D89">
        <v>49633034</v>
      </c>
      <c r="E89">
        <v>0.75</v>
      </c>
      <c r="F89">
        <v>1</v>
      </c>
      <c r="G89" t="s">
        <v>188</v>
      </c>
      <c r="H89" t="s">
        <v>189</v>
      </c>
      <c r="I89" t="b">
        <f>ISNUMBER(MATCH(B89,'[1]Index Composition'!$B$2:$B$89,0))</f>
        <v>1</v>
      </c>
    </row>
    <row r="90" spans="1:9" x14ac:dyDescent="0.25">
      <c r="A90" t="s">
        <v>96</v>
      </c>
      <c r="B90" t="s">
        <v>185</v>
      </c>
      <c r="C90" t="s">
        <v>187</v>
      </c>
      <c r="D90">
        <v>186200150</v>
      </c>
      <c r="E90">
        <v>0.8</v>
      </c>
      <c r="F90">
        <v>1</v>
      </c>
      <c r="G90" t="s">
        <v>188</v>
      </c>
      <c r="H90" t="s">
        <v>189</v>
      </c>
      <c r="I90" t="b">
        <f>ISNUMBER(MATCH(B90,'[1]Index Composition'!$B$2:$B$89,0))</f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40</v>
      </c>
      <c r="B2" t="s">
        <v>129</v>
      </c>
      <c r="C2" t="s">
        <v>187</v>
      </c>
    </row>
    <row r="3" spans="1:3" x14ac:dyDescent="0.25">
      <c r="A3" t="s">
        <v>60</v>
      </c>
      <c r="B3" t="s">
        <v>149</v>
      </c>
      <c r="C3" t="s">
        <v>186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190</v>
      </c>
      <c r="B2" t="s">
        <v>195</v>
      </c>
      <c r="C2" t="s">
        <v>186</v>
      </c>
    </row>
    <row r="3" spans="1:3" x14ac:dyDescent="0.25">
      <c r="A3" t="s">
        <v>191</v>
      </c>
      <c r="B3" t="s">
        <v>196</v>
      </c>
      <c r="C3" t="s">
        <v>186</v>
      </c>
    </row>
    <row r="4" spans="1:3" x14ac:dyDescent="0.25">
      <c r="A4" t="s">
        <v>192</v>
      </c>
      <c r="B4" t="s">
        <v>197</v>
      </c>
      <c r="C4" t="s">
        <v>186</v>
      </c>
    </row>
    <row r="5" spans="1:3" x14ac:dyDescent="0.25">
      <c r="A5" t="s">
        <v>193</v>
      </c>
      <c r="B5" t="s">
        <v>198</v>
      </c>
      <c r="C5" t="s">
        <v>187</v>
      </c>
    </row>
    <row r="6" spans="1:3" x14ac:dyDescent="0.25">
      <c r="A6" t="s">
        <v>194</v>
      </c>
      <c r="B6" t="s">
        <v>199</v>
      </c>
      <c r="C6" t="s">
        <v>186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selection</vt:lpstr>
      <vt:lpstr>inclusion</vt:lpstr>
      <vt:lpstr>exclusion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2025-12-11T23:30:01Z</dcterms:created>
  <dcterms:modified xsi:type="dcterms:W3CDTF">2025-12-15T10:29:03Z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2025-12-15T10:29:03Z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e5bd72b8-bdc6-4daf-9d6d-ce087488ffc4</vt:lpwstr>
  </property>
  <property fmtid="{D5CDD505-2E9C-101B-9397-08002B2CF9AE}" pid="8" name="MSIP_Label_ac0b9ce6-6e99-42a1-af95-429494370cbc_ContentBits">
    <vt:lpwstr>2</vt:lpwstr>
  </property>
</Properties>
</file>