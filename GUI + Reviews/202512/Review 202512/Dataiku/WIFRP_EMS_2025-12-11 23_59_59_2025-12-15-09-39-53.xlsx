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12/Review 202512/Dataiku/"/>
    </mc:Choice>
  </mc:AlternateContent>
  <xr:revisionPtr revIDLastSave="11" documentId="11_A6F652D121E45E2A7D1784F43C9AE23B4BEEED40" xr6:coauthVersionLast="47" xr6:coauthVersionMax="47" xr10:uidLastSave="{76A5B378-F2E1-48FF-A30A-C37A3B55987B}"/>
  <bookViews>
    <workbookView xWindow="-120" yWindow="-120" windowWidth="29040" windowHeight="15720" xr2:uid="{00000000-000D-0000-FFFF-FFFF00000000}"/>
  </bookViews>
  <sheets>
    <sheet name="selection" sheetId="1" r:id="rId1"/>
    <sheet name="inclusion" sheetId="2" r:id="rId2"/>
    <sheet name="exclusion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1" i="1" l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<sst xmlns="http://schemas.openxmlformats.org/spreadsheetml/2006/main" count="238" uniqueCount="113">
  <si>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</si>
  <si>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</si>
  <si>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</si>
  <si>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</si>
  <si>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</si>
  <si>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</si>
  <si>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</si>
  <si>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</si>
  <si>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</si>
  <si>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</si>
  <si>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</si>
  <si>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</si>
  <si>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</si>
  <si>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</si>
  <si>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</si>
  <si>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</si>
  <si>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</si>
  <si>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</si>
  <si>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</si>
  <si>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</si>
  <si>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</si>
  <si>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</si>
  <si>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</si>
  <si>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</si>
  <si>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</si>
  <si>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</si>
  <si>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</si>
  <si>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</si>
  <si>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</si>
  <si>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</si>
  <si>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</si>
  <si>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</si>
  <si>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</si>
  <si>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</si>
  <si>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</si>
  <si>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</si>
  <si>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CORPORATION</t>
  </si>
  <si>
    <t>MERCEDES-BENZ GROUP</t>
  </si>
  <si>
    <t>MORGAN STANLEY</t>
  </si>
  <si>
    <t>PALANTIR TECH</t>
  </si>
  <si>
    <t>RELX</t>
  </si>
  <si>
    <t>SALESFORCE INC</t>
  </si>
  <si>
    <t>SOFTBANK GROUP CORP.</t>
  </si>
  <si>
    <t>SYSCO CORPORATION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</si>
  <si>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</si>
  <si>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</si>
  <si>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</si>
  <si>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</si>
  <si>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</si>
  <si>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</si>
  <si>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</si>
  <si>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</si>
  <si>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</si>
  <si>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</si>
  <si>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</si>
  <si>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</si>
  <si>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</si>
  <si>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</si>
  <si>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</si>
  <si>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</si>
  <si>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</si>
  <si>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</si>
  <si>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</si>
  <si>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</si>
  <si>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</si>
  <si>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</si>
  <si>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</si>
  <si>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</si>
  <si>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</si>
  <si>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</si>
  <si>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</si>
  <si>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</si>
  <si>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</si>
  <si>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</si>
  <si>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</si>
  <si>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</si>
  <si>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</si>
  <si>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DE0007100000</t>
  </si>
  <si>
    <t>US6174464486</t>
  </si>
  <si>
    <t>US69608A1088</t>
  </si>
  <si>
    <t>GB00B2B0DG97</t>
  </si>
  <si>
    <t>US79466L3024</t>
  </si>
  <si>
    <t>JP3436100006</t>
  </si>
  <si>
    <t>US8718291078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</si>
  <si>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</si>
  <si>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</si>
  <si>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</si>
  <si>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</si>
  <si>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</si>
  <si>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</si>
  <si>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</si>
  <si>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</si>
  <si>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</si>
  <si>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</si>
  <si>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</si>
  <si>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XAMS</t>
  </si>
  <si>
    <t>XSTO</t>
  </si>
  <si>
    <t>22-Dec-25</t>
  </si>
  <si>
    <t>USD</t>
  </si>
  <si>
    <t>EUR</t>
  </si>
  <si>
    <t>GBX</t>
  </si>
  <si>
    <t>DKK</t>
  </si>
  <si>
    <t>JPY</t>
  </si>
  <si>
    <t>SEK</t>
  </si>
  <si>
    <t>COSTAR GROUP INC.</t>
  </si>
  <si>
    <t>GE AEROSPACE</t>
  </si>
  <si>
    <t>MACQUARIE GROUP</t>
  </si>
  <si>
    <t>PROLOGIS INC</t>
  </si>
  <si>
    <t>US22160N1090</t>
  </si>
  <si>
    <t>US3696043013</t>
  </si>
  <si>
    <t>AU000000MQG1</t>
  </si>
  <si>
    <t>US74340W1036</t>
  </si>
  <si>
    <t>XASX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</si>
</sst>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uronext-my.sharepoint.com/personal/csonneveld_euronext_com/Documents/Documents/Projects/GUI%20+%20Reviews/output/WIFRP_df_20251215_182223.xlsx" TargetMode="External"/><Relationship Id="rId1" Type="http://schemas.openxmlformats.org/officeDocument/2006/relationships/externalLinkPath" Target="/personal/csonneveld_euronext_com/Documents/Documents/Projects/GUI%20+%20Reviews/output/WIFRP_df_20251215_1822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dex Composition"/>
      <sheetName val="Inclusion"/>
      <sheetName val="Exclusion"/>
      <sheetName val="Full Universe"/>
      <sheetName val="Eligible Companies"/>
      <sheetName val="Final Selection"/>
    </sheetNames>
    <sheetDataSet>
      <sheetData sheetId="0">
        <row r="2">
          <cell r="B2" t="str">
            <v>IE00B4BNMY34</v>
          </cell>
        </row>
        <row r="3">
          <cell r="B3" t="str">
            <v>US0079031078</v>
          </cell>
        </row>
        <row r="4">
          <cell r="B4" t="str">
            <v>DE0008404005</v>
          </cell>
        </row>
        <row r="5">
          <cell r="B5" t="str">
            <v>US0378331005</v>
          </cell>
        </row>
        <row r="6">
          <cell r="B6" t="str">
            <v>SE0007100581</v>
          </cell>
        </row>
        <row r="7">
          <cell r="B7" t="str">
            <v>US0527691069</v>
          </cell>
        </row>
        <row r="8">
          <cell r="B8" t="str">
            <v>US0640581007</v>
          </cell>
        </row>
        <row r="9">
          <cell r="B9" t="str">
            <v>US0605051046</v>
          </cell>
        </row>
        <row r="10">
          <cell r="B10" t="str">
            <v>GB0031348658</v>
          </cell>
        </row>
        <row r="11">
          <cell r="B11" t="str">
            <v>US09290D1019</v>
          </cell>
        </row>
        <row r="12">
          <cell r="B12" t="str">
            <v>US1273871087</v>
          </cell>
        </row>
        <row r="13">
          <cell r="B13" t="str">
            <v>US14448C1045</v>
          </cell>
        </row>
        <row r="14">
          <cell r="B14" t="str">
            <v>US12504L1098</v>
          </cell>
        </row>
        <row r="15">
          <cell r="B15" t="str">
            <v>US03073E1055</v>
          </cell>
        </row>
        <row r="16">
          <cell r="B16" t="str">
            <v>US17275R1023</v>
          </cell>
        </row>
        <row r="17">
          <cell r="B17" t="str">
            <v>US1729674242</v>
          </cell>
        </row>
        <row r="18">
          <cell r="B18" t="str">
            <v>GB00BD6K4575</v>
          </cell>
        </row>
        <row r="19">
          <cell r="B19" t="str">
            <v>US2193501051</v>
          </cell>
        </row>
        <row r="20">
          <cell r="B20" t="str">
            <v>IE0001827041</v>
          </cell>
        </row>
        <row r="21">
          <cell r="B21" t="str">
            <v>US2441991054</v>
          </cell>
        </row>
        <row r="22">
          <cell r="B22" t="str">
            <v>DE0005140008</v>
          </cell>
        </row>
        <row r="23">
          <cell r="B23" t="str">
            <v>DE0005552004</v>
          </cell>
        </row>
        <row r="24">
          <cell r="B24" t="str">
            <v>GB0002374006</v>
          </cell>
        </row>
        <row r="25">
          <cell r="B25" t="str">
            <v>US2538681030</v>
          </cell>
        </row>
        <row r="26">
          <cell r="B26" t="str">
            <v>US29444U7000</v>
          </cell>
        </row>
        <row r="27">
          <cell r="B27" t="str">
            <v>US31428X1063</v>
          </cell>
        </row>
        <row r="28">
          <cell r="B28" t="str">
            <v>US38141G1040</v>
          </cell>
        </row>
        <row r="29">
          <cell r="B29" t="str">
            <v>ES0148396007</v>
          </cell>
        </row>
        <row r="30">
          <cell r="B30" t="str">
            <v>JP3496400007</v>
          </cell>
        </row>
        <row r="31">
          <cell r="B31" t="str">
            <v>DE0007100000</v>
          </cell>
        </row>
        <row r="32">
          <cell r="B32" t="str">
            <v>US6174464486</v>
          </cell>
        </row>
        <row r="33">
          <cell r="B33" t="str">
            <v>US69608A1088</v>
          </cell>
        </row>
        <row r="34">
          <cell r="B34" t="str">
            <v>GB00B2B0DG97</v>
          </cell>
        </row>
        <row r="35">
          <cell r="B35" t="str">
            <v>US79466L3024</v>
          </cell>
        </row>
        <row r="36">
          <cell r="B36" t="str">
            <v>JP3436100006</v>
          </cell>
        </row>
        <row r="37">
          <cell r="B37" t="str">
            <v>US8718291078</v>
          </cell>
        </row>
        <row r="38">
          <cell r="B38" t="str">
            <v>US88160R1014</v>
          </cell>
        </row>
        <row r="39">
          <cell r="B39" t="str">
            <v>US2546871060</v>
          </cell>
        </row>
        <row r="40">
          <cell r="B40" t="str">
            <v>IE00BK9ZQ967</v>
          </cell>
        </row>
        <row r="41">
          <cell r="B41" t="str">
            <v>SE0000115446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workbookViewId="0">
      <selection activeCell="E8" sqref="E8"/>
    </sheetView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9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97</v>
      </c>
      <c r="H2" t="s">
        <v>98</v>
      </c>
      <c r="I2" t="b">
        <f>ISNUMBER(MATCH(B2,'[1]Index Composition'!$B$2:$B$41,0))</f>
        <v>1</v>
      </c>
    </row>
    <row r="3" spans="1:9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97</v>
      </c>
      <c r="H3" t="s">
        <v>98</v>
      </c>
      <c r="I3" t="b">
        <f>ISNUMBER(MATCH(B3,'[1]Index Composition'!$B$2:$B$41,0))</f>
        <v>1</v>
      </c>
    </row>
    <row r="4" spans="1:9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97</v>
      </c>
      <c r="H4" t="s">
        <v>99</v>
      </c>
      <c r="I4" t="b">
        <f>ISNUMBER(MATCH(B4,'[1]Index Composition'!$B$2:$B$41,0))</f>
        <v>1</v>
      </c>
    </row>
    <row r="5" spans="1:9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0.14800821327464</v>
      </c>
      <c r="G5" t="s">
        <v>97</v>
      </c>
      <c r="H5" t="s">
        <v>98</v>
      </c>
      <c r="I5" t="b">
        <f>ISNUMBER(MATCH(B5,'[1]Index Composition'!$B$2:$B$41,0))</f>
        <v>1</v>
      </c>
    </row>
    <row r="6" spans="1:9" x14ac:dyDescent="0.25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97</v>
      </c>
      <c r="H6" t="s">
        <v>98</v>
      </c>
      <c r="I6" t="b">
        <f>ISNUMBER(MATCH(B6,'[1]Index Composition'!$B$2:$B$41,0))</f>
        <v>1</v>
      </c>
    </row>
    <row r="7" spans="1:9" x14ac:dyDescent="0.25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97</v>
      </c>
      <c r="H7" t="s">
        <v>98</v>
      </c>
      <c r="I7" t="b">
        <f>ISNUMBER(MATCH(B7,'[1]Index Composition'!$B$2:$B$41,0))</f>
        <v>1</v>
      </c>
    </row>
    <row r="8" spans="1:9" x14ac:dyDescent="0.25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97</v>
      </c>
      <c r="H8" t="s">
        <v>98</v>
      </c>
      <c r="I8" t="b">
        <f>ISNUMBER(MATCH(B8,'[1]Index Composition'!$B$2:$B$41,0))</f>
        <v>1</v>
      </c>
    </row>
    <row r="9" spans="1:9" x14ac:dyDescent="0.25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97</v>
      </c>
      <c r="H9" t="s">
        <v>100</v>
      </c>
      <c r="I9" t="b">
        <f>ISNUMBER(MATCH(B9,'[1]Index Composition'!$B$2:$B$41,0))</f>
        <v>1</v>
      </c>
    </row>
    <row r="10" spans="1:9" x14ac:dyDescent="0.25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97</v>
      </c>
      <c r="H10" t="s">
        <v>98</v>
      </c>
      <c r="I10" t="b">
        <f>ISNUMBER(MATCH(B10,'[1]Index Composition'!$B$2:$B$41,0))</f>
        <v>1</v>
      </c>
    </row>
    <row r="11" spans="1:9" x14ac:dyDescent="0.25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97</v>
      </c>
      <c r="H11" t="s">
        <v>98</v>
      </c>
      <c r="I11" t="b">
        <f>ISNUMBER(MATCH(B11,'[1]Index Composition'!$B$2:$B$41,0))</f>
        <v>1</v>
      </c>
    </row>
    <row r="12" spans="1:9" x14ac:dyDescent="0.25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97</v>
      </c>
      <c r="H12" t="s">
        <v>98</v>
      </c>
      <c r="I12" t="b">
        <f>ISNUMBER(MATCH(B12,'[1]Index Composition'!$B$2:$B$41,0))</f>
        <v>1</v>
      </c>
    </row>
    <row r="13" spans="1:9" x14ac:dyDescent="0.25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97</v>
      </c>
      <c r="H13" t="s">
        <v>98</v>
      </c>
      <c r="I13" t="b">
        <f>ISNUMBER(MATCH(B13,'[1]Index Composition'!$B$2:$B$41,0))</f>
        <v>1</v>
      </c>
    </row>
    <row r="14" spans="1:9" x14ac:dyDescent="0.25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97</v>
      </c>
      <c r="H14" t="s">
        <v>98</v>
      </c>
      <c r="I14" t="b">
        <f>ISNUMBER(MATCH(B14,'[1]Index Composition'!$B$2:$B$41,0))</f>
        <v>1</v>
      </c>
    </row>
    <row r="15" spans="1:9" x14ac:dyDescent="0.25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97</v>
      </c>
      <c r="H15" t="s">
        <v>98</v>
      </c>
      <c r="I15" t="b">
        <f>ISNUMBER(MATCH(B15,'[1]Index Composition'!$B$2:$B$41,0))</f>
        <v>1</v>
      </c>
    </row>
    <row r="16" spans="1:9" x14ac:dyDescent="0.25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97</v>
      </c>
      <c r="H16" t="s">
        <v>98</v>
      </c>
      <c r="I16" t="b">
        <f>ISNUMBER(MATCH(B16,'[1]Index Composition'!$B$2:$B$41,0))</f>
        <v>1</v>
      </c>
    </row>
    <row r="17" spans="1:9" x14ac:dyDescent="0.25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97</v>
      </c>
      <c r="H17" t="s">
        <v>100</v>
      </c>
      <c r="I17" t="b">
        <f>ISNUMBER(MATCH(B17,'[1]Index Composition'!$B$2:$B$41,0))</f>
        <v>1</v>
      </c>
    </row>
    <row r="18" spans="1:9" x14ac:dyDescent="0.25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97</v>
      </c>
      <c r="H18" t="s">
        <v>98</v>
      </c>
      <c r="I18" t="b">
        <f>ISNUMBER(MATCH(B18,'[1]Index Composition'!$B$2:$B$41,0))</f>
        <v>1</v>
      </c>
    </row>
    <row r="19" spans="1:9" x14ac:dyDescent="0.25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97</v>
      </c>
      <c r="H19" t="s">
        <v>98</v>
      </c>
      <c r="I19" t="b">
        <f>ISNUMBER(MATCH(B19,'[1]Index Composition'!$B$2:$B$41,0))</f>
        <v>1</v>
      </c>
    </row>
    <row r="20" spans="1:9" x14ac:dyDescent="0.25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97</v>
      </c>
      <c r="H20" t="s">
        <v>98</v>
      </c>
      <c r="I20" t="b">
        <f>ISNUMBER(MATCH(B20,'[1]Index Composition'!$B$2:$B$41,0))</f>
        <v>1</v>
      </c>
    </row>
    <row r="21" spans="1:9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97</v>
      </c>
      <c r="H21" t="s">
        <v>99</v>
      </c>
      <c r="I21" t="b">
        <f>ISNUMBER(MATCH(B21,'[1]Index Composition'!$B$2:$B$41,0))</f>
        <v>1</v>
      </c>
    </row>
    <row r="22" spans="1:9" x14ac:dyDescent="0.25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97</v>
      </c>
      <c r="H22" t="s">
        <v>99</v>
      </c>
      <c r="I22" t="b">
        <f>ISNUMBER(MATCH(B22,'[1]Index Composition'!$B$2:$B$41,0))</f>
        <v>1</v>
      </c>
    </row>
    <row r="23" spans="1:9" x14ac:dyDescent="0.25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97</v>
      </c>
      <c r="H23" t="s">
        <v>100</v>
      </c>
      <c r="I23" t="b">
        <f>ISNUMBER(MATCH(B23,'[1]Index Composition'!$B$2:$B$41,0))</f>
        <v>1</v>
      </c>
    </row>
    <row r="24" spans="1:9" x14ac:dyDescent="0.25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97</v>
      </c>
      <c r="H24" t="s">
        <v>98</v>
      </c>
      <c r="I24" t="b">
        <f>ISNUMBER(MATCH(B24,'[1]Index Composition'!$B$2:$B$41,0))</f>
        <v>1</v>
      </c>
    </row>
    <row r="25" spans="1:9" x14ac:dyDescent="0.25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97</v>
      </c>
      <c r="H25" t="s">
        <v>101</v>
      </c>
      <c r="I25" t="b">
        <f>ISNUMBER(MATCH(B25,'[1]Index Composition'!$B$2:$B$41,0))</f>
        <v>0</v>
      </c>
    </row>
    <row r="26" spans="1:9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97</v>
      </c>
      <c r="H26" t="s">
        <v>98</v>
      </c>
      <c r="I26" t="b">
        <f>ISNUMBER(MATCH(B26,'[1]Index Composition'!$B$2:$B$41,0))</f>
        <v>1</v>
      </c>
    </row>
    <row r="27" spans="1:9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97</v>
      </c>
      <c r="H27" t="s">
        <v>98</v>
      </c>
      <c r="I27" t="b">
        <f>ISNUMBER(MATCH(B27,'[1]Index Composition'!$B$2:$B$41,0))</f>
        <v>1</v>
      </c>
    </row>
    <row r="28" spans="1:9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97</v>
      </c>
      <c r="H28" t="s">
        <v>98</v>
      </c>
      <c r="I28" t="b">
        <f>ISNUMBER(MATCH(B28,'[1]Index Composition'!$B$2:$B$41,0))</f>
        <v>1</v>
      </c>
    </row>
    <row r="29" spans="1:9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97</v>
      </c>
      <c r="H29" t="s">
        <v>99</v>
      </c>
      <c r="I29" t="b">
        <f>ISNUMBER(MATCH(B29,'[1]Index Composition'!$B$2:$B$41,0))</f>
        <v>1</v>
      </c>
    </row>
    <row r="30" spans="1:9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97</v>
      </c>
      <c r="H30" t="s">
        <v>102</v>
      </c>
      <c r="I30" t="b">
        <f>ISNUMBER(MATCH(B30,'[1]Index Composition'!$B$2:$B$41,0))</f>
        <v>1</v>
      </c>
    </row>
    <row r="31" spans="1:9" x14ac:dyDescent="0.25">
      <c r="A31" t="s">
        <v>37</v>
      </c>
      <c r="B31" t="s">
        <v>77</v>
      </c>
      <c r="C31" t="s">
        <v>90</v>
      </c>
      <c r="D31">
        <v>962903700</v>
      </c>
      <c r="E31">
        <v>0.75</v>
      </c>
      <c r="F31">
        <v>1</v>
      </c>
      <c r="G31" t="s">
        <v>97</v>
      </c>
      <c r="H31" t="s">
        <v>99</v>
      </c>
      <c r="I31" t="b">
        <f>ISNUMBER(MATCH(B31,'[1]Index Composition'!$B$2:$B$41,0))</f>
        <v>1</v>
      </c>
    </row>
    <row r="32" spans="1:9" x14ac:dyDescent="0.25">
      <c r="A32" t="s">
        <v>38</v>
      </c>
      <c r="B32" t="s">
        <v>78</v>
      </c>
      <c r="C32" t="s">
        <v>88</v>
      </c>
      <c r="D32">
        <v>1589309300</v>
      </c>
      <c r="E32">
        <v>0.75</v>
      </c>
      <c r="F32">
        <v>1</v>
      </c>
      <c r="G32" t="s">
        <v>97</v>
      </c>
      <c r="H32" t="s">
        <v>98</v>
      </c>
      <c r="I32" t="b">
        <f>ISNUMBER(MATCH(B32,'[1]Index Composition'!$B$2:$B$41,0))</f>
        <v>1</v>
      </c>
    </row>
    <row r="33" spans="1:9" x14ac:dyDescent="0.25">
      <c r="A33" t="s">
        <v>39</v>
      </c>
      <c r="B33" t="s">
        <v>79</v>
      </c>
      <c r="C33" t="s">
        <v>89</v>
      </c>
      <c r="D33">
        <v>2284334000</v>
      </c>
      <c r="E33">
        <v>1</v>
      </c>
      <c r="F33">
        <v>1</v>
      </c>
      <c r="G33" t="s">
        <v>97</v>
      </c>
      <c r="H33" t="s">
        <v>98</v>
      </c>
      <c r="I33" t="b">
        <f>ISNUMBER(MATCH(B33,'[1]Index Composition'!$B$2:$B$41,0))</f>
        <v>1</v>
      </c>
    </row>
    <row r="34" spans="1:9" x14ac:dyDescent="0.25">
      <c r="A34" t="s">
        <v>40</v>
      </c>
      <c r="B34" t="s">
        <v>80</v>
      </c>
      <c r="C34" t="s">
        <v>95</v>
      </c>
      <c r="D34">
        <v>1907070957</v>
      </c>
      <c r="E34">
        <v>1</v>
      </c>
      <c r="F34">
        <v>1</v>
      </c>
      <c r="G34" t="s">
        <v>97</v>
      </c>
      <c r="H34" t="s">
        <v>99</v>
      </c>
      <c r="I34" t="b">
        <f>ISNUMBER(MATCH(B34,'[1]Index Composition'!$B$2:$B$41,0))</f>
        <v>1</v>
      </c>
    </row>
    <row r="35" spans="1:9" x14ac:dyDescent="0.25">
      <c r="A35" t="s">
        <v>41</v>
      </c>
      <c r="B35" t="s">
        <v>81</v>
      </c>
      <c r="C35" t="s">
        <v>88</v>
      </c>
      <c r="D35">
        <v>952000000</v>
      </c>
      <c r="E35">
        <v>1</v>
      </c>
      <c r="F35">
        <v>1</v>
      </c>
      <c r="G35" t="s">
        <v>97</v>
      </c>
      <c r="H35" t="s">
        <v>98</v>
      </c>
      <c r="I35" t="b">
        <f>ISNUMBER(MATCH(B35,'[1]Index Composition'!$B$2:$B$41,0))</f>
        <v>1</v>
      </c>
    </row>
    <row r="36" spans="1:9" x14ac:dyDescent="0.25">
      <c r="A36" t="s">
        <v>42</v>
      </c>
      <c r="B36" t="s">
        <v>82</v>
      </c>
      <c r="C36" t="s">
        <v>94</v>
      </c>
      <c r="D36">
        <v>1427962000</v>
      </c>
      <c r="E36">
        <v>0.65</v>
      </c>
      <c r="F36">
        <v>1</v>
      </c>
      <c r="G36" t="s">
        <v>97</v>
      </c>
      <c r="H36" t="s">
        <v>102</v>
      </c>
      <c r="I36" t="b">
        <f>ISNUMBER(MATCH(B36,'[1]Index Composition'!$B$2:$B$41,0))</f>
        <v>1</v>
      </c>
    </row>
    <row r="37" spans="1:9" x14ac:dyDescent="0.25">
      <c r="A37" t="s">
        <v>43</v>
      </c>
      <c r="B37" t="s">
        <v>83</v>
      </c>
      <c r="C37" t="s">
        <v>88</v>
      </c>
      <c r="D37">
        <v>478861050</v>
      </c>
      <c r="E37">
        <v>1</v>
      </c>
      <c r="F37">
        <v>1</v>
      </c>
      <c r="G37" t="s">
        <v>97</v>
      </c>
      <c r="H37" t="s">
        <v>98</v>
      </c>
      <c r="I37" t="b">
        <f>ISNUMBER(MATCH(B37,'[1]Index Composition'!$B$2:$B$41,0))</f>
        <v>1</v>
      </c>
    </row>
    <row r="38" spans="1:9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0.48131185738930998</v>
      </c>
      <c r="G38" t="s">
        <v>97</v>
      </c>
      <c r="H38" t="s">
        <v>98</v>
      </c>
      <c r="I38" t="b">
        <f>ISNUMBER(MATCH(B38,'[1]Index Composition'!$B$2:$B$41,0))</f>
        <v>1</v>
      </c>
    </row>
    <row r="39" spans="1:9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97</v>
      </c>
      <c r="H39" t="s">
        <v>98</v>
      </c>
      <c r="I39" t="b">
        <f>ISNUMBER(MATCH(B39,'[1]Index Composition'!$B$2:$B$41,0))</f>
        <v>1</v>
      </c>
    </row>
    <row r="40" spans="1:9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97</v>
      </c>
      <c r="H40" t="s">
        <v>98</v>
      </c>
      <c r="I40" t="b">
        <f>ISNUMBER(MATCH(B40,'[1]Index Composition'!$B$2:$B$41,0))</f>
        <v>1</v>
      </c>
    </row>
    <row r="41" spans="1:9" x14ac:dyDescent="0.25">
      <c r="A41" t="s">
        <v>47</v>
      </c>
      <c r="B41" t="s">
        <v>87</v>
      </c>
      <c r="C41" t="s">
        <v>96</v>
      </c>
      <c r="D41">
        <v>1588953400</v>
      </c>
      <c r="E41">
        <v>1</v>
      </c>
      <c r="F41">
        <v>1</v>
      </c>
      <c r="G41" t="s">
        <v>97</v>
      </c>
      <c r="H41" t="s">
        <v>103</v>
      </c>
      <c r="I41" t="b">
        <f>ISNUMBER(MATCH(B41,'[1]Index Composition'!$B$2:$B$41,0))</f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28</v>
      </c>
      <c r="B3" t="s">
        <v>68</v>
      </c>
      <c r="C3" t="s">
        <v>90</v>
      </c>
    </row>
    <row r="4" spans="1:3" x14ac:dyDescent="0.25">
      <c r="A4" t="s">
        <v>33</v>
      </c>
      <c r="B4" t="s">
        <v>73</v>
      </c>
      <c r="C4" t="s">
        <v>88</v>
      </c>
    </row>
    <row r="5" spans="1:3" x14ac:dyDescent="0.25">
      <c r="A5" t="s">
        <v>43</v>
      </c>
      <c r="B5" t="s">
        <v>83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104</v>
      </c>
      <c r="B2" t="s">
        <v>108</v>
      </c>
      <c r="C2" t="s">
        <v>89</v>
      </c>
    </row>
    <row r="3" spans="1:3" x14ac:dyDescent="0.25">
      <c r="A3" t="s">
        <v>105</v>
      </c>
      <c r="B3" t="s">
        <v>109</v>
      </c>
      <c r="C3" t="s">
        <v>88</v>
      </c>
    </row>
    <row r="4" spans="1:3" x14ac:dyDescent="0.25">
      <c r="A4" t="s">
        <v>106</v>
      </c>
      <c r="B4" t="s">
        <v>110</v>
      </c>
      <c r="C4" t="s">
        <v>112</v>
      </c>
    </row>
    <row r="5" spans="1:3" x14ac:dyDescent="0.25">
      <c r="A5" t="s">
        <v>107</v>
      </c>
      <c r="B5" t="s">
        <v>111</v>
      </c>
      <c r="C5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2025-12-15T09:42:39Z</dcterms:created>
  <dcterms:modified xsi:type="dcterms:W3CDTF">2025-12-15T17:28:44Z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2025-12-15T16:39:31Z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dd0cf8c2-5786-4a06-8114-9dd9048df0ae</vt:lpwstr>
  </property>
  <property fmtid="{D5CDD505-2E9C-101B-9397-08002B2CF9AE}" pid="8" name="MSIP_Label_ac0b9ce6-6e99-42a1-af95-429494370cbc_ContentBits">
    <vt:lpwstr>2</vt:lpwstr>
  </property>
</Properties>
</file>