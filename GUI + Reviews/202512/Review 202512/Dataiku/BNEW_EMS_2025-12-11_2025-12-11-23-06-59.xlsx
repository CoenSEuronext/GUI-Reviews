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5" documentId="11_84E5FEE1C49966B86A9432753E95CA5865539528" xr6:coauthVersionLast="47" xr6:coauthVersionMax="47" xr10:uidLastSave="{ADE744DF-03B6-49DA-9BF9-C0541DCAB19F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<sst xmlns="http://schemas.openxmlformats.org/spreadsheetml/2006/main" count="220" uniqueCount="94">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</sst>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BNEW_df_20251212_172348.xlsx" TargetMode="External"/><Relationship Id="rId1" Type="http://schemas.openxmlformats.org/officeDocument/2006/relationships/externalLinkPath" Target="/personal/csonneveld_euronext_com/Documents/Documents/Projects/GUI%20+%20Reviews/202512/Review%20202512/Coen/BNEW_df_20251212_1723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AEX BEL"/>
      <sheetName val="Index Market Cap"/>
    </sheetNames>
    <sheetDataSet>
      <sheetData sheetId="0">
        <row r="2">
          <cell r="B2" t="str">
            <v>BE0974293251</v>
          </cell>
        </row>
        <row r="3">
          <cell r="B3" t="str">
            <v>NL0011540547</v>
          </cell>
        </row>
        <row r="4">
          <cell r="B4" t="str">
            <v>NL0012969182</v>
          </cell>
        </row>
        <row r="5">
          <cell r="B5" t="str">
            <v>BMG0112X1056</v>
          </cell>
        </row>
        <row r="6">
          <cell r="B6" t="str">
            <v>BE0974264930</v>
          </cell>
        </row>
        <row r="7">
          <cell r="B7" t="str">
            <v>NL0011794037</v>
          </cell>
        </row>
        <row r="8">
          <cell r="B8" t="str">
            <v>NL0013267909</v>
          </cell>
        </row>
        <row r="9">
          <cell r="B9" t="str">
            <v>LU1598757687</v>
          </cell>
        </row>
        <row r="10">
          <cell r="B10" t="str">
            <v>NL0010832176</v>
          </cell>
        </row>
        <row r="11">
          <cell r="B11" t="str">
            <v>NL0000334118</v>
          </cell>
        </row>
        <row r="12">
          <cell r="B12" t="str">
            <v>NL0010273215</v>
          </cell>
        </row>
        <row r="13">
          <cell r="B13" t="str">
            <v>NL0011872643</v>
          </cell>
        </row>
        <row r="14">
          <cell r="B14" t="str">
            <v>NL0012866412</v>
          </cell>
        </row>
        <row r="15">
          <cell r="B15" t="str">
            <v>JE00BRX98089</v>
          </cell>
        </row>
        <row r="16">
          <cell r="B16" t="str">
            <v>BE0974259880</v>
          </cell>
        </row>
        <row r="17">
          <cell r="B17" t="str">
            <v>CH1216478797</v>
          </cell>
        </row>
        <row r="18">
          <cell r="B18" t="str">
            <v>BE0003822393</v>
          </cell>
        </row>
        <row r="19">
          <cell r="B19" t="str">
            <v>NL0012059018</v>
          </cell>
        </row>
        <row r="20">
          <cell r="B20" t="str">
            <v>BE0003797140</v>
          </cell>
        </row>
        <row r="21">
          <cell r="B21" t="str">
            <v>NL0000009165</v>
          </cell>
        </row>
        <row r="22">
          <cell r="B22" t="str">
            <v>NL0010801007</v>
          </cell>
        </row>
        <row r="23">
          <cell r="B23" t="str">
            <v>NL0011821202</v>
          </cell>
        </row>
        <row r="24">
          <cell r="B24" t="str">
            <v>LU2290522684</v>
          </cell>
        </row>
        <row r="25">
          <cell r="B25" t="str">
            <v>NL0014332678</v>
          </cell>
        </row>
        <row r="26">
          <cell r="B26" t="str">
            <v>BE0003565737</v>
          </cell>
        </row>
        <row r="27">
          <cell r="B27" t="str">
            <v>NL0000009082</v>
          </cell>
        </row>
        <row r="28">
          <cell r="B28" t="str">
            <v>NL0010773842</v>
          </cell>
        </row>
        <row r="29">
          <cell r="B29" t="str">
            <v>NL0000009538</v>
          </cell>
        </row>
        <row r="30">
          <cell r="B30" t="str">
            <v>NL0013654783</v>
          </cell>
        </row>
        <row r="31">
          <cell r="B31" t="str">
            <v>NL0000379121</v>
          </cell>
        </row>
        <row r="32">
          <cell r="B32" t="str">
            <v>GB00B2B0DG97</v>
          </cell>
        </row>
        <row r="33">
          <cell r="B33" t="str">
            <v>GB00BP6MXD84</v>
          </cell>
        </row>
        <row r="34">
          <cell r="B34" t="str">
            <v>BE0003470755</v>
          </cell>
        </row>
        <row r="35">
          <cell r="B35" t="str">
            <v>BE0974464977</v>
          </cell>
        </row>
        <row r="36">
          <cell r="B36" t="str">
            <v>BE0003739530</v>
          </cell>
        </row>
        <row r="37">
          <cell r="B37" t="str">
            <v>NL0015000IY2</v>
          </cell>
        </row>
        <row r="38">
          <cell r="B38" t="str">
            <v>BE0974320526</v>
          </cell>
        </row>
        <row r="39">
          <cell r="B39" t="str">
            <v>BE0974349814</v>
          </cell>
        </row>
        <row r="40">
          <cell r="B40" t="str">
            <v>BE0974349814</v>
          </cell>
        </row>
        <row r="41">
          <cell r="B41" t="str">
            <v>NL0000395903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3" workbookViewId="0">
      <selection activeCell="B39" sqref="B3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ISNUMBER(MATCH(B2,'[1]Index Composition'!$B$2:$B$41,0))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ISNUMBER(MATCH(B3,'[1]Index Composition'!$B$2:$B$41,0))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ISNUMBER(MATCH(B4,'[1]Index Composition'!$B$2:$B$41,0))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ISNUMBER(MATCH(B5,'[1]Index Composition'!$B$2:$B$41,0))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ISNUMBER(MATCH(B6,'[1]Index Composition'!$B$2:$B$41,0))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ISNUMBER(MATCH(B7,'[1]Index Composition'!$B$2:$B$41,0))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ISNUMBER(MATCH(B8,'[1]Index Composition'!$B$2:$B$41,0))</f>
        <v>1</v>
      </c>
    </row>
    <row r="9" spans="1:9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ISNUMBER(MATCH(B9,'[1]Index Composition'!$B$2:$B$41,0))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ISNUMBER(MATCH(B10,'[1]Index Composition'!$B$2:$B$41,0))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ISNUMBER(MATCH(B11,'[1]Index Composition'!$B$2:$B$41,0))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137138</v>
      </c>
      <c r="E12">
        <v>1</v>
      </c>
      <c r="F12">
        <v>1</v>
      </c>
      <c r="G12" t="s">
        <v>90</v>
      </c>
      <c r="H12" t="s">
        <v>91</v>
      </c>
      <c r="I12" t="b">
        <f>ISNUMBER(MATCH(B12,'[1]Index Composition'!$B$2:$B$41,0))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ISNUMBER(MATCH(B13,'[1]Index Composition'!$B$2:$B$41,0))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ISNUMBER(MATCH(B14,'[1]Index Composition'!$B$2:$B$41,0))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ISNUMBER(MATCH(B15,'[1]Index Composition'!$B$2:$B$41,0))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ISNUMBER(MATCH(B16,'[1]Index Composition'!$B$2:$B$41,0))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ISNUMBER(MATCH(B17,'[1]Index Composition'!$B$2:$B$41,0))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ISNUMBER(MATCH(B18,'[1]Index Composition'!$B$2:$B$41,0))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ISNUMBER(MATCH(B19,'[1]Index Composition'!$B$2:$B$41,0))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1756753</v>
      </c>
      <c r="E20">
        <v>1</v>
      </c>
      <c r="F20">
        <v>1</v>
      </c>
      <c r="G20" t="s">
        <v>90</v>
      </c>
      <c r="H20" t="s">
        <v>91</v>
      </c>
      <c r="I20" t="b">
        <f>ISNUMBER(MATCH(B20,'[1]Index Composition'!$B$2:$B$41,0))</f>
        <v>1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ISNUMBER(MATCH(B21,'[1]Index Composition'!$B$2:$B$41,0))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ISNUMBER(MATCH(B22,'[1]Index Composition'!$B$2:$B$41,0))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ISNUMBER(MATCH(B23,'[1]Index Composition'!$B$2:$B$41,0))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ISNUMBER(MATCH(B24,'[1]Index Composition'!$B$2:$B$41,0))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ISNUMBER(MATCH(B25,'[1]Index Composition'!$B$2:$B$41,0))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ISNUMBER(MATCH(B26,'[1]Index Composition'!$B$2:$B$41,0))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ISNUMBER(MATCH(B27,'[1]Index Composition'!$B$2:$B$41,0))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ISNUMBER(MATCH(B28,'[1]Index Composition'!$B$2:$B$41,0))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ISNUMBER(MATCH(B29,'[1]Index Composition'!$B$2:$B$41,0))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ISNUMBER(MATCH(B30,'[1]Index Composition'!$B$2:$B$41,0))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4064048</v>
      </c>
      <c r="E31">
        <v>1</v>
      </c>
      <c r="F31">
        <v>1</v>
      </c>
      <c r="G31" t="s">
        <v>90</v>
      </c>
      <c r="H31" t="s">
        <v>91</v>
      </c>
      <c r="I31" t="b">
        <f>ISNUMBER(MATCH(B31,'[1]Index Composition'!$B$2:$B$41,0))</f>
        <v>1</v>
      </c>
    </row>
    <row r="32" spans="1:9" x14ac:dyDescent="0.25">
      <c r="A32" t="s">
        <v>38</v>
      </c>
      <c r="B32" t="s">
        <v>78</v>
      </c>
      <c r="C32" t="s">
        <v>89</v>
      </c>
      <c r="D32">
        <v>3764105</v>
      </c>
      <c r="E32">
        <v>1</v>
      </c>
      <c r="F32">
        <v>1</v>
      </c>
      <c r="G32" t="s">
        <v>90</v>
      </c>
      <c r="H32" t="s">
        <v>91</v>
      </c>
      <c r="I32" t="b">
        <f>ISNUMBER(MATCH(B32,'[1]Index Composition'!$B$2:$B$41,0))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ISNUMBER(MATCH(B33,'[1]Index Composition'!$B$2:$B$41,0))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4793221</v>
      </c>
      <c r="E34">
        <v>1</v>
      </c>
      <c r="F34">
        <v>1</v>
      </c>
      <c r="G34" t="s">
        <v>90</v>
      </c>
      <c r="H34" t="s">
        <v>91</v>
      </c>
      <c r="I34" t="b">
        <f>ISNUMBER(MATCH(B34,'[1]Index Composition'!$B$2:$B$41,0))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1840181</v>
      </c>
      <c r="E35">
        <v>1</v>
      </c>
      <c r="F35">
        <v>1</v>
      </c>
      <c r="G35" t="s">
        <v>90</v>
      </c>
      <c r="H35" t="s">
        <v>91</v>
      </c>
      <c r="I35" t="b">
        <f>ISNUMBER(MATCH(B35,'[1]Index Composition'!$B$2:$B$41,0))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536076</v>
      </c>
      <c r="E36">
        <v>1</v>
      </c>
      <c r="F36">
        <v>1</v>
      </c>
      <c r="G36" t="s">
        <v>90</v>
      </c>
      <c r="H36" t="s">
        <v>91</v>
      </c>
      <c r="I36" t="b">
        <f>ISNUMBER(MATCH(B36,'[1]Index Composition'!$B$2:$B$41,0))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5873169</v>
      </c>
      <c r="E37">
        <v>1</v>
      </c>
      <c r="F37">
        <v>1</v>
      </c>
      <c r="G37" t="s">
        <v>90</v>
      </c>
      <c r="H37" t="s">
        <v>91</v>
      </c>
      <c r="I37" t="b">
        <f>ISNUMBER(MATCH(B37,'[1]Index Composition'!$B$2:$B$41,0))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8140916</v>
      </c>
      <c r="E38">
        <v>1</v>
      </c>
      <c r="F38">
        <v>1</v>
      </c>
      <c r="G38" t="s">
        <v>90</v>
      </c>
      <c r="H38" t="s">
        <v>91</v>
      </c>
      <c r="I38" t="b">
        <f>ISNUMBER(MATCH(B38,'[1]Index Composition'!$B$2:$B$41,0))</f>
        <v>1</v>
      </c>
    </row>
    <row r="39" spans="1:9" x14ac:dyDescent="0.25">
      <c r="A39" t="s">
        <v>45</v>
      </c>
      <c r="B39" t="s">
        <v>85</v>
      </c>
      <c r="C39" t="s">
        <v>89</v>
      </c>
      <c r="D39">
        <v>2325347</v>
      </c>
      <c r="E39">
        <v>1</v>
      </c>
      <c r="F39">
        <v>1</v>
      </c>
      <c r="G39" t="s">
        <v>90</v>
      </c>
      <c r="H39" t="s">
        <v>91</v>
      </c>
      <c r="I39" t="b">
        <f>ISNUMBER(MATCH(B39,'[1]Index Composition'!$B$2:$B$41,0))</f>
        <v>0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ISNUMBER(MATCH(B40,'[1]Index Composition'!$B$2:$B$41,0))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ISNUMBER(MATCH(B41,'[1]Index Composition'!$B$2:$B$41,0))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92</v>
      </c>
      <c r="B2" t="s">
        <v>93</v>
      </c>
      <c r="C2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2025-12-11T23:07:19Z</dcterms:created>
  <dcterms:modified xsi:type="dcterms:W3CDTF">2025-12-15T08:12:41Z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2025-12-15T08:12:41Z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9e758ddc-3e7a-4924-a0f6-9d41b9259da9</vt:lpwstr>
  </property>
  <property fmtid="{D5CDD505-2E9C-101B-9397-08002B2CF9AE}" pid="8" name="MSIP_Label_ac0b9ce6-6e99-42a1-af95-429494370cbc_ContentBits">
    <vt:lpwstr>2</vt:lpwstr>
  </property>
</Properties>
</file>