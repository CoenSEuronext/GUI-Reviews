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"/>
    </mc:Choice>
  </mc:AlternateContent>
  <xr:revisionPtr revIDLastSave="13" documentId="11_A7F6D8E9CF96A157A9DECB76399B7A7FE068EEF9" xr6:coauthVersionLast="47" xr6:coauthVersionMax="47" xr10:uidLastSave="{D92778C2-A6A7-4E85-A68B-40CA036EB7F4}"/>
  <bookViews>
    <workbookView xWindow="-29370" yWindow="195" windowWidth="29040" windowHeight="15720" xr2:uid="{00000000-000D-0000-FFFF-FFFF00000000}"/>
  </bookViews>
  <sheets>
    <sheet name="selection" sheetId="1" r:id="rId1"/>
    <sheet name="inclusion" sheetId="2" r:id="rId2"/>
    <sheet name="exclusion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1" l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<sst xmlns="http://schemas.openxmlformats.org/spreadsheetml/2006/main" count="285" uniqueCount="128">
  <si>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</si>
  <si>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</si>
  <si>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</si>
  <si>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</si>
  <si>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</si>
  <si>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</si>
  <si>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</si>
  <si>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</si>
  <si>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</si>
  <si>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</si>
  <si>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</si>
  <si>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</si>
  <si>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</si>
  <si>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</si>
  <si>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</si>
  <si>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</si>
  <si>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</si>
  <si>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</si>
  <si>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</si>
  <si>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</si>
  <si>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</si>
  <si>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</si>
  <si>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DANONE</t>
  </si>
  <si>
    <t>DEUTSCHE BANK</t>
  </si>
  <si>
    <t>DEUTSCHE TELEKOM AG</t>
  </si>
  <si>
    <t>ELI LILLY AND CO</t>
  </si>
  <si>
    <t>ENEL</t>
  </si>
  <si>
    <t>ESSILORLUXOTTICA</t>
  </si>
  <si>
    <t>EXXON MOBIL</t>
  </si>
  <si>
    <t>HERMES INTL</t>
  </si>
  <si>
    <t>IBERDROLA</t>
  </si>
  <si>
    <t>ING GROEP N.V.</t>
  </si>
  <si>
    <t>INTESA SANPAOLO</t>
  </si>
  <si>
    <t>JOHNSON &amp; JOHNSON</t>
  </si>
  <si>
    <t>JP MORGAN CHASE &amp; CO</t>
  </si>
  <si>
    <t>L'OREAL</t>
  </si>
  <si>
    <t>LVMH</t>
  </si>
  <si>
    <t>META PLTFORM ORD</t>
  </si>
  <si>
    <t>MICROSOFT CORP</t>
  </si>
  <si>
    <t>MUNICH RE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</si>
  <si>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</si>
  <si>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</si>
  <si>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</si>
  <si>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</si>
  <si>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</si>
  <si>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</si>
  <si>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</si>
  <si>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</si>
  <si>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</si>
  <si>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</si>
  <si>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</si>
  <si>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</si>
  <si>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</si>
  <si>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</si>
  <si>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</si>
  <si>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</si>
  <si>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</si>
  <si>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WALMART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</si>
  <si>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</si>
  <si>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</si>
  <si>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</si>
  <si>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</si>
  <si>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</si>
  <si>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</si>
  <si>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</si>
  <si>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</si>
  <si>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</si>
  <si>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</si>
  <si>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</si>
  <si>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</si>
  <si>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</si>
  <si>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</si>
  <si>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FR0000120644</t>
  </si>
  <si>
    <t>DE0005140008</t>
  </si>
  <si>
    <t>DE0005557508</t>
  </si>
  <si>
    <t>US5324571083</t>
  </si>
  <si>
    <t>IT0003128367</t>
  </si>
  <si>
    <t>FR0000121667</t>
  </si>
  <si>
    <t>US30231G1022</t>
  </si>
  <si>
    <t>FR0000052292</t>
  </si>
  <si>
    <t>ES0144580Y14</t>
  </si>
  <si>
    <t>NL0011821202</t>
  </si>
  <si>
    <t>IT0000072618</t>
  </si>
  <si>
    <t>US4781601046</t>
  </si>
  <si>
    <t>US46625H1005</t>
  </si>
  <si>
    <t>FR0000120321</t>
  </si>
  <si>
    <t>FR0000121014</t>
  </si>
  <si>
    <t>US30303M1027</t>
  </si>
  <si>
    <t>US5949181045</t>
  </si>
  <si>
    <t>DE0008430026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</si>
  <si>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</si>
  <si>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</si>
  <si>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</si>
  <si>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</si>
  <si>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</si>
  <si>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</si>
  <si>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</si>
  <si>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</si>
  <si>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</si>
  <si>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</si>
  <si>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</si>
  <si>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</si>
  <si>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</si>
  <si>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</si>
  <si>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GB00BVZK7T90</t>
  </si>
  <si>
    <t>FR0000125486</t>
  </si>
  <si>
    <t>US92826C8394</t>
  </si>
  <si>
    <t>US9311421039</t>
  </si>
  <si>
    <t>XBRU</t>
  </si>
  <si>
    <t>XPAR</t>
  </si>
  <si>
    <t>XETR</t>
  </si>
  <si>
    <t>XNGS</t>
  </si>
  <si>
    <t>XAMS</t>
  </si>
  <si>
    <t>XMAD</t>
  </si>
  <si>
    <t>XNYS</t>
  </si>
  <si>
    <t>MTAA</t>
  </si>
  <si>
    <t>XNAS</t>
  </si>
  <si>
    <t>22-Dec-25</t>
  </si>
  <si>
    <t>EUR</t>
  </si>
  <si>
    <t>USD</t>
  </si>
  <si>
    <t>DEUTSCHE BOERSE AG</t>
  </si>
  <si>
    <t>MAGNUM</t>
  </si>
  <si>
    <t>MASTERCARD INC</t>
  </si>
  <si>
    <t>NETFLIX INC.</t>
  </si>
  <si>
    <t>DE0005810055</t>
  </si>
  <si>
    <t>NL0015002MS2</t>
  </si>
  <si>
    <t>US57636Q1040</t>
  </si>
  <si>
    <t>US64110L1061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</si>
</sst>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Coen/EUS5P_df_20251212_141225.xlsx" TargetMode="External"/><Relationship Id="rId1" Type="http://schemas.openxmlformats.org/officeDocument/2006/relationships/externalLinkPath" Target="/personal/csonneveld_euronext_com/Documents/Documents/Projects/GUI%20+%20Reviews/202512/Review%20202512/Coen/EUS5P_df_20251212_1412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 Composition"/>
      <sheetName val="Inclusion"/>
      <sheetName val="Exclusion"/>
      <sheetName val="Full Universe"/>
      <sheetName val="Index Market Cap"/>
    </sheetNames>
    <sheetDataSet>
      <sheetData sheetId="0">
        <row r="2">
          <cell r="B2" t="str">
            <v>BE0974293251</v>
          </cell>
        </row>
        <row r="3">
          <cell r="B3" t="str">
            <v>FR0000120073</v>
          </cell>
        </row>
        <row r="4">
          <cell r="B4" t="str">
            <v>NL0000235190</v>
          </cell>
        </row>
        <row r="5">
          <cell r="B5" t="str">
            <v>DE0008404005</v>
          </cell>
        </row>
        <row r="6">
          <cell r="B6" t="str">
            <v>US02079K3059</v>
          </cell>
        </row>
        <row r="7">
          <cell r="B7" t="str">
            <v>US0231351067</v>
          </cell>
        </row>
        <row r="8">
          <cell r="B8" t="str">
            <v>US0378331005</v>
          </cell>
        </row>
        <row r="9">
          <cell r="B9" t="str">
            <v>NL0010273215</v>
          </cell>
        </row>
        <row r="10">
          <cell r="B10" t="str">
            <v>FR0000120628</v>
          </cell>
        </row>
        <row r="11">
          <cell r="B11" t="str">
            <v>ES0113900J37</v>
          </cell>
        </row>
        <row r="12">
          <cell r="B12" t="str">
            <v>ES0113211835</v>
          </cell>
        </row>
        <row r="13">
          <cell r="B13" t="str">
            <v>US0846707026</v>
          </cell>
        </row>
        <row r="14">
          <cell r="B14" t="str">
            <v>FR0000131104</v>
          </cell>
        </row>
        <row r="15">
          <cell r="B15" t="str">
            <v>US11135F1012</v>
          </cell>
        </row>
        <row r="16">
          <cell r="B16" t="str">
            <v>FR0000120644</v>
          </cell>
        </row>
        <row r="17">
          <cell r="B17" t="str">
            <v>DE0005140008</v>
          </cell>
        </row>
        <row r="18">
          <cell r="B18" t="str">
            <v>DE0005557508</v>
          </cell>
        </row>
        <row r="19">
          <cell r="B19" t="str">
            <v>US5324571083</v>
          </cell>
        </row>
        <row r="20">
          <cell r="B20" t="str">
            <v>IT0003128367</v>
          </cell>
        </row>
        <row r="21">
          <cell r="B21" t="str">
            <v>FR0000121667</v>
          </cell>
        </row>
        <row r="22">
          <cell r="B22" t="str">
            <v>US30231G1022</v>
          </cell>
        </row>
        <row r="23">
          <cell r="B23" t="str">
            <v>FR0000052292</v>
          </cell>
        </row>
        <row r="24">
          <cell r="B24" t="str">
            <v>ES0144580Y14</v>
          </cell>
        </row>
        <row r="25">
          <cell r="B25" t="str">
            <v>NL0011821202</v>
          </cell>
        </row>
        <row r="26">
          <cell r="B26" t="str">
            <v>IT0000072618</v>
          </cell>
        </row>
        <row r="27">
          <cell r="B27" t="str">
            <v>US4781601046</v>
          </cell>
        </row>
        <row r="28">
          <cell r="B28" t="str">
            <v>US46625H1005</v>
          </cell>
        </row>
        <row r="29">
          <cell r="B29" t="str">
            <v>FR0000120321</v>
          </cell>
        </row>
        <row r="30">
          <cell r="B30" t="str">
            <v>FR0000121014</v>
          </cell>
        </row>
        <row r="31">
          <cell r="B31" t="str">
            <v>US30303M1027</v>
          </cell>
        </row>
        <row r="32">
          <cell r="B32" t="str">
            <v>US5949181045</v>
          </cell>
        </row>
        <row r="33">
          <cell r="B33" t="str">
            <v>DE0008430026</v>
          </cell>
        </row>
        <row r="34">
          <cell r="B34" t="str">
            <v>US64110L1061</v>
          </cell>
        </row>
        <row r="35">
          <cell r="B35" t="str">
            <v>US67066G1040</v>
          </cell>
        </row>
        <row r="36">
          <cell r="B36" t="str">
            <v>NL0013654783</v>
          </cell>
        </row>
        <row r="37">
          <cell r="B37" t="str">
            <v>GB00B2B0DG97</v>
          </cell>
        </row>
        <row r="38">
          <cell r="B38" t="str">
            <v>DE0007030009</v>
          </cell>
        </row>
        <row r="39">
          <cell r="B39" t="str">
            <v>FR0000073272</v>
          </cell>
        </row>
        <row r="40">
          <cell r="B40" t="str">
            <v>FR0000120578</v>
          </cell>
        </row>
        <row r="41">
          <cell r="B41" t="str">
            <v>DE0007164600</v>
          </cell>
        </row>
        <row r="42">
          <cell r="B42" t="str">
            <v>FR0000121972</v>
          </cell>
        </row>
        <row r="43">
          <cell r="B43" t="str">
            <v>GB00BP6MXD84</v>
          </cell>
        </row>
        <row r="44">
          <cell r="B44" t="str">
            <v>DE0007236101</v>
          </cell>
        </row>
        <row r="45">
          <cell r="B45" t="str">
            <v>DE000ENER6Y0</v>
          </cell>
        </row>
        <row r="46">
          <cell r="B46" t="str">
            <v>US88160R1014</v>
          </cell>
        </row>
        <row r="47">
          <cell r="B47" t="str">
            <v>FR0000120271</v>
          </cell>
        </row>
        <row r="48">
          <cell r="B48" t="str">
            <v>IT0005239360</v>
          </cell>
        </row>
        <row r="49">
          <cell r="B49" t="str">
            <v>GB00BVZK7T90</v>
          </cell>
        </row>
        <row r="50">
          <cell r="B50" t="str">
            <v>FR0000125486</v>
          </cell>
        </row>
        <row r="51">
          <cell r="B51" t="str">
            <v>US92826C8394</v>
          </cell>
        </row>
      </sheetData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34" workbookViewId="0">
      <selection activeCell="Q46" sqref="Q45:Q46"/>
    </sheetView>
  </sheetViews>
  <sheetFormatPr defaultRowHeight="15" x14ac:dyDescent="0.25"/>
  <cols>
    <col min="1" max="1" width="13.85546875" bestFit="1" customWidth="1"/>
    <col min="2" max="2" width="13.42578125" bestFit="1" customWidth="1"/>
    <col min="3" max="3" width="5.85546875" bestFit="1" customWidth="1"/>
    <col min="4" max="4" width="7" bestFit="1" customWidth="1"/>
    <col min="5" max="6" width="2" bestFit="1" customWidth="1"/>
    <col min="7" max="7" width="9.7109375" bestFit="1" customWidth="1"/>
    <col min="8" max="8" width="4.5703125" bestFit="1" customWidth="1"/>
    <col min="9" max="9" width="6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58</v>
      </c>
      <c r="C2" t="s">
        <v>108</v>
      </c>
      <c r="D2">
        <v>996598</v>
      </c>
      <c r="E2">
        <v>1</v>
      </c>
      <c r="F2">
        <v>1</v>
      </c>
      <c r="G2" t="s">
        <v>117</v>
      </c>
      <c r="H2" t="s">
        <v>118</v>
      </c>
      <c r="I2" t="b">
        <f>ISNUMBER(MATCH(B2,'[1]Index Composition'!$B$2:$B$51,0))</f>
        <v>1</v>
      </c>
    </row>
    <row r="3" spans="1:9" x14ac:dyDescent="0.25">
      <c r="A3" t="s">
        <v>9</v>
      </c>
      <c r="B3" t="s">
        <v>59</v>
      </c>
      <c r="C3" t="s">
        <v>109</v>
      </c>
      <c r="D3">
        <v>340376</v>
      </c>
      <c r="E3">
        <v>1</v>
      </c>
      <c r="F3">
        <v>1</v>
      </c>
      <c r="G3" t="s">
        <v>117</v>
      </c>
      <c r="H3" t="s">
        <v>118</v>
      </c>
      <c r="I3" t="b">
        <f>ISNUMBER(MATCH(B3,'[1]Index Composition'!$B$2:$B$51,0))</f>
        <v>1</v>
      </c>
    </row>
    <row r="4" spans="1:9" x14ac:dyDescent="0.25">
      <c r="A4" t="s">
        <v>10</v>
      </c>
      <c r="B4" t="s">
        <v>60</v>
      </c>
      <c r="C4" t="s">
        <v>109</v>
      </c>
      <c r="D4">
        <v>279056</v>
      </c>
      <c r="E4">
        <v>1</v>
      </c>
      <c r="F4">
        <v>1</v>
      </c>
      <c r="G4" t="s">
        <v>117</v>
      </c>
      <c r="H4" t="s">
        <v>118</v>
      </c>
      <c r="I4" t="b">
        <f>ISNUMBER(MATCH(B4,'[1]Index Composition'!$B$2:$B$51,0))</f>
        <v>1</v>
      </c>
    </row>
    <row r="5" spans="1:9" x14ac:dyDescent="0.25">
      <c r="A5" t="s">
        <v>11</v>
      </c>
      <c r="B5" t="s">
        <v>61</v>
      </c>
      <c r="C5" t="s">
        <v>110</v>
      </c>
      <c r="D5">
        <v>140458</v>
      </c>
      <c r="E5">
        <v>1</v>
      </c>
      <c r="F5">
        <v>1</v>
      </c>
      <c r="G5" t="s">
        <v>117</v>
      </c>
      <c r="H5" t="s">
        <v>118</v>
      </c>
      <c r="I5" t="b">
        <f>ISNUMBER(MATCH(B5,'[1]Index Composition'!$B$2:$B$51,0))</f>
        <v>1</v>
      </c>
    </row>
    <row r="6" spans="1:9" x14ac:dyDescent="0.25">
      <c r="A6" t="s">
        <v>12</v>
      </c>
      <c r="B6" t="s">
        <v>62</v>
      </c>
      <c r="C6" t="s">
        <v>111</v>
      </c>
      <c r="D6">
        <v>202965</v>
      </c>
      <c r="E6">
        <v>1</v>
      </c>
      <c r="F6">
        <v>1</v>
      </c>
      <c r="G6" t="s">
        <v>117</v>
      </c>
      <c r="H6" t="s">
        <v>119</v>
      </c>
      <c r="I6" t="b">
        <f>ISNUMBER(MATCH(B6,'[1]Index Composition'!$B$2:$B$51,0))</f>
        <v>1</v>
      </c>
    </row>
    <row r="7" spans="1:9" x14ac:dyDescent="0.25">
      <c r="A7" t="s">
        <v>13</v>
      </c>
      <c r="B7" t="s">
        <v>63</v>
      </c>
      <c r="C7" t="s">
        <v>111</v>
      </c>
      <c r="D7">
        <v>275371</v>
      </c>
      <c r="E7">
        <v>1</v>
      </c>
      <c r="F7">
        <v>1</v>
      </c>
      <c r="G7" t="s">
        <v>117</v>
      </c>
      <c r="H7" t="s">
        <v>119</v>
      </c>
      <c r="I7" t="b">
        <f>ISNUMBER(MATCH(B7,'[1]Index Composition'!$B$2:$B$51,0))</f>
        <v>1</v>
      </c>
    </row>
    <row r="8" spans="1:9" x14ac:dyDescent="0.25">
      <c r="A8" t="s">
        <v>14</v>
      </c>
      <c r="B8" t="s">
        <v>64</v>
      </c>
      <c r="C8" t="s">
        <v>111</v>
      </c>
      <c r="D8">
        <v>228078</v>
      </c>
      <c r="E8">
        <v>1</v>
      </c>
      <c r="F8">
        <v>1</v>
      </c>
      <c r="G8" t="s">
        <v>117</v>
      </c>
      <c r="H8" t="s">
        <v>119</v>
      </c>
      <c r="I8" t="b">
        <f>ISNUMBER(MATCH(B8,'[1]Index Composition'!$B$2:$B$51,0))</f>
        <v>1</v>
      </c>
    </row>
    <row r="9" spans="1:9" x14ac:dyDescent="0.25">
      <c r="A9" t="s">
        <v>15</v>
      </c>
      <c r="B9" t="s">
        <v>65</v>
      </c>
      <c r="C9" t="s">
        <v>112</v>
      </c>
      <c r="D9">
        <v>57324</v>
      </c>
      <c r="E9">
        <v>1</v>
      </c>
      <c r="F9">
        <v>1</v>
      </c>
      <c r="G9" t="s">
        <v>117</v>
      </c>
      <c r="H9" t="s">
        <v>118</v>
      </c>
      <c r="I9" t="b">
        <f>ISNUMBER(MATCH(B9,'[1]Index Composition'!$B$2:$B$51,0))</f>
        <v>1</v>
      </c>
    </row>
    <row r="10" spans="1:9" x14ac:dyDescent="0.25">
      <c r="A10" t="s">
        <v>16</v>
      </c>
      <c r="B10" t="s">
        <v>66</v>
      </c>
      <c r="C10" t="s">
        <v>109</v>
      </c>
      <c r="D10">
        <v>1351438</v>
      </c>
      <c r="E10">
        <v>1</v>
      </c>
      <c r="F10">
        <v>1</v>
      </c>
      <c r="G10" t="s">
        <v>117</v>
      </c>
      <c r="H10" t="s">
        <v>118</v>
      </c>
      <c r="I10" t="b">
        <f>ISNUMBER(MATCH(B10,'[1]Index Composition'!$B$2:$B$51,0))</f>
        <v>1</v>
      </c>
    </row>
    <row r="11" spans="1:9" x14ac:dyDescent="0.25">
      <c r="A11" t="s">
        <v>17</v>
      </c>
      <c r="B11" t="s">
        <v>67</v>
      </c>
      <c r="C11" t="s">
        <v>113</v>
      </c>
      <c r="D11">
        <v>5516047</v>
      </c>
      <c r="E11">
        <v>1</v>
      </c>
      <c r="F11">
        <v>1</v>
      </c>
      <c r="G11" t="s">
        <v>117</v>
      </c>
      <c r="H11" t="s">
        <v>118</v>
      </c>
      <c r="I11" t="b">
        <f>ISNUMBER(MATCH(B11,'[1]Index Composition'!$B$2:$B$51,0))</f>
        <v>1</v>
      </c>
    </row>
    <row r="12" spans="1:9" x14ac:dyDescent="0.25">
      <c r="A12" t="s">
        <v>18</v>
      </c>
      <c r="B12" t="s">
        <v>68</v>
      </c>
      <c r="C12" t="s">
        <v>113</v>
      </c>
      <c r="D12">
        <v>2776623</v>
      </c>
      <c r="E12">
        <v>1</v>
      </c>
      <c r="F12">
        <v>1</v>
      </c>
      <c r="G12" t="s">
        <v>117</v>
      </c>
      <c r="H12" t="s">
        <v>118</v>
      </c>
      <c r="I12" t="b">
        <f>ISNUMBER(MATCH(B12,'[1]Index Composition'!$B$2:$B$51,0))</f>
        <v>1</v>
      </c>
    </row>
    <row r="13" spans="1:9" x14ac:dyDescent="0.25">
      <c r="A13" t="s">
        <v>19</v>
      </c>
      <c r="B13" t="s">
        <v>69</v>
      </c>
      <c r="C13" t="s">
        <v>114</v>
      </c>
      <c r="D13">
        <v>127886</v>
      </c>
      <c r="E13">
        <v>1</v>
      </c>
      <c r="F13">
        <v>1</v>
      </c>
      <c r="G13" t="s">
        <v>117</v>
      </c>
      <c r="H13" t="s">
        <v>119</v>
      </c>
      <c r="I13" t="b">
        <f>ISNUMBER(MATCH(B13,'[1]Index Composition'!$B$2:$B$51,0))</f>
        <v>1</v>
      </c>
    </row>
    <row r="14" spans="1:9" x14ac:dyDescent="0.25">
      <c r="A14" t="s">
        <v>20</v>
      </c>
      <c r="B14" t="s">
        <v>70</v>
      </c>
      <c r="C14" t="s">
        <v>109</v>
      </c>
      <c r="D14">
        <v>685597</v>
      </c>
      <c r="E14">
        <v>1</v>
      </c>
      <c r="F14">
        <v>1</v>
      </c>
      <c r="G14" t="s">
        <v>117</v>
      </c>
      <c r="H14" t="s">
        <v>118</v>
      </c>
      <c r="I14" t="b">
        <f>ISNUMBER(MATCH(B14,'[1]Index Composition'!$B$2:$B$51,0))</f>
        <v>1</v>
      </c>
    </row>
    <row r="15" spans="1:9" x14ac:dyDescent="0.25">
      <c r="A15" t="s">
        <v>21</v>
      </c>
      <c r="B15" t="s">
        <v>71</v>
      </c>
      <c r="C15" t="s">
        <v>111</v>
      </c>
      <c r="D15">
        <v>156046</v>
      </c>
      <c r="E15">
        <v>1</v>
      </c>
      <c r="F15">
        <v>1</v>
      </c>
      <c r="G15" t="s">
        <v>117</v>
      </c>
      <c r="H15" t="s">
        <v>119</v>
      </c>
      <c r="I15" t="b">
        <f>ISNUMBER(MATCH(B15,'[1]Index Composition'!$B$2:$B$51,0))</f>
        <v>1</v>
      </c>
    </row>
    <row r="16" spans="1:9" x14ac:dyDescent="0.25">
      <c r="A16" t="s">
        <v>22</v>
      </c>
      <c r="B16" t="s">
        <v>72</v>
      </c>
      <c r="C16" t="s">
        <v>109</v>
      </c>
      <c r="D16">
        <v>711931</v>
      </c>
      <c r="E16">
        <v>1</v>
      </c>
      <c r="F16">
        <v>1</v>
      </c>
      <c r="G16" t="s">
        <v>117</v>
      </c>
      <c r="H16" t="s">
        <v>118</v>
      </c>
      <c r="I16" t="b">
        <f>ISNUMBER(MATCH(B16,'[1]Index Composition'!$B$2:$B$51,0))</f>
        <v>1</v>
      </c>
    </row>
    <row r="17" spans="1:9" x14ac:dyDescent="0.25">
      <c r="A17" t="s">
        <v>23</v>
      </c>
      <c r="B17" t="s">
        <v>73</v>
      </c>
      <c r="C17" t="s">
        <v>110</v>
      </c>
      <c r="D17">
        <v>1653968</v>
      </c>
      <c r="E17">
        <v>1</v>
      </c>
      <c r="F17">
        <v>1</v>
      </c>
      <c r="G17" t="s">
        <v>117</v>
      </c>
      <c r="H17" t="s">
        <v>118</v>
      </c>
      <c r="I17" t="b">
        <f>ISNUMBER(MATCH(B17,'[1]Index Composition'!$B$2:$B$51,0))</f>
        <v>1</v>
      </c>
    </row>
    <row r="18" spans="1:9" x14ac:dyDescent="0.25">
      <c r="A18" t="s">
        <v>24</v>
      </c>
      <c r="B18" t="s">
        <v>74</v>
      </c>
      <c r="C18" t="s">
        <v>110</v>
      </c>
      <c r="D18">
        <v>2003563</v>
      </c>
      <c r="E18">
        <v>1</v>
      </c>
      <c r="F18">
        <v>1</v>
      </c>
      <c r="G18" t="s">
        <v>117</v>
      </c>
      <c r="H18" t="s">
        <v>118</v>
      </c>
      <c r="I18" t="b">
        <f>ISNUMBER(MATCH(B18,'[1]Index Composition'!$B$2:$B$51,0))</f>
        <v>1</v>
      </c>
    </row>
    <row r="19" spans="1:9" x14ac:dyDescent="0.25">
      <c r="A19" t="s">
        <v>25</v>
      </c>
      <c r="B19" t="s">
        <v>75</v>
      </c>
      <c r="C19" t="s">
        <v>114</v>
      </c>
      <c r="D19">
        <v>62823</v>
      </c>
      <c r="E19">
        <v>1</v>
      </c>
      <c r="F19">
        <v>1</v>
      </c>
      <c r="G19" t="s">
        <v>117</v>
      </c>
      <c r="H19" t="s">
        <v>119</v>
      </c>
      <c r="I19" t="b">
        <f>ISNUMBER(MATCH(B19,'[1]Index Composition'!$B$2:$B$51,0))</f>
        <v>1</v>
      </c>
    </row>
    <row r="20" spans="1:9" x14ac:dyDescent="0.25">
      <c r="A20" t="s">
        <v>26</v>
      </c>
      <c r="B20" t="s">
        <v>76</v>
      </c>
      <c r="C20" t="s">
        <v>115</v>
      </c>
      <c r="D20">
        <v>6188859</v>
      </c>
      <c r="E20">
        <v>1</v>
      </c>
      <c r="F20">
        <v>1</v>
      </c>
      <c r="G20" t="s">
        <v>117</v>
      </c>
      <c r="H20" t="s">
        <v>118</v>
      </c>
      <c r="I20" t="b">
        <f>ISNUMBER(MATCH(B20,'[1]Index Composition'!$B$2:$B$51,0))</f>
        <v>1</v>
      </c>
    </row>
    <row r="21" spans="1:9" x14ac:dyDescent="0.25">
      <c r="A21" t="s">
        <v>27</v>
      </c>
      <c r="B21" t="s">
        <v>77</v>
      </c>
      <c r="C21" t="s">
        <v>109</v>
      </c>
      <c r="D21">
        <v>189315</v>
      </c>
      <c r="E21">
        <v>1</v>
      </c>
      <c r="F21">
        <v>1</v>
      </c>
      <c r="G21" t="s">
        <v>117</v>
      </c>
      <c r="H21" t="s">
        <v>118</v>
      </c>
      <c r="I21" t="b">
        <f>ISNUMBER(MATCH(B21,'[1]Index Composition'!$B$2:$B$51,0))</f>
        <v>1</v>
      </c>
    </row>
    <row r="22" spans="1:9" x14ac:dyDescent="0.25">
      <c r="A22" t="s">
        <v>28</v>
      </c>
      <c r="B22" t="s">
        <v>78</v>
      </c>
      <c r="C22" t="s">
        <v>114</v>
      </c>
      <c r="D22">
        <v>530471</v>
      </c>
      <c r="E22">
        <v>1</v>
      </c>
      <c r="F22">
        <v>1</v>
      </c>
      <c r="G22" t="s">
        <v>117</v>
      </c>
      <c r="H22" t="s">
        <v>119</v>
      </c>
      <c r="I22" t="b">
        <f>ISNUMBER(MATCH(B22,'[1]Index Composition'!$B$2:$B$51,0))</f>
        <v>1</v>
      </c>
    </row>
    <row r="23" spans="1:9" x14ac:dyDescent="0.25">
      <c r="A23" t="s">
        <v>29</v>
      </c>
      <c r="B23" t="s">
        <v>79</v>
      </c>
      <c r="C23" t="s">
        <v>109</v>
      </c>
      <c r="D23">
        <v>25310</v>
      </c>
      <c r="E23">
        <v>1</v>
      </c>
      <c r="F23">
        <v>1</v>
      </c>
      <c r="G23" t="s">
        <v>117</v>
      </c>
      <c r="H23" t="s">
        <v>118</v>
      </c>
      <c r="I23" t="b">
        <f>ISNUMBER(MATCH(B23,'[1]Index Composition'!$B$2:$B$51,0))</f>
        <v>1</v>
      </c>
    </row>
    <row r="24" spans="1:9" x14ac:dyDescent="0.25">
      <c r="A24" t="s">
        <v>30</v>
      </c>
      <c r="B24" t="s">
        <v>80</v>
      </c>
      <c r="C24" t="s">
        <v>113</v>
      </c>
      <c r="D24">
        <v>3045506</v>
      </c>
      <c r="E24">
        <v>1</v>
      </c>
      <c r="F24">
        <v>1</v>
      </c>
      <c r="G24" t="s">
        <v>117</v>
      </c>
      <c r="H24" t="s">
        <v>118</v>
      </c>
      <c r="I24" t="b">
        <f>ISNUMBER(MATCH(B24,'[1]Index Composition'!$B$2:$B$51,0))</f>
        <v>1</v>
      </c>
    </row>
    <row r="25" spans="1:9" x14ac:dyDescent="0.25">
      <c r="A25" t="s">
        <v>31</v>
      </c>
      <c r="B25" t="s">
        <v>81</v>
      </c>
      <c r="C25" t="s">
        <v>112</v>
      </c>
      <c r="D25">
        <v>2295633</v>
      </c>
      <c r="E25">
        <v>1</v>
      </c>
      <c r="F25">
        <v>1</v>
      </c>
      <c r="G25" t="s">
        <v>117</v>
      </c>
      <c r="H25" t="s">
        <v>118</v>
      </c>
      <c r="I25" t="b">
        <f>ISNUMBER(MATCH(B25,'[1]Index Composition'!$B$2:$B$51,0))</f>
        <v>1</v>
      </c>
    </row>
    <row r="26" spans="1:9" x14ac:dyDescent="0.25">
      <c r="A26" t="s">
        <v>32</v>
      </c>
      <c r="B26" t="s">
        <v>82</v>
      </c>
      <c r="C26" t="s">
        <v>115</v>
      </c>
      <c r="D26">
        <v>9422765</v>
      </c>
      <c r="E26">
        <v>1</v>
      </c>
      <c r="F26">
        <v>1</v>
      </c>
      <c r="G26" t="s">
        <v>117</v>
      </c>
      <c r="H26" t="s">
        <v>118</v>
      </c>
      <c r="I26" t="b">
        <f>ISNUMBER(MATCH(B26,'[1]Index Composition'!$B$2:$B$51,0))</f>
        <v>1</v>
      </c>
    </row>
    <row r="27" spans="1:9" x14ac:dyDescent="0.25">
      <c r="A27" t="s">
        <v>33</v>
      </c>
      <c r="B27" t="s">
        <v>83</v>
      </c>
      <c r="C27" t="s">
        <v>114</v>
      </c>
      <c r="D27">
        <v>301950</v>
      </c>
      <c r="E27">
        <v>1</v>
      </c>
      <c r="F27">
        <v>1</v>
      </c>
      <c r="G27" t="s">
        <v>117</v>
      </c>
      <c r="H27" t="s">
        <v>119</v>
      </c>
      <c r="I27" t="b">
        <f>ISNUMBER(MATCH(B27,'[1]Index Composition'!$B$2:$B$51,0))</f>
        <v>1</v>
      </c>
    </row>
    <row r="28" spans="1:9" x14ac:dyDescent="0.25">
      <c r="A28" t="s">
        <v>34</v>
      </c>
      <c r="B28" t="s">
        <v>84</v>
      </c>
      <c r="C28" t="s">
        <v>114</v>
      </c>
      <c r="D28">
        <v>199800</v>
      </c>
      <c r="E28">
        <v>1</v>
      </c>
      <c r="F28">
        <v>1</v>
      </c>
      <c r="G28" t="s">
        <v>117</v>
      </c>
      <c r="H28" t="s">
        <v>119</v>
      </c>
      <c r="I28" t="b">
        <f>ISNUMBER(MATCH(B28,'[1]Index Composition'!$B$2:$B$51,0))</f>
        <v>1</v>
      </c>
    </row>
    <row r="29" spans="1:9" x14ac:dyDescent="0.25">
      <c r="A29" t="s">
        <v>35</v>
      </c>
      <c r="B29" t="s">
        <v>85</v>
      </c>
      <c r="C29" t="s">
        <v>109</v>
      </c>
      <c r="D29">
        <v>145008</v>
      </c>
      <c r="E29">
        <v>1</v>
      </c>
      <c r="F29">
        <v>1</v>
      </c>
      <c r="G29" t="s">
        <v>117</v>
      </c>
      <c r="H29" t="s">
        <v>118</v>
      </c>
      <c r="I29" t="b">
        <f>ISNUMBER(MATCH(B29,'[1]Index Composition'!$B$2:$B$51,0))</f>
        <v>1</v>
      </c>
    </row>
    <row r="30" spans="1:9" x14ac:dyDescent="0.25">
      <c r="A30" t="s">
        <v>36</v>
      </c>
      <c r="B30" t="s">
        <v>86</v>
      </c>
      <c r="C30" t="s">
        <v>109</v>
      </c>
      <c r="D30">
        <v>86270</v>
      </c>
      <c r="E30">
        <v>1</v>
      </c>
      <c r="F30">
        <v>1</v>
      </c>
      <c r="G30" t="s">
        <v>117</v>
      </c>
      <c r="H30" t="s">
        <v>118</v>
      </c>
      <c r="I30" t="b">
        <f>ISNUMBER(MATCH(B30,'[1]Index Composition'!$B$2:$B$51,0))</f>
        <v>1</v>
      </c>
    </row>
    <row r="31" spans="1:9" x14ac:dyDescent="0.25">
      <c r="A31" t="s">
        <v>37</v>
      </c>
      <c r="B31" t="s">
        <v>87</v>
      </c>
      <c r="C31" t="s">
        <v>111</v>
      </c>
      <c r="D31">
        <v>97153</v>
      </c>
      <c r="E31">
        <v>1</v>
      </c>
      <c r="F31">
        <v>1</v>
      </c>
      <c r="G31" t="s">
        <v>117</v>
      </c>
      <c r="H31" t="s">
        <v>119</v>
      </c>
      <c r="I31" t="b">
        <f>ISNUMBER(MATCH(B31,'[1]Index Composition'!$B$2:$B$51,0))</f>
        <v>1</v>
      </c>
    </row>
    <row r="32" spans="1:9" x14ac:dyDescent="0.25">
      <c r="A32" t="s">
        <v>38</v>
      </c>
      <c r="B32" t="s">
        <v>88</v>
      </c>
      <c r="C32" t="s">
        <v>111</v>
      </c>
      <c r="D32">
        <v>131161</v>
      </c>
      <c r="E32">
        <v>1</v>
      </c>
      <c r="F32">
        <v>1</v>
      </c>
      <c r="G32" t="s">
        <v>117</v>
      </c>
      <c r="H32" t="s">
        <v>119</v>
      </c>
      <c r="I32" t="b">
        <f>ISNUMBER(MATCH(B32,'[1]Index Composition'!$B$2:$B$51,0))</f>
        <v>1</v>
      </c>
    </row>
    <row r="33" spans="1:9" x14ac:dyDescent="0.25">
      <c r="A33" t="s">
        <v>39</v>
      </c>
      <c r="B33" t="s">
        <v>89</v>
      </c>
      <c r="C33" t="s">
        <v>110</v>
      </c>
      <c r="D33">
        <v>96521</v>
      </c>
      <c r="E33">
        <v>1</v>
      </c>
      <c r="F33">
        <v>1</v>
      </c>
      <c r="G33" t="s">
        <v>117</v>
      </c>
      <c r="H33" t="s">
        <v>118</v>
      </c>
      <c r="I33" t="b">
        <f>ISNUMBER(MATCH(B33,'[1]Index Composition'!$B$2:$B$51,0))</f>
        <v>1</v>
      </c>
    </row>
    <row r="34" spans="1:9" x14ac:dyDescent="0.25">
      <c r="A34" t="s">
        <v>40</v>
      </c>
      <c r="B34" t="s">
        <v>90</v>
      </c>
      <c r="C34" t="s">
        <v>111</v>
      </c>
      <c r="D34">
        <v>350481</v>
      </c>
      <c r="E34">
        <v>1</v>
      </c>
      <c r="F34">
        <v>1</v>
      </c>
      <c r="G34" t="s">
        <v>117</v>
      </c>
      <c r="H34" t="s">
        <v>119</v>
      </c>
      <c r="I34" t="b">
        <f>ISNUMBER(MATCH(B34,'[1]Index Composition'!$B$2:$B$51,0))</f>
        <v>1</v>
      </c>
    </row>
    <row r="35" spans="1:9" x14ac:dyDescent="0.25">
      <c r="A35" t="s">
        <v>41</v>
      </c>
      <c r="B35" t="s">
        <v>91</v>
      </c>
      <c r="C35" t="s">
        <v>112</v>
      </c>
      <c r="D35">
        <v>1016700</v>
      </c>
      <c r="E35">
        <v>1</v>
      </c>
      <c r="F35">
        <v>1</v>
      </c>
      <c r="G35" t="s">
        <v>117</v>
      </c>
      <c r="H35" t="s">
        <v>118</v>
      </c>
      <c r="I35" t="b">
        <f>ISNUMBER(MATCH(B35,'[1]Index Composition'!$B$2:$B$51,0))</f>
        <v>1</v>
      </c>
    </row>
    <row r="36" spans="1:9" x14ac:dyDescent="0.25">
      <c r="A36" t="s">
        <v>42</v>
      </c>
      <c r="B36" t="s">
        <v>92</v>
      </c>
      <c r="C36" t="s">
        <v>112</v>
      </c>
      <c r="D36">
        <v>1573393</v>
      </c>
      <c r="E36">
        <v>1</v>
      </c>
      <c r="F36">
        <v>1</v>
      </c>
      <c r="G36" t="s">
        <v>117</v>
      </c>
      <c r="H36" t="s">
        <v>118</v>
      </c>
      <c r="I36" t="b">
        <f>ISNUMBER(MATCH(B36,'[1]Index Composition'!$B$2:$B$51,0))</f>
        <v>1</v>
      </c>
    </row>
    <row r="37" spans="1:9" x14ac:dyDescent="0.25">
      <c r="A37" t="s">
        <v>43</v>
      </c>
      <c r="B37" t="s">
        <v>93</v>
      </c>
      <c r="C37" t="s">
        <v>110</v>
      </c>
      <c r="D37">
        <v>33657</v>
      </c>
      <c r="E37">
        <v>1</v>
      </c>
      <c r="F37">
        <v>1</v>
      </c>
      <c r="G37" t="s">
        <v>117</v>
      </c>
      <c r="H37" t="s">
        <v>118</v>
      </c>
      <c r="I37" t="b">
        <f>ISNUMBER(MATCH(B37,'[1]Index Composition'!$B$2:$B$51,0))</f>
        <v>1</v>
      </c>
    </row>
    <row r="38" spans="1:9" x14ac:dyDescent="0.25">
      <c r="A38" t="s">
        <v>44</v>
      </c>
      <c r="B38" t="s">
        <v>94</v>
      </c>
      <c r="C38" t="s">
        <v>109</v>
      </c>
      <c r="D38">
        <v>185156</v>
      </c>
      <c r="E38">
        <v>1</v>
      </c>
      <c r="F38">
        <v>1</v>
      </c>
      <c r="G38" t="s">
        <v>117</v>
      </c>
      <c r="H38" t="s">
        <v>118</v>
      </c>
      <c r="I38" t="b">
        <f>ISNUMBER(MATCH(B38,'[1]Index Composition'!$B$2:$B$51,0))</f>
        <v>1</v>
      </c>
    </row>
    <row r="39" spans="1:9" x14ac:dyDescent="0.25">
      <c r="A39" t="s">
        <v>45</v>
      </c>
      <c r="B39" t="s">
        <v>95</v>
      </c>
      <c r="C39" t="s">
        <v>109</v>
      </c>
      <c r="D39">
        <v>644858</v>
      </c>
      <c r="E39">
        <v>1</v>
      </c>
      <c r="F39">
        <v>1</v>
      </c>
      <c r="G39" t="s">
        <v>117</v>
      </c>
      <c r="H39" t="s">
        <v>118</v>
      </c>
      <c r="I39" t="b">
        <f>ISNUMBER(MATCH(B39,'[1]Index Composition'!$B$2:$B$51,0))</f>
        <v>1</v>
      </c>
    </row>
    <row r="40" spans="1:9" x14ac:dyDescent="0.25">
      <c r="A40" t="s">
        <v>46</v>
      </c>
      <c r="B40" t="s">
        <v>96</v>
      </c>
      <c r="C40" t="s">
        <v>110</v>
      </c>
      <c r="D40">
        <v>257697</v>
      </c>
      <c r="E40">
        <v>1</v>
      </c>
      <c r="F40">
        <v>1</v>
      </c>
      <c r="G40" t="s">
        <v>117</v>
      </c>
      <c r="H40" t="s">
        <v>118</v>
      </c>
      <c r="I40" t="b">
        <f>ISNUMBER(MATCH(B40,'[1]Index Composition'!$B$2:$B$51,0))</f>
        <v>1</v>
      </c>
    </row>
    <row r="41" spans="1:9" x14ac:dyDescent="0.25">
      <c r="A41" t="s">
        <v>47</v>
      </c>
      <c r="B41" t="s">
        <v>97</v>
      </c>
      <c r="C41" t="s">
        <v>109</v>
      </c>
      <c r="D41">
        <v>225532</v>
      </c>
      <c r="E41">
        <v>1</v>
      </c>
      <c r="F41">
        <v>1</v>
      </c>
      <c r="G41" t="s">
        <v>117</v>
      </c>
      <c r="H41" t="s">
        <v>118</v>
      </c>
      <c r="I41" t="b">
        <f>ISNUMBER(MATCH(B41,'[1]Index Composition'!$B$2:$B$51,0))</f>
        <v>1</v>
      </c>
    </row>
    <row r="42" spans="1:9" x14ac:dyDescent="0.25">
      <c r="A42" t="s">
        <v>48</v>
      </c>
      <c r="B42" t="s">
        <v>98</v>
      </c>
      <c r="C42" t="s">
        <v>112</v>
      </c>
      <c r="D42">
        <v>1739307</v>
      </c>
      <c r="E42">
        <v>1</v>
      </c>
      <c r="F42">
        <v>1</v>
      </c>
      <c r="G42" t="s">
        <v>117</v>
      </c>
      <c r="H42" t="s">
        <v>118</v>
      </c>
      <c r="I42" t="b">
        <f>ISNUMBER(MATCH(B42,'[1]Index Composition'!$B$2:$B$51,0))</f>
        <v>1</v>
      </c>
    </row>
    <row r="43" spans="1:9" x14ac:dyDescent="0.25">
      <c r="A43" t="s">
        <v>49</v>
      </c>
      <c r="B43" t="s">
        <v>99</v>
      </c>
      <c r="C43" t="s">
        <v>110</v>
      </c>
      <c r="D43">
        <v>225815</v>
      </c>
      <c r="E43">
        <v>1</v>
      </c>
      <c r="F43">
        <v>1</v>
      </c>
      <c r="G43" t="s">
        <v>117</v>
      </c>
      <c r="H43" t="s">
        <v>118</v>
      </c>
      <c r="I43" t="b">
        <f>ISNUMBER(MATCH(B43,'[1]Index Composition'!$B$2:$B$51,0))</f>
        <v>1</v>
      </c>
    </row>
    <row r="44" spans="1:9" x14ac:dyDescent="0.25">
      <c r="A44" t="s">
        <v>50</v>
      </c>
      <c r="B44" t="s">
        <v>100</v>
      </c>
      <c r="C44" t="s">
        <v>110</v>
      </c>
      <c r="D44">
        <v>436728</v>
      </c>
      <c r="E44">
        <v>1</v>
      </c>
      <c r="F44">
        <v>1</v>
      </c>
      <c r="G44" t="s">
        <v>117</v>
      </c>
      <c r="H44" t="s">
        <v>118</v>
      </c>
      <c r="I44" t="b">
        <f>ISNUMBER(MATCH(B44,'[1]Index Composition'!$B$2:$B$51,0))</f>
        <v>1</v>
      </c>
    </row>
    <row r="45" spans="1:9" x14ac:dyDescent="0.25">
      <c r="A45" t="s">
        <v>51</v>
      </c>
      <c r="B45" t="s">
        <v>101</v>
      </c>
      <c r="C45" t="s">
        <v>111</v>
      </c>
      <c r="D45">
        <v>141897</v>
      </c>
      <c r="E45">
        <v>1</v>
      </c>
      <c r="F45">
        <v>1</v>
      </c>
      <c r="G45" t="s">
        <v>117</v>
      </c>
      <c r="H45" t="s">
        <v>119</v>
      </c>
      <c r="I45" t="b">
        <f>ISNUMBER(MATCH(B45,'[1]Index Composition'!$B$2:$B$51,0))</f>
        <v>1</v>
      </c>
    </row>
    <row r="46" spans="1:9" x14ac:dyDescent="0.25">
      <c r="A46" t="s">
        <v>52</v>
      </c>
      <c r="B46" t="s">
        <v>102</v>
      </c>
      <c r="C46" t="s">
        <v>109</v>
      </c>
      <c r="D46">
        <v>965901</v>
      </c>
      <c r="E46">
        <v>1</v>
      </c>
      <c r="F46">
        <v>1</v>
      </c>
      <c r="G46" t="s">
        <v>117</v>
      </c>
      <c r="H46" t="s">
        <v>118</v>
      </c>
      <c r="I46" t="b">
        <f>ISNUMBER(MATCH(B46,'[1]Index Composition'!$B$2:$B$51,0))</f>
        <v>1</v>
      </c>
    </row>
    <row r="47" spans="1:9" x14ac:dyDescent="0.25">
      <c r="A47" t="s">
        <v>53</v>
      </c>
      <c r="B47" t="s">
        <v>103</v>
      </c>
      <c r="C47" t="s">
        <v>115</v>
      </c>
      <c r="D47">
        <v>788998</v>
      </c>
      <c r="E47">
        <v>1</v>
      </c>
      <c r="F47">
        <v>1</v>
      </c>
      <c r="G47" t="s">
        <v>117</v>
      </c>
      <c r="H47" t="s">
        <v>118</v>
      </c>
      <c r="I47" t="b">
        <f>ISNUMBER(MATCH(B47,'[1]Index Composition'!$B$2:$B$51,0))</f>
        <v>1</v>
      </c>
    </row>
    <row r="48" spans="1:9" x14ac:dyDescent="0.25">
      <c r="A48" t="s">
        <v>54</v>
      </c>
      <c r="B48" t="s">
        <v>104</v>
      </c>
      <c r="C48" t="s">
        <v>112</v>
      </c>
      <c r="D48">
        <v>971993</v>
      </c>
      <c r="E48">
        <v>1</v>
      </c>
      <c r="F48">
        <v>1</v>
      </c>
      <c r="G48" t="s">
        <v>117</v>
      </c>
      <c r="H48" t="s">
        <v>118</v>
      </c>
      <c r="I48" t="b">
        <f>ISNUMBER(MATCH(B48,'[1]Index Composition'!$B$2:$B$51,0))</f>
        <v>1</v>
      </c>
    </row>
    <row r="49" spans="1:9" x14ac:dyDescent="0.25">
      <c r="A49" t="s">
        <v>55</v>
      </c>
      <c r="B49" t="s">
        <v>105</v>
      </c>
      <c r="C49" t="s">
        <v>109</v>
      </c>
      <c r="D49">
        <v>450216</v>
      </c>
      <c r="E49">
        <v>1</v>
      </c>
      <c r="F49">
        <v>1</v>
      </c>
      <c r="G49" t="s">
        <v>117</v>
      </c>
      <c r="H49" t="s">
        <v>118</v>
      </c>
      <c r="I49" t="b">
        <f>ISNUMBER(MATCH(B49,'[1]Index Composition'!$B$2:$B$51,0))</f>
        <v>1</v>
      </c>
    </row>
    <row r="50" spans="1:9" x14ac:dyDescent="0.25">
      <c r="A50" t="s">
        <v>56</v>
      </c>
      <c r="B50" t="s">
        <v>106</v>
      </c>
      <c r="C50" t="s">
        <v>114</v>
      </c>
      <c r="D50">
        <v>183469</v>
      </c>
      <c r="E50">
        <v>1</v>
      </c>
      <c r="F50">
        <v>1</v>
      </c>
      <c r="G50" t="s">
        <v>117</v>
      </c>
      <c r="H50" t="s">
        <v>119</v>
      </c>
      <c r="I50" t="b">
        <f>ISNUMBER(MATCH(B50,'[1]Index Composition'!$B$2:$B$51,0))</f>
        <v>1</v>
      </c>
    </row>
    <row r="51" spans="1:9" x14ac:dyDescent="0.25">
      <c r="A51" t="s">
        <v>57</v>
      </c>
      <c r="B51" t="s">
        <v>107</v>
      </c>
      <c r="C51" t="s">
        <v>116</v>
      </c>
      <c r="D51">
        <v>548930</v>
      </c>
      <c r="E51">
        <v>1</v>
      </c>
      <c r="F51">
        <v>1</v>
      </c>
      <c r="G51" t="s">
        <v>117</v>
      </c>
      <c r="H51" t="s">
        <v>119</v>
      </c>
      <c r="I51" t="b">
        <f>ISNUMBER(MATCH(B51,'[1]Index Composition'!$B$2:$B$51,0))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22</v>
      </c>
      <c r="B2" t="s">
        <v>72</v>
      </c>
      <c r="C2" t="s">
        <v>109</v>
      </c>
    </row>
    <row r="3" spans="1:3" x14ac:dyDescent="0.25">
      <c r="A3" t="s">
        <v>33</v>
      </c>
      <c r="B3" t="s">
        <v>83</v>
      </c>
      <c r="C3" t="s">
        <v>114</v>
      </c>
    </row>
    <row r="4" spans="1:3" x14ac:dyDescent="0.25">
      <c r="A4" t="s">
        <v>57</v>
      </c>
      <c r="B4" t="s">
        <v>107</v>
      </c>
      <c r="C4" t="s">
        <v>116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120</v>
      </c>
      <c r="B2" t="s">
        <v>124</v>
      </c>
      <c r="C2" t="s">
        <v>110</v>
      </c>
    </row>
    <row r="3" spans="1:3" x14ac:dyDescent="0.25">
      <c r="A3" t="s">
        <v>121</v>
      </c>
      <c r="B3" t="s">
        <v>125</v>
      </c>
      <c r="C3" t="s">
        <v>112</v>
      </c>
    </row>
    <row r="4" spans="1:3" x14ac:dyDescent="0.25">
      <c r="A4" t="s">
        <v>122</v>
      </c>
      <c r="B4" t="s">
        <v>126</v>
      </c>
      <c r="C4" t="s">
        <v>114</v>
      </c>
    </row>
    <row r="5" spans="1:3" x14ac:dyDescent="0.25">
      <c r="A5" t="s">
        <v>123</v>
      </c>
      <c r="B5" t="s">
        <v>127</v>
      </c>
      <c r="C5" t="s">
        <v>111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2025-12-11T23:27:25Z</dcterms:created>
  <dcterms:modified xsi:type="dcterms:W3CDTF">2025-12-15T10:29:52Z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2025-12-12T13:32:03Z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25162f65-d3af-4466-9b28-4a5b2d939570</vt:lpwstr>
  </property>
  <property fmtid="{D5CDD505-2E9C-101B-9397-08002B2CF9AE}" pid="8" name="MSIP_Label_ac0b9ce6-6e99-42a1-af95-429494370cbc_ContentBits">
    <vt:lpwstr>2</vt:lpwstr>
  </property>
</Properties>
</file>