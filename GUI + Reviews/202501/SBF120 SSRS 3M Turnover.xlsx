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1\5) Equileap FR\"/>
    </mc:Choice>
  </mc:AlternateContent>
  <xr:revisionPtr revIDLastSave="0" documentId="13_ncr:1_{591ED79A-A3BC-4162-BEFD-20EBA58D3391}" xr6:coauthVersionLast="47" xr6:coauthVersionMax="47" xr10:uidLastSave="{00000000-0000-0000-0000-000000000000}"/>
  <bookViews>
    <workbookView xWindow="15345" yWindow="-16335" windowWidth="29040" windowHeight="15840" xr2:uid="{E8C94586-E8C2-4D92-AD70-8282FCCC8603}"/>
  </bookViews>
  <sheets>
    <sheet name="SSR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3" i="3" l="1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F221" i="3"/>
  <c r="G221" i="3"/>
  <c r="F222" i="3"/>
  <c r="G222" i="3"/>
  <c r="F223" i="3"/>
  <c r="G223" i="3"/>
  <c r="F224" i="3"/>
  <c r="G224" i="3"/>
  <c r="F225" i="3"/>
  <c r="G225" i="3"/>
  <c r="F226" i="3"/>
  <c r="G226" i="3"/>
  <c r="F227" i="3"/>
  <c r="G227" i="3"/>
  <c r="F228" i="3"/>
  <c r="G228" i="3"/>
  <c r="F229" i="3"/>
  <c r="G229" i="3"/>
  <c r="F230" i="3"/>
  <c r="G230" i="3"/>
  <c r="F231" i="3"/>
  <c r="G231" i="3"/>
  <c r="F232" i="3"/>
  <c r="G232" i="3"/>
  <c r="F233" i="3"/>
  <c r="G233" i="3"/>
  <c r="F234" i="3"/>
  <c r="G234" i="3"/>
  <c r="F235" i="3"/>
  <c r="G235" i="3"/>
  <c r="F236" i="3"/>
  <c r="G236" i="3"/>
  <c r="F237" i="3"/>
  <c r="G237" i="3"/>
  <c r="F238" i="3"/>
  <c r="G238" i="3"/>
  <c r="F239" i="3"/>
  <c r="G239" i="3"/>
  <c r="F240" i="3"/>
  <c r="G240" i="3"/>
  <c r="F241" i="3"/>
  <c r="G241" i="3"/>
  <c r="F242" i="3"/>
  <c r="G242" i="3"/>
  <c r="F243" i="3"/>
  <c r="G243" i="3"/>
  <c r="F244" i="3"/>
  <c r="G244" i="3"/>
  <c r="F245" i="3"/>
  <c r="G245" i="3"/>
  <c r="F246" i="3"/>
  <c r="G246" i="3"/>
  <c r="F247" i="3"/>
  <c r="G247" i="3"/>
  <c r="F248" i="3"/>
  <c r="G248" i="3"/>
  <c r="F249" i="3"/>
  <c r="G249" i="3"/>
  <c r="F250" i="3"/>
  <c r="G250" i="3"/>
  <c r="F251" i="3"/>
  <c r="G251" i="3"/>
  <c r="F252" i="3"/>
  <c r="G252" i="3"/>
  <c r="F253" i="3"/>
  <c r="G253" i="3"/>
  <c r="F254" i="3"/>
  <c r="G254" i="3"/>
  <c r="F255" i="3"/>
  <c r="G255" i="3"/>
  <c r="F256" i="3"/>
  <c r="G256" i="3"/>
  <c r="F257" i="3"/>
  <c r="G257" i="3"/>
  <c r="F258" i="3"/>
  <c r="G258" i="3"/>
  <c r="F259" i="3"/>
  <c r="G259" i="3"/>
  <c r="F260" i="3"/>
  <c r="G260" i="3"/>
  <c r="F261" i="3"/>
  <c r="G261" i="3"/>
  <c r="F262" i="3"/>
  <c r="G262" i="3"/>
  <c r="F263" i="3"/>
  <c r="G263" i="3"/>
  <c r="F264" i="3"/>
  <c r="G264" i="3"/>
  <c r="F265" i="3"/>
  <c r="G265" i="3"/>
  <c r="F266" i="3"/>
  <c r="G266" i="3"/>
  <c r="F267" i="3"/>
  <c r="G267" i="3"/>
  <c r="F268" i="3"/>
  <c r="G268" i="3"/>
  <c r="F269" i="3"/>
  <c r="G269" i="3"/>
  <c r="F270" i="3"/>
  <c r="G270" i="3"/>
  <c r="F271" i="3"/>
  <c r="G271" i="3"/>
  <c r="F272" i="3"/>
  <c r="G272" i="3"/>
  <c r="F273" i="3"/>
  <c r="G273" i="3"/>
  <c r="F274" i="3"/>
  <c r="G274" i="3"/>
  <c r="F275" i="3"/>
  <c r="G275" i="3"/>
  <c r="F276" i="3"/>
  <c r="G276" i="3"/>
  <c r="F277" i="3"/>
  <c r="G277" i="3"/>
  <c r="F278" i="3"/>
  <c r="G278" i="3"/>
  <c r="F279" i="3"/>
  <c r="G279" i="3"/>
  <c r="F280" i="3"/>
  <c r="G280" i="3"/>
  <c r="F281" i="3"/>
  <c r="G281" i="3"/>
  <c r="F282" i="3"/>
  <c r="G282" i="3"/>
  <c r="F283" i="3"/>
  <c r="G283" i="3"/>
  <c r="F284" i="3"/>
  <c r="G284" i="3"/>
  <c r="F285" i="3"/>
  <c r="G285" i="3"/>
  <c r="F286" i="3"/>
  <c r="G286" i="3"/>
  <c r="F287" i="3"/>
  <c r="G287" i="3"/>
  <c r="F288" i="3"/>
  <c r="G288" i="3"/>
  <c r="F289" i="3"/>
  <c r="G289" i="3"/>
  <c r="F290" i="3"/>
  <c r="G290" i="3"/>
  <c r="F291" i="3"/>
  <c r="G291" i="3"/>
  <c r="F292" i="3"/>
  <c r="G292" i="3"/>
  <c r="F293" i="3"/>
  <c r="G293" i="3"/>
  <c r="F294" i="3"/>
  <c r="G294" i="3"/>
  <c r="F295" i="3"/>
  <c r="G295" i="3"/>
  <c r="F296" i="3"/>
  <c r="G296" i="3"/>
  <c r="F297" i="3"/>
  <c r="G297" i="3"/>
  <c r="F122" i="3"/>
  <c r="G122" i="3"/>
  <c r="B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3" i="3"/>
</calcChain>
</file>

<file path=xl/sharedStrings.xml><?xml version="1.0" encoding="utf-8"?>
<sst xmlns="http://schemas.openxmlformats.org/spreadsheetml/2006/main" count="1257" uniqueCount="279">
  <si>
    <t>Name</t>
  </si>
  <si>
    <t>MIC</t>
  </si>
  <si>
    <t>BE0003470755</t>
  </si>
  <si>
    <t>SOLVAY</t>
  </si>
  <si>
    <t>XBRU</t>
  </si>
  <si>
    <t>AIR FRANCE -KLM</t>
  </si>
  <si>
    <t>XPAR</t>
  </si>
  <si>
    <t>FR0000031577</t>
  </si>
  <si>
    <t>VIRBAC</t>
  </si>
  <si>
    <t>FR0000035081</t>
  </si>
  <si>
    <t>ICADE</t>
  </si>
  <si>
    <t>FR0000039299</t>
  </si>
  <si>
    <t>BOLLORE</t>
  </si>
  <si>
    <t>FR0000044448</t>
  </si>
  <si>
    <t>NEXANS</t>
  </si>
  <si>
    <t>FR0000045072</t>
  </si>
  <si>
    <t>CREDIT AGRICOLE</t>
  </si>
  <si>
    <t>FR0000050809</t>
  </si>
  <si>
    <t>SOPRA STERIA GROUP</t>
  </si>
  <si>
    <t>FR0000051732</t>
  </si>
  <si>
    <t>ATOS</t>
  </si>
  <si>
    <t>FR0000051807</t>
  </si>
  <si>
    <t>TELEPERFORMANCE</t>
  </si>
  <si>
    <t>FR0000052292</t>
  </si>
  <si>
    <t>HERMES INTL</t>
  </si>
  <si>
    <t>FR0000053225</t>
  </si>
  <si>
    <t>METROPOLE TV</t>
  </si>
  <si>
    <t>FR0000053381</t>
  </si>
  <si>
    <t>DERICHEBOURG</t>
  </si>
  <si>
    <t>FR0000054470</t>
  </si>
  <si>
    <t>UBISOFT ENTERTAIN</t>
  </si>
  <si>
    <t>FR0000054900</t>
  </si>
  <si>
    <t>TF1</t>
  </si>
  <si>
    <t>FR0000064578</t>
  </si>
  <si>
    <t>COVIVIO</t>
  </si>
  <si>
    <t>FR0000071946</t>
  </si>
  <si>
    <t>ALTEN</t>
  </si>
  <si>
    <t>FR0000073272</t>
  </si>
  <si>
    <t>SAFRAN</t>
  </si>
  <si>
    <t>FR0000073298</t>
  </si>
  <si>
    <t>IPSOS</t>
  </si>
  <si>
    <t>FR0000077919</t>
  </si>
  <si>
    <t>JCDECAUX</t>
  </si>
  <si>
    <t>FR0000120073</t>
  </si>
  <si>
    <t>AIR LIQUIDE</t>
  </si>
  <si>
    <t>FR0000120172</t>
  </si>
  <si>
    <t>CARREFOUR</t>
  </si>
  <si>
    <t>FR0000120271</t>
  </si>
  <si>
    <t>TOTALENERGIES</t>
  </si>
  <si>
    <t>FR0000120321</t>
  </si>
  <si>
    <t>FR0000120404</t>
  </si>
  <si>
    <t>ACCOR</t>
  </si>
  <si>
    <t>FR0000120503</t>
  </si>
  <si>
    <t>BOUYGUES</t>
  </si>
  <si>
    <t>FR0000120578</t>
  </si>
  <si>
    <t>SANOFI</t>
  </si>
  <si>
    <t>FR0000120628</t>
  </si>
  <si>
    <t>AXA</t>
  </si>
  <si>
    <t>FR0000120644</t>
  </si>
  <si>
    <t>DANONE</t>
  </si>
  <si>
    <t>FR0000120693</t>
  </si>
  <si>
    <t>PERNOD RICARD</t>
  </si>
  <si>
    <t>FR0000120859</t>
  </si>
  <si>
    <t>IMERYS</t>
  </si>
  <si>
    <t>FR0000120966</t>
  </si>
  <si>
    <t>BIC</t>
  </si>
  <si>
    <t>FR0000121014</t>
  </si>
  <si>
    <t>LVMH</t>
  </si>
  <si>
    <t>FR0000121121</t>
  </si>
  <si>
    <t>EURAZEO</t>
  </si>
  <si>
    <t>FR0000121147</t>
  </si>
  <si>
    <t>FR0000121204</t>
  </si>
  <si>
    <t>WENDEL</t>
  </si>
  <si>
    <t>FR0000121220</t>
  </si>
  <si>
    <t>SODEXO</t>
  </si>
  <si>
    <t>FR0000121329</t>
  </si>
  <si>
    <t>THALES</t>
  </si>
  <si>
    <t>FR0000121485</t>
  </si>
  <si>
    <t>KERING</t>
  </si>
  <si>
    <t>FR0000121667</t>
  </si>
  <si>
    <t>ESSILORLUXOTTICA</t>
  </si>
  <si>
    <t>FR0000121709</t>
  </si>
  <si>
    <t>S.E.B.</t>
  </si>
  <si>
    <t>FR0000121964</t>
  </si>
  <si>
    <t>KLEPIERRE</t>
  </si>
  <si>
    <t>FR0000121972</t>
  </si>
  <si>
    <t>SCHNEIDER ELECTRIC</t>
  </si>
  <si>
    <t>FR0000124141</t>
  </si>
  <si>
    <t>VEOLIA ENVIRON.</t>
  </si>
  <si>
    <t>FR0000124570</t>
  </si>
  <si>
    <t>FR0000125007</t>
  </si>
  <si>
    <t>SAINT GOBAIN</t>
  </si>
  <si>
    <t>FR0000125338</t>
  </si>
  <si>
    <t>CAPGEMINI</t>
  </si>
  <si>
    <t>FR0000125486</t>
  </si>
  <si>
    <t>VINCI</t>
  </si>
  <si>
    <t>FR0000127771</t>
  </si>
  <si>
    <t>VIVENDI SE</t>
  </si>
  <si>
    <t>FR0000130395</t>
  </si>
  <si>
    <t>REMY COINTREAU</t>
  </si>
  <si>
    <t>FR0000130452</t>
  </si>
  <si>
    <t>EIFFAGE</t>
  </si>
  <si>
    <t>FR0000130577</t>
  </si>
  <si>
    <t>PUBLICIS GROUPE SA</t>
  </si>
  <si>
    <t>FR0000130809</t>
  </si>
  <si>
    <t>SOCIETE GENERALE</t>
  </si>
  <si>
    <t>FR0000131104</t>
  </si>
  <si>
    <t>BNP PARIBAS ACT.A</t>
  </si>
  <si>
    <t>FR0000131757</t>
  </si>
  <si>
    <t>ERAMET</t>
  </si>
  <si>
    <t>FR0000131906</t>
  </si>
  <si>
    <t>RENAULT</t>
  </si>
  <si>
    <t>FR0000133308</t>
  </si>
  <si>
    <t>ORANGE</t>
  </si>
  <si>
    <t>FR0004024222</t>
  </si>
  <si>
    <t>INTERPARFUMS</t>
  </si>
  <si>
    <t>FR0004056851</t>
  </si>
  <si>
    <t>VALNEVA</t>
  </si>
  <si>
    <t>FR0004125920</t>
  </si>
  <si>
    <t>AMUNDI</t>
  </si>
  <si>
    <t>FR0005691656</t>
  </si>
  <si>
    <t>TRIGANO</t>
  </si>
  <si>
    <t>FR0006174348</t>
  </si>
  <si>
    <t>BUREAU VERITAS</t>
  </si>
  <si>
    <t>FR0010040865</t>
  </si>
  <si>
    <t>GECINA</t>
  </si>
  <si>
    <t>FR0010112524</t>
  </si>
  <si>
    <t>NEXITY</t>
  </si>
  <si>
    <t>FR0010208488</t>
  </si>
  <si>
    <t>ENGIE</t>
  </si>
  <si>
    <t>FR0010220475</t>
  </si>
  <si>
    <t>ALSTOM</t>
  </si>
  <si>
    <t>FR0010241638</t>
  </si>
  <si>
    <t>MERCIALYS</t>
  </si>
  <si>
    <t>FR0010259150</t>
  </si>
  <si>
    <t>IPSEN</t>
  </si>
  <si>
    <t>FR0010282822</t>
  </si>
  <si>
    <t>FR0010307819</t>
  </si>
  <si>
    <t>LEGRAND</t>
  </si>
  <si>
    <t>FR0010313833</t>
  </si>
  <si>
    <t>ARKEMA</t>
  </si>
  <si>
    <t>FR0010340141</t>
  </si>
  <si>
    <t>ADP</t>
  </si>
  <si>
    <t>FR0010386334</t>
  </si>
  <si>
    <t>FR0010411983</t>
  </si>
  <si>
    <t>SCOR SE</t>
  </si>
  <si>
    <t>FR0010451203</t>
  </si>
  <si>
    <t>REXEL</t>
  </si>
  <si>
    <t>FR0010533075</t>
  </si>
  <si>
    <t>GETLINK SE</t>
  </si>
  <si>
    <t>FR0010667147</t>
  </si>
  <si>
    <t>COFACE</t>
  </si>
  <si>
    <t>FR0010828137</t>
  </si>
  <si>
    <t>CARMILA</t>
  </si>
  <si>
    <t>FR0010908533</t>
  </si>
  <si>
    <t>EDENRED</t>
  </si>
  <si>
    <t>FR0011675362</t>
  </si>
  <si>
    <t>NEOEN</t>
  </si>
  <si>
    <t>FR0011726835</t>
  </si>
  <si>
    <t>GTT</t>
  </si>
  <si>
    <t>FR0011950732</t>
  </si>
  <si>
    <t>ELIOR GROUP</t>
  </si>
  <si>
    <t>FR0011981968</t>
  </si>
  <si>
    <t>WORLDLINE</t>
  </si>
  <si>
    <t>FR0012435121</t>
  </si>
  <si>
    <t>ELIS</t>
  </si>
  <si>
    <t>FR0012757854</t>
  </si>
  <si>
    <t>SPIE</t>
  </si>
  <si>
    <t>FR0013154002</t>
  </si>
  <si>
    <t>SARTORIUS STED BIO</t>
  </si>
  <si>
    <t>FR0013176526</t>
  </si>
  <si>
    <t>VALEO</t>
  </si>
  <si>
    <t>FR0013227113</t>
  </si>
  <si>
    <t>SOITEC</t>
  </si>
  <si>
    <t>FR0013258662</t>
  </si>
  <si>
    <t>FR0013269123</t>
  </si>
  <si>
    <t>RUBIS</t>
  </si>
  <si>
    <t>FR0013280286</t>
  </si>
  <si>
    <t>BIOMERIEUX</t>
  </si>
  <si>
    <t>FR0013326246</t>
  </si>
  <si>
    <t>UNIBAIL-RODAMCO-WE</t>
  </si>
  <si>
    <t>XAMS</t>
  </si>
  <si>
    <t>FR0013447729</t>
  </si>
  <si>
    <t>VERALLIA</t>
  </si>
  <si>
    <t>FR0013451333</t>
  </si>
  <si>
    <t>FDJ</t>
  </si>
  <si>
    <t>FR0013506730</t>
  </si>
  <si>
    <t>VALLOUREC</t>
  </si>
  <si>
    <t>FR0014000MR3</t>
  </si>
  <si>
    <t>EUROFINS SCIENT.</t>
  </si>
  <si>
    <t>FR0014003TT8</t>
  </si>
  <si>
    <t>DASSAULT SYSTEMES</t>
  </si>
  <si>
    <t>FR0014004L86</t>
  </si>
  <si>
    <t>DASSAULT AVIATION</t>
  </si>
  <si>
    <t>FR001400AJ45</t>
  </si>
  <si>
    <t>MICHELIN</t>
  </si>
  <si>
    <t>LU0088087324</t>
  </si>
  <si>
    <t>SES</t>
  </si>
  <si>
    <t>LU0569974404</t>
  </si>
  <si>
    <t>APERAM</t>
  </si>
  <si>
    <t>LU1598757687</t>
  </si>
  <si>
    <t>ARCELORMITTAL SA</t>
  </si>
  <si>
    <t>NL0000226223</t>
  </si>
  <si>
    <t>STMICROELECTRONICS</t>
  </si>
  <si>
    <t>NL0000235190</t>
  </si>
  <si>
    <t>AIRBUS</t>
  </si>
  <si>
    <t>NL0006294274</t>
  </si>
  <si>
    <t>EURONEXT</t>
  </si>
  <si>
    <t>NL0014559478</t>
  </si>
  <si>
    <t>TECHNIP ENERGIES</t>
  </si>
  <si>
    <t>NL00150001Q9</t>
  </si>
  <si>
    <t>STELLANTIS NV</t>
  </si>
  <si>
    <t>Turnover</t>
  </si>
  <si>
    <t>ISINMIC</t>
  </si>
  <si>
    <t/>
  </si>
  <si>
    <t>FR001400J770</t>
  </si>
  <si>
    <t>FR0010481960</t>
  </si>
  <si>
    <t>FR0000035164</t>
  </si>
  <si>
    <t>FR0010929125</t>
  </si>
  <si>
    <t>FR0000039620</t>
  </si>
  <si>
    <t>ID LOGISTICS GROUP</t>
  </si>
  <si>
    <t>ARGAN</t>
  </si>
  <si>
    <t>CLARIANE</t>
  </si>
  <si>
    <t>FORVIA</t>
  </si>
  <si>
    <t>L'OREAL</t>
  </si>
  <si>
    <t>MERSEN</t>
  </si>
  <si>
    <t>BENETEAU</t>
  </si>
  <si>
    <t>Turnover in euro</t>
  </si>
  <si>
    <t>ISIN</t>
  </si>
  <si>
    <t>BDM code</t>
  </si>
  <si>
    <t>Market place</t>
  </si>
  <si>
    <t>Brussels</t>
  </si>
  <si>
    <t>Paris</t>
  </si>
  <si>
    <t>Amsterdam</t>
  </si>
  <si>
    <t>FR001400NLM4</t>
  </si>
  <si>
    <t>FR0000120669</t>
  </si>
  <si>
    <t>FR0000051070</t>
  </si>
  <si>
    <t>FR0004065605</t>
  </si>
  <si>
    <t>FR001400PFU4</t>
  </si>
  <si>
    <t>NL0015001W49</t>
  </si>
  <si>
    <t>FR0000039091</t>
  </si>
  <si>
    <t>FR0000031775</t>
  </si>
  <si>
    <t>FR001400PVN6</t>
  </si>
  <si>
    <t>ETLX</t>
  </si>
  <si>
    <t>Milan</t>
  </si>
  <si>
    <t>MTAH</t>
  </si>
  <si>
    <t>VICAT</t>
  </si>
  <si>
    <t>ROBERTET</t>
  </si>
  <si>
    <t>BGEM</t>
  </si>
  <si>
    <t>MAUREL ET PROM</t>
  </si>
  <si>
    <t>HERMES INTERN</t>
  </si>
  <si>
    <t>UBISOFT ENTERT</t>
  </si>
  <si>
    <t>COVIVIO REIT</t>
  </si>
  <si>
    <t>L'AIR LIQUIDE</t>
  </si>
  <si>
    <t>ESSO</t>
  </si>
  <si>
    <t>KLEPIERRE REIT</t>
  </si>
  <si>
    <t>VEOLIA ENVIRON</t>
  </si>
  <si>
    <t>OPMOBILITY</t>
  </si>
  <si>
    <t>SAINT-GOBAIN</t>
  </si>
  <si>
    <t>VIVENDI</t>
  </si>
  <si>
    <t>PUBLICIS GROUPE</t>
  </si>
  <si>
    <t>BNP PARIBAS</t>
  </si>
  <si>
    <t>MEDINCELL</t>
  </si>
  <si>
    <t>VusionGroup</t>
  </si>
  <si>
    <t>SCOR</t>
  </si>
  <si>
    <t>SARTORIUS STEDIM B</t>
  </si>
  <si>
    <t>AYVENS</t>
  </si>
  <si>
    <t>WFD UNIBAIL-RODAMC</t>
  </si>
  <si>
    <t>EUROFINS SCIENT</t>
  </si>
  <si>
    <t>AIR FRANCE-KLM</t>
  </si>
  <si>
    <t>EMEIS</t>
  </si>
  <si>
    <t>PLANISWARE</t>
  </si>
  <si>
    <t>VIRIDIEN</t>
  </si>
  <si>
    <t>ARCELORMITTAL</t>
  </si>
  <si>
    <t>MTAA</t>
  </si>
  <si>
    <t>XLIS</t>
  </si>
  <si>
    <t>Lisbon</t>
  </si>
  <si>
    <t>STELLANTIS</t>
  </si>
  <si>
    <t>PLUXEE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</si>
</sst>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rgb="FF00000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">
    <xf numFmtId="0" fontId="0" fillId="0" borderId="0" xfId="0"/>
  </cellXfs>
  <cellStyles count="4">
    <cellStyle name="Comma 2" xfId="2" xr:uid="{7ED6D0F5-70E2-4BBB-B111-36ECB8D5E1FD}"/>
    <cellStyle name="Normal" xfId="0" builtinId="0"/>
    <cellStyle name="Normal 2" xfId="1" xr:uid="{5E6C4BEA-84EA-4B1F-ADA1-595CA313CC74}"/>
    <cellStyle name="Normal 2 2" xfId="3" xr:uid="{48E6AB5A-62E2-44A9-BDC9-D40421BF4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D0B6-3D4D-495C-8993-95FD049D2906}">
  <dimension ref="A1:BU297"/>
  <sheetViews>
    <sheetView tabSelected="1" topLeftCell="A277" workbookViewId="0">
      <selection activeCell="J288" sqref="J288"/>
    </sheetView>
  </sheetViews>
  <sheetFormatPr defaultRowHeight="15" x14ac:dyDescent="0.25"/>
  <cols>
    <col min="1" max="1" width="15.85546875" bestFit="1" customWidth="1"/>
    <col min="2" max="2" width="51" bestFit="1" customWidth="1"/>
    <col min="4" max="4" width="5.7109375" bestFit="1" customWidth="1"/>
    <col min="5" max="5" width="18.140625" bestFit="1" customWidth="1"/>
    <col min="6" max="7" width="18.140625" customWidth="1"/>
    <col min="8" max="8" width="10.140625" bestFit="1" customWidth="1"/>
    <col min="10" max="10" width="20.7109375" customWidth="1"/>
  </cols>
  <sheetData>
    <row r="1" spans="1:73" x14ac:dyDescent="0.25">
      <c r="A1" t="s">
        <v>227</v>
      </c>
      <c r="B1" t="str">
        <f>_xlfn.TEXTJOIN(",",TRUE,A3:A122)</f>
        <v>BE0003470755,BE0003470755,BE0003470755,FR0000031577,FR0000031577,FR0000031775,FR0000035081,FR0000035081,FR0000035164,FR0000035164,FR0000039091,FR0000039299,FR0000039299,FR0000039620,FR0000039620,FR0000044448,FR0000044448,FR0000045072,FR0000045072,FR0000045072,FR0000045072,FR0000050809,FR0000050809,FR0000051070,FR0000051732,FR0000051732,FR0000051807,FR0000051807,FR0000051807,FR0000052292,FR0000052292,FR0000052292,FR0000053225,FR0000053225,FR0000053381,FR0000053381,FR0000054470,FR0000054470,FR0000054470,FR0000054900,FR0000054900,FR0000064578,FR0000064578,FR0000064578,FR0000071946,FR0000071946,FR0000073272,FR0000073272,FR0000073272,FR0000073298,FR0000073298,FR0000077919,FR0000077919,FR0000120073,FR0000120073,FR0000120073,FR0000120172,FR0000120172,FR0000120172,FR0000120271,FR0000120271,FR0000120271,FR0000120321,FR0000120321,FR0000120321,FR0000120404,FR0000120404,FR0000120404,FR0000120503,FR0000120503,FR0000120503,FR0000120578,FR0000120578,FR0000120578,FR0000120578,FR0000120628,FR0000120628,FR0000120628,FR0000120628,FR0000120644,FR0000120644,FR0000120644,FR0000120669,FR0000120693,FR0000120693,FR0000120693,FR0000120859,FR0000120859,FR0000120966,FR0000120966,FR0000121014,FR0000121014,FR0000121014,FR0000121014,FR0000121121,FR0000121121,FR0000121147,FR0000121147,FR0000121147,FR0000121147,FR0000121204,FR0000121204,FR0000121220,FR0000121220,FR0000121220,FR0000121329,FR0000121329,FR0000121329,FR0000121485,FR0000121485,FR0000121485,FR0000121485,FR0000121667,FR0000121667,FR0000121667,FR0000121667,FR0000121709,FR0000121709,FR0000121964,FR0000121964</v>
      </c>
      <c r="C1" t="s">
        <v>214</v>
      </c>
      <c r="D1" t="s">
        <v>214</v>
      </c>
      <c r="E1" t="s">
        <v>214</v>
      </c>
      <c r="H1" t="s">
        <v>214</v>
      </c>
      <c r="I1" t="s">
        <v>214</v>
      </c>
      <c r="J1" t="s">
        <v>214</v>
      </c>
      <c r="K1" t="s">
        <v>214</v>
      </c>
      <c r="L1" t="s">
        <v>214</v>
      </c>
      <c r="M1" t="s">
        <v>214</v>
      </c>
      <c r="N1" t="s">
        <v>214</v>
      </c>
      <c r="O1" t="s">
        <v>214</v>
      </c>
      <c r="P1" t="s">
        <v>214</v>
      </c>
      <c r="Q1" t="s">
        <v>214</v>
      </c>
      <c r="R1" t="s">
        <v>214</v>
      </c>
      <c r="S1" t="s">
        <v>214</v>
      </c>
      <c r="T1" t="s">
        <v>214</v>
      </c>
      <c r="U1" t="s">
        <v>214</v>
      </c>
      <c r="V1" t="s">
        <v>214</v>
      </c>
      <c r="W1" t="s">
        <v>214</v>
      </c>
      <c r="X1" t="s">
        <v>214</v>
      </c>
      <c r="Y1" t="s">
        <v>214</v>
      </c>
      <c r="Z1" t="s">
        <v>214</v>
      </c>
      <c r="AA1" t="s">
        <v>214</v>
      </c>
      <c r="AB1" t="s">
        <v>214</v>
      </c>
      <c r="AC1" t="s">
        <v>214</v>
      </c>
      <c r="AD1" t="s">
        <v>214</v>
      </c>
      <c r="AE1" t="s">
        <v>214</v>
      </c>
      <c r="AF1" t="s">
        <v>214</v>
      </c>
      <c r="AG1" t="s">
        <v>214</v>
      </c>
      <c r="AH1" t="s">
        <v>214</v>
      </c>
      <c r="AI1" t="s">
        <v>214</v>
      </c>
      <c r="AJ1" t="s">
        <v>214</v>
      </c>
      <c r="AK1" t="s">
        <v>214</v>
      </c>
      <c r="AL1" t="s">
        <v>214</v>
      </c>
      <c r="AM1" t="s">
        <v>214</v>
      </c>
      <c r="AN1" t="s">
        <v>214</v>
      </c>
      <c r="AO1" t="s">
        <v>214</v>
      </c>
      <c r="AP1" t="s">
        <v>214</v>
      </c>
      <c r="AQ1" t="s">
        <v>214</v>
      </c>
      <c r="AR1" t="s">
        <v>214</v>
      </c>
      <c r="AS1" t="s">
        <v>214</v>
      </c>
      <c r="AT1" t="s">
        <v>214</v>
      </c>
      <c r="AU1" t="s">
        <v>214</v>
      </c>
      <c r="AV1" t="s">
        <v>214</v>
      </c>
      <c r="AW1" t="s">
        <v>214</v>
      </c>
      <c r="AX1" t="s">
        <v>214</v>
      </c>
      <c r="AY1" t="s">
        <v>214</v>
      </c>
      <c r="AZ1" t="s">
        <v>214</v>
      </c>
      <c r="BA1" t="s">
        <v>214</v>
      </c>
      <c r="BB1" t="s">
        <v>214</v>
      </c>
      <c r="BC1" t="s">
        <v>214</v>
      </c>
      <c r="BD1" t="s">
        <v>214</v>
      </c>
      <c r="BE1" t="s">
        <v>214</v>
      </c>
      <c r="BF1" t="s">
        <v>214</v>
      </c>
      <c r="BG1" t="s">
        <v>214</v>
      </c>
      <c r="BH1" t="s">
        <v>214</v>
      </c>
      <c r="BI1" t="s">
        <v>214</v>
      </c>
      <c r="BJ1" t="s">
        <v>214</v>
      </c>
      <c r="BK1" t="s">
        <v>214</v>
      </c>
      <c r="BL1" t="s">
        <v>214</v>
      </c>
      <c r="BM1" t="s">
        <v>214</v>
      </c>
      <c r="BN1" t="s">
        <v>214</v>
      </c>
      <c r="BO1" t="s">
        <v>214</v>
      </c>
      <c r="BP1" t="s">
        <v>214</v>
      </c>
      <c r="BQ1" t="s">
        <v>214</v>
      </c>
      <c r="BR1" t="s">
        <v>214</v>
      </c>
      <c r="BS1" t="s">
        <v>214</v>
      </c>
      <c r="BT1" t="s">
        <v>214</v>
      </c>
      <c r="BU1" t="s">
        <v>214</v>
      </c>
    </row>
    <row r="2" spans="1:73" x14ac:dyDescent="0.25">
      <c r="A2" t="s">
        <v>228</v>
      </c>
      <c r="B2" t="s">
        <v>0</v>
      </c>
      <c r="C2" t="s">
        <v>229</v>
      </c>
      <c r="D2" t="s">
        <v>1</v>
      </c>
      <c r="E2" t="s">
        <v>230</v>
      </c>
      <c r="F2" t="s">
        <v>213</v>
      </c>
      <c r="G2" t="s">
        <v>212</v>
      </c>
      <c r="H2">
        <v>45568</v>
      </c>
      <c r="I2">
        <v>45569</v>
      </c>
      <c r="J2">
        <v>45572</v>
      </c>
      <c r="K2">
        <v>45573</v>
      </c>
      <c r="L2">
        <v>45574</v>
      </c>
      <c r="M2">
        <v>45575</v>
      </c>
      <c r="N2">
        <v>45576</v>
      </c>
      <c r="O2">
        <v>45579</v>
      </c>
      <c r="P2">
        <v>45580</v>
      </c>
      <c r="Q2">
        <v>45581</v>
      </c>
      <c r="R2">
        <v>45582</v>
      </c>
      <c r="S2">
        <v>45583</v>
      </c>
      <c r="T2">
        <v>45586</v>
      </c>
      <c r="U2">
        <v>45587</v>
      </c>
      <c r="V2">
        <v>45588</v>
      </c>
      <c r="W2">
        <v>45589</v>
      </c>
      <c r="X2">
        <v>45590</v>
      </c>
      <c r="Y2">
        <v>45593</v>
      </c>
      <c r="Z2">
        <v>45594</v>
      </c>
      <c r="AA2">
        <v>45595</v>
      </c>
      <c r="AB2">
        <v>45596</v>
      </c>
      <c r="AC2">
        <v>45597</v>
      </c>
      <c r="AD2">
        <v>45600</v>
      </c>
      <c r="AE2">
        <v>45601</v>
      </c>
      <c r="AF2">
        <v>45602</v>
      </c>
      <c r="AG2">
        <v>45603</v>
      </c>
      <c r="AH2">
        <v>45604</v>
      </c>
      <c r="AI2">
        <v>45607</v>
      </c>
      <c r="AJ2">
        <v>45608</v>
      </c>
      <c r="AK2">
        <v>45609</v>
      </c>
      <c r="AL2">
        <v>45610</v>
      </c>
      <c r="AM2">
        <v>45611</v>
      </c>
      <c r="AN2">
        <v>45614</v>
      </c>
      <c r="AO2">
        <v>45615</v>
      </c>
      <c r="AP2">
        <v>45616</v>
      </c>
      <c r="AQ2">
        <v>45617</v>
      </c>
      <c r="AR2">
        <v>45618</v>
      </c>
      <c r="AS2">
        <v>45621</v>
      </c>
      <c r="AT2">
        <v>45622</v>
      </c>
      <c r="AU2">
        <v>45623</v>
      </c>
      <c r="AV2">
        <v>45624</v>
      </c>
      <c r="AW2">
        <v>45625</v>
      </c>
      <c r="AX2">
        <v>45628</v>
      </c>
      <c r="AY2">
        <v>45629</v>
      </c>
      <c r="AZ2">
        <v>45630</v>
      </c>
      <c r="BA2">
        <v>45631</v>
      </c>
      <c r="BB2">
        <v>45632</v>
      </c>
      <c r="BC2">
        <v>45635</v>
      </c>
      <c r="BD2">
        <v>45636</v>
      </c>
      <c r="BE2">
        <v>45637</v>
      </c>
      <c r="BF2">
        <v>45638</v>
      </c>
      <c r="BG2">
        <v>45639</v>
      </c>
      <c r="BH2">
        <v>45642</v>
      </c>
      <c r="BI2">
        <v>45643</v>
      </c>
      <c r="BJ2">
        <v>45644</v>
      </c>
      <c r="BK2">
        <v>45645</v>
      </c>
      <c r="BL2">
        <v>45646</v>
      </c>
      <c r="BM2">
        <v>45649</v>
      </c>
      <c r="BN2">
        <v>45650</v>
      </c>
      <c r="BO2">
        <v>45653</v>
      </c>
      <c r="BP2">
        <v>45656</v>
      </c>
      <c r="BQ2">
        <v>45657</v>
      </c>
      <c r="BR2">
        <v>45659</v>
      </c>
      <c r="BS2">
        <v>45660</v>
      </c>
      <c r="BT2">
        <v>45295</v>
      </c>
      <c r="BU2">
        <v>45296</v>
      </c>
    </row>
    <row r="3" spans="1:73" x14ac:dyDescent="0.25">
      <c r="A3" t="s">
        <v>2</v>
      </c>
      <c r="B3" t="s">
        <v>3</v>
      </c>
      <c r="C3">
        <v>60119</v>
      </c>
      <c r="D3" t="s">
        <v>4</v>
      </c>
      <c r="E3" t="s">
        <v>231</v>
      </c>
      <c r="F3" t="str">
        <f>A3&amp;D3</f>
        <v>BE0003470755XBRU</v>
      </c>
      <c r="G3">
        <f>AVERAGE(H3:BU3)</f>
        <v>6474290.4877272714</v>
      </c>
      <c r="H3">
        <v>8972362.9800000004</v>
      </c>
      <c r="I3">
        <v>11138093.550000001</v>
      </c>
      <c r="J3">
        <v>5952399.9900000002</v>
      </c>
      <c r="K3">
        <v>5218516.42</v>
      </c>
      <c r="L3">
        <v>4464576.0199999996</v>
      </c>
      <c r="M3">
        <v>4718381.99</v>
      </c>
      <c r="N3">
        <v>4076306.09</v>
      </c>
      <c r="O3">
        <v>8155356.8799999999</v>
      </c>
      <c r="P3">
        <v>11126491.58</v>
      </c>
      <c r="Q3">
        <v>13721344.01</v>
      </c>
      <c r="R3">
        <v>12996198.76</v>
      </c>
      <c r="S3">
        <v>11159124.83</v>
      </c>
      <c r="T3">
        <v>6869568.9100000001</v>
      </c>
      <c r="U3">
        <v>8563066.9499999993</v>
      </c>
      <c r="V3">
        <v>8197775.5</v>
      </c>
      <c r="W3">
        <v>4568897.2699999996</v>
      </c>
      <c r="X3">
        <v>6322423.0599999996</v>
      </c>
      <c r="Y3">
        <v>5977299.2699999996</v>
      </c>
      <c r="Z3">
        <v>8163903.0700000003</v>
      </c>
      <c r="AA3">
        <v>14756717.75</v>
      </c>
      <c r="AB3">
        <v>10400514.060000001</v>
      </c>
      <c r="AC3">
        <v>3017616.77</v>
      </c>
      <c r="AD3">
        <v>3098060.98</v>
      </c>
      <c r="AE3">
        <v>7552107.54</v>
      </c>
      <c r="AF3">
        <v>16868131.109999999</v>
      </c>
      <c r="AG3">
        <v>12910131.390000001</v>
      </c>
      <c r="AH3">
        <v>13076543.75</v>
      </c>
      <c r="AI3">
        <v>7757932.4100000001</v>
      </c>
      <c r="AJ3">
        <v>9104111.75</v>
      </c>
      <c r="AK3">
        <v>6595301.3700000001</v>
      </c>
      <c r="AL3">
        <v>6087819.5700000003</v>
      </c>
      <c r="AM3">
        <v>4210733.07</v>
      </c>
      <c r="AN3">
        <v>3045281.42</v>
      </c>
      <c r="AO3">
        <v>5049366.03</v>
      </c>
      <c r="AP3">
        <v>4552192.87</v>
      </c>
      <c r="AQ3">
        <v>6262793.5599999996</v>
      </c>
      <c r="AR3">
        <v>4300354.96</v>
      </c>
      <c r="AS3">
        <v>7406918.9699999997</v>
      </c>
      <c r="AT3">
        <v>5872736.6200000001</v>
      </c>
      <c r="AU3">
        <v>6927709.2000000002</v>
      </c>
      <c r="AV3">
        <v>3966453.53</v>
      </c>
      <c r="AW3">
        <v>4858366.5999999996</v>
      </c>
      <c r="AX3">
        <v>5774656.7300000004</v>
      </c>
      <c r="AY3">
        <v>8002590.1600000001</v>
      </c>
      <c r="AZ3">
        <v>3699863.27</v>
      </c>
      <c r="BA3">
        <v>4706507.34</v>
      </c>
      <c r="BB3">
        <v>2085052.47</v>
      </c>
      <c r="BC3">
        <v>4025736.2</v>
      </c>
      <c r="BD3">
        <v>4354976.32</v>
      </c>
      <c r="BE3">
        <v>3538702.61</v>
      </c>
      <c r="BF3">
        <v>2268246.17</v>
      </c>
      <c r="BG3">
        <v>4727177.83</v>
      </c>
      <c r="BH3">
        <v>3643480.47</v>
      </c>
      <c r="BI3">
        <v>4651550.99</v>
      </c>
      <c r="BJ3">
        <v>3659827.43</v>
      </c>
      <c r="BK3">
        <v>3782936.34</v>
      </c>
      <c r="BL3">
        <v>8619524.0600000005</v>
      </c>
      <c r="BM3">
        <v>4022343.59</v>
      </c>
      <c r="BN3">
        <v>917199.87</v>
      </c>
      <c r="BO3">
        <v>3039111.45</v>
      </c>
      <c r="BP3">
        <v>2153671</v>
      </c>
      <c r="BQ3">
        <v>1502021.03</v>
      </c>
      <c r="BR3">
        <v>4546100.6900000004</v>
      </c>
      <c r="BS3">
        <v>3593595.22</v>
      </c>
      <c r="BT3">
        <v>9897963.5500000007</v>
      </c>
      <c r="BU3">
        <v>12050354.99</v>
      </c>
    </row>
    <row r="4" spans="1:73" x14ac:dyDescent="0.25">
      <c r="A4" t="s">
        <v>2</v>
      </c>
      <c r="B4" t="s">
        <v>3</v>
      </c>
      <c r="C4">
        <v>6060075</v>
      </c>
      <c r="D4" t="s">
        <v>243</v>
      </c>
      <c r="E4" t="s">
        <v>244</v>
      </c>
      <c r="F4" t="str">
        <f t="shared" ref="F4:F67" si="0">A4&amp;D4</f>
        <v>BE0003470755ETLX</v>
      </c>
      <c r="G4">
        <f t="shared" ref="G4:G67" si="1">AVERAGE(H4:BU4)</f>
        <v>36493.492727272729</v>
      </c>
      <c r="H4">
        <v>0</v>
      </c>
      <c r="I4">
        <v>0</v>
      </c>
      <c r="J4">
        <v>5613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7256.1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4218</v>
      </c>
      <c r="AG4">
        <v>0</v>
      </c>
      <c r="AH4">
        <v>2046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1909.8</v>
      </c>
      <c r="AQ4">
        <v>0</v>
      </c>
      <c r="AR4">
        <v>0</v>
      </c>
      <c r="AS4">
        <v>0</v>
      </c>
      <c r="AT4">
        <v>4319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5143.32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30710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1422152.29</v>
      </c>
      <c r="BU4">
        <v>925203.01</v>
      </c>
    </row>
    <row r="5" spans="1:73" x14ac:dyDescent="0.25">
      <c r="A5" t="s">
        <v>2</v>
      </c>
      <c r="B5" t="s">
        <v>3</v>
      </c>
      <c r="C5">
        <v>9078155</v>
      </c>
      <c r="D5" t="s">
        <v>245</v>
      </c>
      <c r="E5" t="s">
        <v>244</v>
      </c>
      <c r="F5" t="str">
        <f t="shared" si="0"/>
        <v>BE0003470755MTAH</v>
      </c>
      <c r="G5">
        <f t="shared" si="1"/>
        <v>32543.242424242424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793138.5</v>
      </c>
      <c r="BU5">
        <v>1354715.5</v>
      </c>
    </row>
    <row r="6" spans="1:73" x14ac:dyDescent="0.25">
      <c r="A6" t="s">
        <v>7</v>
      </c>
      <c r="B6" t="s">
        <v>8</v>
      </c>
      <c r="C6">
        <v>312</v>
      </c>
      <c r="D6" t="s">
        <v>6</v>
      </c>
      <c r="E6" t="s">
        <v>232</v>
      </c>
      <c r="F6" t="str">
        <f t="shared" si="0"/>
        <v>FR0000031577XPAR</v>
      </c>
      <c r="G6">
        <f t="shared" si="1"/>
        <v>1377570.9021212123</v>
      </c>
      <c r="H6">
        <v>620944</v>
      </c>
      <c r="I6">
        <v>915984.5</v>
      </c>
      <c r="J6">
        <v>6379235</v>
      </c>
      <c r="K6">
        <v>252148.5</v>
      </c>
      <c r="L6">
        <v>3081550</v>
      </c>
      <c r="M6">
        <v>941017.5</v>
      </c>
      <c r="N6">
        <v>1026440.5</v>
      </c>
      <c r="O6">
        <v>632678</v>
      </c>
      <c r="P6">
        <v>1447946.5</v>
      </c>
      <c r="Q6">
        <v>1139440</v>
      </c>
      <c r="R6">
        <v>1731682</v>
      </c>
      <c r="S6">
        <v>9262677.5</v>
      </c>
      <c r="T6">
        <v>3762467.5</v>
      </c>
      <c r="U6">
        <v>3061322.5</v>
      </c>
      <c r="V6">
        <v>1047764.5</v>
      </c>
      <c r="W6">
        <v>663186.5</v>
      </c>
      <c r="X6">
        <v>1143841</v>
      </c>
      <c r="Y6">
        <v>1514154</v>
      </c>
      <c r="Z6">
        <v>963148.5</v>
      </c>
      <c r="AA6">
        <v>870401</v>
      </c>
      <c r="AB6">
        <v>1067063</v>
      </c>
      <c r="AC6">
        <v>598483.5</v>
      </c>
      <c r="AD6">
        <v>1160177</v>
      </c>
      <c r="AE6">
        <v>1037938.5</v>
      </c>
      <c r="AF6">
        <v>1504113.5</v>
      </c>
      <c r="AG6">
        <v>948758.5</v>
      </c>
      <c r="AH6">
        <v>3796773.5</v>
      </c>
      <c r="AI6">
        <v>853810.5</v>
      </c>
      <c r="AJ6">
        <v>1024481.5</v>
      </c>
      <c r="AK6">
        <v>1010018</v>
      </c>
      <c r="AL6">
        <v>626823.5</v>
      </c>
      <c r="AM6">
        <v>1305227.5</v>
      </c>
      <c r="AN6">
        <v>1603761</v>
      </c>
      <c r="AO6">
        <v>3161246</v>
      </c>
      <c r="AP6">
        <v>1151426.75</v>
      </c>
      <c r="AQ6">
        <v>643855.5</v>
      </c>
      <c r="AR6">
        <v>678517.25</v>
      </c>
      <c r="AS6">
        <v>1177635</v>
      </c>
      <c r="AT6">
        <v>1322893</v>
      </c>
      <c r="AU6">
        <v>928094</v>
      </c>
      <c r="AV6">
        <v>487164.5</v>
      </c>
      <c r="AW6">
        <v>704306.75</v>
      </c>
      <c r="AX6">
        <v>947522.75</v>
      </c>
      <c r="AY6">
        <v>598291.5</v>
      </c>
      <c r="AZ6">
        <v>1721986.5</v>
      </c>
      <c r="BA6">
        <v>1387263.5</v>
      </c>
      <c r="BB6">
        <v>888981</v>
      </c>
      <c r="BC6">
        <v>793504.5</v>
      </c>
      <c r="BD6">
        <v>1145455</v>
      </c>
      <c r="BE6">
        <v>1233347.5</v>
      </c>
      <c r="BF6">
        <v>769814.5</v>
      </c>
      <c r="BG6">
        <v>590086.5</v>
      </c>
      <c r="BH6">
        <v>700174.5</v>
      </c>
      <c r="BI6">
        <v>1356975.5</v>
      </c>
      <c r="BJ6">
        <v>852238</v>
      </c>
      <c r="BK6">
        <v>462342</v>
      </c>
      <c r="BL6">
        <v>1318517.5</v>
      </c>
      <c r="BM6">
        <v>576768.5</v>
      </c>
      <c r="BN6">
        <v>300521.5</v>
      </c>
      <c r="BO6">
        <v>896007.5</v>
      </c>
      <c r="BP6">
        <v>572097.5</v>
      </c>
      <c r="BQ6">
        <v>182054.5</v>
      </c>
      <c r="BR6">
        <v>447412.5</v>
      </c>
      <c r="BS6">
        <v>678624</v>
      </c>
      <c r="BT6">
        <v>2326501.1800000002</v>
      </c>
      <c r="BU6">
        <v>2922593.86</v>
      </c>
    </row>
    <row r="7" spans="1:73" x14ac:dyDescent="0.25">
      <c r="A7" t="s">
        <v>7</v>
      </c>
      <c r="B7" t="s">
        <v>8</v>
      </c>
      <c r="C7">
        <v>9078089</v>
      </c>
      <c r="D7" t="s">
        <v>245</v>
      </c>
      <c r="E7" t="s">
        <v>244</v>
      </c>
      <c r="F7" t="str">
        <f t="shared" si="0"/>
        <v>FR0000031577MTAH</v>
      </c>
      <c r="G7">
        <f t="shared" si="1"/>
        <v>35392.902121212122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1064038.1200000001</v>
      </c>
      <c r="BU7">
        <v>1271893.42</v>
      </c>
    </row>
    <row r="8" spans="1:73" x14ac:dyDescent="0.25">
      <c r="A8" t="s">
        <v>241</v>
      </c>
      <c r="B8" t="s">
        <v>246</v>
      </c>
      <c r="C8">
        <v>329</v>
      </c>
      <c r="D8" t="s">
        <v>6</v>
      </c>
      <c r="E8" t="s">
        <v>232</v>
      </c>
      <c r="F8" t="str">
        <f t="shared" si="0"/>
        <v>FR0000031775XPAR</v>
      </c>
      <c r="G8">
        <f t="shared" si="1"/>
        <v>867469.67681818199</v>
      </c>
      <c r="H8">
        <v>2242019.85</v>
      </c>
      <c r="I8">
        <v>646256.80000000005</v>
      </c>
      <c r="J8">
        <v>1004913.85</v>
      </c>
      <c r="K8">
        <v>942054.05</v>
      </c>
      <c r="L8">
        <v>731848.15</v>
      </c>
      <c r="M8">
        <v>558998.85</v>
      </c>
      <c r="N8">
        <v>559455.65</v>
      </c>
      <c r="O8">
        <v>1952923.75</v>
      </c>
      <c r="P8">
        <v>1320982.6000000001</v>
      </c>
      <c r="Q8">
        <v>614722.5</v>
      </c>
      <c r="R8">
        <v>875990.6</v>
      </c>
      <c r="S8">
        <v>1475358.3</v>
      </c>
      <c r="T8">
        <v>511544.35</v>
      </c>
      <c r="U8">
        <v>701534</v>
      </c>
      <c r="V8">
        <v>490024.75</v>
      </c>
      <c r="W8">
        <v>534742.93000000005</v>
      </c>
      <c r="X8">
        <v>546228.17000000004</v>
      </c>
      <c r="Y8">
        <v>575615.55000000005</v>
      </c>
      <c r="Z8">
        <v>478985.75</v>
      </c>
      <c r="AA8">
        <v>1769960.55</v>
      </c>
      <c r="AB8">
        <v>1029468.51</v>
      </c>
      <c r="AC8">
        <v>540337.44999999995</v>
      </c>
      <c r="AD8">
        <v>419027.15</v>
      </c>
      <c r="AE8">
        <v>1014470.45</v>
      </c>
      <c r="AF8">
        <v>870091.15</v>
      </c>
      <c r="AG8">
        <v>1090410.8999999999</v>
      </c>
      <c r="AH8">
        <v>1174663.3500000001</v>
      </c>
      <c r="AI8">
        <v>923124.7</v>
      </c>
      <c r="AJ8">
        <v>698370.15</v>
      </c>
      <c r="AK8">
        <v>823770.1</v>
      </c>
      <c r="AL8">
        <v>830824.25</v>
      </c>
      <c r="AM8">
        <v>687294.75</v>
      </c>
      <c r="AN8">
        <v>687116.85</v>
      </c>
      <c r="AO8">
        <v>803150.3</v>
      </c>
      <c r="AP8">
        <v>577490.6</v>
      </c>
      <c r="AQ8">
        <v>870371.3</v>
      </c>
      <c r="AR8">
        <v>837773.7</v>
      </c>
      <c r="AS8">
        <v>1116375.3500000001</v>
      </c>
      <c r="AT8">
        <v>577365.6</v>
      </c>
      <c r="AU8">
        <v>1183263.1000000001</v>
      </c>
      <c r="AV8">
        <v>506176.4</v>
      </c>
      <c r="AW8">
        <v>621113.59999999998</v>
      </c>
      <c r="AX8">
        <v>799457.45</v>
      </c>
      <c r="AY8">
        <v>620708.86</v>
      </c>
      <c r="AZ8">
        <v>567507.26</v>
      </c>
      <c r="BA8">
        <v>565630.89</v>
      </c>
      <c r="BB8">
        <v>718174.7</v>
      </c>
      <c r="BC8">
        <v>694892.15</v>
      </c>
      <c r="BD8">
        <v>738484</v>
      </c>
      <c r="BE8">
        <v>561315.94999999995</v>
      </c>
      <c r="BF8">
        <v>534129.5</v>
      </c>
      <c r="BG8">
        <v>617323.5</v>
      </c>
      <c r="BH8">
        <v>963536.5</v>
      </c>
      <c r="BI8">
        <v>1024074.7</v>
      </c>
      <c r="BJ8">
        <v>753291.35</v>
      </c>
      <c r="BK8">
        <v>525147</v>
      </c>
      <c r="BL8">
        <v>1278952.75</v>
      </c>
      <c r="BM8">
        <v>487198.05</v>
      </c>
      <c r="BN8">
        <v>337183.65</v>
      </c>
      <c r="BO8">
        <v>788043.5</v>
      </c>
      <c r="BP8">
        <v>976285.45</v>
      </c>
      <c r="BQ8">
        <v>495777.7</v>
      </c>
      <c r="BR8">
        <v>437768.15</v>
      </c>
      <c r="BS8">
        <v>494857.6</v>
      </c>
      <c r="BT8">
        <v>4022137.32</v>
      </c>
      <c r="BU8">
        <v>1834909.98</v>
      </c>
    </row>
    <row r="9" spans="1:73" x14ac:dyDescent="0.25">
      <c r="A9" t="s">
        <v>9</v>
      </c>
      <c r="B9" t="s">
        <v>10</v>
      </c>
      <c r="C9">
        <v>601</v>
      </c>
      <c r="D9" t="s">
        <v>6</v>
      </c>
      <c r="E9" t="s">
        <v>232</v>
      </c>
      <c r="F9" t="str">
        <f t="shared" si="0"/>
        <v>FR0000035081XPAR</v>
      </c>
      <c r="G9">
        <f t="shared" si="1"/>
        <v>2804731.2745454544</v>
      </c>
      <c r="H9">
        <v>2801868.52</v>
      </c>
      <c r="I9">
        <v>3019917.2</v>
      </c>
      <c r="J9">
        <v>3004913.94</v>
      </c>
      <c r="K9">
        <v>3895449.38</v>
      </c>
      <c r="L9">
        <v>3162259.62</v>
      </c>
      <c r="M9">
        <v>2808882.86</v>
      </c>
      <c r="N9">
        <v>3378994.64</v>
      </c>
      <c r="O9">
        <v>2776793.18</v>
      </c>
      <c r="P9">
        <v>3590147.68</v>
      </c>
      <c r="Q9">
        <v>2953642.64</v>
      </c>
      <c r="R9">
        <v>2326551.54</v>
      </c>
      <c r="S9">
        <v>4766879.3600000003</v>
      </c>
      <c r="T9">
        <v>3594568.2</v>
      </c>
      <c r="U9">
        <v>2895998.96</v>
      </c>
      <c r="V9">
        <v>1949937.24</v>
      </c>
      <c r="W9">
        <v>2467421.94</v>
      </c>
      <c r="X9">
        <v>1569021.74</v>
      </c>
      <c r="Y9">
        <v>2078692.16</v>
      </c>
      <c r="Z9">
        <v>3003897.76</v>
      </c>
      <c r="AA9">
        <v>2952895.42</v>
      </c>
      <c r="AB9">
        <v>3565548.18</v>
      </c>
      <c r="AC9">
        <v>2198189.14</v>
      </c>
      <c r="AD9">
        <v>3062538.4</v>
      </c>
      <c r="AE9">
        <v>2595584.2200000002</v>
      </c>
      <c r="AF9">
        <v>6279338.4900000002</v>
      </c>
      <c r="AG9">
        <v>3700794.96</v>
      </c>
      <c r="AH9">
        <v>2526680.98</v>
      </c>
      <c r="AI9">
        <v>2364210.14</v>
      </c>
      <c r="AJ9">
        <v>3142834.44</v>
      </c>
      <c r="AK9">
        <v>2699011.4</v>
      </c>
      <c r="AL9">
        <v>1746852.76</v>
      </c>
      <c r="AM9">
        <v>2507616.2400000002</v>
      </c>
      <c r="AN9">
        <v>2995011.58</v>
      </c>
      <c r="AO9">
        <v>3528343.38</v>
      </c>
      <c r="AP9">
        <v>2751409.1</v>
      </c>
      <c r="AQ9">
        <v>2010648.04</v>
      </c>
      <c r="AR9">
        <v>2296565.38</v>
      </c>
      <c r="AS9">
        <v>4954847.32</v>
      </c>
      <c r="AT9">
        <v>2928123.82</v>
      </c>
      <c r="AU9">
        <v>3555395.4</v>
      </c>
      <c r="AV9">
        <v>1811375.12</v>
      </c>
      <c r="AW9">
        <v>2484313.58</v>
      </c>
      <c r="AX9">
        <v>7294233.7599999998</v>
      </c>
      <c r="AY9">
        <v>3383663.04</v>
      </c>
      <c r="AZ9">
        <v>3851608.88</v>
      </c>
      <c r="BA9">
        <v>2495441.94</v>
      </c>
      <c r="BB9">
        <v>3267397.22</v>
      </c>
      <c r="BC9">
        <v>2420700.7000000002</v>
      </c>
      <c r="BD9">
        <v>2565888.7200000002</v>
      </c>
      <c r="BE9">
        <v>1637113.82</v>
      </c>
      <c r="BF9">
        <v>2067067.9</v>
      </c>
      <c r="BG9">
        <v>3138439.18</v>
      </c>
      <c r="BH9">
        <v>3396307.36</v>
      </c>
      <c r="BI9">
        <v>2652321.08</v>
      </c>
      <c r="BJ9">
        <v>2497484.04</v>
      </c>
      <c r="BK9">
        <v>2428719.2599999998</v>
      </c>
      <c r="BL9">
        <v>3175792.12</v>
      </c>
      <c r="BM9">
        <v>1834288.26</v>
      </c>
      <c r="BN9">
        <v>1383739.24</v>
      </c>
      <c r="BO9">
        <v>2692907.98</v>
      </c>
      <c r="BP9">
        <v>1670417.12</v>
      </c>
      <c r="BQ9">
        <v>1673934.36</v>
      </c>
      <c r="BR9">
        <v>2110949</v>
      </c>
      <c r="BS9">
        <v>1590636.24</v>
      </c>
      <c r="BT9">
        <v>470976.65</v>
      </c>
      <c r="BU9">
        <v>708270.2</v>
      </c>
    </row>
    <row r="10" spans="1:73" x14ac:dyDescent="0.25">
      <c r="A10" t="s">
        <v>9</v>
      </c>
      <c r="B10" t="s">
        <v>10</v>
      </c>
      <c r="C10">
        <v>9078087</v>
      </c>
      <c r="D10" t="s">
        <v>245</v>
      </c>
      <c r="E10" t="s">
        <v>244</v>
      </c>
      <c r="F10" t="str">
        <f t="shared" si="0"/>
        <v>FR0000035081MTAH</v>
      </c>
      <c r="G10">
        <f t="shared" si="1"/>
        <v>239824.65378787881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7948899.1500000004</v>
      </c>
      <c r="BU10">
        <v>7879528</v>
      </c>
    </row>
    <row r="11" spans="1:73" x14ac:dyDescent="0.25">
      <c r="A11" t="s">
        <v>217</v>
      </c>
      <c r="B11" t="s">
        <v>226</v>
      </c>
      <c r="C11">
        <v>607</v>
      </c>
      <c r="D11" t="s">
        <v>6</v>
      </c>
      <c r="E11" t="s">
        <v>232</v>
      </c>
      <c r="F11" t="str">
        <f t="shared" si="0"/>
        <v>FR0000035164XPAR</v>
      </c>
      <c r="G11">
        <f t="shared" si="1"/>
        <v>2511991.4686363637</v>
      </c>
      <c r="H11">
        <v>1049345.8600000001</v>
      </c>
      <c r="I11">
        <v>971729.86</v>
      </c>
      <c r="J11">
        <v>740980.4</v>
      </c>
      <c r="K11">
        <v>569310.81999999995</v>
      </c>
      <c r="L11">
        <v>487606.3</v>
      </c>
      <c r="M11">
        <v>666489.13</v>
      </c>
      <c r="N11">
        <v>662738.68000000005</v>
      </c>
      <c r="O11">
        <v>766342.24</v>
      </c>
      <c r="P11">
        <v>1285390.18</v>
      </c>
      <c r="Q11">
        <v>881464.93</v>
      </c>
      <c r="R11">
        <v>724932.51</v>
      </c>
      <c r="S11">
        <v>1093255.6599999999</v>
      </c>
      <c r="T11">
        <v>701154.09</v>
      </c>
      <c r="U11">
        <v>591018.5</v>
      </c>
      <c r="V11">
        <v>701449.59</v>
      </c>
      <c r="W11">
        <v>580079.79</v>
      </c>
      <c r="X11">
        <v>445803.57</v>
      </c>
      <c r="Y11">
        <v>392722.9</v>
      </c>
      <c r="Z11">
        <v>2432701.38</v>
      </c>
      <c r="AA11">
        <v>2471152.42</v>
      </c>
      <c r="AB11">
        <v>910331.54</v>
      </c>
      <c r="AC11">
        <v>565570.81999999995</v>
      </c>
      <c r="AD11">
        <v>653001.35</v>
      </c>
      <c r="AE11">
        <v>446417.76</v>
      </c>
      <c r="AF11">
        <v>721490.23</v>
      </c>
      <c r="AG11">
        <v>1189023.0900000001</v>
      </c>
      <c r="AH11">
        <v>846503.56</v>
      </c>
      <c r="AI11">
        <v>982711.24</v>
      </c>
      <c r="AJ11">
        <v>1148696.3700000001</v>
      </c>
      <c r="AK11">
        <v>1135518.1000000001</v>
      </c>
      <c r="AL11">
        <v>686368.42</v>
      </c>
      <c r="AM11">
        <v>526506.26</v>
      </c>
      <c r="AN11">
        <v>472184.97</v>
      </c>
      <c r="AO11">
        <v>591139.93999999994</v>
      </c>
      <c r="AP11">
        <v>525968.94999999995</v>
      </c>
      <c r="AQ11">
        <v>1301905.78</v>
      </c>
      <c r="AR11">
        <v>1238720.6100000001</v>
      </c>
      <c r="AS11">
        <v>3731767.04</v>
      </c>
      <c r="AT11">
        <v>1506626.83</v>
      </c>
      <c r="AU11">
        <v>1146816.3700000001</v>
      </c>
      <c r="AV11">
        <v>885023.4</v>
      </c>
      <c r="AW11">
        <v>566944.05000000005</v>
      </c>
      <c r="AX11">
        <v>691761.97</v>
      </c>
      <c r="AY11">
        <v>753542.36</v>
      </c>
      <c r="AZ11">
        <v>809927.4</v>
      </c>
      <c r="BA11">
        <v>1109425.27</v>
      </c>
      <c r="BB11">
        <v>866723.71</v>
      </c>
      <c r="BC11">
        <v>832104.86</v>
      </c>
      <c r="BD11">
        <v>716273.48</v>
      </c>
      <c r="BE11">
        <v>460055.82</v>
      </c>
      <c r="BF11">
        <v>514405.26</v>
      </c>
      <c r="BG11">
        <v>1015241.39</v>
      </c>
      <c r="BH11">
        <v>772824.82</v>
      </c>
      <c r="BI11">
        <v>445352.65</v>
      </c>
      <c r="BJ11">
        <v>497057.73</v>
      </c>
      <c r="BK11">
        <v>1007233.77</v>
      </c>
      <c r="BL11">
        <v>631107.98</v>
      </c>
      <c r="BM11">
        <v>1856699.31</v>
      </c>
      <c r="BN11">
        <v>244069.56</v>
      </c>
      <c r="BO11">
        <v>798931.57</v>
      </c>
      <c r="BP11">
        <v>289418.40999999997</v>
      </c>
      <c r="BQ11">
        <v>147413.35999999999</v>
      </c>
      <c r="BR11">
        <v>302143.67</v>
      </c>
      <c r="BS11">
        <v>347804.62</v>
      </c>
      <c r="BT11">
        <v>54571624.719999999</v>
      </c>
      <c r="BU11">
        <v>56115387.75</v>
      </c>
    </row>
    <row r="12" spans="1:73" x14ac:dyDescent="0.25">
      <c r="A12" t="s">
        <v>217</v>
      </c>
      <c r="B12" t="s">
        <v>226</v>
      </c>
      <c r="C12">
        <v>9078086</v>
      </c>
      <c r="D12" t="s">
        <v>245</v>
      </c>
      <c r="E12" t="s">
        <v>244</v>
      </c>
      <c r="F12" t="str">
        <f t="shared" si="0"/>
        <v>FR0000035164MTAH</v>
      </c>
      <c r="G12">
        <f t="shared" si="1"/>
        <v>76688.731818181812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2475497.2999999998</v>
      </c>
      <c r="BU12">
        <v>2585959</v>
      </c>
    </row>
    <row r="13" spans="1:73" x14ac:dyDescent="0.25">
      <c r="A13" t="s">
        <v>240</v>
      </c>
      <c r="B13" t="s">
        <v>247</v>
      </c>
      <c r="C13">
        <v>870</v>
      </c>
      <c r="D13" t="s">
        <v>6</v>
      </c>
      <c r="E13" t="s">
        <v>232</v>
      </c>
      <c r="F13" t="str">
        <f t="shared" si="0"/>
        <v>FR0000039091XPAR</v>
      </c>
      <c r="G13">
        <f t="shared" si="1"/>
        <v>867200.52803030296</v>
      </c>
      <c r="H13">
        <v>132662</v>
      </c>
      <c r="I13">
        <v>99901</v>
      </c>
      <c r="J13">
        <v>896905</v>
      </c>
      <c r="K13">
        <v>320405</v>
      </c>
      <c r="L13">
        <v>308582</v>
      </c>
      <c r="M13">
        <v>233229</v>
      </c>
      <c r="N13">
        <v>446528</v>
      </c>
      <c r="O13">
        <v>170520</v>
      </c>
      <c r="P13">
        <v>130154</v>
      </c>
      <c r="Q13">
        <v>313524</v>
      </c>
      <c r="R13">
        <v>282602</v>
      </c>
      <c r="S13">
        <v>1232346.5</v>
      </c>
      <c r="T13">
        <v>657416</v>
      </c>
      <c r="U13">
        <v>1023689</v>
      </c>
      <c r="V13">
        <v>399267</v>
      </c>
      <c r="W13">
        <v>390710</v>
      </c>
      <c r="X13">
        <v>477002</v>
      </c>
      <c r="Y13">
        <v>488731</v>
      </c>
      <c r="Z13">
        <v>322330</v>
      </c>
      <c r="AA13">
        <v>588462</v>
      </c>
      <c r="AB13">
        <v>676999</v>
      </c>
      <c r="AC13">
        <v>330640</v>
      </c>
      <c r="AD13">
        <v>469292</v>
      </c>
      <c r="AE13">
        <v>691825</v>
      </c>
      <c r="AF13">
        <v>600343.5</v>
      </c>
      <c r="AG13">
        <v>415794</v>
      </c>
      <c r="AH13">
        <v>465550</v>
      </c>
      <c r="AI13">
        <v>570959</v>
      </c>
      <c r="AJ13">
        <v>1702143.5</v>
      </c>
      <c r="AK13">
        <v>760628</v>
      </c>
      <c r="AL13">
        <v>668391</v>
      </c>
      <c r="AM13">
        <v>3791622</v>
      </c>
      <c r="AN13">
        <v>1132696</v>
      </c>
      <c r="AO13">
        <v>400605</v>
      </c>
      <c r="AP13">
        <v>288807</v>
      </c>
      <c r="AQ13">
        <v>860114.5</v>
      </c>
      <c r="AR13">
        <v>361693</v>
      </c>
      <c r="AS13">
        <v>384167</v>
      </c>
      <c r="AT13">
        <v>217973</v>
      </c>
      <c r="AU13">
        <v>478475</v>
      </c>
      <c r="AV13">
        <v>443570</v>
      </c>
      <c r="AW13">
        <v>922898</v>
      </c>
      <c r="AX13">
        <v>497013</v>
      </c>
      <c r="AY13">
        <v>587081</v>
      </c>
      <c r="AZ13">
        <v>475927</v>
      </c>
      <c r="BA13">
        <v>569587</v>
      </c>
      <c r="BB13">
        <v>501156</v>
      </c>
      <c r="BC13">
        <v>1089809</v>
      </c>
      <c r="BD13">
        <v>391357</v>
      </c>
      <c r="BE13">
        <v>888544</v>
      </c>
      <c r="BF13">
        <v>312874</v>
      </c>
      <c r="BG13">
        <v>801380</v>
      </c>
      <c r="BH13">
        <v>383600</v>
      </c>
      <c r="BI13">
        <v>1348200</v>
      </c>
      <c r="BJ13">
        <v>759778</v>
      </c>
      <c r="BK13">
        <v>468520</v>
      </c>
      <c r="BL13">
        <v>2341839</v>
      </c>
      <c r="BM13">
        <v>478748</v>
      </c>
      <c r="BN13">
        <v>279505</v>
      </c>
      <c r="BO13">
        <v>393754</v>
      </c>
      <c r="BP13">
        <v>149826</v>
      </c>
      <c r="BQ13">
        <v>72290</v>
      </c>
      <c r="BR13">
        <v>197646</v>
      </c>
      <c r="BS13">
        <v>292793</v>
      </c>
      <c r="BT13">
        <v>11112200.16</v>
      </c>
      <c r="BU13">
        <v>7291656.6900000004</v>
      </c>
    </row>
    <row r="14" spans="1:73" x14ac:dyDescent="0.25">
      <c r="A14" t="s">
        <v>11</v>
      </c>
      <c r="B14" t="s">
        <v>12</v>
      </c>
      <c r="C14">
        <v>881</v>
      </c>
      <c r="D14" t="s">
        <v>6</v>
      </c>
      <c r="E14" t="s">
        <v>232</v>
      </c>
      <c r="F14" t="str">
        <f t="shared" si="0"/>
        <v>FR0000039299XPAR</v>
      </c>
      <c r="G14">
        <f t="shared" si="1"/>
        <v>5772459.5827272721</v>
      </c>
      <c r="H14">
        <v>2828905.54</v>
      </c>
      <c r="I14">
        <v>2532809.63</v>
      </c>
      <c r="J14">
        <v>2660914.2000000002</v>
      </c>
      <c r="K14">
        <v>3092197.43</v>
      </c>
      <c r="L14">
        <v>1711504.1</v>
      </c>
      <c r="M14">
        <v>3048920.68</v>
      </c>
      <c r="N14">
        <v>3181466.9</v>
      </c>
      <c r="O14">
        <v>2627838.09</v>
      </c>
      <c r="P14">
        <v>4689096.95</v>
      </c>
      <c r="Q14">
        <v>4664084.37</v>
      </c>
      <c r="R14">
        <v>5763306.2199999997</v>
      </c>
      <c r="S14">
        <v>3407721.58</v>
      </c>
      <c r="T14">
        <v>2361658.9300000002</v>
      </c>
      <c r="U14">
        <v>3469701.99</v>
      </c>
      <c r="V14">
        <v>3715386.79</v>
      </c>
      <c r="W14">
        <v>3246665.34</v>
      </c>
      <c r="X14">
        <v>4989064.04</v>
      </c>
      <c r="Y14">
        <v>4185875.23</v>
      </c>
      <c r="Z14">
        <v>3941866.37</v>
      </c>
      <c r="AA14">
        <v>5182990.28</v>
      </c>
      <c r="AB14">
        <v>6309130.7300000004</v>
      </c>
      <c r="AC14">
        <v>2934118.81</v>
      </c>
      <c r="AD14">
        <v>3410031.62</v>
      </c>
      <c r="AE14">
        <v>4879409.58</v>
      </c>
      <c r="AF14">
        <v>7843592.3300000001</v>
      </c>
      <c r="AG14">
        <v>5277586.0999999996</v>
      </c>
      <c r="AH14">
        <v>5052077.78</v>
      </c>
      <c r="AI14">
        <v>4410269.4800000004</v>
      </c>
      <c r="AJ14">
        <v>4813751.1900000004</v>
      </c>
      <c r="AK14">
        <v>6014115.4000000004</v>
      </c>
      <c r="AL14">
        <v>6887997.96</v>
      </c>
      <c r="AM14">
        <v>14737595.609999999</v>
      </c>
      <c r="AN14">
        <v>4162568.31</v>
      </c>
      <c r="AO14">
        <v>6225881.2400000002</v>
      </c>
      <c r="AP14">
        <v>4011516.2</v>
      </c>
      <c r="AQ14">
        <v>6477599.6699999999</v>
      </c>
      <c r="AR14">
        <v>5601571.1200000001</v>
      </c>
      <c r="AS14">
        <v>33550652.420000002</v>
      </c>
      <c r="AT14">
        <v>7035638.4699999997</v>
      </c>
      <c r="AU14">
        <v>3782763.13</v>
      </c>
      <c r="AV14">
        <v>2983750.12</v>
      </c>
      <c r="AW14">
        <v>3228216.1</v>
      </c>
      <c r="AX14">
        <v>6013603.7199999997</v>
      </c>
      <c r="AY14">
        <v>5817512.4900000002</v>
      </c>
      <c r="AZ14">
        <v>4620461.18</v>
      </c>
      <c r="BA14">
        <v>3705869.82</v>
      </c>
      <c r="BB14">
        <v>3784000.34</v>
      </c>
      <c r="BC14">
        <v>5982159.5199999996</v>
      </c>
      <c r="BD14">
        <v>4055709.81</v>
      </c>
      <c r="BE14">
        <v>3592583.2</v>
      </c>
      <c r="BF14">
        <v>4701320.97</v>
      </c>
      <c r="BG14">
        <v>8577476.9100000001</v>
      </c>
      <c r="BH14">
        <v>10474267.890000001</v>
      </c>
      <c r="BI14">
        <v>16669727.789999999</v>
      </c>
      <c r="BJ14">
        <v>10055641.27</v>
      </c>
      <c r="BK14">
        <v>13137843.57</v>
      </c>
      <c r="BL14">
        <v>8908124.9100000001</v>
      </c>
      <c r="BM14">
        <v>4730498.8099999996</v>
      </c>
      <c r="BN14">
        <v>1075501.6499999999</v>
      </c>
      <c r="BO14">
        <v>3475883.81</v>
      </c>
      <c r="BP14">
        <v>4885831.67</v>
      </c>
      <c r="BQ14">
        <v>1139868.3799999999</v>
      </c>
      <c r="BR14">
        <v>3078407.33</v>
      </c>
      <c r="BS14">
        <v>2621603.44</v>
      </c>
      <c r="BT14">
        <v>13695137.800000001</v>
      </c>
      <c r="BU14">
        <v>15251488.15</v>
      </c>
    </row>
    <row r="15" spans="1:73" x14ac:dyDescent="0.25">
      <c r="A15" t="s">
        <v>11</v>
      </c>
      <c r="B15" t="s">
        <v>12</v>
      </c>
      <c r="C15">
        <v>9078085</v>
      </c>
      <c r="D15" t="s">
        <v>245</v>
      </c>
      <c r="E15" t="s">
        <v>244</v>
      </c>
      <c r="F15" t="str">
        <f t="shared" si="0"/>
        <v>FR0000039299MTAH</v>
      </c>
      <c r="G15">
        <f t="shared" si="1"/>
        <v>3576906.8909090911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117204656.8</v>
      </c>
      <c r="BU15">
        <v>118871198</v>
      </c>
    </row>
    <row r="16" spans="1:73" x14ac:dyDescent="0.25">
      <c r="A16" t="s">
        <v>219</v>
      </c>
      <c r="B16" t="s">
        <v>225</v>
      </c>
      <c r="C16">
        <v>899</v>
      </c>
      <c r="D16" t="s">
        <v>6</v>
      </c>
      <c r="E16" t="s">
        <v>232</v>
      </c>
      <c r="F16" t="str">
        <f t="shared" si="0"/>
        <v>FR0000039620XPAR</v>
      </c>
      <c r="G16">
        <f t="shared" si="1"/>
        <v>1453838.6586363632</v>
      </c>
      <c r="H16">
        <v>1182572.7</v>
      </c>
      <c r="I16">
        <v>1767716.15</v>
      </c>
      <c r="J16">
        <v>1123943.6000000001</v>
      </c>
      <c r="K16">
        <v>1570022.85</v>
      </c>
      <c r="L16">
        <v>2153959.2999999998</v>
      </c>
      <c r="M16">
        <v>1771885.87</v>
      </c>
      <c r="N16">
        <v>5353460.4000000004</v>
      </c>
      <c r="O16">
        <v>2475308.2999999998</v>
      </c>
      <c r="P16">
        <v>2439739.7000000002</v>
      </c>
      <c r="Q16">
        <v>1523161.15</v>
      </c>
      <c r="R16">
        <v>1126712.45</v>
      </c>
      <c r="S16">
        <v>689133.05</v>
      </c>
      <c r="T16">
        <v>953687.2</v>
      </c>
      <c r="U16">
        <v>989459.95</v>
      </c>
      <c r="V16">
        <v>820297.25</v>
      </c>
      <c r="W16">
        <v>6687702.8600000003</v>
      </c>
      <c r="X16">
        <v>2442401.65</v>
      </c>
      <c r="Y16">
        <v>2631447.4</v>
      </c>
      <c r="Z16">
        <v>1277644.6499999999</v>
      </c>
      <c r="AA16">
        <v>1328938.3</v>
      </c>
      <c r="AB16">
        <v>1190883.55</v>
      </c>
      <c r="AC16">
        <v>805180</v>
      </c>
      <c r="AD16">
        <v>802272.85</v>
      </c>
      <c r="AE16">
        <v>898647.3</v>
      </c>
      <c r="AF16">
        <v>777692.8</v>
      </c>
      <c r="AG16">
        <v>764186.45</v>
      </c>
      <c r="AH16">
        <v>1031733.95</v>
      </c>
      <c r="AI16">
        <v>739794.8</v>
      </c>
      <c r="AJ16">
        <v>1861234.62</v>
      </c>
      <c r="AK16">
        <v>1008856.25</v>
      </c>
      <c r="AL16">
        <v>1663791.65</v>
      </c>
      <c r="AM16">
        <v>1022503.85</v>
      </c>
      <c r="AN16">
        <v>1457799.85</v>
      </c>
      <c r="AO16">
        <v>1604701.75</v>
      </c>
      <c r="AP16">
        <v>677566.95</v>
      </c>
      <c r="AQ16">
        <v>1377179.54</v>
      </c>
      <c r="AR16">
        <v>1800127.68</v>
      </c>
      <c r="AS16">
        <v>3256875.94</v>
      </c>
      <c r="AT16">
        <v>1129995.55</v>
      </c>
      <c r="AU16">
        <v>1002689.32</v>
      </c>
      <c r="AV16">
        <v>1097739.93</v>
      </c>
      <c r="AW16">
        <v>1751340.9</v>
      </c>
      <c r="AX16">
        <v>1474106.92</v>
      </c>
      <c r="AY16">
        <v>956579.29</v>
      </c>
      <c r="AZ16">
        <v>1256916.82</v>
      </c>
      <c r="BA16">
        <v>1888268.22</v>
      </c>
      <c r="BB16">
        <v>2262181.9</v>
      </c>
      <c r="BC16">
        <v>1307229</v>
      </c>
      <c r="BD16">
        <v>963631</v>
      </c>
      <c r="BE16">
        <v>2024342.95</v>
      </c>
      <c r="BF16">
        <v>787248.65</v>
      </c>
      <c r="BG16">
        <v>1393812.08</v>
      </c>
      <c r="BH16">
        <v>1139275.75</v>
      </c>
      <c r="BI16">
        <v>860396.45</v>
      </c>
      <c r="BJ16">
        <v>512438.1</v>
      </c>
      <c r="BK16">
        <v>1010760.03</v>
      </c>
      <c r="BL16">
        <v>4804942.2</v>
      </c>
      <c r="BM16">
        <v>859538.5</v>
      </c>
      <c r="BN16">
        <v>296146.55</v>
      </c>
      <c r="BO16">
        <v>636509.30000000005</v>
      </c>
      <c r="BP16">
        <v>665760.80000000005</v>
      </c>
      <c r="BQ16">
        <v>384681.25</v>
      </c>
      <c r="BR16">
        <v>681273.6</v>
      </c>
      <c r="BS16">
        <v>770709.1</v>
      </c>
      <c r="BT16">
        <v>682860.32</v>
      </c>
      <c r="BU16">
        <v>301752.43</v>
      </c>
    </row>
    <row r="17" spans="1:73" x14ac:dyDescent="0.25">
      <c r="A17" t="s">
        <v>219</v>
      </c>
      <c r="B17" t="s">
        <v>225</v>
      </c>
      <c r="C17">
        <v>9078084</v>
      </c>
      <c r="D17" t="s">
        <v>245</v>
      </c>
      <c r="E17" t="s">
        <v>244</v>
      </c>
      <c r="F17" t="str">
        <f t="shared" si="0"/>
        <v>FR0000039620MTAH</v>
      </c>
      <c r="G17">
        <f t="shared" si="1"/>
        <v>26255.930454545454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660877.47</v>
      </c>
      <c r="BU17">
        <v>1072013.94</v>
      </c>
    </row>
    <row r="18" spans="1:73" x14ac:dyDescent="0.25">
      <c r="A18" t="s">
        <v>13</v>
      </c>
      <c r="B18" t="s">
        <v>14</v>
      </c>
      <c r="C18">
        <v>62268</v>
      </c>
      <c r="D18" t="s">
        <v>6</v>
      </c>
      <c r="E18" t="s">
        <v>232</v>
      </c>
      <c r="F18" t="str">
        <f t="shared" si="0"/>
        <v>FR0000044448XPAR</v>
      </c>
      <c r="G18">
        <f t="shared" si="1"/>
        <v>17001502.007121213</v>
      </c>
      <c r="H18">
        <v>11262633.4</v>
      </c>
      <c r="I18">
        <v>18539159.699999999</v>
      </c>
      <c r="J18">
        <v>13515958.800000001</v>
      </c>
      <c r="K18">
        <v>13400126.449999999</v>
      </c>
      <c r="L18">
        <v>9469100.4000000004</v>
      </c>
      <c r="M18">
        <v>19902252.699999999</v>
      </c>
      <c r="N18">
        <v>11355140.199999999</v>
      </c>
      <c r="O18">
        <v>17875814.699999999</v>
      </c>
      <c r="P18">
        <v>14013449.5</v>
      </c>
      <c r="Q18">
        <v>15065324</v>
      </c>
      <c r="R18">
        <v>15543140.6</v>
      </c>
      <c r="S18">
        <v>19572300.600000001</v>
      </c>
      <c r="T18">
        <v>17896140.600000001</v>
      </c>
      <c r="U18">
        <v>17927839.399999999</v>
      </c>
      <c r="V18">
        <v>13757089.5</v>
      </c>
      <c r="W18">
        <v>16625857.4</v>
      </c>
      <c r="X18">
        <v>13647447.6</v>
      </c>
      <c r="Y18">
        <v>15205122.9</v>
      </c>
      <c r="Z18">
        <v>31183478.399999999</v>
      </c>
      <c r="AA18">
        <v>47192659.399999999</v>
      </c>
      <c r="AB18">
        <v>21393223.800000001</v>
      </c>
      <c r="AC18">
        <v>10401620.1</v>
      </c>
      <c r="AD18">
        <v>11011722.5</v>
      </c>
      <c r="AE18">
        <v>11675841.699999999</v>
      </c>
      <c r="AF18">
        <v>19266156.600000001</v>
      </c>
      <c r="AG18">
        <v>38707182.5</v>
      </c>
      <c r="AH18">
        <v>21704004.399999999</v>
      </c>
      <c r="AI18">
        <v>29367911.100000001</v>
      </c>
      <c r="AJ18">
        <v>28507319</v>
      </c>
      <c r="AK18">
        <v>19697490.800000001</v>
      </c>
      <c r="AL18">
        <v>17935645.300000001</v>
      </c>
      <c r="AM18">
        <v>28284643.399999999</v>
      </c>
      <c r="AN18">
        <v>13044963.6</v>
      </c>
      <c r="AO18">
        <v>15257025.4</v>
      </c>
      <c r="AP18">
        <v>13408311.1</v>
      </c>
      <c r="AQ18">
        <v>10377992.6</v>
      </c>
      <c r="AR18">
        <v>28167346.5</v>
      </c>
      <c r="AS18">
        <v>27009014.699999999</v>
      </c>
      <c r="AT18">
        <v>20174056.100000001</v>
      </c>
      <c r="AU18">
        <v>12886539.800000001</v>
      </c>
      <c r="AV18">
        <v>15351078.9</v>
      </c>
      <c r="AW18">
        <v>16181041</v>
      </c>
      <c r="AX18">
        <v>15825168</v>
      </c>
      <c r="AY18">
        <v>19064421.199999999</v>
      </c>
      <c r="AZ18">
        <v>20788990.399999999</v>
      </c>
      <c r="BA18">
        <v>13950136.5</v>
      </c>
      <c r="BB18">
        <v>20336279.300000001</v>
      </c>
      <c r="BC18">
        <v>13972308.9</v>
      </c>
      <c r="BD18">
        <v>17510849.199999999</v>
      </c>
      <c r="BE18">
        <v>13424811.4</v>
      </c>
      <c r="BF18">
        <v>15708415.6</v>
      </c>
      <c r="BG18">
        <v>12730899.4</v>
      </c>
      <c r="BH18">
        <v>18246933.300000001</v>
      </c>
      <c r="BI18">
        <v>17306561.899999999</v>
      </c>
      <c r="BJ18">
        <v>12982300.9</v>
      </c>
      <c r="BK18">
        <v>15032893.9</v>
      </c>
      <c r="BL18">
        <v>26305445.199999999</v>
      </c>
      <c r="BM18">
        <v>9479853.5</v>
      </c>
      <c r="BN18">
        <v>2109938.2000000002</v>
      </c>
      <c r="BO18">
        <v>6337449.2000000002</v>
      </c>
      <c r="BP18">
        <v>10965615</v>
      </c>
      <c r="BQ18">
        <v>2849272.5</v>
      </c>
      <c r="BR18">
        <v>21237581.899999999</v>
      </c>
      <c r="BS18">
        <v>10615836.4</v>
      </c>
      <c r="BT18">
        <v>5293416.99</v>
      </c>
      <c r="BU18">
        <v>17263586.530000001</v>
      </c>
    </row>
    <row r="19" spans="1:73" x14ac:dyDescent="0.25">
      <c r="A19" t="s">
        <v>13</v>
      </c>
      <c r="B19" t="s">
        <v>14</v>
      </c>
      <c r="C19">
        <v>9078154</v>
      </c>
      <c r="D19" t="s">
        <v>245</v>
      </c>
      <c r="E19" t="s">
        <v>244</v>
      </c>
      <c r="F19" t="str">
        <f t="shared" si="0"/>
        <v>FR0000044448MTAH</v>
      </c>
      <c r="G19">
        <f t="shared" si="1"/>
        <v>20038.457272727275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827601.55</v>
      </c>
      <c r="BU19">
        <v>494936.63</v>
      </c>
    </row>
    <row r="20" spans="1:73" x14ac:dyDescent="0.25">
      <c r="A20" t="s">
        <v>15</v>
      </c>
      <c r="B20" t="s">
        <v>16</v>
      </c>
      <c r="C20">
        <v>72275</v>
      </c>
      <c r="D20" t="s">
        <v>6</v>
      </c>
      <c r="E20" t="s">
        <v>232</v>
      </c>
      <c r="F20" t="str">
        <f t="shared" si="0"/>
        <v>FR0000045072XPAR</v>
      </c>
      <c r="G20">
        <f t="shared" si="1"/>
        <v>73688874.101818204</v>
      </c>
      <c r="H20">
        <v>81224592.340000004</v>
      </c>
      <c r="I20">
        <v>98875680.060000002</v>
      </c>
      <c r="J20">
        <v>81770117.200000003</v>
      </c>
      <c r="K20">
        <v>70832494.25</v>
      </c>
      <c r="L20">
        <v>57797109.100000001</v>
      </c>
      <c r="M20">
        <v>57307766.509999998</v>
      </c>
      <c r="N20">
        <v>79001981.069999993</v>
      </c>
      <c r="O20">
        <v>59994844.280000001</v>
      </c>
      <c r="P20">
        <v>72265139.989999995</v>
      </c>
      <c r="Q20">
        <v>76816415.049999997</v>
      </c>
      <c r="R20">
        <v>69274166.280000001</v>
      </c>
      <c r="S20">
        <v>64590754.530000001</v>
      </c>
      <c r="T20">
        <v>42250303.479999997</v>
      </c>
      <c r="U20">
        <v>59697919.600000001</v>
      </c>
      <c r="V20">
        <v>35992666.100000001</v>
      </c>
      <c r="W20">
        <v>38997446.829999998</v>
      </c>
      <c r="X20">
        <v>40724343.880000003</v>
      </c>
      <c r="Y20">
        <v>59204150.890000001</v>
      </c>
      <c r="Z20">
        <v>56372314.82</v>
      </c>
      <c r="AA20">
        <v>66473055.600000001</v>
      </c>
      <c r="AB20">
        <v>92380757.099999994</v>
      </c>
      <c r="AC20">
        <v>55263061.18</v>
      </c>
      <c r="AD20">
        <v>49665134.950000003</v>
      </c>
      <c r="AE20">
        <v>48198898.979999997</v>
      </c>
      <c r="AF20">
        <v>273372277.07999998</v>
      </c>
      <c r="AG20">
        <v>182798960.49000001</v>
      </c>
      <c r="AH20">
        <v>63113811.780000001</v>
      </c>
      <c r="AI20">
        <v>52717849.159999996</v>
      </c>
      <c r="AJ20">
        <v>88903776.799999997</v>
      </c>
      <c r="AK20">
        <v>76936751.640000001</v>
      </c>
      <c r="AL20">
        <v>83768556.510000005</v>
      </c>
      <c r="AM20">
        <v>81589985.140000001</v>
      </c>
      <c r="AN20">
        <v>74344120.010000005</v>
      </c>
      <c r="AO20">
        <v>81177185.219999999</v>
      </c>
      <c r="AP20">
        <v>61819323.950000003</v>
      </c>
      <c r="AQ20">
        <v>33526457.260000002</v>
      </c>
      <c r="AR20">
        <v>104909697.01000001</v>
      </c>
      <c r="AS20">
        <v>127704228.31999999</v>
      </c>
      <c r="AT20">
        <v>145019217.46000001</v>
      </c>
      <c r="AU20">
        <v>102996817.29000001</v>
      </c>
      <c r="AV20">
        <v>62496087.710000001</v>
      </c>
      <c r="AW20">
        <v>63325200.990000002</v>
      </c>
      <c r="AX20">
        <v>122705798.42</v>
      </c>
      <c r="AY20">
        <v>71543518.730000004</v>
      </c>
      <c r="AZ20">
        <v>75858006.120000005</v>
      </c>
      <c r="BA20">
        <v>129776635.62</v>
      </c>
      <c r="BB20">
        <v>68212569.280000001</v>
      </c>
      <c r="BC20">
        <v>95566178.569999993</v>
      </c>
      <c r="BD20">
        <v>57892955.829999998</v>
      </c>
      <c r="BE20">
        <v>72020031.659999996</v>
      </c>
      <c r="BF20">
        <v>53156852.729999997</v>
      </c>
      <c r="BG20">
        <v>40458212.479999997</v>
      </c>
      <c r="BH20">
        <v>61620066.630000003</v>
      </c>
      <c r="BI20">
        <v>67248579.719999999</v>
      </c>
      <c r="BJ20">
        <v>60020631.280000001</v>
      </c>
      <c r="BK20">
        <v>62826292.619999997</v>
      </c>
      <c r="BL20">
        <v>163880713</v>
      </c>
      <c r="BM20">
        <v>41611994.530000001</v>
      </c>
      <c r="BN20">
        <v>39732412.969999999</v>
      </c>
      <c r="BO20">
        <v>74381909.060000002</v>
      </c>
      <c r="BP20">
        <v>56514473.079999998</v>
      </c>
      <c r="BQ20">
        <v>37059860.93</v>
      </c>
      <c r="BR20">
        <v>54377294.130000003</v>
      </c>
      <c r="BS20">
        <v>73503949.739999995</v>
      </c>
      <c r="BT20">
        <v>4808665.62</v>
      </c>
      <c r="BU20">
        <v>3196670.08</v>
      </c>
    </row>
    <row r="21" spans="1:73" x14ac:dyDescent="0.25">
      <c r="A21" t="s">
        <v>15</v>
      </c>
      <c r="B21" t="s">
        <v>16</v>
      </c>
      <c r="C21">
        <v>3052967</v>
      </c>
      <c r="D21" t="s">
        <v>248</v>
      </c>
      <c r="E21" t="s">
        <v>244</v>
      </c>
      <c r="F21" t="str">
        <f t="shared" si="0"/>
        <v>FR0000045072BGEM</v>
      </c>
      <c r="G21">
        <f t="shared" si="1"/>
        <v>94159.65924242427</v>
      </c>
      <c r="H21">
        <v>19453.2</v>
      </c>
      <c r="I21">
        <v>33163.440000000002</v>
      </c>
      <c r="J21">
        <v>20683.21</v>
      </c>
      <c r="K21">
        <v>126012.91</v>
      </c>
      <c r="L21">
        <v>20903.18</v>
      </c>
      <c r="M21">
        <v>76336.179999999993</v>
      </c>
      <c r="N21">
        <v>13614.42</v>
      </c>
      <c r="O21">
        <v>5888.6</v>
      </c>
      <c r="P21">
        <v>29760.959999999999</v>
      </c>
      <c r="Q21">
        <v>63529.87</v>
      </c>
      <c r="R21">
        <v>239519.22</v>
      </c>
      <c r="S21">
        <v>30407.360000000001</v>
      </c>
      <c r="T21">
        <v>47073.57</v>
      </c>
      <c r="U21">
        <v>36091</v>
      </c>
      <c r="V21">
        <v>16204.02</v>
      </c>
      <c r="W21">
        <v>7696.28</v>
      </c>
      <c r="X21">
        <v>1640.34</v>
      </c>
      <c r="Y21">
        <v>22654.81</v>
      </c>
      <c r="Z21">
        <v>32770.400000000001</v>
      </c>
      <c r="AA21">
        <v>14977.57</v>
      </c>
      <c r="AB21">
        <v>10245.07</v>
      </c>
      <c r="AC21">
        <v>0</v>
      </c>
      <c r="AD21">
        <v>82085.320000000007</v>
      </c>
      <c r="AE21">
        <v>111655.24</v>
      </c>
      <c r="AF21">
        <v>329975.59000000003</v>
      </c>
      <c r="AG21">
        <v>194684.29</v>
      </c>
      <c r="AH21">
        <v>130733.33</v>
      </c>
      <c r="AI21">
        <v>43017.120000000003</v>
      </c>
      <c r="AJ21">
        <v>156595.88</v>
      </c>
      <c r="AK21">
        <v>74753.55</v>
      </c>
      <c r="AL21">
        <v>67722.350000000006</v>
      </c>
      <c r="AM21">
        <v>2155.2800000000002</v>
      </c>
      <c r="AN21">
        <v>39631.69</v>
      </c>
      <c r="AO21">
        <v>16739.990000000002</v>
      </c>
      <c r="AP21">
        <v>112148.66</v>
      </c>
      <c r="AQ21">
        <v>29708.639999999999</v>
      </c>
      <c r="AR21">
        <v>461095.02</v>
      </c>
      <c r="AS21">
        <v>89923.07</v>
      </c>
      <c r="AT21">
        <v>70490.03</v>
      </c>
      <c r="AU21">
        <v>177621.83</v>
      </c>
      <c r="AV21">
        <v>40027.1</v>
      </c>
      <c r="AW21">
        <v>209405.98</v>
      </c>
      <c r="AX21">
        <v>84145.02</v>
      </c>
      <c r="AY21">
        <v>28235.200000000001</v>
      </c>
      <c r="AZ21">
        <v>58963.58</v>
      </c>
      <c r="BA21">
        <v>65239.87</v>
      </c>
      <c r="BB21">
        <v>149326.48000000001</v>
      </c>
      <c r="BC21">
        <v>273980.21999999997</v>
      </c>
      <c r="BD21">
        <v>89946.25</v>
      </c>
      <c r="BE21">
        <v>201745.38</v>
      </c>
      <c r="BF21">
        <v>129548.23</v>
      </c>
      <c r="BG21">
        <v>102970.15</v>
      </c>
      <c r="BH21">
        <v>127594.74</v>
      </c>
      <c r="BI21">
        <v>92383.72</v>
      </c>
      <c r="BJ21">
        <v>41689.769999999997</v>
      </c>
      <c r="BK21">
        <v>30849.200000000001</v>
      </c>
      <c r="BL21">
        <v>69042.570000000007</v>
      </c>
      <c r="BM21">
        <v>29686.73</v>
      </c>
      <c r="BN21">
        <v>0</v>
      </c>
      <c r="BO21">
        <v>90285.96</v>
      </c>
      <c r="BP21">
        <v>65262.18</v>
      </c>
      <c r="BQ21">
        <v>0</v>
      </c>
      <c r="BR21">
        <v>48776.77</v>
      </c>
      <c r="BS21">
        <v>30538.92</v>
      </c>
      <c r="BT21">
        <v>234239.8</v>
      </c>
      <c r="BU21">
        <v>861291.2</v>
      </c>
    </row>
    <row r="22" spans="1:73" x14ac:dyDescent="0.25">
      <c r="A22" t="s">
        <v>15</v>
      </c>
      <c r="B22" t="s">
        <v>16</v>
      </c>
      <c r="C22">
        <v>3077387</v>
      </c>
      <c r="D22" t="s">
        <v>245</v>
      </c>
      <c r="E22" t="s">
        <v>244</v>
      </c>
      <c r="F22" t="str">
        <f t="shared" si="0"/>
        <v>FR0000045072MTAH</v>
      </c>
      <c r="G22">
        <f t="shared" si="1"/>
        <v>68410.53272727273</v>
      </c>
      <c r="H22">
        <v>0</v>
      </c>
      <c r="I22">
        <v>0</v>
      </c>
      <c r="J22">
        <v>0</v>
      </c>
      <c r="K22">
        <v>2422.8000000000002</v>
      </c>
      <c r="L22">
        <v>0</v>
      </c>
      <c r="M22">
        <v>0</v>
      </c>
      <c r="N22">
        <v>0</v>
      </c>
      <c r="O22">
        <v>0</v>
      </c>
      <c r="P22">
        <v>301.62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281.89999999999998</v>
      </c>
      <c r="AG22">
        <v>271.7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68.73</v>
      </c>
      <c r="AP22">
        <v>0</v>
      </c>
      <c r="AQ22">
        <v>0</v>
      </c>
      <c r="AR22">
        <v>35652.559999999998</v>
      </c>
      <c r="AS22">
        <v>4317.3500000000004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16212</v>
      </c>
      <c r="BC22">
        <v>1323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2116429.5</v>
      </c>
      <c r="BU22">
        <v>2337814</v>
      </c>
    </row>
    <row r="23" spans="1:73" x14ac:dyDescent="0.25">
      <c r="A23" t="s">
        <v>15</v>
      </c>
      <c r="B23" t="s">
        <v>16</v>
      </c>
      <c r="C23">
        <v>6060182</v>
      </c>
      <c r="D23" t="s">
        <v>243</v>
      </c>
      <c r="E23" t="s">
        <v>244</v>
      </c>
      <c r="F23" t="str">
        <f t="shared" si="0"/>
        <v>FR0000045072ETLX</v>
      </c>
      <c r="G23">
        <f t="shared" si="1"/>
        <v>1676411.7363636363</v>
      </c>
      <c r="H23">
        <v>0</v>
      </c>
      <c r="I23">
        <v>0</v>
      </c>
      <c r="J23">
        <v>0</v>
      </c>
      <c r="K23">
        <v>6259.5</v>
      </c>
      <c r="L23">
        <v>0</v>
      </c>
      <c r="M23">
        <v>0</v>
      </c>
      <c r="N23">
        <v>0</v>
      </c>
      <c r="O23">
        <v>0</v>
      </c>
      <c r="P23">
        <v>0</v>
      </c>
      <c r="Q23">
        <v>842.1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1666.8</v>
      </c>
      <c r="AC23">
        <v>0</v>
      </c>
      <c r="AD23">
        <v>0</v>
      </c>
      <c r="AE23">
        <v>0</v>
      </c>
      <c r="AF23">
        <v>1760.2</v>
      </c>
      <c r="AG23">
        <v>9341.5</v>
      </c>
      <c r="AH23">
        <v>0</v>
      </c>
      <c r="AI23">
        <v>0</v>
      </c>
      <c r="AJ23">
        <v>0</v>
      </c>
      <c r="AK23">
        <v>0</v>
      </c>
      <c r="AL23">
        <v>223549.49</v>
      </c>
      <c r="AM23">
        <v>0</v>
      </c>
      <c r="AN23">
        <v>273.3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24139.4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336.31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60145429.659999996</v>
      </c>
      <c r="BU23">
        <v>50229576.340000004</v>
      </c>
    </row>
    <row r="24" spans="1:73" x14ac:dyDescent="0.25">
      <c r="A24" t="s">
        <v>17</v>
      </c>
      <c r="B24" t="s">
        <v>18</v>
      </c>
      <c r="C24">
        <v>18844</v>
      </c>
      <c r="D24" t="s">
        <v>6</v>
      </c>
      <c r="E24" t="s">
        <v>232</v>
      </c>
      <c r="F24" t="str">
        <f t="shared" si="0"/>
        <v>FR0000050809XPAR</v>
      </c>
      <c r="G24">
        <f t="shared" si="1"/>
        <v>7002612.6530303014</v>
      </c>
      <c r="H24">
        <v>7185752.2000000002</v>
      </c>
      <c r="I24">
        <v>9741402.5</v>
      </c>
      <c r="J24">
        <v>6362329.7999999998</v>
      </c>
      <c r="K24">
        <v>6217468.2999999998</v>
      </c>
      <c r="L24">
        <v>4429115</v>
      </c>
      <c r="M24">
        <v>8655507.4000000004</v>
      </c>
      <c r="N24">
        <v>4282865.7</v>
      </c>
      <c r="O24">
        <v>4529964.9000000004</v>
      </c>
      <c r="P24">
        <v>6019876.7000000002</v>
      </c>
      <c r="Q24">
        <v>5514236.7999999998</v>
      </c>
      <c r="R24">
        <v>7465147.5499999998</v>
      </c>
      <c r="S24">
        <v>10165288.800000001</v>
      </c>
      <c r="T24">
        <v>6700933.2000000002</v>
      </c>
      <c r="U24">
        <v>6883431.2000000002</v>
      </c>
      <c r="V24">
        <v>6382402.5</v>
      </c>
      <c r="W24">
        <v>5301895.9000000004</v>
      </c>
      <c r="X24">
        <v>10670633.800000001</v>
      </c>
      <c r="Y24">
        <v>8395163.9000000004</v>
      </c>
      <c r="Z24">
        <v>6222761.0999999996</v>
      </c>
      <c r="AA24">
        <v>10493545.4</v>
      </c>
      <c r="AB24">
        <v>10410220.550000001</v>
      </c>
      <c r="AC24">
        <v>4700523.5999999996</v>
      </c>
      <c r="AD24">
        <v>5238231.2</v>
      </c>
      <c r="AE24">
        <v>6853820.5999999996</v>
      </c>
      <c r="AF24">
        <v>7962550.25</v>
      </c>
      <c r="AG24">
        <v>5179857.3</v>
      </c>
      <c r="AH24">
        <v>4375520.9000000004</v>
      </c>
      <c r="AI24">
        <v>4860793.0999999996</v>
      </c>
      <c r="AJ24">
        <v>7587065.4000000004</v>
      </c>
      <c r="AK24">
        <v>7130570.5</v>
      </c>
      <c r="AL24">
        <v>5433552.9000000004</v>
      </c>
      <c r="AM24">
        <v>7487454.5</v>
      </c>
      <c r="AN24">
        <v>9957845.4000000004</v>
      </c>
      <c r="AO24">
        <v>7579623.9000000004</v>
      </c>
      <c r="AP24">
        <v>7147087.0999999996</v>
      </c>
      <c r="AQ24">
        <v>7907572.2999999998</v>
      </c>
      <c r="AR24">
        <v>7579912.0999999996</v>
      </c>
      <c r="AS24">
        <v>7168053.0999999996</v>
      </c>
      <c r="AT24">
        <v>5881215.0999999996</v>
      </c>
      <c r="AU24">
        <v>10919571.300000001</v>
      </c>
      <c r="AV24">
        <v>6219254.5</v>
      </c>
      <c r="AW24">
        <v>6765447.0999999996</v>
      </c>
      <c r="AX24">
        <v>15664375.5</v>
      </c>
      <c r="AY24">
        <v>7859755.9000000004</v>
      </c>
      <c r="AZ24">
        <v>6128495.7000000002</v>
      </c>
      <c r="BA24">
        <v>6693406.5</v>
      </c>
      <c r="BB24">
        <v>3794263.6</v>
      </c>
      <c r="BC24">
        <v>5062572.7</v>
      </c>
      <c r="BD24">
        <v>5433856.9000000004</v>
      </c>
      <c r="BE24">
        <v>5953521</v>
      </c>
      <c r="BF24">
        <v>20723505.399999999</v>
      </c>
      <c r="BG24">
        <v>13167241.5</v>
      </c>
      <c r="BH24">
        <v>8587589.9000000004</v>
      </c>
      <c r="BI24">
        <v>7213437.9000000004</v>
      </c>
      <c r="BJ24">
        <v>5649490.9000000004</v>
      </c>
      <c r="BK24">
        <v>7301948</v>
      </c>
      <c r="BL24">
        <v>14803349</v>
      </c>
      <c r="BM24">
        <v>5271765</v>
      </c>
      <c r="BN24">
        <v>2440822.2000000002</v>
      </c>
      <c r="BO24">
        <v>5191565.5999999996</v>
      </c>
      <c r="BP24">
        <v>4138181.4</v>
      </c>
      <c r="BQ24">
        <v>1752338.8</v>
      </c>
      <c r="BR24">
        <v>5171501.8</v>
      </c>
      <c r="BS24">
        <v>5802714.4000000004</v>
      </c>
      <c r="BT24">
        <v>1415680.25</v>
      </c>
      <c r="BU24">
        <v>985589.9</v>
      </c>
    </row>
    <row r="25" spans="1:73" x14ac:dyDescent="0.25">
      <c r="A25" t="s">
        <v>17</v>
      </c>
      <c r="B25" t="s">
        <v>18</v>
      </c>
      <c r="C25">
        <v>9078153</v>
      </c>
      <c r="D25" t="s">
        <v>245</v>
      </c>
      <c r="E25" t="s">
        <v>244</v>
      </c>
      <c r="F25" t="str">
        <f t="shared" si="0"/>
        <v>FR0000050809MTAH</v>
      </c>
      <c r="G25">
        <f t="shared" si="1"/>
        <v>24196.666060606061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600756.76</v>
      </c>
      <c r="BU25">
        <v>996223.2</v>
      </c>
    </row>
    <row r="26" spans="1:73" x14ac:dyDescent="0.25">
      <c r="A26" t="s">
        <v>236</v>
      </c>
      <c r="B26" t="s">
        <v>249</v>
      </c>
      <c r="C26">
        <v>2011</v>
      </c>
      <c r="D26" t="s">
        <v>6</v>
      </c>
      <c r="E26" t="s">
        <v>232</v>
      </c>
      <c r="F26" t="str">
        <f t="shared" si="0"/>
        <v>FR0000051070XPAR</v>
      </c>
      <c r="G26">
        <f t="shared" si="1"/>
        <v>3213411.0333333332</v>
      </c>
      <c r="H26">
        <v>739232.6</v>
      </c>
      <c r="I26">
        <v>1384372.28</v>
      </c>
      <c r="J26">
        <v>980810.93</v>
      </c>
      <c r="K26">
        <v>806653.19</v>
      </c>
      <c r="L26">
        <v>403046.79</v>
      </c>
      <c r="M26">
        <v>317124.28999999998</v>
      </c>
      <c r="N26">
        <v>303603.75</v>
      </c>
      <c r="O26">
        <v>451909.22</v>
      </c>
      <c r="P26">
        <v>1110819.43</v>
      </c>
      <c r="Q26">
        <v>546203.68000000005</v>
      </c>
      <c r="R26">
        <v>1286095.5</v>
      </c>
      <c r="S26">
        <v>521449.5</v>
      </c>
      <c r="T26">
        <v>772741.91</v>
      </c>
      <c r="U26">
        <v>441329.11</v>
      </c>
      <c r="V26">
        <v>858277.51</v>
      </c>
      <c r="W26">
        <v>503658.59</v>
      </c>
      <c r="X26">
        <v>486691.2</v>
      </c>
      <c r="Y26">
        <v>809874.32</v>
      </c>
      <c r="Z26">
        <v>756219.66</v>
      </c>
      <c r="AA26">
        <v>668769.05000000005</v>
      </c>
      <c r="AB26">
        <v>565632.51</v>
      </c>
      <c r="AC26">
        <v>430457.76</v>
      </c>
      <c r="AD26">
        <v>508581.99</v>
      </c>
      <c r="AE26">
        <v>983123.41</v>
      </c>
      <c r="AF26">
        <v>1011646.8</v>
      </c>
      <c r="AG26">
        <v>1012130.03</v>
      </c>
      <c r="AH26">
        <v>573746.91</v>
      </c>
      <c r="AI26">
        <v>478643.41</v>
      </c>
      <c r="AJ26">
        <v>499049.67</v>
      </c>
      <c r="AK26">
        <v>316843.45</v>
      </c>
      <c r="AL26">
        <v>382065.45</v>
      </c>
      <c r="AM26">
        <v>998107.11</v>
      </c>
      <c r="AN26">
        <v>662498.07999999996</v>
      </c>
      <c r="AO26">
        <v>423325.46</v>
      </c>
      <c r="AP26">
        <v>290704.11</v>
      </c>
      <c r="AQ26">
        <v>595248.03</v>
      </c>
      <c r="AR26">
        <v>533385.11</v>
      </c>
      <c r="AS26">
        <v>601310.47</v>
      </c>
      <c r="AT26">
        <v>471278.78</v>
      </c>
      <c r="AU26">
        <v>551082.81999999995</v>
      </c>
      <c r="AV26">
        <v>232465.36</v>
      </c>
      <c r="AW26">
        <v>303233.56</v>
      </c>
      <c r="AX26">
        <v>435787.14</v>
      </c>
      <c r="AY26">
        <v>272542.53999999998</v>
      </c>
      <c r="AZ26">
        <v>473827.27</v>
      </c>
      <c r="BA26">
        <v>436060.72</v>
      </c>
      <c r="BB26">
        <v>519669.64</v>
      </c>
      <c r="BC26">
        <v>618785.74</v>
      </c>
      <c r="BD26">
        <v>532062.29</v>
      </c>
      <c r="BE26">
        <v>619321.99</v>
      </c>
      <c r="BF26">
        <v>712375.44</v>
      </c>
      <c r="BG26">
        <v>529863.34</v>
      </c>
      <c r="BH26">
        <v>737861.22</v>
      </c>
      <c r="BI26">
        <v>856296.13</v>
      </c>
      <c r="BJ26">
        <v>781201.29</v>
      </c>
      <c r="BK26">
        <v>777375.94</v>
      </c>
      <c r="BL26">
        <v>875964.37</v>
      </c>
      <c r="BM26">
        <v>560842.06000000006</v>
      </c>
      <c r="BN26">
        <v>575256.56000000006</v>
      </c>
      <c r="BO26">
        <v>1043324.78</v>
      </c>
      <c r="BP26">
        <v>962166.67</v>
      </c>
      <c r="BQ26">
        <v>1078404.8400000001</v>
      </c>
      <c r="BR26">
        <v>1344770.44</v>
      </c>
      <c r="BS26">
        <v>1925601.46</v>
      </c>
      <c r="BT26">
        <v>88363648.459999993</v>
      </c>
      <c r="BU26">
        <v>80478675.079999998</v>
      </c>
    </row>
    <row r="27" spans="1:73" x14ac:dyDescent="0.25">
      <c r="A27" t="s">
        <v>19</v>
      </c>
      <c r="B27" t="s">
        <v>20</v>
      </c>
      <c r="C27">
        <v>23877</v>
      </c>
      <c r="D27" t="s">
        <v>6</v>
      </c>
      <c r="E27" t="s">
        <v>232</v>
      </c>
      <c r="F27" t="str">
        <f t="shared" si="0"/>
        <v>FR0000051732XPAR</v>
      </c>
      <c r="G27">
        <f t="shared" si="1"/>
        <v>5812617.2898484841</v>
      </c>
      <c r="H27">
        <v>231000.07</v>
      </c>
      <c r="I27">
        <v>492729.77</v>
      </c>
      <c r="J27">
        <v>476402.92</v>
      </c>
      <c r="K27">
        <v>186838.26</v>
      </c>
      <c r="L27">
        <v>292435.61</v>
      </c>
      <c r="M27">
        <v>269024.39</v>
      </c>
      <c r="N27">
        <v>519387.54</v>
      </c>
      <c r="O27">
        <v>264161.01</v>
      </c>
      <c r="P27">
        <v>791661.36</v>
      </c>
      <c r="Q27">
        <v>989381.33</v>
      </c>
      <c r="R27">
        <v>818783.37</v>
      </c>
      <c r="S27">
        <v>2240876.52</v>
      </c>
      <c r="T27">
        <v>989540.08</v>
      </c>
      <c r="U27">
        <v>1158121.05</v>
      </c>
      <c r="V27">
        <v>819983.87</v>
      </c>
      <c r="W27">
        <v>771807.49</v>
      </c>
      <c r="X27">
        <v>955868.08</v>
      </c>
      <c r="Y27">
        <v>448698.03</v>
      </c>
      <c r="Z27">
        <v>352330.22</v>
      </c>
      <c r="AA27">
        <v>1129217.1200000001</v>
      </c>
      <c r="AB27">
        <v>521333.54</v>
      </c>
      <c r="AC27">
        <v>307292.88</v>
      </c>
      <c r="AD27">
        <v>490929.39</v>
      </c>
      <c r="AE27">
        <v>354431.96</v>
      </c>
      <c r="AF27">
        <v>378197.91</v>
      </c>
      <c r="AG27">
        <v>492934.21</v>
      </c>
      <c r="AH27">
        <v>2695197.06</v>
      </c>
      <c r="AI27">
        <v>1412350.54</v>
      </c>
      <c r="AJ27">
        <v>2513556.36</v>
      </c>
      <c r="AK27">
        <v>2520969.87</v>
      </c>
      <c r="AL27">
        <v>2242907.0499999998</v>
      </c>
      <c r="AM27">
        <v>2907169.02</v>
      </c>
      <c r="AN27">
        <v>2269758.42</v>
      </c>
      <c r="AO27">
        <v>1273962.21</v>
      </c>
      <c r="AP27">
        <v>1122101.47</v>
      </c>
      <c r="AQ27">
        <v>1344676.79</v>
      </c>
      <c r="AR27">
        <v>1305967.3</v>
      </c>
      <c r="AS27">
        <v>8717721.4000000004</v>
      </c>
      <c r="AT27">
        <v>18178896.27</v>
      </c>
      <c r="AU27">
        <v>38331913.399999999</v>
      </c>
      <c r="AV27">
        <v>61467114.869999997</v>
      </c>
      <c r="AW27">
        <v>19880579.66</v>
      </c>
      <c r="AX27">
        <v>10257022.699999999</v>
      </c>
      <c r="AY27">
        <v>9417238.3699999992</v>
      </c>
      <c r="AZ27">
        <v>5672854.0300000003</v>
      </c>
      <c r="BA27">
        <v>5493166.4299999997</v>
      </c>
      <c r="BB27">
        <v>16769861.35</v>
      </c>
      <c r="BC27">
        <v>8374342.54</v>
      </c>
      <c r="BD27">
        <v>5401279.7400000002</v>
      </c>
      <c r="BE27">
        <v>6757349.3700000001</v>
      </c>
      <c r="BF27">
        <v>13928764.48</v>
      </c>
      <c r="BG27">
        <v>12332259.07</v>
      </c>
      <c r="BH27">
        <v>7737737.9299999997</v>
      </c>
      <c r="BI27">
        <v>7404673.4500000002</v>
      </c>
      <c r="BJ27">
        <v>7150296.9800000004</v>
      </c>
      <c r="BK27">
        <v>8576633.3300000001</v>
      </c>
      <c r="BL27">
        <v>5525534.5899999999</v>
      </c>
      <c r="BM27">
        <v>4925571.2699999996</v>
      </c>
      <c r="BN27">
        <v>936415.89</v>
      </c>
      <c r="BO27">
        <v>8062693.6399999997</v>
      </c>
      <c r="BP27">
        <v>7009153.1299999999</v>
      </c>
      <c r="BQ27">
        <v>1436822.91</v>
      </c>
      <c r="BR27">
        <v>3795558.23</v>
      </c>
      <c r="BS27">
        <v>3674580.96</v>
      </c>
      <c r="BT27">
        <v>23346781.280000001</v>
      </c>
      <c r="BU27">
        <v>14717939.789999999</v>
      </c>
    </row>
    <row r="28" spans="1:73" x14ac:dyDescent="0.25">
      <c r="A28" t="s">
        <v>19</v>
      </c>
      <c r="B28" t="s">
        <v>20</v>
      </c>
      <c r="C28">
        <v>9078152</v>
      </c>
      <c r="D28" t="s">
        <v>245</v>
      </c>
      <c r="E28" t="s">
        <v>244</v>
      </c>
      <c r="F28" t="str">
        <f t="shared" si="0"/>
        <v>FR0000051732MTAH</v>
      </c>
      <c r="G28">
        <f t="shared" si="1"/>
        <v>5997441.5642424244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247536428.88</v>
      </c>
      <c r="BU28">
        <v>148294714.36000001</v>
      </c>
    </row>
    <row r="29" spans="1:73" x14ac:dyDescent="0.25">
      <c r="A29" t="s">
        <v>21</v>
      </c>
      <c r="B29" t="s">
        <v>22</v>
      </c>
      <c r="C29">
        <v>1499</v>
      </c>
      <c r="D29" t="s">
        <v>6</v>
      </c>
      <c r="E29" t="s">
        <v>232</v>
      </c>
      <c r="F29" t="str">
        <f t="shared" si="0"/>
        <v>FR0000051807XPAR</v>
      </c>
      <c r="G29">
        <f t="shared" si="1"/>
        <v>22627107.381818179</v>
      </c>
      <c r="H29">
        <v>18153854.620000001</v>
      </c>
      <c r="I29">
        <v>23976410.75</v>
      </c>
      <c r="J29">
        <v>14705582.51</v>
      </c>
      <c r="K29">
        <v>20064398.52</v>
      </c>
      <c r="L29">
        <v>21608463.300000001</v>
      </c>
      <c r="M29">
        <v>26489154.420000002</v>
      </c>
      <c r="N29">
        <v>24116633.899999999</v>
      </c>
      <c r="O29">
        <v>16108199.24</v>
      </c>
      <c r="P29">
        <v>35721957.439999998</v>
      </c>
      <c r="Q29">
        <v>46592897.520000003</v>
      </c>
      <c r="R29">
        <v>28709740.510000002</v>
      </c>
      <c r="S29">
        <v>19748676.800000001</v>
      </c>
      <c r="T29">
        <v>19420544.440000001</v>
      </c>
      <c r="U29">
        <v>11324822.699999999</v>
      </c>
      <c r="V29">
        <v>11756615.74</v>
      </c>
      <c r="W29">
        <v>12023185.1</v>
      </c>
      <c r="X29">
        <v>7957671.0599999996</v>
      </c>
      <c r="Y29">
        <v>9579076.3800000008</v>
      </c>
      <c r="Z29">
        <v>17166018.460000001</v>
      </c>
      <c r="AA29">
        <v>18366630.82</v>
      </c>
      <c r="AB29">
        <v>16747158.560000001</v>
      </c>
      <c r="AC29">
        <v>11914314.9</v>
      </c>
      <c r="AD29">
        <v>12651656.720000001</v>
      </c>
      <c r="AE29">
        <v>18066234.449999999</v>
      </c>
      <c r="AF29">
        <v>27136189.34</v>
      </c>
      <c r="AG29">
        <v>39120692.060000002</v>
      </c>
      <c r="AH29">
        <v>27769260.260000002</v>
      </c>
      <c r="AI29">
        <v>25391611.620000001</v>
      </c>
      <c r="AJ29">
        <v>34283800.219999999</v>
      </c>
      <c r="AK29">
        <v>18783179.420000002</v>
      </c>
      <c r="AL29">
        <v>18256358.52</v>
      </c>
      <c r="AM29">
        <v>16464455.359999999</v>
      </c>
      <c r="AN29">
        <v>17538349.98</v>
      </c>
      <c r="AO29">
        <v>25019117.68</v>
      </c>
      <c r="AP29">
        <v>16324584.4</v>
      </c>
      <c r="AQ29">
        <v>21952754.559999999</v>
      </c>
      <c r="AR29">
        <v>20340064.620000001</v>
      </c>
      <c r="AS29">
        <v>33668675.68</v>
      </c>
      <c r="AT29">
        <v>11409044.84</v>
      </c>
      <c r="AU29">
        <v>26736863.539999999</v>
      </c>
      <c r="AV29">
        <v>16619512.82</v>
      </c>
      <c r="AW29">
        <v>16768769.140000001</v>
      </c>
      <c r="AX29">
        <v>17517057.109999999</v>
      </c>
      <c r="AY29">
        <v>17816629.300000001</v>
      </c>
      <c r="AZ29">
        <v>21298047.559999999</v>
      </c>
      <c r="BA29">
        <v>16850005.219999999</v>
      </c>
      <c r="BB29">
        <v>20479309.109999999</v>
      </c>
      <c r="BC29">
        <v>17016083.539999999</v>
      </c>
      <c r="BD29">
        <v>18658591.399999999</v>
      </c>
      <c r="BE29">
        <v>16500633.640000001</v>
      </c>
      <c r="BF29">
        <v>14790384.390000001</v>
      </c>
      <c r="BG29">
        <v>14856021.220000001</v>
      </c>
      <c r="BH29">
        <v>35204205.159999996</v>
      </c>
      <c r="BI29">
        <v>21544457.300000001</v>
      </c>
      <c r="BJ29">
        <v>22082374.34</v>
      </c>
      <c r="BK29">
        <v>24860160.82</v>
      </c>
      <c r="BL29">
        <v>45238447.350000001</v>
      </c>
      <c r="BM29">
        <v>14052652.26</v>
      </c>
      <c r="BN29">
        <v>5450507.9199999999</v>
      </c>
      <c r="BO29">
        <v>14327927.439999999</v>
      </c>
      <c r="BP29">
        <v>14460968.220000001</v>
      </c>
      <c r="BQ29">
        <v>7723816.6799999997</v>
      </c>
      <c r="BR29">
        <v>11785003.699999999</v>
      </c>
      <c r="BS29">
        <v>10945718.9</v>
      </c>
      <c r="BT29">
        <v>121532983.2</v>
      </c>
      <c r="BU29">
        <v>91843918.5</v>
      </c>
    </row>
    <row r="30" spans="1:73" x14ac:dyDescent="0.25">
      <c r="A30" t="s">
        <v>21</v>
      </c>
      <c r="B30" t="s">
        <v>22</v>
      </c>
      <c r="C30">
        <v>6060180</v>
      </c>
      <c r="D30" t="s">
        <v>243</v>
      </c>
      <c r="E30" t="s">
        <v>244</v>
      </c>
      <c r="F30" t="str">
        <f t="shared" si="0"/>
        <v>FR0000051807ETLX</v>
      </c>
      <c r="G30">
        <f t="shared" si="1"/>
        <v>554852.03075757576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12213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2437.5</v>
      </c>
      <c r="AC30">
        <v>0</v>
      </c>
      <c r="AD30">
        <v>0</v>
      </c>
      <c r="AE30">
        <v>0</v>
      </c>
      <c r="AF30">
        <v>41720</v>
      </c>
      <c r="AG30">
        <v>38860.400000000001</v>
      </c>
      <c r="AH30">
        <v>1951.6</v>
      </c>
      <c r="AI30">
        <v>942.4</v>
      </c>
      <c r="AJ30">
        <v>9120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5301</v>
      </c>
      <c r="AY30">
        <v>0</v>
      </c>
      <c r="AZ30">
        <v>0</v>
      </c>
      <c r="BA30">
        <v>86900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8250</v>
      </c>
      <c r="BI30">
        <v>16000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16563649.32</v>
      </c>
      <c r="BU30">
        <v>19832888.809999999</v>
      </c>
    </row>
    <row r="31" spans="1:73" x14ac:dyDescent="0.25">
      <c r="A31" t="s">
        <v>21</v>
      </c>
      <c r="B31" t="s">
        <v>22</v>
      </c>
      <c r="C31">
        <v>9078151</v>
      </c>
      <c r="D31" t="s">
        <v>245</v>
      </c>
      <c r="E31" t="s">
        <v>244</v>
      </c>
      <c r="F31" t="str">
        <f t="shared" si="0"/>
        <v>FR0000051807MTAH</v>
      </c>
      <c r="G31">
        <f t="shared" si="1"/>
        <v>578245.19530303031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19708800.300000001</v>
      </c>
      <c r="BU31">
        <v>18455382.59</v>
      </c>
    </row>
    <row r="32" spans="1:73" x14ac:dyDescent="0.25">
      <c r="A32" t="s">
        <v>23</v>
      </c>
      <c r="B32" t="s">
        <v>250</v>
      </c>
      <c r="C32">
        <v>6060179</v>
      </c>
      <c r="D32" t="s">
        <v>243</v>
      </c>
      <c r="E32" t="s">
        <v>244</v>
      </c>
      <c r="F32" t="str">
        <f t="shared" si="0"/>
        <v>FR0000052292ETLX</v>
      </c>
      <c r="G32">
        <f t="shared" si="1"/>
        <v>3473437.2340909089</v>
      </c>
      <c r="H32">
        <v>6414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4200</v>
      </c>
      <c r="T32">
        <v>0</v>
      </c>
      <c r="U32">
        <v>4120</v>
      </c>
      <c r="V32">
        <v>0</v>
      </c>
      <c r="W32">
        <v>0</v>
      </c>
      <c r="X32">
        <v>0</v>
      </c>
      <c r="Y32">
        <v>2152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3949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2000</v>
      </c>
      <c r="AS32">
        <v>0</v>
      </c>
      <c r="AT32">
        <v>0</v>
      </c>
      <c r="AU32">
        <v>6146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2213</v>
      </c>
      <c r="BB32">
        <v>0</v>
      </c>
      <c r="BC32">
        <v>9212</v>
      </c>
      <c r="BD32">
        <v>0</v>
      </c>
      <c r="BE32">
        <v>0</v>
      </c>
      <c r="BF32">
        <v>0</v>
      </c>
      <c r="BG32">
        <v>0</v>
      </c>
      <c r="BH32">
        <v>18796</v>
      </c>
      <c r="BI32">
        <v>6915</v>
      </c>
      <c r="BJ32">
        <v>0</v>
      </c>
      <c r="BK32">
        <v>0</v>
      </c>
      <c r="BL32">
        <v>4526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106847254.09999999</v>
      </c>
      <c r="BU32">
        <v>122328960.34999999</v>
      </c>
    </row>
    <row r="33" spans="1:73" x14ac:dyDescent="0.25">
      <c r="A33" t="s">
        <v>23</v>
      </c>
      <c r="B33" t="s">
        <v>24</v>
      </c>
      <c r="C33">
        <v>26343</v>
      </c>
      <c r="D33" t="s">
        <v>6</v>
      </c>
      <c r="E33" t="s">
        <v>232</v>
      </c>
      <c r="F33" t="str">
        <f t="shared" si="0"/>
        <v>FR0000052292XPAR</v>
      </c>
      <c r="G33">
        <f t="shared" si="1"/>
        <v>116885392.73469697</v>
      </c>
      <c r="H33">
        <v>104105247.5</v>
      </c>
      <c r="I33">
        <v>103291989</v>
      </c>
      <c r="J33">
        <v>102517942</v>
      </c>
      <c r="K33">
        <v>154129790.5</v>
      </c>
      <c r="L33">
        <v>106720025</v>
      </c>
      <c r="M33">
        <v>79276778</v>
      </c>
      <c r="N33">
        <v>79961217.5</v>
      </c>
      <c r="O33">
        <v>119664231</v>
      </c>
      <c r="P33">
        <v>164544614</v>
      </c>
      <c r="Q33">
        <v>159000752</v>
      </c>
      <c r="R33">
        <v>126696952.5</v>
      </c>
      <c r="S33">
        <v>110268991</v>
      </c>
      <c r="T33">
        <v>97356449</v>
      </c>
      <c r="U33">
        <v>80252209</v>
      </c>
      <c r="V33">
        <v>96055555</v>
      </c>
      <c r="W33">
        <v>150368561</v>
      </c>
      <c r="X33">
        <v>96200390</v>
      </c>
      <c r="Y33">
        <v>103217902</v>
      </c>
      <c r="Z33">
        <v>101875324</v>
      </c>
      <c r="AA33">
        <v>136236833</v>
      </c>
      <c r="AB33">
        <v>143589666</v>
      </c>
      <c r="AC33">
        <v>72020630.5</v>
      </c>
      <c r="AD33">
        <v>76644411.5</v>
      </c>
      <c r="AE33">
        <v>102759367</v>
      </c>
      <c r="AF33">
        <v>156551145.5</v>
      </c>
      <c r="AG33">
        <v>161089714</v>
      </c>
      <c r="AH33">
        <v>150837282</v>
      </c>
      <c r="AI33">
        <v>122229589</v>
      </c>
      <c r="AJ33">
        <v>200754168</v>
      </c>
      <c r="AK33">
        <v>117573532</v>
      </c>
      <c r="AL33">
        <v>152868393.5</v>
      </c>
      <c r="AM33">
        <v>114244239.5</v>
      </c>
      <c r="AN33">
        <v>84122740.5</v>
      </c>
      <c r="AO33">
        <v>95650586</v>
      </c>
      <c r="AP33">
        <v>73223935.5</v>
      </c>
      <c r="AQ33">
        <v>89332711.5</v>
      </c>
      <c r="AR33">
        <v>110801707.5</v>
      </c>
      <c r="AS33">
        <v>205809975</v>
      </c>
      <c r="AT33">
        <v>97859070</v>
      </c>
      <c r="AU33">
        <v>84681461</v>
      </c>
      <c r="AV33">
        <v>57766685</v>
      </c>
      <c r="AW33">
        <v>105275700.5</v>
      </c>
      <c r="AX33">
        <v>180680634</v>
      </c>
      <c r="AY33">
        <v>148674547</v>
      </c>
      <c r="AZ33">
        <v>106888400.5</v>
      </c>
      <c r="BA33">
        <v>138576316.5</v>
      </c>
      <c r="BB33">
        <v>198847945</v>
      </c>
      <c r="BC33">
        <v>151540972</v>
      </c>
      <c r="BD33">
        <v>135690470.5</v>
      </c>
      <c r="BE33">
        <v>125217069</v>
      </c>
      <c r="BF33">
        <v>121327764</v>
      </c>
      <c r="BG33">
        <v>126709071.5</v>
      </c>
      <c r="BH33">
        <v>122536876</v>
      </c>
      <c r="BI33">
        <v>132086797.5</v>
      </c>
      <c r="BJ33">
        <v>138148827</v>
      </c>
      <c r="BK33">
        <v>132774314</v>
      </c>
      <c r="BL33">
        <v>261174787</v>
      </c>
      <c r="BM33">
        <v>95524134.5</v>
      </c>
      <c r="BN33">
        <v>21575984</v>
      </c>
      <c r="BO33">
        <v>78428491</v>
      </c>
      <c r="BP33">
        <v>68683289</v>
      </c>
      <c r="BQ33">
        <v>33576260.5</v>
      </c>
      <c r="BR33">
        <v>105833153</v>
      </c>
      <c r="BS33">
        <v>105225575.5</v>
      </c>
      <c r="BT33">
        <v>67854826.709999993</v>
      </c>
      <c r="BU33">
        <v>69430950.780000001</v>
      </c>
    </row>
    <row r="34" spans="1:73" x14ac:dyDescent="0.25">
      <c r="A34" t="s">
        <v>23</v>
      </c>
      <c r="B34" t="s">
        <v>24</v>
      </c>
      <c r="C34">
        <v>9078150</v>
      </c>
      <c r="D34" t="s">
        <v>245</v>
      </c>
      <c r="E34" t="s">
        <v>244</v>
      </c>
      <c r="F34" t="str">
        <f t="shared" si="0"/>
        <v>FR0000052292MTAH</v>
      </c>
      <c r="G34">
        <f t="shared" si="1"/>
        <v>1769073.4868181818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50272479.850000001</v>
      </c>
      <c r="BU34">
        <v>66486370.280000001</v>
      </c>
    </row>
    <row r="35" spans="1:73" x14ac:dyDescent="0.25">
      <c r="A35" t="s">
        <v>25</v>
      </c>
      <c r="B35" t="s">
        <v>26</v>
      </c>
      <c r="C35">
        <v>29187</v>
      </c>
      <c r="D35" t="s">
        <v>6</v>
      </c>
      <c r="E35" t="s">
        <v>232</v>
      </c>
      <c r="F35" t="str">
        <f t="shared" si="0"/>
        <v>FR0000053225XPAR</v>
      </c>
      <c r="G35">
        <f t="shared" si="1"/>
        <v>3713740.0449999999</v>
      </c>
      <c r="H35">
        <v>1563594.16</v>
      </c>
      <c r="I35">
        <v>1289872.6000000001</v>
      </c>
      <c r="J35">
        <v>612153.14</v>
      </c>
      <c r="K35">
        <v>549486.24</v>
      </c>
      <c r="L35">
        <v>883803.4</v>
      </c>
      <c r="M35">
        <v>596130.5</v>
      </c>
      <c r="N35">
        <v>1785970.7</v>
      </c>
      <c r="O35">
        <v>911394.64</v>
      </c>
      <c r="P35">
        <v>555440.93999999994</v>
      </c>
      <c r="Q35">
        <v>535456.31999999995</v>
      </c>
      <c r="R35">
        <v>693462.72</v>
      </c>
      <c r="S35">
        <v>521414.18</v>
      </c>
      <c r="T35">
        <v>699608.06</v>
      </c>
      <c r="U35">
        <v>814908.54</v>
      </c>
      <c r="V35">
        <v>593237.69999999995</v>
      </c>
      <c r="W35">
        <v>345678.3</v>
      </c>
      <c r="X35">
        <v>1129555.6399999999</v>
      </c>
      <c r="Y35">
        <v>1312712.1000000001</v>
      </c>
      <c r="Z35">
        <v>562592.06000000006</v>
      </c>
      <c r="AA35">
        <v>3465479.96</v>
      </c>
      <c r="AB35">
        <v>1361318.16</v>
      </c>
      <c r="AC35">
        <v>1559369.1</v>
      </c>
      <c r="AD35">
        <v>978739.44</v>
      </c>
      <c r="AE35">
        <v>765651.54</v>
      </c>
      <c r="AF35">
        <v>1380765.3</v>
      </c>
      <c r="AG35">
        <v>771973.48</v>
      </c>
      <c r="AH35">
        <v>1315504.8799999999</v>
      </c>
      <c r="AI35">
        <v>724091.42</v>
      </c>
      <c r="AJ35">
        <v>1041144.12</v>
      </c>
      <c r="AK35">
        <v>968386.48</v>
      </c>
      <c r="AL35">
        <v>1344522.6</v>
      </c>
      <c r="AM35">
        <v>1328235.7</v>
      </c>
      <c r="AN35">
        <v>1118405.6399999999</v>
      </c>
      <c r="AO35">
        <v>968268.58</v>
      </c>
      <c r="AP35">
        <v>799732.34</v>
      </c>
      <c r="AQ35">
        <v>905020.1</v>
      </c>
      <c r="AR35">
        <v>838721.16</v>
      </c>
      <c r="AS35">
        <v>1588534.8</v>
      </c>
      <c r="AT35">
        <v>871515.6</v>
      </c>
      <c r="AU35">
        <v>1257589.74</v>
      </c>
      <c r="AV35">
        <v>792341.22</v>
      </c>
      <c r="AW35">
        <v>773177.96</v>
      </c>
      <c r="AX35">
        <v>1893146.65</v>
      </c>
      <c r="AY35">
        <v>1083730.55</v>
      </c>
      <c r="AZ35">
        <v>1008998.14</v>
      </c>
      <c r="BA35">
        <v>877131.36</v>
      </c>
      <c r="BB35">
        <v>886629.52</v>
      </c>
      <c r="BC35">
        <v>930005.46</v>
      </c>
      <c r="BD35">
        <v>685265.84</v>
      </c>
      <c r="BE35">
        <v>932016.26</v>
      </c>
      <c r="BF35">
        <v>906239.46</v>
      </c>
      <c r="BG35">
        <v>928558.04</v>
      </c>
      <c r="BH35">
        <v>1716858.46</v>
      </c>
      <c r="BI35">
        <v>1009670.06</v>
      </c>
      <c r="BJ35">
        <v>833437.18</v>
      </c>
      <c r="BK35">
        <v>759250.46</v>
      </c>
      <c r="BL35">
        <v>1268528.98</v>
      </c>
      <c r="BM35">
        <v>480967.98</v>
      </c>
      <c r="BN35">
        <v>272443.8</v>
      </c>
      <c r="BO35">
        <v>616546.31999999995</v>
      </c>
      <c r="BP35">
        <v>1028415.62</v>
      </c>
      <c r="BQ35">
        <v>329088.06</v>
      </c>
      <c r="BR35">
        <v>782865.04</v>
      </c>
      <c r="BS35">
        <v>841925.72</v>
      </c>
      <c r="BT35">
        <v>66069586.649999999</v>
      </c>
      <c r="BU35">
        <v>116090576.09999999</v>
      </c>
    </row>
    <row r="36" spans="1:73" x14ac:dyDescent="0.25">
      <c r="A36" t="s">
        <v>25</v>
      </c>
      <c r="B36" t="s">
        <v>26</v>
      </c>
      <c r="C36">
        <v>9078149</v>
      </c>
      <c r="D36" t="s">
        <v>245</v>
      </c>
      <c r="E36" t="s">
        <v>244</v>
      </c>
      <c r="F36" t="str">
        <f t="shared" si="0"/>
        <v>FR0000053225MTAH</v>
      </c>
      <c r="G36">
        <f t="shared" si="1"/>
        <v>44136.03212121212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1351196.04</v>
      </c>
      <c r="BU36">
        <v>1561782.08</v>
      </c>
    </row>
    <row r="37" spans="1:73" x14ac:dyDescent="0.25">
      <c r="A37" t="s">
        <v>27</v>
      </c>
      <c r="B37" t="s">
        <v>28</v>
      </c>
      <c r="C37">
        <v>29634</v>
      </c>
      <c r="D37" t="s">
        <v>6</v>
      </c>
      <c r="E37" t="s">
        <v>232</v>
      </c>
      <c r="F37" t="str">
        <f t="shared" si="0"/>
        <v>FR0000053381XPAR</v>
      </c>
      <c r="G37">
        <f t="shared" si="1"/>
        <v>867785.36530303024</v>
      </c>
      <c r="H37">
        <v>513939.45</v>
      </c>
      <c r="I37">
        <v>384949.79</v>
      </c>
      <c r="J37">
        <v>505702.43</v>
      </c>
      <c r="K37">
        <v>487374.17</v>
      </c>
      <c r="L37">
        <v>438022.39</v>
      </c>
      <c r="M37">
        <v>766635.92</v>
      </c>
      <c r="N37">
        <v>549938.39</v>
      </c>
      <c r="O37">
        <v>482006.49</v>
      </c>
      <c r="P37">
        <v>490139.85</v>
      </c>
      <c r="Q37">
        <v>515179.42</v>
      </c>
      <c r="R37">
        <v>707395.39</v>
      </c>
      <c r="S37">
        <v>1067836.3</v>
      </c>
      <c r="T37">
        <v>891977.1</v>
      </c>
      <c r="U37">
        <v>738146.39</v>
      </c>
      <c r="V37">
        <v>361380.71</v>
      </c>
      <c r="W37">
        <v>426701.5</v>
      </c>
      <c r="X37">
        <v>529523.29</v>
      </c>
      <c r="Y37">
        <v>811656.99</v>
      </c>
      <c r="Z37">
        <v>962520.56</v>
      </c>
      <c r="AA37">
        <v>1702955.81</v>
      </c>
      <c r="AB37">
        <v>999023.17</v>
      </c>
      <c r="AC37">
        <v>307527.15000000002</v>
      </c>
      <c r="AD37">
        <v>534951.39</v>
      </c>
      <c r="AE37">
        <v>419676.71</v>
      </c>
      <c r="AF37">
        <v>794850.01</v>
      </c>
      <c r="AG37">
        <v>532165.73</v>
      </c>
      <c r="AH37">
        <v>892681.51</v>
      </c>
      <c r="AI37">
        <v>652814.13</v>
      </c>
      <c r="AJ37">
        <v>1224401.56</v>
      </c>
      <c r="AK37">
        <v>681966.46</v>
      </c>
      <c r="AL37">
        <v>1444680.19</v>
      </c>
      <c r="AM37">
        <v>1153683.81</v>
      </c>
      <c r="AN37">
        <v>766601.2</v>
      </c>
      <c r="AO37">
        <v>755481.07</v>
      </c>
      <c r="AP37">
        <v>1806491.12</v>
      </c>
      <c r="AQ37">
        <v>877298.72</v>
      </c>
      <c r="AR37">
        <v>1039355.21</v>
      </c>
      <c r="AS37">
        <v>1220097.96</v>
      </c>
      <c r="AT37">
        <v>1004546.97</v>
      </c>
      <c r="AU37">
        <v>1050726.5</v>
      </c>
      <c r="AV37">
        <v>475312.34</v>
      </c>
      <c r="AW37">
        <v>750239.78</v>
      </c>
      <c r="AX37">
        <v>1122130.95</v>
      </c>
      <c r="AY37">
        <v>1679150.01</v>
      </c>
      <c r="AZ37">
        <v>1061848.17</v>
      </c>
      <c r="BA37">
        <v>599057.26</v>
      </c>
      <c r="BB37">
        <v>1941624.89</v>
      </c>
      <c r="BC37">
        <v>1202142.04</v>
      </c>
      <c r="BD37">
        <v>1145027.26</v>
      </c>
      <c r="BE37">
        <v>1104225.54</v>
      </c>
      <c r="BF37">
        <v>1190208.1499999999</v>
      </c>
      <c r="BG37">
        <v>875036.33</v>
      </c>
      <c r="BH37">
        <v>797415.85</v>
      </c>
      <c r="BI37">
        <v>1189761.48</v>
      </c>
      <c r="BJ37">
        <v>2041108.43</v>
      </c>
      <c r="BK37">
        <v>1793237.51</v>
      </c>
      <c r="BL37">
        <v>1274890.77</v>
      </c>
      <c r="BM37">
        <v>536126.43999999994</v>
      </c>
      <c r="BN37">
        <v>248207.8</v>
      </c>
      <c r="BO37">
        <v>927983.32</v>
      </c>
      <c r="BP37">
        <v>770582.49</v>
      </c>
      <c r="BQ37">
        <v>268908.82</v>
      </c>
      <c r="BR37">
        <v>535656.44999999995</v>
      </c>
      <c r="BS37">
        <v>547582.47</v>
      </c>
      <c r="BT37">
        <v>926850.3</v>
      </c>
      <c r="BU37">
        <v>776516.35</v>
      </c>
    </row>
    <row r="38" spans="1:73" x14ac:dyDescent="0.25">
      <c r="A38" t="s">
        <v>27</v>
      </c>
      <c r="B38" t="s">
        <v>28</v>
      </c>
      <c r="C38">
        <v>9078148</v>
      </c>
      <c r="D38" t="s">
        <v>245</v>
      </c>
      <c r="E38" t="s">
        <v>244</v>
      </c>
      <c r="F38" t="str">
        <f t="shared" si="0"/>
        <v>FR0000053381MTAH</v>
      </c>
      <c r="G38">
        <f t="shared" si="1"/>
        <v>6856749.4833333334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214486771.90000001</v>
      </c>
      <c r="BU38">
        <v>238058694</v>
      </c>
    </row>
    <row r="39" spans="1:73" x14ac:dyDescent="0.25">
      <c r="A39" t="s">
        <v>29</v>
      </c>
      <c r="B39" t="s">
        <v>251</v>
      </c>
      <c r="C39">
        <v>6060178</v>
      </c>
      <c r="D39" t="s">
        <v>243</v>
      </c>
      <c r="E39" t="s">
        <v>244</v>
      </c>
      <c r="F39" t="str">
        <f t="shared" si="0"/>
        <v>FR0000054470ETLX</v>
      </c>
      <c r="G39">
        <f t="shared" si="1"/>
        <v>167517.50606060604</v>
      </c>
      <c r="H39">
        <v>0</v>
      </c>
      <c r="I39">
        <v>3412.5</v>
      </c>
      <c r="J39">
        <v>16938.650000000001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138.35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982.8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6648552.5499999998</v>
      </c>
      <c r="BU39">
        <v>4386130.55</v>
      </c>
    </row>
    <row r="40" spans="1:73" x14ac:dyDescent="0.25">
      <c r="A40" t="s">
        <v>29</v>
      </c>
      <c r="B40" t="s">
        <v>30</v>
      </c>
      <c r="C40">
        <v>32915</v>
      </c>
      <c r="D40" t="s">
        <v>6</v>
      </c>
      <c r="E40" t="s">
        <v>232</v>
      </c>
      <c r="F40" t="str">
        <f t="shared" si="0"/>
        <v>FR0000054470XPAR</v>
      </c>
      <c r="G40">
        <f t="shared" si="1"/>
        <v>9430088.9757575747</v>
      </c>
      <c r="H40">
        <v>8126285.3099999996</v>
      </c>
      <c r="I40">
        <v>79124066.379999995</v>
      </c>
      <c r="J40">
        <v>45508800.189999998</v>
      </c>
      <c r="K40">
        <v>22971433.100000001</v>
      </c>
      <c r="L40">
        <v>16151505.74</v>
      </c>
      <c r="M40">
        <v>9557589.4100000001</v>
      </c>
      <c r="N40">
        <v>12950000.210000001</v>
      </c>
      <c r="O40">
        <v>7322300.7699999996</v>
      </c>
      <c r="P40">
        <v>6889682.8600000003</v>
      </c>
      <c r="Q40">
        <v>9442635.4900000002</v>
      </c>
      <c r="R40">
        <v>9529643.3300000001</v>
      </c>
      <c r="S40">
        <v>7346746.2300000004</v>
      </c>
      <c r="T40">
        <v>9030870.2599999998</v>
      </c>
      <c r="U40">
        <v>6641330.6299999999</v>
      </c>
      <c r="V40">
        <v>6489430.0099999998</v>
      </c>
      <c r="W40">
        <v>7738352.71</v>
      </c>
      <c r="X40">
        <v>7384108.4500000002</v>
      </c>
      <c r="Y40">
        <v>5850463.2999999998</v>
      </c>
      <c r="Z40">
        <v>11084750.26</v>
      </c>
      <c r="AA40">
        <v>7232545.8300000001</v>
      </c>
      <c r="AB40">
        <v>19530177.039999999</v>
      </c>
      <c r="AC40">
        <v>11716576.08</v>
      </c>
      <c r="AD40">
        <v>9841986.6600000001</v>
      </c>
      <c r="AE40">
        <v>6881081.8799999999</v>
      </c>
      <c r="AF40">
        <v>8159180.9000000004</v>
      </c>
      <c r="AG40">
        <v>10687925.210000001</v>
      </c>
      <c r="AH40">
        <v>6851257.5800000001</v>
      </c>
      <c r="AI40">
        <v>5121558.8</v>
      </c>
      <c r="AJ40">
        <v>4810319.13</v>
      </c>
      <c r="AK40">
        <v>6615935.1299999999</v>
      </c>
      <c r="AL40">
        <v>9450106.0800000001</v>
      </c>
      <c r="AM40">
        <v>9287732.1999999993</v>
      </c>
      <c r="AN40">
        <v>4951496.83</v>
      </c>
      <c r="AO40">
        <v>4472707.7</v>
      </c>
      <c r="AP40">
        <v>9746001.4399999995</v>
      </c>
      <c r="AQ40">
        <v>7539319.1500000004</v>
      </c>
      <c r="AR40">
        <v>4695447.4400000004</v>
      </c>
      <c r="AS40">
        <v>8062541.3600000003</v>
      </c>
      <c r="AT40">
        <v>5030061.0999999996</v>
      </c>
      <c r="AU40">
        <v>6739367.7999999998</v>
      </c>
      <c r="AV40">
        <v>2544024.59</v>
      </c>
      <c r="AW40">
        <v>3377952.98</v>
      </c>
      <c r="AX40">
        <v>7811578.9800000004</v>
      </c>
      <c r="AY40">
        <v>5521331.25</v>
      </c>
      <c r="AZ40">
        <v>5804463.8700000001</v>
      </c>
      <c r="BA40">
        <v>4585456.7300000004</v>
      </c>
      <c r="BB40">
        <v>22617491.739999998</v>
      </c>
      <c r="BC40">
        <v>9960427.9700000007</v>
      </c>
      <c r="BD40">
        <v>4885749.3</v>
      </c>
      <c r="BE40">
        <v>6172414.2599999998</v>
      </c>
      <c r="BF40">
        <v>4258072.29</v>
      </c>
      <c r="BG40">
        <v>4354247.1900000004</v>
      </c>
      <c r="BH40">
        <v>5538181.1699999999</v>
      </c>
      <c r="BI40">
        <v>5809126.6299999999</v>
      </c>
      <c r="BJ40">
        <v>4490254.24</v>
      </c>
      <c r="BK40">
        <v>3947402.84</v>
      </c>
      <c r="BL40">
        <v>11898737.890000001</v>
      </c>
      <c r="BM40">
        <v>3901474.78</v>
      </c>
      <c r="BN40">
        <v>1130580.93</v>
      </c>
      <c r="BO40">
        <v>3573083.12</v>
      </c>
      <c r="BP40">
        <v>2677084.2999999998</v>
      </c>
      <c r="BQ40">
        <v>2032674.98</v>
      </c>
      <c r="BR40">
        <v>3291433.5</v>
      </c>
      <c r="BS40">
        <v>1971713.44</v>
      </c>
      <c r="BT40">
        <v>18035934.27</v>
      </c>
      <c r="BU40">
        <v>15631659.18</v>
      </c>
    </row>
    <row r="41" spans="1:73" x14ac:dyDescent="0.25">
      <c r="A41" t="s">
        <v>29</v>
      </c>
      <c r="B41" t="s">
        <v>30</v>
      </c>
      <c r="C41">
        <v>9078147</v>
      </c>
      <c r="D41" t="s">
        <v>245</v>
      </c>
      <c r="E41" t="s">
        <v>244</v>
      </c>
      <c r="F41" t="str">
        <f t="shared" si="0"/>
        <v>FR0000054470MTAH</v>
      </c>
      <c r="G41">
        <f t="shared" si="1"/>
        <v>95713.664393939383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2763438.25</v>
      </c>
      <c r="BU41">
        <v>3553663.6</v>
      </c>
    </row>
    <row r="42" spans="1:73" x14ac:dyDescent="0.25">
      <c r="A42" t="s">
        <v>31</v>
      </c>
      <c r="B42" t="s">
        <v>32</v>
      </c>
      <c r="C42">
        <v>1526</v>
      </c>
      <c r="D42" t="s">
        <v>6</v>
      </c>
      <c r="E42" t="s">
        <v>232</v>
      </c>
      <c r="F42" t="str">
        <f t="shared" si="0"/>
        <v>FR0000054900XPAR</v>
      </c>
      <c r="G42">
        <f t="shared" si="1"/>
        <v>1802204.5883333331</v>
      </c>
      <c r="H42">
        <v>583818.48</v>
      </c>
      <c r="I42">
        <v>664788.75</v>
      </c>
      <c r="J42">
        <v>573282.19999999995</v>
      </c>
      <c r="K42">
        <v>561728.46</v>
      </c>
      <c r="L42">
        <v>365169.32</v>
      </c>
      <c r="M42">
        <v>441583.89</v>
      </c>
      <c r="N42">
        <v>615222.76</v>
      </c>
      <c r="O42">
        <v>574284.80000000005</v>
      </c>
      <c r="P42">
        <v>803278.42</v>
      </c>
      <c r="Q42">
        <v>391087.03</v>
      </c>
      <c r="R42">
        <v>267533.5</v>
      </c>
      <c r="S42">
        <v>366646.53</v>
      </c>
      <c r="T42">
        <v>351636.87</v>
      </c>
      <c r="U42">
        <v>485865.72</v>
      </c>
      <c r="V42">
        <v>494487.66</v>
      </c>
      <c r="W42">
        <v>477016.22</v>
      </c>
      <c r="X42">
        <v>461298.9</v>
      </c>
      <c r="Y42">
        <v>503937.98</v>
      </c>
      <c r="Z42">
        <v>499202.02</v>
      </c>
      <c r="AA42">
        <v>2323240.0499999998</v>
      </c>
      <c r="AB42">
        <v>1486138</v>
      </c>
      <c r="AC42">
        <v>1489694.39</v>
      </c>
      <c r="AD42">
        <v>1006602.32</v>
      </c>
      <c r="AE42">
        <v>1157135.53</v>
      </c>
      <c r="AF42">
        <v>1155719.82</v>
      </c>
      <c r="AG42">
        <v>1189892.48</v>
      </c>
      <c r="AH42">
        <v>1591452.71</v>
      </c>
      <c r="AI42">
        <v>552951.98</v>
      </c>
      <c r="AJ42">
        <v>989035.83</v>
      </c>
      <c r="AK42">
        <v>1493758.54</v>
      </c>
      <c r="AL42">
        <v>703093.55</v>
      </c>
      <c r="AM42">
        <v>732034.43</v>
      </c>
      <c r="AN42">
        <v>1057505.74</v>
      </c>
      <c r="AO42">
        <v>2170000.87</v>
      </c>
      <c r="AP42">
        <v>1191759.51</v>
      </c>
      <c r="AQ42">
        <v>1475622.77</v>
      </c>
      <c r="AR42">
        <v>1089721.49</v>
      </c>
      <c r="AS42">
        <v>2627163.39</v>
      </c>
      <c r="AT42">
        <v>1108598.97</v>
      </c>
      <c r="AU42">
        <v>2106362.5499999998</v>
      </c>
      <c r="AV42">
        <v>627814.55000000005</v>
      </c>
      <c r="AW42">
        <v>736712.97</v>
      </c>
      <c r="AX42">
        <v>1079605.6000000001</v>
      </c>
      <c r="AY42">
        <v>700221.7</v>
      </c>
      <c r="AZ42">
        <v>751804.71</v>
      </c>
      <c r="BA42">
        <v>726877.01</v>
      </c>
      <c r="BB42">
        <v>694406.17</v>
      </c>
      <c r="BC42">
        <v>666668.67000000004</v>
      </c>
      <c r="BD42">
        <v>856803.81</v>
      </c>
      <c r="BE42">
        <v>801144.01</v>
      </c>
      <c r="BF42">
        <v>835878.75</v>
      </c>
      <c r="BG42">
        <v>800865.03</v>
      </c>
      <c r="BH42">
        <v>830895.23</v>
      </c>
      <c r="BI42">
        <v>956551.62</v>
      </c>
      <c r="BJ42">
        <v>1309802.52</v>
      </c>
      <c r="BK42">
        <v>1376191.12</v>
      </c>
      <c r="BL42">
        <v>4012269.3</v>
      </c>
      <c r="BM42">
        <v>807682.04</v>
      </c>
      <c r="BN42">
        <v>425625.66</v>
      </c>
      <c r="BO42">
        <v>649437.39</v>
      </c>
      <c r="BP42">
        <v>578268.05000000005</v>
      </c>
      <c r="BQ42">
        <v>349994.03</v>
      </c>
      <c r="BR42">
        <v>561356.65</v>
      </c>
      <c r="BS42">
        <v>822182.63</v>
      </c>
      <c r="BT42">
        <v>29588104.050000001</v>
      </c>
      <c r="BU42">
        <v>29218985.129999999</v>
      </c>
    </row>
    <row r="43" spans="1:73" x14ac:dyDescent="0.25">
      <c r="A43" t="s">
        <v>31</v>
      </c>
      <c r="B43" t="s">
        <v>32</v>
      </c>
      <c r="C43">
        <v>9078146</v>
      </c>
      <c r="D43" t="s">
        <v>245</v>
      </c>
      <c r="E43" t="s">
        <v>244</v>
      </c>
      <c r="F43" t="str">
        <f t="shared" si="0"/>
        <v>FR0000054900MTAH</v>
      </c>
      <c r="G43">
        <f t="shared" si="1"/>
        <v>688874.39772727271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29850863.100000001</v>
      </c>
      <c r="BU43">
        <v>15614847.15</v>
      </c>
    </row>
    <row r="44" spans="1:73" x14ac:dyDescent="0.25">
      <c r="A44" t="s">
        <v>33</v>
      </c>
      <c r="B44" t="s">
        <v>34</v>
      </c>
      <c r="C44">
        <v>1988</v>
      </c>
      <c r="D44" t="s">
        <v>6</v>
      </c>
      <c r="E44" t="s">
        <v>232</v>
      </c>
      <c r="F44" t="str">
        <f t="shared" si="0"/>
        <v>FR0000064578XPAR</v>
      </c>
      <c r="G44">
        <f t="shared" si="1"/>
        <v>7155817.3533333326</v>
      </c>
      <c r="H44">
        <v>2372729.4500000002</v>
      </c>
      <c r="I44">
        <v>7817225.75</v>
      </c>
      <c r="J44">
        <v>5631111.4000000004</v>
      </c>
      <c r="K44">
        <v>4671900.45</v>
      </c>
      <c r="L44">
        <v>3773113.3</v>
      </c>
      <c r="M44">
        <v>2823859.75</v>
      </c>
      <c r="N44">
        <v>3389192.35</v>
      </c>
      <c r="O44">
        <v>4155451.4</v>
      </c>
      <c r="P44">
        <v>3207728.1</v>
      </c>
      <c r="Q44">
        <v>5319188.0999999996</v>
      </c>
      <c r="R44">
        <v>5606823.9500000002</v>
      </c>
      <c r="S44">
        <v>7089989.8499999996</v>
      </c>
      <c r="T44">
        <v>4826118</v>
      </c>
      <c r="U44">
        <v>7704449.3499999996</v>
      </c>
      <c r="V44">
        <v>5884002.75</v>
      </c>
      <c r="W44">
        <v>4548281.8</v>
      </c>
      <c r="X44">
        <v>3038644.4</v>
      </c>
      <c r="Y44">
        <v>5442685.6500000004</v>
      </c>
      <c r="Z44">
        <v>4460372.75</v>
      </c>
      <c r="AA44">
        <v>4060917.65</v>
      </c>
      <c r="AB44">
        <v>6783314.25</v>
      </c>
      <c r="AC44">
        <v>5799818.4500000002</v>
      </c>
      <c r="AD44">
        <v>3946229.1</v>
      </c>
      <c r="AE44">
        <v>4142220.05</v>
      </c>
      <c r="AF44">
        <v>10808069.4</v>
      </c>
      <c r="AG44">
        <v>5423506.5</v>
      </c>
      <c r="AH44">
        <v>4504724.75</v>
      </c>
      <c r="AI44">
        <v>3016826.65</v>
      </c>
      <c r="AJ44">
        <v>6350867.0499999998</v>
      </c>
      <c r="AK44">
        <v>6271062.4500000002</v>
      </c>
      <c r="AL44">
        <v>6145823.4000000004</v>
      </c>
      <c r="AM44">
        <v>4240462.8499999996</v>
      </c>
      <c r="AN44">
        <v>3830590.35</v>
      </c>
      <c r="AO44">
        <v>8685242.9000000004</v>
      </c>
      <c r="AP44">
        <v>3202558.9</v>
      </c>
      <c r="AQ44">
        <v>3368613.4</v>
      </c>
      <c r="AR44">
        <v>5823082.3499999996</v>
      </c>
      <c r="AS44">
        <v>29580438.399999999</v>
      </c>
      <c r="AT44">
        <v>3637682.05</v>
      </c>
      <c r="AU44">
        <v>5518123.7999999998</v>
      </c>
      <c r="AV44">
        <v>4006106.6</v>
      </c>
      <c r="AW44">
        <v>8567613.8499999996</v>
      </c>
      <c r="AX44">
        <v>9368684.7699999996</v>
      </c>
      <c r="AY44">
        <v>11284893.6</v>
      </c>
      <c r="AZ44">
        <v>4984439.7300000004</v>
      </c>
      <c r="BA44">
        <v>4325877.93</v>
      </c>
      <c r="BB44">
        <v>4236968.05</v>
      </c>
      <c r="BC44">
        <v>7371454.3600000003</v>
      </c>
      <c r="BD44">
        <v>4982895.87</v>
      </c>
      <c r="BE44">
        <v>3248413.14</v>
      </c>
      <c r="BF44">
        <v>2776023.38</v>
      </c>
      <c r="BG44">
        <v>2864656.07</v>
      </c>
      <c r="BH44">
        <v>5355662.78</v>
      </c>
      <c r="BI44">
        <v>6539557.7999999998</v>
      </c>
      <c r="BJ44">
        <v>5515036.8600000003</v>
      </c>
      <c r="BK44">
        <v>6513958.46</v>
      </c>
      <c r="BL44">
        <v>11802650.279999999</v>
      </c>
      <c r="BM44">
        <v>3132630.38</v>
      </c>
      <c r="BN44">
        <v>845261.04</v>
      </c>
      <c r="BO44">
        <v>2423246.12</v>
      </c>
      <c r="BP44">
        <v>2785546.82</v>
      </c>
      <c r="BQ44">
        <v>3101258.88</v>
      </c>
      <c r="BR44">
        <v>3163224.78</v>
      </c>
      <c r="BS44">
        <v>3238654.82</v>
      </c>
      <c r="BT44">
        <v>67079505.200000003</v>
      </c>
      <c r="BU44">
        <v>55866680.5</v>
      </c>
    </row>
    <row r="45" spans="1:73" x14ac:dyDescent="0.25">
      <c r="A45" t="s">
        <v>33</v>
      </c>
      <c r="B45" t="s">
        <v>34</v>
      </c>
      <c r="C45">
        <v>9078145</v>
      </c>
      <c r="D45" t="s">
        <v>245</v>
      </c>
      <c r="E45" t="s">
        <v>244</v>
      </c>
      <c r="F45" t="str">
        <f t="shared" si="0"/>
        <v>FR0000064578MTAH</v>
      </c>
      <c r="G45">
        <f t="shared" si="1"/>
        <v>1753556.1057575755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51616939.159999996</v>
      </c>
      <c r="BU45">
        <v>64117763.82</v>
      </c>
    </row>
    <row r="46" spans="1:73" x14ac:dyDescent="0.25">
      <c r="A46" t="s">
        <v>33</v>
      </c>
      <c r="B46" t="s">
        <v>252</v>
      </c>
      <c r="C46">
        <v>6060177</v>
      </c>
      <c r="D46" t="s">
        <v>243</v>
      </c>
      <c r="E46" t="s">
        <v>244</v>
      </c>
      <c r="F46" t="str">
        <f t="shared" si="0"/>
        <v>FR0000064578ETLX</v>
      </c>
      <c r="G46">
        <f t="shared" si="1"/>
        <v>112357.69121212121</v>
      </c>
      <c r="H46">
        <v>1403.7</v>
      </c>
      <c r="I46">
        <v>5482.35</v>
      </c>
      <c r="J46">
        <v>6203.9</v>
      </c>
      <c r="K46">
        <v>2076.8000000000002</v>
      </c>
      <c r="L46">
        <v>1890.6</v>
      </c>
      <c r="M46">
        <v>540.5</v>
      </c>
      <c r="N46">
        <v>1585.25</v>
      </c>
      <c r="O46">
        <v>1739.7</v>
      </c>
      <c r="P46">
        <v>1470.2</v>
      </c>
      <c r="Q46">
        <v>3434.7</v>
      </c>
      <c r="R46">
        <v>221.2</v>
      </c>
      <c r="S46">
        <v>431.6</v>
      </c>
      <c r="T46">
        <v>0</v>
      </c>
      <c r="U46">
        <v>422.8</v>
      </c>
      <c r="V46">
        <v>642.20000000000005</v>
      </c>
      <c r="W46">
        <v>2902.6</v>
      </c>
      <c r="X46">
        <v>0</v>
      </c>
      <c r="Y46">
        <v>2960.2</v>
      </c>
      <c r="Z46">
        <v>8799.9500000000007</v>
      </c>
      <c r="AA46">
        <v>8930.9500000000007</v>
      </c>
      <c r="AB46">
        <v>261.25</v>
      </c>
      <c r="AC46">
        <v>2637.5</v>
      </c>
      <c r="AD46">
        <v>1774.9</v>
      </c>
      <c r="AE46">
        <v>156.15</v>
      </c>
      <c r="AF46">
        <v>7439.4</v>
      </c>
      <c r="AG46">
        <v>0</v>
      </c>
      <c r="AH46">
        <v>2041.45</v>
      </c>
      <c r="AI46">
        <v>11823.4</v>
      </c>
      <c r="AJ46">
        <v>2313</v>
      </c>
      <c r="AK46">
        <v>719.5</v>
      </c>
      <c r="AL46">
        <v>5185</v>
      </c>
      <c r="AM46">
        <v>470.25</v>
      </c>
      <c r="AN46">
        <v>204.6</v>
      </c>
      <c r="AO46">
        <v>6109</v>
      </c>
      <c r="AP46">
        <v>204.6</v>
      </c>
      <c r="AQ46">
        <v>4121.7</v>
      </c>
      <c r="AR46">
        <v>5699.75</v>
      </c>
      <c r="AS46">
        <v>3494.25</v>
      </c>
      <c r="AT46">
        <v>10307.9</v>
      </c>
      <c r="AU46">
        <v>0</v>
      </c>
      <c r="AV46">
        <v>3550.3</v>
      </c>
      <c r="AW46">
        <v>10698.2</v>
      </c>
      <c r="AX46">
        <v>507</v>
      </c>
      <c r="AY46">
        <v>3463.96</v>
      </c>
      <c r="AZ46">
        <v>2412.7399999999998</v>
      </c>
      <c r="BA46">
        <v>5928.52</v>
      </c>
      <c r="BB46">
        <v>10760.72</v>
      </c>
      <c r="BC46">
        <v>642.74</v>
      </c>
      <c r="BD46">
        <v>27330.6</v>
      </c>
      <c r="BE46">
        <v>542.28</v>
      </c>
      <c r="BF46">
        <v>197.44</v>
      </c>
      <c r="BG46">
        <v>3404.08</v>
      </c>
      <c r="BH46">
        <v>0</v>
      </c>
      <c r="BI46">
        <v>4581.3999999999996</v>
      </c>
      <c r="BJ46">
        <v>25427.58</v>
      </c>
      <c r="BK46">
        <v>7267.86</v>
      </c>
      <c r="BL46">
        <v>0</v>
      </c>
      <c r="BM46">
        <v>4316.3599999999997</v>
      </c>
      <c r="BN46">
        <v>0</v>
      </c>
      <c r="BO46">
        <v>6331</v>
      </c>
      <c r="BP46">
        <v>0</v>
      </c>
      <c r="BQ46">
        <v>0</v>
      </c>
      <c r="BR46">
        <v>2700.04</v>
      </c>
      <c r="BS46">
        <v>196.8</v>
      </c>
      <c r="BT46">
        <v>3449565.1</v>
      </c>
      <c r="BU46">
        <v>3729680.1</v>
      </c>
    </row>
    <row r="47" spans="1:73" x14ac:dyDescent="0.25">
      <c r="A47" t="s">
        <v>35</v>
      </c>
      <c r="B47" t="s">
        <v>36</v>
      </c>
      <c r="C47">
        <v>40101</v>
      </c>
      <c r="D47" t="s">
        <v>6</v>
      </c>
      <c r="E47" t="s">
        <v>232</v>
      </c>
      <c r="F47" t="str">
        <f t="shared" si="0"/>
        <v>FR0000071946XPAR</v>
      </c>
      <c r="G47">
        <f t="shared" si="1"/>
        <v>3681821.1962121208</v>
      </c>
      <c r="H47">
        <v>2968971.4</v>
      </c>
      <c r="I47">
        <v>2098454</v>
      </c>
      <c r="J47">
        <v>4399819</v>
      </c>
      <c r="K47">
        <v>4225019.05</v>
      </c>
      <c r="L47">
        <v>2779723.8</v>
      </c>
      <c r="M47">
        <v>3594371.6</v>
      </c>
      <c r="N47">
        <v>2033367.35</v>
      </c>
      <c r="O47">
        <v>5761439.9000000004</v>
      </c>
      <c r="P47">
        <v>3521049.2</v>
      </c>
      <c r="Q47">
        <v>3480402.5</v>
      </c>
      <c r="R47">
        <v>3835918.7</v>
      </c>
      <c r="S47">
        <v>3284402.45</v>
      </c>
      <c r="T47">
        <v>1777335.25</v>
      </c>
      <c r="U47">
        <v>3993055.7</v>
      </c>
      <c r="V47">
        <v>2448031.1</v>
      </c>
      <c r="W47">
        <v>3364466.9</v>
      </c>
      <c r="X47">
        <v>17081905.600000001</v>
      </c>
      <c r="Y47">
        <v>3224621.4</v>
      </c>
      <c r="Z47">
        <v>2054216.7</v>
      </c>
      <c r="AA47">
        <v>5337546.8</v>
      </c>
      <c r="AB47">
        <v>3733124.65</v>
      </c>
      <c r="AC47">
        <v>3097547.5</v>
      </c>
      <c r="AD47">
        <v>1932284.85</v>
      </c>
      <c r="AE47">
        <v>2404702.2999999998</v>
      </c>
      <c r="AF47">
        <v>2374581.5</v>
      </c>
      <c r="AG47">
        <v>2030252.5</v>
      </c>
      <c r="AH47">
        <v>3176249.25</v>
      </c>
      <c r="AI47">
        <v>1810471.2</v>
      </c>
      <c r="AJ47">
        <v>1828130.6</v>
      </c>
      <c r="AK47">
        <v>3096920.7</v>
      </c>
      <c r="AL47">
        <v>10556140.550000001</v>
      </c>
      <c r="AM47">
        <v>3864906.75</v>
      </c>
      <c r="AN47">
        <v>8362482.9000000004</v>
      </c>
      <c r="AO47">
        <v>2414640.4</v>
      </c>
      <c r="AP47">
        <v>2108973.35</v>
      </c>
      <c r="AQ47">
        <v>2624156.65</v>
      </c>
      <c r="AR47">
        <v>3262313.95</v>
      </c>
      <c r="AS47">
        <v>6670772.5</v>
      </c>
      <c r="AT47">
        <v>3348936.75</v>
      </c>
      <c r="AU47">
        <v>2770953.4</v>
      </c>
      <c r="AV47">
        <v>2373885.9</v>
      </c>
      <c r="AW47">
        <v>3917139.1</v>
      </c>
      <c r="AX47">
        <v>4781603.96</v>
      </c>
      <c r="AY47">
        <v>2854716.75</v>
      </c>
      <c r="AZ47">
        <v>3289694.88</v>
      </c>
      <c r="BA47">
        <v>3253904.05</v>
      </c>
      <c r="BB47">
        <v>2240991.85</v>
      </c>
      <c r="BC47">
        <v>3015579.6</v>
      </c>
      <c r="BD47">
        <v>3197432.88</v>
      </c>
      <c r="BE47">
        <v>2591746.4500000002</v>
      </c>
      <c r="BF47">
        <v>3977533.35</v>
      </c>
      <c r="BG47">
        <v>5543124.1500000004</v>
      </c>
      <c r="BH47">
        <v>3072192.85</v>
      </c>
      <c r="BI47">
        <v>3232469.75</v>
      </c>
      <c r="BJ47">
        <v>2916124.6</v>
      </c>
      <c r="BK47">
        <v>2735231.5</v>
      </c>
      <c r="BL47">
        <v>5901341.4000000004</v>
      </c>
      <c r="BM47">
        <v>1106593.5</v>
      </c>
      <c r="BN47">
        <v>354153.25</v>
      </c>
      <c r="BO47">
        <v>1396963.8</v>
      </c>
      <c r="BP47">
        <v>2158025.48</v>
      </c>
      <c r="BQ47">
        <v>574579.9</v>
      </c>
      <c r="BR47">
        <v>2037854.7</v>
      </c>
      <c r="BS47">
        <v>2138023.15</v>
      </c>
      <c r="BT47">
        <v>11036939.1</v>
      </c>
      <c r="BU47">
        <v>10569692.4</v>
      </c>
    </row>
    <row r="48" spans="1:73" x14ac:dyDescent="0.25">
      <c r="A48" t="s">
        <v>35</v>
      </c>
      <c r="B48" t="s">
        <v>36</v>
      </c>
      <c r="C48">
        <v>9078144</v>
      </c>
      <c r="D48" t="s">
        <v>245</v>
      </c>
      <c r="E48" t="s">
        <v>244</v>
      </c>
      <c r="F48" t="str">
        <f t="shared" si="0"/>
        <v>FR0000071946MTAH</v>
      </c>
      <c r="G48">
        <f t="shared" si="1"/>
        <v>3702731.7712121215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126548655.92</v>
      </c>
      <c r="BU48">
        <v>117831640.98</v>
      </c>
    </row>
    <row r="49" spans="1:73" x14ac:dyDescent="0.25">
      <c r="A49" t="s">
        <v>37</v>
      </c>
      <c r="B49" t="s">
        <v>38</v>
      </c>
      <c r="C49">
        <v>4241</v>
      </c>
      <c r="D49" t="s">
        <v>6</v>
      </c>
      <c r="E49" t="s">
        <v>232</v>
      </c>
      <c r="F49" t="str">
        <f t="shared" si="0"/>
        <v>FR0000073272XPAR</v>
      </c>
      <c r="G49">
        <f t="shared" si="1"/>
        <v>123157173.23742424</v>
      </c>
      <c r="H49">
        <v>152454976.80000001</v>
      </c>
      <c r="I49">
        <v>105270125.34999999</v>
      </c>
      <c r="J49">
        <v>141416423.5</v>
      </c>
      <c r="K49">
        <v>123812381.40000001</v>
      </c>
      <c r="L49">
        <v>92733765.900000006</v>
      </c>
      <c r="M49">
        <v>110173194.15000001</v>
      </c>
      <c r="N49">
        <v>106728241</v>
      </c>
      <c r="O49">
        <v>73524741.5</v>
      </c>
      <c r="P49">
        <v>166068583.75</v>
      </c>
      <c r="Q49">
        <v>85614231.299999997</v>
      </c>
      <c r="R49">
        <v>113544633.25</v>
      </c>
      <c r="S49">
        <v>104224680.05</v>
      </c>
      <c r="T49">
        <v>94015641.900000006</v>
      </c>
      <c r="U49">
        <v>117403520.90000001</v>
      </c>
      <c r="V49">
        <v>81626172.700000003</v>
      </c>
      <c r="W49">
        <v>69179217</v>
      </c>
      <c r="X49">
        <v>110261764.8</v>
      </c>
      <c r="Y49">
        <v>82850780.700000003</v>
      </c>
      <c r="Z49">
        <v>98130624.299999997</v>
      </c>
      <c r="AA49">
        <v>100620014.5</v>
      </c>
      <c r="AB49">
        <v>164759204.59999999</v>
      </c>
      <c r="AC49">
        <v>114508650.65000001</v>
      </c>
      <c r="AD49">
        <v>99937896.049999997</v>
      </c>
      <c r="AE49">
        <v>145691575.90000001</v>
      </c>
      <c r="AF49">
        <v>189135566.19999999</v>
      </c>
      <c r="AG49">
        <v>127980198</v>
      </c>
      <c r="AH49">
        <v>148341066.09999999</v>
      </c>
      <c r="AI49">
        <v>152473759.80000001</v>
      </c>
      <c r="AJ49">
        <v>203261347.69999999</v>
      </c>
      <c r="AK49">
        <v>145285169.09999999</v>
      </c>
      <c r="AL49">
        <v>125990463.09999999</v>
      </c>
      <c r="AM49">
        <v>104494845.95</v>
      </c>
      <c r="AN49">
        <v>98864458.200000003</v>
      </c>
      <c r="AO49">
        <v>111485000.7</v>
      </c>
      <c r="AP49">
        <v>73969454.200000003</v>
      </c>
      <c r="AQ49">
        <v>98562587.200000003</v>
      </c>
      <c r="AR49">
        <v>93933981.5</v>
      </c>
      <c r="AS49">
        <v>472303145.85000002</v>
      </c>
      <c r="AT49">
        <v>77097949.349999994</v>
      </c>
      <c r="AU49">
        <v>100907064.05</v>
      </c>
      <c r="AV49">
        <v>66790959.549999997</v>
      </c>
      <c r="AW49">
        <v>151752491.84999999</v>
      </c>
      <c r="AX49">
        <v>126845521.3</v>
      </c>
      <c r="AY49">
        <v>141199542.90000001</v>
      </c>
      <c r="AZ49">
        <v>171110250.75</v>
      </c>
      <c r="BA49">
        <v>392031148.85000002</v>
      </c>
      <c r="BB49">
        <v>175000317.40000001</v>
      </c>
      <c r="BC49">
        <v>158612367.80000001</v>
      </c>
      <c r="BD49">
        <v>156441520.90000001</v>
      </c>
      <c r="BE49">
        <v>125185077.95</v>
      </c>
      <c r="BF49">
        <v>107628417.55</v>
      </c>
      <c r="BG49">
        <v>97161471.650000006</v>
      </c>
      <c r="BH49">
        <v>127753197.45</v>
      </c>
      <c r="BI49">
        <v>132099965.8</v>
      </c>
      <c r="BJ49">
        <v>98624618.950000003</v>
      </c>
      <c r="BK49">
        <v>118704000.84999999</v>
      </c>
      <c r="BL49">
        <v>244405767.75</v>
      </c>
      <c r="BM49">
        <v>76309952.400000006</v>
      </c>
      <c r="BN49">
        <v>17826132.050000001</v>
      </c>
      <c r="BO49">
        <v>67484594.5</v>
      </c>
      <c r="BP49">
        <v>66046716.700000003</v>
      </c>
      <c r="BQ49">
        <v>27277052.800000001</v>
      </c>
      <c r="BR49">
        <v>127392130.75</v>
      </c>
      <c r="BS49">
        <v>91486865.599999994</v>
      </c>
      <c r="BT49">
        <v>44339662.719999999</v>
      </c>
      <c r="BU49">
        <v>40226587.950000003</v>
      </c>
    </row>
    <row r="50" spans="1:73" x14ac:dyDescent="0.25">
      <c r="A50" t="s">
        <v>37</v>
      </c>
      <c r="B50" t="s">
        <v>38</v>
      </c>
      <c r="C50">
        <v>6060176</v>
      </c>
      <c r="D50" t="s">
        <v>243</v>
      </c>
      <c r="E50" t="s">
        <v>244</v>
      </c>
      <c r="F50" t="str">
        <f t="shared" si="0"/>
        <v>FR0000073272ETLX</v>
      </c>
      <c r="G50">
        <f t="shared" si="1"/>
        <v>75100.67363636363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14796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6510</v>
      </c>
      <c r="AG50">
        <v>0</v>
      </c>
      <c r="AH50">
        <v>0</v>
      </c>
      <c r="AI50">
        <v>0</v>
      </c>
      <c r="AJ50">
        <v>4023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21730.5</v>
      </c>
      <c r="AZ50">
        <v>449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1989154.93</v>
      </c>
      <c r="BU50">
        <v>2919981.03</v>
      </c>
    </row>
    <row r="51" spans="1:73" x14ac:dyDescent="0.25">
      <c r="A51" t="s">
        <v>37</v>
      </c>
      <c r="B51" t="s">
        <v>38</v>
      </c>
      <c r="C51">
        <v>9078143</v>
      </c>
      <c r="D51" t="s">
        <v>245</v>
      </c>
      <c r="E51" t="s">
        <v>244</v>
      </c>
      <c r="F51" t="str">
        <f t="shared" si="0"/>
        <v>FR0000073272MTAH</v>
      </c>
      <c r="G51">
        <f t="shared" si="1"/>
        <v>1992728.8528787878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69331545.609999999</v>
      </c>
      <c r="BU51">
        <v>62188558.68</v>
      </c>
    </row>
    <row r="52" spans="1:73" x14ac:dyDescent="0.25">
      <c r="A52" t="s">
        <v>39</v>
      </c>
      <c r="B52" t="s">
        <v>40</v>
      </c>
      <c r="C52">
        <v>42156</v>
      </c>
      <c r="D52" t="s">
        <v>6</v>
      </c>
      <c r="E52" t="s">
        <v>232</v>
      </c>
      <c r="F52" t="str">
        <f t="shared" si="0"/>
        <v>FR0000073298XPAR</v>
      </c>
      <c r="G52">
        <f t="shared" si="1"/>
        <v>4400777.1248484859</v>
      </c>
      <c r="H52">
        <v>2673662.6</v>
      </c>
      <c r="I52">
        <v>2004583.45</v>
      </c>
      <c r="J52">
        <v>1515279.5</v>
      </c>
      <c r="K52">
        <v>2277572</v>
      </c>
      <c r="L52">
        <v>3410075.9</v>
      </c>
      <c r="M52">
        <v>2501057</v>
      </c>
      <c r="N52">
        <v>1583794.2</v>
      </c>
      <c r="O52">
        <v>3819883.7</v>
      </c>
      <c r="P52">
        <v>3312824.35</v>
      </c>
      <c r="Q52">
        <v>13913635.16</v>
      </c>
      <c r="R52">
        <v>4312439.5</v>
      </c>
      <c r="S52">
        <v>2067802.02</v>
      </c>
      <c r="T52">
        <v>3438906.72</v>
      </c>
      <c r="U52">
        <v>2861433.36</v>
      </c>
      <c r="V52">
        <v>1764320.08</v>
      </c>
      <c r="W52">
        <v>3450513.8</v>
      </c>
      <c r="X52">
        <v>2682153.38</v>
      </c>
      <c r="Y52">
        <v>2743910.52</v>
      </c>
      <c r="Z52">
        <v>2428714.86</v>
      </c>
      <c r="AA52">
        <v>3187464.62</v>
      </c>
      <c r="AB52">
        <v>3293207.28</v>
      </c>
      <c r="AC52">
        <v>2656236.7999999998</v>
      </c>
      <c r="AD52">
        <v>2354343.1</v>
      </c>
      <c r="AE52">
        <v>3173650.58</v>
      </c>
      <c r="AF52">
        <v>3910299.34</v>
      </c>
      <c r="AG52">
        <v>2113038.84</v>
      </c>
      <c r="AH52">
        <v>2143339.92</v>
      </c>
      <c r="AI52">
        <v>1297665.94</v>
      </c>
      <c r="AJ52">
        <v>1636032.9</v>
      </c>
      <c r="AK52">
        <v>2874436.94</v>
      </c>
      <c r="AL52">
        <v>2098068.2999999998</v>
      </c>
      <c r="AM52">
        <v>1580550.2</v>
      </c>
      <c r="AN52">
        <v>1312267.6599999999</v>
      </c>
      <c r="AO52">
        <v>3057814.34</v>
      </c>
      <c r="AP52">
        <v>2311294.58</v>
      </c>
      <c r="AQ52">
        <v>1711978.78</v>
      </c>
      <c r="AR52">
        <v>1200179.92</v>
      </c>
      <c r="AS52">
        <v>6921467.96</v>
      </c>
      <c r="AT52">
        <v>2540777.2400000002</v>
      </c>
      <c r="AU52">
        <v>2222807.96</v>
      </c>
      <c r="AV52">
        <v>1156650.1599999999</v>
      </c>
      <c r="AW52">
        <v>1478937.42</v>
      </c>
      <c r="AX52">
        <v>6416362.2599999998</v>
      </c>
      <c r="AY52">
        <v>3779644.46</v>
      </c>
      <c r="AZ52">
        <v>4879853.4800000004</v>
      </c>
      <c r="BA52">
        <v>3542910.42</v>
      </c>
      <c r="BB52">
        <v>2631101.2000000002</v>
      </c>
      <c r="BC52">
        <v>2747316.46</v>
      </c>
      <c r="BD52">
        <v>2789081.52</v>
      </c>
      <c r="BE52">
        <v>5524584.5800000001</v>
      </c>
      <c r="BF52">
        <v>3220237.68</v>
      </c>
      <c r="BG52">
        <v>3275951.28</v>
      </c>
      <c r="BH52">
        <v>3758001.52</v>
      </c>
      <c r="BI52">
        <v>2961769.46</v>
      </c>
      <c r="BJ52">
        <v>2787893.1</v>
      </c>
      <c r="BK52">
        <v>1650845.1</v>
      </c>
      <c r="BL52">
        <v>16976119.579999998</v>
      </c>
      <c r="BM52">
        <v>2290913.12</v>
      </c>
      <c r="BN52">
        <v>954284.52</v>
      </c>
      <c r="BO52">
        <v>1482749.1</v>
      </c>
      <c r="BP52">
        <v>1139485.42</v>
      </c>
      <c r="BQ52">
        <v>1120132.08</v>
      </c>
      <c r="BR52">
        <v>1580016.66</v>
      </c>
      <c r="BS52">
        <v>1689428.86</v>
      </c>
      <c r="BT52">
        <v>37844548.899999999</v>
      </c>
      <c r="BU52">
        <v>56412986.600000001</v>
      </c>
    </row>
    <row r="53" spans="1:73" x14ac:dyDescent="0.25">
      <c r="A53" t="s">
        <v>39</v>
      </c>
      <c r="B53" t="s">
        <v>40</v>
      </c>
      <c r="C53">
        <v>9078142</v>
      </c>
      <c r="D53" t="s">
        <v>245</v>
      </c>
      <c r="E53" t="s">
        <v>244</v>
      </c>
      <c r="F53" t="str">
        <f t="shared" si="0"/>
        <v>FR0000073298MTAH</v>
      </c>
      <c r="G53">
        <f t="shared" si="1"/>
        <v>2199564.3245454547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69285018.900000006</v>
      </c>
      <c r="BU53">
        <v>75886226.519999996</v>
      </c>
    </row>
    <row r="54" spans="1:73" x14ac:dyDescent="0.25">
      <c r="A54" t="s">
        <v>41</v>
      </c>
      <c r="B54" t="s">
        <v>42</v>
      </c>
      <c r="C54">
        <v>62855</v>
      </c>
      <c r="D54" t="s">
        <v>6</v>
      </c>
      <c r="E54" t="s">
        <v>232</v>
      </c>
      <c r="F54" t="str">
        <f t="shared" si="0"/>
        <v>FR0000077919XPAR</v>
      </c>
      <c r="G54">
        <f t="shared" si="1"/>
        <v>2579341.2862121202</v>
      </c>
      <c r="H54">
        <v>2418446.5</v>
      </c>
      <c r="I54">
        <v>2678162.19</v>
      </c>
      <c r="J54">
        <v>2236035.75</v>
      </c>
      <c r="K54">
        <v>1218284.5900000001</v>
      </c>
      <c r="L54">
        <v>1609508.44</v>
      </c>
      <c r="M54">
        <v>1952227.32</v>
      </c>
      <c r="N54">
        <v>2796717.61</v>
      </c>
      <c r="O54">
        <v>1360486.61</v>
      </c>
      <c r="P54">
        <v>1904222.67</v>
      </c>
      <c r="Q54">
        <v>1032795.62</v>
      </c>
      <c r="R54">
        <v>1632529.56</v>
      </c>
      <c r="S54">
        <v>1690570.34</v>
      </c>
      <c r="T54">
        <v>1272754.8</v>
      </c>
      <c r="U54">
        <v>1350561.63</v>
      </c>
      <c r="V54">
        <v>1446175.36</v>
      </c>
      <c r="W54">
        <v>1178076.6200000001</v>
      </c>
      <c r="X54">
        <v>1363889.91</v>
      </c>
      <c r="Y54">
        <v>1760530.49</v>
      </c>
      <c r="Z54">
        <v>2170581.7000000002</v>
      </c>
      <c r="AA54">
        <v>1682605.89</v>
      </c>
      <c r="AB54">
        <v>1816911.32</v>
      </c>
      <c r="AC54">
        <v>1634349.95</v>
      </c>
      <c r="AD54">
        <v>1671132.07</v>
      </c>
      <c r="AE54">
        <v>1427331.89</v>
      </c>
      <c r="AF54">
        <v>1280961.94</v>
      </c>
      <c r="AG54">
        <v>1450720.9</v>
      </c>
      <c r="AH54">
        <v>8686563.75</v>
      </c>
      <c r="AI54">
        <v>3701173.57</v>
      </c>
      <c r="AJ54">
        <v>3906434.12</v>
      </c>
      <c r="AK54">
        <v>2751126.65</v>
      </c>
      <c r="AL54">
        <v>2688583.18</v>
      </c>
      <c r="AM54">
        <v>2108761.9300000002</v>
      </c>
      <c r="AN54">
        <v>2636894.86</v>
      </c>
      <c r="AO54">
        <v>2685045.96</v>
      </c>
      <c r="AP54">
        <v>1986354.51</v>
      </c>
      <c r="AQ54">
        <v>2322222.91</v>
      </c>
      <c r="AR54">
        <v>3055983.94</v>
      </c>
      <c r="AS54">
        <v>3046601.87</v>
      </c>
      <c r="AT54">
        <v>1806444.41</v>
      </c>
      <c r="AU54">
        <v>2770351.28</v>
      </c>
      <c r="AV54">
        <v>1158162.02</v>
      </c>
      <c r="AW54">
        <v>1913964.63</v>
      </c>
      <c r="AX54">
        <v>2044469.13</v>
      </c>
      <c r="AY54">
        <v>2211814.73</v>
      </c>
      <c r="AZ54">
        <v>2408669.7999999998</v>
      </c>
      <c r="BA54">
        <v>2776089.16</v>
      </c>
      <c r="BB54">
        <v>1929297.44</v>
      </c>
      <c r="BC54">
        <v>4716544.03</v>
      </c>
      <c r="BD54">
        <v>2679740.33</v>
      </c>
      <c r="BE54">
        <v>2028741.96</v>
      </c>
      <c r="BF54">
        <v>1752332.75</v>
      </c>
      <c r="BG54">
        <v>1754585.78</v>
      </c>
      <c r="BH54">
        <v>2321538.9700000002</v>
      </c>
      <c r="BI54">
        <v>3023455.27</v>
      </c>
      <c r="BJ54">
        <v>2368134.87</v>
      </c>
      <c r="BK54">
        <v>1628925</v>
      </c>
      <c r="BL54">
        <v>4346688.63</v>
      </c>
      <c r="BM54">
        <v>1030524.49</v>
      </c>
      <c r="BN54">
        <v>595255.65</v>
      </c>
      <c r="BO54">
        <v>1242060.52</v>
      </c>
      <c r="BP54">
        <v>1600419.74</v>
      </c>
      <c r="BQ54">
        <v>351367.64</v>
      </c>
      <c r="BR54">
        <v>1931063.95</v>
      </c>
      <c r="BS54">
        <v>1826043.86</v>
      </c>
      <c r="BT54">
        <v>13307360.539999999</v>
      </c>
      <c r="BU54">
        <v>19100159.390000001</v>
      </c>
    </row>
    <row r="55" spans="1:73" x14ac:dyDescent="0.25">
      <c r="A55" t="s">
        <v>41</v>
      </c>
      <c r="B55" t="s">
        <v>42</v>
      </c>
      <c r="C55">
        <v>9078141</v>
      </c>
      <c r="D55" t="s">
        <v>245</v>
      </c>
      <c r="E55" t="s">
        <v>244</v>
      </c>
      <c r="F55" t="str">
        <f t="shared" si="0"/>
        <v>FR0000077919MTAH</v>
      </c>
      <c r="G55">
        <f t="shared" si="1"/>
        <v>970543.46318181814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5319984</v>
      </c>
      <c r="BU55">
        <v>58735884.57</v>
      </c>
    </row>
    <row r="56" spans="1:73" x14ac:dyDescent="0.25">
      <c r="A56" t="s">
        <v>43</v>
      </c>
      <c r="B56" t="s">
        <v>44</v>
      </c>
      <c r="C56">
        <v>4150</v>
      </c>
      <c r="D56" t="s">
        <v>6</v>
      </c>
      <c r="E56" t="s">
        <v>232</v>
      </c>
      <c r="F56" t="str">
        <f t="shared" si="0"/>
        <v>FR0000120073XPAR</v>
      </c>
      <c r="G56">
        <f t="shared" si="1"/>
        <v>101355042.62999998</v>
      </c>
      <c r="H56">
        <v>88179600.480000004</v>
      </c>
      <c r="I56">
        <v>107969321.89</v>
      </c>
      <c r="J56">
        <v>98803230.659999996</v>
      </c>
      <c r="K56">
        <v>101916455.2</v>
      </c>
      <c r="L56">
        <v>56313706.82</v>
      </c>
      <c r="M56">
        <v>69985521.400000006</v>
      </c>
      <c r="N56">
        <v>51340589.560000002</v>
      </c>
      <c r="O56">
        <v>61598348.799999997</v>
      </c>
      <c r="P56">
        <v>155514418.09</v>
      </c>
      <c r="Q56">
        <v>85807289.739999995</v>
      </c>
      <c r="R56">
        <v>77026068.140000001</v>
      </c>
      <c r="S56">
        <v>91980133.420000002</v>
      </c>
      <c r="T56">
        <v>88081601.700000003</v>
      </c>
      <c r="U56">
        <v>80148700.799999997</v>
      </c>
      <c r="V56">
        <v>84921475.079999998</v>
      </c>
      <c r="W56">
        <v>80660287.540000007</v>
      </c>
      <c r="X56">
        <v>98792503.599999994</v>
      </c>
      <c r="Y56">
        <v>91498840.180000007</v>
      </c>
      <c r="Z56">
        <v>95580597.799999997</v>
      </c>
      <c r="AA56">
        <v>126910356.72</v>
      </c>
      <c r="AB56">
        <v>187949227.84</v>
      </c>
      <c r="AC56">
        <v>71110031.340000004</v>
      </c>
      <c r="AD56">
        <v>58401437.590000004</v>
      </c>
      <c r="AE56">
        <v>80190409.530000001</v>
      </c>
      <c r="AF56">
        <v>148856707.03</v>
      </c>
      <c r="AG56">
        <v>132695021.98999999</v>
      </c>
      <c r="AH56">
        <v>115385029.73999999</v>
      </c>
      <c r="AI56">
        <v>100687983.45</v>
      </c>
      <c r="AJ56">
        <v>153853212.25999999</v>
      </c>
      <c r="AK56">
        <v>121279123.22</v>
      </c>
      <c r="AL56">
        <v>135140216.61000001</v>
      </c>
      <c r="AM56">
        <v>108877465.42</v>
      </c>
      <c r="AN56">
        <v>86848387.609999999</v>
      </c>
      <c r="AO56">
        <v>116199812.58</v>
      </c>
      <c r="AP56">
        <v>112792072.77</v>
      </c>
      <c r="AQ56">
        <v>105176447.94</v>
      </c>
      <c r="AR56">
        <v>105057625.04000001</v>
      </c>
      <c r="AS56">
        <v>153911142.62</v>
      </c>
      <c r="AT56">
        <v>104282149.98999999</v>
      </c>
      <c r="AU56">
        <v>104639837.73999999</v>
      </c>
      <c r="AV56">
        <v>75615308.200000003</v>
      </c>
      <c r="AW56">
        <v>104176399.51000001</v>
      </c>
      <c r="AX56">
        <v>149987187.44999999</v>
      </c>
      <c r="AY56">
        <v>115434720.64</v>
      </c>
      <c r="AZ56">
        <v>116999240.16</v>
      </c>
      <c r="BA56">
        <v>108401914.51000001</v>
      </c>
      <c r="BB56">
        <v>104538044.51000001</v>
      </c>
      <c r="BC56">
        <v>101546567.33</v>
      </c>
      <c r="BD56">
        <v>120404810.06999999</v>
      </c>
      <c r="BE56">
        <v>102312828.04000001</v>
      </c>
      <c r="BF56">
        <v>90075907.519999996</v>
      </c>
      <c r="BG56">
        <v>84240865.299999997</v>
      </c>
      <c r="BH56">
        <v>103333339.95</v>
      </c>
      <c r="BI56">
        <v>120488840.23</v>
      </c>
      <c r="BJ56">
        <v>130359783.8</v>
      </c>
      <c r="BK56">
        <v>160411786.27000001</v>
      </c>
      <c r="BL56">
        <v>271254322.74000001</v>
      </c>
      <c r="BM56">
        <v>89860863.939999998</v>
      </c>
      <c r="BN56">
        <v>26812436.84</v>
      </c>
      <c r="BO56">
        <v>83146440.430000007</v>
      </c>
      <c r="BP56">
        <v>60676913.649999999</v>
      </c>
      <c r="BQ56">
        <v>35528639.729999997</v>
      </c>
      <c r="BR56">
        <v>91767340.310000002</v>
      </c>
      <c r="BS56">
        <v>118975894.92</v>
      </c>
      <c r="BT56">
        <v>13306995.82</v>
      </c>
      <c r="BU56">
        <v>13413031.779999999</v>
      </c>
    </row>
    <row r="57" spans="1:73" x14ac:dyDescent="0.25">
      <c r="A57" t="s">
        <v>43</v>
      </c>
      <c r="B57" t="s">
        <v>44</v>
      </c>
      <c r="C57">
        <v>9078140</v>
      </c>
      <c r="D57" t="s">
        <v>245</v>
      </c>
      <c r="E57" t="s">
        <v>244</v>
      </c>
      <c r="F57" t="str">
        <f t="shared" si="0"/>
        <v>FR0000120073MTAH</v>
      </c>
      <c r="G57">
        <f t="shared" si="1"/>
        <v>1044105.1896969698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24517851.32</v>
      </c>
      <c r="BU57">
        <v>44393091.200000003</v>
      </c>
    </row>
    <row r="58" spans="1:73" x14ac:dyDescent="0.25">
      <c r="A58" t="s">
        <v>43</v>
      </c>
      <c r="B58" t="s">
        <v>253</v>
      </c>
      <c r="C58">
        <v>6060175</v>
      </c>
      <c r="D58" t="s">
        <v>243</v>
      </c>
      <c r="E58" t="s">
        <v>244</v>
      </c>
      <c r="F58" t="str">
        <f t="shared" si="0"/>
        <v>FR0000120073ETLX</v>
      </c>
      <c r="G58">
        <f t="shared" si="1"/>
        <v>1846966.2487878785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24709.74</v>
      </c>
      <c r="S58">
        <v>20040.16</v>
      </c>
      <c r="T58">
        <v>0</v>
      </c>
      <c r="U58">
        <v>0</v>
      </c>
      <c r="V58">
        <v>0</v>
      </c>
      <c r="W58">
        <v>0</v>
      </c>
      <c r="X58">
        <v>10039.200000000001</v>
      </c>
      <c r="Y58">
        <v>0</v>
      </c>
      <c r="Z58">
        <v>61257.599999999999</v>
      </c>
      <c r="AA58">
        <v>9468.84</v>
      </c>
      <c r="AB58">
        <v>0</v>
      </c>
      <c r="AC58">
        <v>0</v>
      </c>
      <c r="AD58">
        <v>2996.28</v>
      </c>
      <c r="AE58">
        <v>0</v>
      </c>
      <c r="AF58">
        <v>4890</v>
      </c>
      <c r="AG58">
        <v>4400</v>
      </c>
      <c r="AH58">
        <v>1622</v>
      </c>
      <c r="AI58">
        <v>0</v>
      </c>
      <c r="AJ58">
        <v>17486.04</v>
      </c>
      <c r="AK58">
        <v>0</v>
      </c>
      <c r="AL58">
        <v>30705.3</v>
      </c>
      <c r="AM58">
        <v>0</v>
      </c>
      <c r="AN58">
        <v>2890.92</v>
      </c>
      <c r="AO58">
        <v>25441</v>
      </c>
      <c r="AP58">
        <v>0</v>
      </c>
      <c r="AQ58">
        <v>2832.12</v>
      </c>
      <c r="AR58">
        <v>0</v>
      </c>
      <c r="AS58">
        <v>0</v>
      </c>
      <c r="AT58">
        <v>0</v>
      </c>
      <c r="AU58">
        <v>25087.040000000001</v>
      </c>
      <c r="AV58">
        <v>1561</v>
      </c>
      <c r="AW58">
        <v>0</v>
      </c>
      <c r="AX58">
        <v>0</v>
      </c>
      <c r="AY58">
        <v>0</v>
      </c>
      <c r="AZ58">
        <v>13766.88</v>
      </c>
      <c r="BA58">
        <v>322.64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2399.1</v>
      </c>
      <c r="BH58">
        <v>9572.4</v>
      </c>
      <c r="BI58">
        <v>0</v>
      </c>
      <c r="BJ58">
        <v>0</v>
      </c>
      <c r="BK58">
        <v>2342.6999999999998</v>
      </c>
      <c r="BL58">
        <v>0</v>
      </c>
      <c r="BM58">
        <v>0</v>
      </c>
      <c r="BN58">
        <v>0</v>
      </c>
      <c r="BO58">
        <v>5551.4</v>
      </c>
      <c r="BP58">
        <v>0</v>
      </c>
      <c r="BQ58">
        <v>0</v>
      </c>
      <c r="BR58">
        <v>0</v>
      </c>
      <c r="BS58">
        <v>0</v>
      </c>
      <c r="BT58">
        <v>76032606.909999996</v>
      </c>
      <c r="BU58">
        <v>45587783.149999999</v>
      </c>
    </row>
    <row r="59" spans="1:73" x14ac:dyDescent="0.25">
      <c r="A59" t="s">
        <v>45</v>
      </c>
      <c r="B59" t="s">
        <v>46</v>
      </c>
      <c r="C59">
        <v>4154</v>
      </c>
      <c r="D59" t="s">
        <v>6</v>
      </c>
      <c r="E59" t="s">
        <v>232</v>
      </c>
      <c r="F59" t="str">
        <f t="shared" si="0"/>
        <v>FR0000120172XPAR</v>
      </c>
      <c r="G59">
        <f t="shared" si="1"/>
        <v>34715654.75151515</v>
      </c>
      <c r="H59">
        <v>31335908.149999999</v>
      </c>
      <c r="I59">
        <v>32991078.280000001</v>
      </c>
      <c r="J59">
        <v>37037416.479999997</v>
      </c>
      <c r="K59">
        <v>34154348.460000001</v>
      </c>
      <c r="L59">
        <v>28203147.469999999</v>
      </c>
      <c r="M59">
        <v>32447788.989999998</v>
      </c>
      <c r="N59">
        <v>44346804.770000003</v>
      </c>
      <c r="O59">
        <v>32749756.289999999</v>
      </c>
      <c r="P59">
        <v>30100391.559999999</v>
      </c>
      <c r="Q59">
        <v>34601243.920000002</v>
      </c>
      <c r="R59">
        <v>38989276.810000002</v>
      </c>
      <c r="S59">
        <v>23577755.460000001</v>
      </c>
      <c r="T59">
        <v>22729196.710000001</v>
      </c>
      <c r="U59">
        <v>26768521.34</v>
      </c>
      <c r="V59">
        <v>30620229.129999999</v>
      </c>
      <c r="W59">
        <v>35388097.280000001</v>
      </c>
      <c r="X59">
        <v>41581774.43</v>
      </c>
      <c r="Y59">
        <v>34994811.25</v>
      </c>
      <c r="Z59">
        <v>37523026.409999996</v>
      </c>
      <c r="AA59">
        <v>54899301.359999999</v>
      </c>
      <c r="AB59">
        <v>33845045.729999997</v>
      </c>
      <c r="AC59">
        <v>22950074.41</v>
      </c>
      <c r="AD59">
        <v>22987666.809999999</v>
      </c>
      <c r="AE59">
        <v>48895604.170000002</v>
      </c>
      <c r="AF59">
        <v>67722095.810000002</v>
      </c>
      <c r="AG59">
        <v>42051000.859999999</v>
      </c>
      <c r="AH59">
        <v>62348646.719999999</v>
      </c>
      <c r="AI59">
        <v>38631840.93</v>
      </c>
      <c r="AJ59">
        <v>32585367.079999998</v>
      </c>
      <c r="AK59">
        <v>29141542.52</v>
      </c>
      <c r="AL59">
        <v>28883781.41</v>
      </c>
      <c r="AM59">
        <v>32711601.449999999</v>
      </c>
      <c r="AN59">
        <v>23373301.260000002</v>
      </c>
      <c r="AO59">
        <v>31407290.289999999</v>
      </c>
      <c r="AP59">
        <v>19601764.609999999</v>
      </c>
      <c r="AQ59">
        <v>22912026.690000001</v>
      </c>
      <c r="AR59">
        <v>42446183.899999999</v>
      </c>
      <c r="AS59">
        <v>71643580.060000002</v>
      </c>
      <c r="AT59">
        <v>21641155.16</v>
      </c>
      <c r="AU59">
        <v>22237993.030000001</v>
      </c>
      <c r="AV59">
        <v>23016121.449999999</v>
      </c>
      <c r="AW59">
        <v>26862792.800000001</v>
      </c>
      <c r="AX59">
        <v>85132709.650000006</v>
      </c>
      <c r="AY59">
        <v>35959301.009999998</v>
      </c>
      <c r="AZ59">
        <v>25363381.039999999</v>
      </c>
      <c r="BA59">
        <v>28088663.600000001</v>
      </c>
      <c r="BB59">
        <v>22985091.66</v>
      </c>
      <c r="BC59">
        <v>27014576.219999999</v>
      </c>
      <c r="BD59">
        <v>24888093.23</v>
      </c>
      <c r="BE59">
        <v>24613283.559999999</v>
      </c>
      <c r="BF59">
        <v>25531868.760000002</v>
      </c>
      <c r="BG59">
        <v>37527829.600000001</v>
      </c>
      <c r="BH59">
        <v>25326608.710000001</v>
      </c>
      <c r="BI59">
        <v>26234169.120000001</v>
      </c>
      <c r="BJ59">
        <v>28832852.48</v>
      </c>
      <c r="BK59">
        <v>29902116.949999999</v>
      </c>
      <c r="BL59">
        <v>47642489.890000001</v>
      </c>
      <c r="BM59">
        <v>22802800.34</v>
      </c>
      <c r="BN59">
        <v>10418637.49</v>
      </c>
      <c r="BO59">
        <v>16832185.359999999</v>
      </c>
      <c r="BP59">
        <v>13279160.9</v>
      </c>
      <c r="BQ59">
        <v>8264312.7000000002</v>
      </c>
      <c r="BR59">
        <v>18381989.82</v>
      </c>
      <c r="BS59">
        <v>18792489.899999999</v>
      </c>
      <c r="BT59">
        <v>126511000.64</v>
      </c>
      <c r="BU59">
        <v>107971249.27</v>
      </c>
    </row>
    <row r="60" spans="1:73" x14ac:dyDescent="0.25">
      <c r="A60" t="s">
        <v>45</v>
      </c>
      <c r="B60" t="s">
        <v>46</v>
      </c>
      <c r="C60">
        <v>6051945</v>
      </c>
      <c r="D60" t="s">
        <v>243</v>
      </c>
      <c r="E60" t="s">
        <v>244</v>
      </c>
      <c r="F60" t="str">
        <f t="shared" si="0"/>
        <v>FR0000120172ETLX</v>
      </c>
      <c r="G60">
        <f t="shared" si="1"/>
        <v>56970.322424242418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61551</v>
      </c>
      <c r="V60">
        <v>0</v>
      </c>
      <c r="W60">
        <v>0</v>
      </c>
      <c r="X60">
        <v>1466</v>
      </c>
      <c r="Y60">
        <v>0</v>
      </c>
      <c r="Z60">
        <v>1711.5</v>
      </c>
      <c r="AA60">
        <v>4317</v>
      </c>
      <c r="AB60">
        <v>0</v>
      </c>
      <c r="AC60">
        <v>0</v>
      </c>
      <c r="AD60">
        <v>0</v>
      </c>
      <c r="AE60">
        <v>0</v>
      </c>
      <c r="AF60">
        <v>1508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2006.2</v>
      </c>
      <c r="AX60">
        <v>29652.55</v>
      </c>
      <c r="AY60">
        <v>0</v>
      </c>
      <c r="AZ60">
        <v>0</v>
      </c>
      <c r="BA60">
        <v>0</v>
      </c>
      <c r="BB60">
        <v>4686.9799999999996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685.75</v>
      </c>
      <c r="BK60">
        <v>0</v>
      </c>
      <c r="BL60">
        <v>0</v>
      </c>
      <c r="BM60">
        <v>13455</v>
      </c>
      <c r="BN60">
        <v>0</v>
      </c>
      <c r="BO60">
        <v>14128.4</v>
      </c>
      <c r="BP60">
        <v>0</v>
      </c>
      <c r="BQ60">
        <v>0</v>
      </c>
      <c r="BR60">
        <v>0</v>
      </c>
      <c r="BS60">
        <v>0</v>
      </c>
      <c r="BT60">
        <v>1447296.9</v>
      </c>
      <c r="BU60">
        <v>2177576</v>
      </c>
    </row>
    <row r="61" spans="1:73" x14ac:dyDescent="0.25">
      <c r="A61" t="s">
        <v>45</v>
      </c>
      <c r="B61" t="s">
        <v>46</v>
      </c>
      <c r="C61">
        <v>9078139</v>
      </c>
      <c r="D61" t="s">
        <v>245</v>
      </c>
      <c r="E61" t="s">
        <v>244</v>
      </c>
      <c r="F61" t="str">
        <f t="shared" si="0"/>
        <v>FR0000120172MTAH</v>
      </c>
      <c r="G61">
        <f t="shared" si="1"/>
        <v>894029.6580303032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351.25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32909211.420000002</v>
      </c>
      <c r="BU61">
        <v>26096394.760000002</v>
      </c>
    </row>
    <row r="62" spans="1:73" x14ac:dyDescent="0.25">
      <c r="A62" t="s">
        <v>47</v>
      </c>
      <c r="B62" t="s">
        <v>48</v>
      </c>
      <c r="C62">
        <v>4161</v>
      </c>
      <c r="D62" t="s">
        <v>6</v>
      </c>
      <c r="E62" t="s">
        <v>232</v>
      </c>
      <c r="F62" t="str">
        <f t="shared" si="0"/>
        <v>FR0000120271XPAR</v>
      </c>
      <c r="G62">
        <f t="shared" si="1"/>
        <v>228596528.42424247</v>
      </c>
      <c r="H62">
        <v>242805130.38</v>
      </c>
      <c r="I62">
        <v>283926472.55000001</v>
      </c>
      <c r="J62">
        <v>234260614.74000001</v>
      </c>
      <c r="K62">
        <v>195700739.50999999</v>
      </c>
      <c r="L62">
        <v>160021391.55000001</v>
      </c>
      <c r="M62">
        <v>190231197.21000001</v>
      </c>
      <c r="N62">
        <v>157163153.08000001</v>
      </c>
      <c r="O62">
        <v>142473732.93000001</v>
      </c>
      <c r="P62">
        <v>445224783.25</v>
      </c>
      <c r="Q62">
        <v>256393265.72999999</v>
      </c>
      <c r="R62">
        <v>185859428.94</v>
      </c>
      <c r="S62">
        <v>189484506.06999999</v>
      </c>
      <c r="T62">
        <v>169219690.91999999</v>
      </c>
      <c r="U62">
        <v>155954258.91</v>
      </c>
      <c r="V62">
        <v>179311256.40000001</v>
      </c>
      <c r="W62">
        <v>161480580.58000001</v>
      </c>
      <c r="X62">
        <v>148061126.16999999</v>
      </c>
      <c r="Y62">
        <v>227194619.72999999</v>
      </c>
      <c r="Z62">
        <v>194520487.69</v>
      </c>
      <c r="AA62">
        <v>210751220.94</v>
      </c>
      <c r="AB62">
        <v>352265333.98000002</v>
      </c>
      <c r="AC62">
        <v>217700107.38</v>
      </c>
      <c r="AD62">
        <v>160253374.03</v>
      </c>
      <c r="AE62">
        <v>165056686.61000001</v>
      </c>
      <c r="AF62">
        <v>316654042.5</v>
      </c>
      <c r="AG62">
        <v>219185239.69999999</v>
      </c>
      <c r="AH62">
        <v>190127195.41999999</v>
      </c>
      <c r="AI62">
        <v>209977186.30000001</v>
      </c>
      <c r="AJ62">
        <v>285935016.27999997</v>
      </c>
      <c r="AK62">
        <v>232545954.47</v>
      </c>
      <c r="AL62">
        <v>283129483.00999999</v>
      </c>
      <c r="AM62">
        <v>223048553.63</v>
      </c>
      <c r="AN62">
        <v>166264118.65000001</v>
      </c>
      <c r="AO62">
        <v>224576531.53</v>
      </c>
      <c r="AP62">
        <v>177162285.69</v>
      </c>
      <c r="AQ62">
        <v>179841420.03999999</v>
      </c>
      <c r="AR62">
        <v>267921224.53999999</v>
      </c>
      <c r="AS62">
        <v>422591954.17000002</v>
      </c>
      <c r="AT62">
        <v>262300635.66</v>
      </c>
      <c r="AU62">
        <v>284699156.86000001</v>
      </c>
      <c r="AV62">
        <v>177642836.94999999</v>
      </c>
      <c r="AW62">
        <v>249254754.37</v>
      </c>
      <c r="AX62">
        <v>324403079.76999998</v>
      </c>
      <c r="AY62">
        <v>297812298.44</v>
      </c>
      <c r="AZ62">
        <v>295585770.73000002</v>
      </c>
      <c r="BA62">
        <v>299646152.63999999</v>
      </c>
      <c r="BB62">
        <v>252148535.33000001</v>
      </c>
      <c r="BC62">
        <v>270054675.25999999</v>
      </c>
      <c r="BD62">
        <v>290295144.80000001</v>
      </c>
      <c r="BE62">
        <v>320162793.62</v>
      </c>
      <c r="BF62">
        <v>255838894.46000001</v>
      </c>
      <c r="BG62">
        <v>228727472.13999999</v>
      </c>
      <c r="BH62">
        <v>230414337.41</v>
      </c>
      <c r="BI62">
        <v>299119750.51999998</v>
      </c>
      <c r="BJ62">
        <v>204897520.41999999</v>
      </c>
      <c r="BK62">
        <v>252488810.19999999</v>
      </c>
      <c r="BL62">
        <v>550458485.84000003</v>
      </c>
      <c r="BM62">
        <v>146115012.19</v>
      </c>
      <c r="BN62">
        <v>60253176.289999999</v>
      </c>
      <c r="BO62">
        <v>183284623.02000001</v>
      </c>
      <c r="BP62">
        <v>166620644.65000001</v>
      </c>
      <c r="BQ62">
        <v>79990183.849999994</v>
      </c>
      <c r="BR62">
        <v>335718516.56999999</v>
      </c>
      <c r="BS62">
        <v>263559757.49000001</v>
      </c>
      <c r="BT62">
        <v>37322120.060000002</v>
      </c>
      <c r="BU62">
        <v>44282371.25</v>
      </c>
    </row>
    <row r="63" spans="1:73" x14ac:dyDescent="0.25">
      <c r="A63" t="s">
        <v>47</v>
      </c>
      <c r="B63" t="s">
        <v>48</v>
      </c>
      <c r="C63">
        <v>6060174</v>
      </c>
      <c r="D63" t="s">
        <v>243</v>
      </c>
      <c r="E63" t="s">
        <v>244</v>
      </c>
      <c r="F63" t="str">
        <f t="shared" si="0"/>
        <v>FR0000120271ETLX</v>
      </c>
      <c r="G63">
        <f t="shared" si="1"/>
        <v>80087.44075757575</v>
      </c>
      <c r="H63">
        <v>6726.4</v>
      </c>
      <c r="I63">
        <v>499.07</v>
      </c>
      <c r="J63">
        <v>10802</v>
      </c>
      <c r="K63">
        <v>1882.2</v>
      </c>
      <c r="L63">
        <v>0</v>
      </c>
      <c r="M63">
        <v>10239.9</v>
      </c>
      <c r="N63">
        <v>623</v>
      </c>
      <c r="O63">
        <v>7067.02</v>
      </c>
      <c r="P63">
        <v>12538.9</v>
      </c>
      <c r="Q63">
        <v>6321.94</v>
      </c>
      <c r="R63">
        <v>0</v>
      </c>
      <c r="S63">
        <v>655.78</v>
      </c>
      <c r="T63">
        <v>2332.1799999999998</v>
      </c>
      <c r="U63">
        <v>0</v>
      </c>
      <c r="V63">
        <v>301</v>
      </c>
      <c r="W63">
        <v>970.71</v>
      </c>
      <c r="X63">
        <v>13809</v>
      </c>
      <c r="Y63">
        <v>27760.73</v>
      </c>
      <c r="Z63">
        <v>23147.919999999998</v>
      </c>
      <c r="AA63">
        <v>5932</v>
      </c>
      <c r="AB63">
        <v>18629.900000000001</v>
      </c>
      <c r="AC63">
        <v>291.95</v>
      </c>
      <c r="AD63">
        <v>58.1</v>
      </c>
      <c r="AE63">
        <v>45314.15</v>
      </c>
      <c r="AF63">
        <v>15835.7</v>
      </c>
      <c r="AG63">
        <v>5737.26</v>
      </c>
      <c r="AH63">
        <v>14475.68</v>
      </c>
      <c r="AI63">
        <v>851.1</v>
      </c>
      <c r="AJ63">
        <v>0</v>
      </c>
      <c r="AK63">
        <v>0</v>
      </c>
      <c r="AL63">
        <v>287.85000000000002</v>
      </c>
      <c r="AM63">
        <v>857.25</v>
      </c>
      <c r="AN63">
        <v>27174.86</v>
      </c>
      <c r="AO63">
        <v>2862</v>
      </c>
      <c r="AP63">
        <v>0</v>
      </c>
      <c r="AQ63">
        <v>2366</v>
      </c>
      <c r="AR63">
        <v>16087.05</v>
      </c>
      <c r="AS63">
        <v>0</v>
      </c>
      <c r="AT63">
        <v>1170.1099999999999</v>
      </c>
      <c r="AU63">
        <v>4033.74</v>
      </c>
      <c r="AV63">
        <v>19806.62</v>
      </c>
      <c r="AW63">
        <v>55</v>
      </c>
      <c r="AX63">
        <v>542.70000000000005</v>
      </c>
      <c r="AY63">
        <v>5798</v>
      </c>
      <c r="AZ63">
        <v>2048.7800000000002</v>
      </c>
      <c r="BA63">
        <v>0</v>
      </c>
      <c r="BB63">
        <v>10228.65</v>
      </c>
      <c r="BC63">
        <v>1323.6</v>
      </c>
      <c r="BD63">
        <v>0</v>
      </c>
      <c r="BE63">
        <v>9684.6</v>
      </c>
      <c r="BF63">
        <v>0</v>
      </c>
      <c r="BG63">
        <v>2320.1999999999998</v>
      </c>
      <c r="BH63">
        <v>5299</v>
      </c>
      <c r="BI63">
        <v>523</v>
      </c>
      <c r="BJ63">
        <v>0</v>
      </c>
      <c r="BK63">
        <v>10504</v>
      </c>
      <c r="BL63">
        <v>51.86</v>
      </c>
      <c r="BM63">
        <v>0</v>
      </c>
      <c r="BN63">
        <v>0</v>
      </c>
      <c r="BO63">
        <v>0</v>
      </c>
      <c r="BP63">
        <v>530.1</v>
      </c>
      <c r="BQ63">
        <v>0</v>
      </c>
      <c r="BR63">
        <v>8342.4</v>
      </c>
      <c r="BS63">
        <v>0</v>
      </c>
      <c r="BT63">
        <v>3129757.99</v>
      </c>
      <c r="BU63">
        <v>1791312.14</v>
      </c>
    </row>
    <row r="64" spans="1:73" x14ac:dyDescent="0.25">
      <c r="A64" t="s">
        <v>47</v>
      </c>
      <c r="B64" t="s">
        <v>48</v>
      </c>
      <c r="C64">
        <v>9078138</v>
      </c>
      <c r="D64" t="s">
        <v>245</v>
      </c>
      <c r="E64" t="s">
        <v>244</v>
      </c>
      <c r="F64" t="str">
        <f t="shared" si="0"/>
        <v>FR0000120271MTAH</v>
      </c>
      <c r="G64">
        <f t="shared" si="1"/>
        <v>39718.13636363636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4118.3999999999996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5273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1035547.85</v>
      </c>
      <c r="BU64">
        <v>1576457.75</v>
      </c>
    </row>
    <row r="65" spans="1:73" x14ac:dyDescent="0.25">
      <c r="A65" t="s">
        <v>49</v>
      </c>
      <c r="B65" t="s">
        <v>224</v>
      </c>
      <c r="C65">
        <v>4166</v>
      </c>
      <c r="D65" t="s">
        <v>6</v>
      </c>
      <c r="E65" t="s">
        <v>232</v>
      </c>
      <c r="F65" t="str">
        <f t="shared" si="0"/>
        <v>FR0000120321XPAR</v>
      </c>
      <c r="G65">
        <f t="shared" si="1"/>
        <v>138157035.66848487</v>
      </c>
      <c r="H65">
        <v>110281796.65000001</v>
      </c>
      <c r="I65">
        <v>152997925.74000001</v>
      </c>
      <c r="J65">
        <v>128222902.88</v>
      </c>
      <c r="K65">
        <v>128653260.54000001</v>
      </c>
      <c r="L65">
        <v>82708837.379999995</v>
      </c>
      <c r="M65">
        <v>106129260.83</v>
      </c>
      <c r="N65">
        <v>104908492.78</v>
      </c>
      <c r="O65">
        <v>110353982.51000001</v>
      </c>
      <c r="P65">
        <v>239029354.12</v>
      </c>
      <c r="Q65">
        <v>311823336.49000001</v>
      </c>
      <c r="R65">
        <v>164839793.15000001</v>
      </c>
      <c r="S65">
        <v>111061878.79000001</v>
      </c>
      <c r="T65">
        <v>106741949.75</v>
      </c>
      <c r="U65">
        <v>98714136.129999995</v>
      </c>
      <c r="V65">
        <v>228714452.56</v>
      </c>
      <c r="W65">
        <v>129766968.12</v>
      </c>
      <c r="X65">
        <v>106636912.15000001</v>
      </c>
      <c r="Y65">
        <v>114020338.56999999</v>
      </c>
      <c r="Z65">
        <v>109900178.88</v>
      </c>
      <c r="AA65">
        <v>157062002.30000001</v>
      </c>
      <c r="AB65">
        <v>269048575.19</v>
      </c>
      <c r="AC65">
        <v>130279669.48</v>
      </c>
      <c r="AD65">
        <v>94728731.200000003</v>
      </c>
      <c r="AE65">
        <v>114103137.73999999</v>
      </c>
      <c r="AF65">
        <v>220030617.28</v>
      </c>
      <c r="AG65">
        <v>191198069.56</v>
      </c>
      <c r="AH65">
        <v>152432648.19</v>
      </c>
      <c r="AI65">
        <v>121712856.26000001</v>
      </c>
      <c r="AJ65">
        <v>151558088.96000001</v>
      </c>
      <c r="AK65">
        <v>181224570.15000001</v>
      </c>
      <c r="AL65">
        <v>160453013.43000001</v>
      </c>
      <c r="AM65">
        <v>134379554.5</v>
      </c>
      <c r="AN65">
        <v>96319749.349999994</v>
      </c>
      <c r="AO65">
        <v>132823898.55</v>
      </c>
      <c r="AP65">
        <v>90627056.959999993</v>
      </c>
      <c r="AQ65">
        <v>129115224.34999999</v>
      </c>
      <c r="AR65">
        <v>156503682.80000001</v>
      </c>
      <c r="AS65">
        <v>241547347.13</v>
      </c>
      <c r="AT65">
        <v>107325475.43000001</v>
      </c>
      <c r="AU65">
        <v>99812482.400000006</v>
      </c>
      <c r="AV65">
        <v>74754140.349999994</v>
      </c>
      <c r="AW65">
        <v>127070061.47</v>
      </c>
      <c r="AX65">
        <v>148106701.90000001</v>
      </c>
      <c r="AY65">
        <v>128077142.45999999</v>
      </c>
      <c r="AZ65">
        <v>133481694.06999999</v>
      </c>
      <c r="BA65">
        <v>119833167.48999999</v>
      </c>
      <c r="BB65">
        <v>243669529.34999999</v>
      </c>
      <c r="BC65">
        <v>204911945.91999999</v>
      </c>
      <c r="BD65">
        <v>179439141.19</v>
      </c>
      <c r="BE65">
        <v>160714393.31999999</v>
      </c>
      <c r="BF65">
        <v>177447771.66</v>
      </c>
      <c r="BG65">
        <v>190676770.25999999</v>
      </c>
      <c r="BH65">
        <v>120839301.65000001</v>
      </c>
      <c r="BI65">
        <v>165556970.19999999</v>
      </c>
      <c r="BJ65">
        <v>164386528.96000001</v>
      </c>
      <c r="BK65">
        <v>164338902.75999999</v>
      </c>
      <c r="BL65">
        <v>291624484.36000001</v>
      </c>
      <c r="BM65">
        <v>83779253.760000005</v>
      </c>
      <c r="BN65">
        <v>20379230.010000002</v>
      </c>
      <c r="BO65">
        <v>131855394.64</v>
      </c>
      <c r="BP65">
        <v>88668118.890000001</v>
      </c>
      <c r="BQ65">
        <v>40035712.009999998</v>
      </c>
      <c r="BR65">
        <v>74603841.230000004</v>
      </c>
      <c r="BS65">
        <v>103117753.53</v>
      </c>
      <c r="BT65">
        <v>1626795.61</v>
      </c>
      <c r="BU65">
        <v>1577397.84</v>
      </c>
    </row>
    <row r="66" spans="1:73" x14ac:dyDescent="0.25">
      <c r="A66" t="s">
        <v>49</v>
      </c>
      <c r="B66" t="s">
        <v>224</v>
      </c>
      <c r="C66">
        <v>6060173</v>
      </c>
      <c r="D66" t="s">
        <v>243</v>
      </c>
      <c r="E66" t="s">
        <v>244</v>
      </c>
      <c r="F66" t="str">
        <f t="shared" si="0"/>
        <v>FR0000120321ETLX</v>
      </c>
      <c r="G66">
        <f t="shared" si="1"/>
        <v>171681.86666666667</v>
      </c>
      <c r="H66">
        <v>5919</v>
      </c>
      <c r="I66">
        <v>9745</v>
      </c>
      <c r="J66">
        <v>0</v>
      </c>
      <c r="K66">
        <v>1164.3</v>
      </c>
      <c r="L66">
        <v>0</v>
      </c>
      <c r="M66">
        <v>0</v>
      </c>
      <c r="N66">
        <v>2740.6</v>
      </c>
      <c r="O66">
        <v>7038</v>
      </c>
      <c r="P66">
        <v>6483.8</v>
      </c>
      <c r="Q66">
        <v>3319.65</v>
      </c>
      <c r="R66">
        <v>1495.6</v>
      </c>
      <c r="S66">
        <v>0</v>
      </c>
      <c r="T66">
        <v>17423.7</v>
      </c>
      <c r="U66">
        <v>14866.15</v>
      </c>
      <c r="V66">
        <v>5682.25</v>
      </c>
      <c r="W66">
        <v>0</v>
      </c>
      <c r="X66">
        <v>6055.3</v>
      </c>
      <c r="Y66">
        <v>3216.15</v>
      </c>
      <c r="Z66">
        <v>43887.3</v>
      </c>
      <c r="AA66">
        <v>1405.2</v>
      </c>
      <c r="AB66">
        <v>9489.9</v>
      </c>
      <c r="AC66">
        <v>0</v>
      </c>
      <c r="AD66">
        <v>2410.4499999999998</v>
      </c>
      <c r="AE66">
        <v>0</v>
      </c>
      <c r="AF66">
        <v>2385.6</v>
      </c>
      <c r="AG66">
        <v>0</v>
      </c>
      <c r="AH66">
        <v>3374.5</v>
      </c>
      <c r="AI66">
        <v>1344.2</v>
      </c>
      <c r="AJ66">
        <v>0</v>
      </c>
      <c r="AK66">
        <v>8185</v>
      </c>
      <c r="AL66">
        <v>993.15</v>
      </c>
      <c r="AM66">
        <v>2296</v>
      </c>
      <c r="AN66">
        <v>3249.5</v>
      </c>
      <c r="AO66">
        <v>0</v>
      </c>
      <c r="AP66">
        <v>8027.5</v>
      </c>
      <c r="AQ66">
        <v>10319.049999999999</v>
      </c>
      <c r="AR66">
        <v>1952.7</v>
      </c>
      <c r="AS66">
        <v>0</v>
      </c>
      <c r="AT66">
        <v>0</v>
      </c>
      <c r="AU66">
        <v>0</v>
      </c>
      <c r="AV66">
        <v>334.95</v>
      </c>
      <c r="AW66">
        <v>1308.5</v>
      </c>
      <c r="AX66">
        <v>0</v>
      </c>
      <c r="AY66">
        <v>6691</v>
      </c>
      <c r="AZ66">
        <v>0</v>
      </c>
      <c r="BA66">
        <v>7347</v>
      </c>
      <c r="BB66">
        <v>0</v>
      </c>
      <c r="BC66">
        <v>6267.6</v>
      </c>
      <c r="BD66">
        <v>17415</v>
      </c>
      <c r="BE66">
        <v>0</v>
      </c>
      <c r="BF66">
        <v>18772.349999999999</v>
      </c>
      <c r="BG66">
        <v>0</v>
      </c>
      <c r="BH66">
        <v>6800</v>
      </c>
      <c r="BI66">
        <v>0</v>
      </c>
      <c r="BJ66">
        <v>0</v>
      </c>
      <c r="BK66">
        <v>0</v>
      </c>
      <c r="BL66">
        <v>0</v>
      </c>
      <c r="BM66">
        <v>5009.25</v>
      </c>
      <c r="BN66">
        <v>0</v>
      </c>
      <c r="BO66">
        <v>674.1</v>
      </c>
      <c r="BP66">
        <v>5142.75</v>
      </c>
      <c r="BQ66">
        <v>0</v>
      </c>
      <c r="BR66">
        <v>0</v>
      </c>
      <c r="BS66">
        <v>2692.4</v>
      </c>
      <c r="BT66">
        <v>4815620.7</v>
      </c>
      <c r="BU66">
        <v>6252458.0499999998</v>
      </c>
    </row>
    <row r="67" spans="1:73" x14ac:dyDescent="0.25">
      <c r="A67" t="s">
        <v>49</v>
      </c>
      <c r="B67" t="s">
        <v>224</v>
      </c>
      <c r="C67">
        <v>9078137</v>
      </c>
      <c r="D67" t="s">
        <v>245</v>
      </c>
      <c r="E67" t="s">
        <v>244</v>
      </c>
      <c r="F67" t="str">
        <f t="shared" si="0"/>
        <v>FR0000120321MTAH</v>
      </c>
      <c r="G67">
        <f t="shared" si="1"/>
        <v>56058.05909090909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1630107.4</v>
      </c>
      <c r="BU67">
        <v>2069724.5</v>
      </c>
    </row>
    <row r="68" spans="1:73" x14ac:dyDescent="0.25">
      <c r="A68" t="s">
        <v>50</v>
      </c>
      <c r="B68" t="s">
        <v>51</v>
      </c>
      <c r="C68">
        <v>4170</v>
      </c>
      <c r="D68" t="s">
        <v>6</v>
      </c>
      <c r="E68" t="s">
        <v>232</v>
      </c>
      <c r="F68" t="str">
        <f t="shared" ref="F68:F122" si="2">A68&amp;D68</f>
        <v>FR0000120404XPAR</v>
      </c>
      <c r="G68">
        <f t="shared" ref="G68:G122" si="3">AVERAGE(H68:BU68)</f>
        <v>24469473.072424233</v>
      </c>
      <c r="H68">
        <v>21757669.440000001</v>
      </c>
      <c r="I68">
        <v>33220680.039999999</v>
      </c>
      <c r="J68">
        <v>16736556.529999999</v>
      </c>
      <c r="K68">
        <v>18267834.800000001</v>
      </c>
      <c r="L68">
        <v>16836081.059999999</v>
      </c>
      <c r="M68">
        <v>15218792.48</v>
      </c>
      <c r="N68">
        <v>23084005.879999999</v>
      </c>
      <c r="O68">
        <v>20391154.16</v>
      </c>
      <c r="P68">
        <v>39676586.890000001</v>
      </c>
      <c r="Q68">
        <v>32104438.739999998</v>
      </c>
      <c r="R68">
        <v>26525708.68</v>
      </c>
      <c r="S68">
        <v>33657764.350000001</v>
      </c>
      <c r="T68">
        <v>27473163.27</v>
      </c>
      <c r="U68">
        <v>25860225.690000001</v>
      </c>
      <c r="V68">
        <v>29411333.920000002</v>
      </c>
      <c r="W68">
        <v>27823516.850000001</v>
      </c>
      <c r="X68">
        <v>34793390.289999999</v>
      </c>
      <c r="Y68">
        <v>20924230.210000001</v>
      </c>
      <c r="Z68">
        <v>26315118.170000002</v>
      </c>
      <c r="AA68">
        <v>30874384.829999998</v>
      </c>
      <c r="AB68">
        <v>37216255.780000001</v>
      </c>
      <c r="AC68">
        <v>14373474.09</v>
      </c>
      <c r="AD68">
        <v>17452242.23</v>
      </c>
      <c r="AE68">
        <v>17920505.219999999</v>
      </c>
      <c r="AF68">
        <v>25368722.91</v>
      </c>
      <c r="AG68">
        <v>30050712.960000001</v>
      </c>
      <c r="AH68">
        <v>28075421.48</v>
      </c>
      <c r="AI68">
        <v>24045641.780000001</v>
      </c>
      <c r="AJ68">
        <v>20603565.579999998</v>
      </c>
      <c r="AK68">
        <v>21765360.129999999</v>
      </c>
      <c r="AL68">
        <v>19709465.359999999</v>
      </c>
      <c r="AM68">
        <v>20991580.809999999</v>
      </c>
      <c r="AN68">
        <v>20385715.940000001</v>
      </c>
      <c r="AO68">
        <v>25581589.059999999</v>
      </c>
      <c r="AP68">
        <v>24709454.690000001</v>
      </c>
      <c r="AQ68">
        <v>30427157.219999999</v>
      </c>
      <c r="AR68">
        <v>19784705.359999999</v>
      </c>
      <c r="AS68">
        <v>41140683.920000002</v>
      </c>
      <c r="AT68">
        <v>26432919.420000002</v>
      </c>
      <c r="AU68">
        <v>28695492.050000001</v>
      </c>
      <c r="AV68">
        <v>28423201.780000001</v>
      </c>
      <c r="AW68">
        <v>20650396.800000001</v>
      </c>
      <c r="AX68">
        <v>26128480.5</v>
      </c>
      <c r="AY68">
        <v>18884748.07</v>
      </c>
      <c r="AZ68">
        <v>19887059.719999999</v>
      </c>
      <c r="BA68">
        <v>50916079.869999997</v>
      </c>
      <c r="BB68">
        <v>26554113.469999999</v>
      </c>
      <c r="BC68">
        <v>20357435.739999998</v>
      </c>
      <c r="BD68">
        <v>17831628.260000002</v>
      </c>
      <c r="BE68">
        <v>22221836.550000001</v>
      </c>
      <c r="BF68">
        <v>33225111.309999999</v>
      </c>
      <c r="BG68">
        <v>26952893.289999999</v>
      </c>
      <c r="BH68">
        <v>25295431.890000001</v>
      </c>
      <c r="BI68">
        <v>23895551.25</v>
      </c>
      <c r="BJ68">
        <v>28024242.809999999</v>
      </c>
      <c r="BK68">
        <v>29327478.25</v>
      </c>
      <c r="BL68">
        <v>37064360.659999996</v>
      </c>
      <c r="BM68">
        <v>13273579.32</v>
      </c>
      <c r="BN68">
        <v>6161450.0599999996</v>
      </c>
      <c r="BO68">
        <v>23539417.32</v>
      </c>
      <c r="BP68">
        <v>13566554.560000001</v>
      </c>
      <c r="BQ68">
        <v>5066742.66</v>
      </c>
      <c r="BR68">
        <v>16190972.859999999</v>
      </c>
      <c r="BS68">
        <v>25653419.699999999</v>
      </c>
      <c r="BT68">
        <v>21170167.710000001</v>
      </c>
      <c r="BU68">
        <v>19039566.100000001</v>
      </c>
    </row>
    <row r="69" spans="1:73" x14ac:dyDescent="0.25">
      <c r="A69" t="s">
        <v>50</v>
      </c>
      <c r="B69" t="s">
        <v>51</v>
      </c>
      <c r="C69">
        <v>6060172</v>
      </c>
      <c r="D69" t="s">
        <v>243</v>
      </c>
      <c r="E69" t="s">
        <v>244</v>
      </c>
      <c r="F69" t="str">
        <f t="shared" si="2"/>
        <v>FR0000120404ETLX</v>
      </c>
      <c r="G69">
        <f t="shared" si="3"/>
        <v>273539.57181818184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5200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2097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1817.34</v>
      </c>
      <c r="AY69">
        <v>0</v>
      </c>
      <c r="AZ69">
        <v>0</v>
      </c>
      <c r="BA69">
        <v>0</v>
      </c>
      <c r="BB69">
        <v>0</v>
      </c>
      <c r="BC69">
        <v>92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8659099.5</v>
      </c>
      <c r="BU69">
        <v>9385305.9000000004</v>
      </c>
    </row>
    <row r="70" spans="1:73" x14ac:dyDescent="0.25">
      <c r="A70" t="s">
        <v>50</v>
      </c>
      <c r="B70" t="s">
        <v>51</v>
      </c>
      <c r="C70">
        <v>9078136</v>
      </c>
      <c r="D70" t="s">
        <v>245</v>
      </c>
      <c r="E70" t="s">
        <v>244</v>
      </c>
      <c r="F70" t="str">
        <f t="shared" si="2"/>
        <v>FR0000120404MTAH</v>
      </c>
      <c r="G70">
        <f t="shared" si="3"/>
        <v>58044.552727272734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2192226.7000000002</v>
      </c>
      <c r="BU70">
        <v>1638713.78</v>
      </c>
    </row>
    <row r="71" spans="1:73" x14ac:dyDescent="0.25">
      <c r="A71" t="s">
        <v>52</v>
      </c>
      <c r="B71" t="s">
        <v>53</v>
      </c>
      <c r="C71">
        <v>4178</v>
      </c>
      <c r="D71" t="s">
        <v>6</v>
      </c>
      <c r="E71" t="s">
        <v>232</v>
      </c>
      <c r="F71" t="str">
        <f t="shared" si="2"/>
        <v>FR0000120503XPAR</v>
      </c>
      <c r="G71">
        <f t="shared" si="3"/>
        <v>24417050.773484848</v>
      </c>
      <c r="H71">
        <v>58937334.310000002</v>
      </c>
      <c r="I71">
        <v>41473806.450000003</v>
      </c>
      <c r="J71">
        <v>15627471.92</v>
      </c>
      <c r="K71">
        <v>30810324.030000001</v>
      </c>
      <c r="L71">
        <v>19775594.52</v>
      </c>
      <c r="M71">
        <v>13836135.68</v>
      </c>
      <c r="N71">
        <v>15339243.6</v>
      </c>
      <c r="O71">
        <v>15745663.869999999</v>
      </c>
      <c r="P71">
        <v>36124663.530000001</v>
      </c>
      <c r="Q71">
        <v>21695441.82</v>
      </c>
      <c r="R71">
        <v>17490102.91</v>
      </c>
      <c r="S71">
        <v>14452677.289999999</v>
      </c>
      <c r="T71">
        <v>12769734.16</v>
      </c>
      <c r="U71">
        <v>16595114.529999999</v>
      </c>
      <c r="V71">
        <v>16126520.859999999</v>
      </c>
      <c r="W71">
        <v>19505884.239999998</v>
      </c>
      <c r="X71">
        <v>23236273.379999999</v>
      </c>
      <c r="Y71">
        <v>24211590.84</v>
      </c>
      <c r="Z71">
        <v>15717753.939999999</v>
      </c>
      <c r="AA71">
        <v>23857359.59</v>
      </c>
      <c r="AB71">
        <v>27023293.32</v>
      </c>
      <c r="AC71">
        <v>14939322.779999999</v>
      </c>
      <c r="AD71">
        <v>20610160.91</v>
      </c>
      <c r="AE71">
        <v>37818698.159999996</v>
      </c>
      <c r="AF71">
        <v>31901238.870000001</v>
      </c>
      <c r="AG71">
        <v>18692174.309999999</v>
      </c>
      <c r="AH71">
        <v>16663018.369999999</v>
      </c>
      <c r="AI71">
        <v>20960522.600000001</v>
      </c>
      <c r="AJ71">
        <v>25037047.440000001</v>
      </c>
      <c r="AK71">
        <v>21231607.609999999</v>
      </c>
      <c r="AL71">
        <v>26598158.309999999</v>
      </c>
      <c r="AM71">
        <v>22434988.23</v>
      </c>
      <c r="AN71">
        <v>14956579.76</v>
      </c>
      <c r="AO71">
        <v>32610197.199999999</v>
      </c>
      <c r="AP71">
        <v>23140773.280000001</v>
      </c>
      <c r="AQ71">
        <v>29803964.739999998</v>
      </c>
      <c r="AR71">
        <v>27918101.629999999</v>
      </c>
      <c r="AS71">
        <v>52335344.759999998</v>
      </c>
      <c r="AT71">
        <v>25249516.68</v>
      </c>
      <c r="AU71">
        <v>27708427.969999999</v>
      </c>
      <c r="AV71">
        <v>19703695.66</v>
      </c>
      <c r="AW71">
        <v>15690087.9</v>
      </c>
      <c r="AX71">
        <v>27121743.57</v>
      </c>
      <c r="AY71">
        <v>19241563.539999999</v>
      </c>
      <c r="AZ71">
        <v>21393068.109999999</v>
      </c>
      <c r="BA71">
        <v>29746163.960000001</v>
      </c>
      <c r="BB71">
        <v>22759375.039999999</v>
      </c>
      <c r="BC71">
        <v>18050172.98</v>
      </c>
      <c r="BD71">
        <v>13969519.220000001</v>
      </c>
      <c r="BE71">
        <v>16960576.960000001</v>
      </c>
      <c r="BF71">
        <v>15508848.76</v>
      </c>
      <c r="BG71">
        <v>27052005.460000001</v>
      </c>
      <c r="BH71">
        <v>23532920.359999999</v>
      </c>
      <c r="BI71">
        <v>21592850.59</v>
      </c>
      <c r="BJ71">
        <v>20230706.510000002</v>
      </c>
      <c r="BK71">
        <v>28779541.91</v>
      </c>
      <c r="BL71">
        <v>71928250.719999999</v>
      </c>
      <c r="BM71">
        <v>17642434.66</v>
      </c>
      <c r="BN71">
        <v>8770670.3100000005</v>
      </c>
      <c r="BO71">
        <v>20626411.149999999</v>
      </c>
      <c r="BP71">
        <v>11594360.359999999</v>
      </c>
      <c r="BQ71">
        <v>11439741.57</v>
      </c>
      <c r="BR71">
        <v>13636128.5</v>
      </c>
      <c r="BS71">
        <v>20476103.25</v>
      </c>
      <c r="BT71">
        <v>67517290.209999993</v>
      </c>
      <c r="BU71">
        <v>55599291.390000001</v>
      </c>
    </row>
    <row r="72" spans="1:73" x14ac:dyDescent="0.25">
      <c r="A72" t="s">
        <v>52</v>
      </c>
      <c r="B72" t="s">
        <v>53</v>
      </c>
      <c r="C72">
        <v>6060171</v>
      </c>
      <c r="D72" t="s">
        <v>243</v>
      </c>
      <c r="E72" t="s">
        <v>244</v>
      </c>
      <c r="F72" t="str">
        <f t="shared" si="2"/>
        <v>FR0000120503ETLX</v>
      </c>
      <c r="G72">
        <f t="shared" si="3"/>
        <v>759953.7013636363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3781.25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503.28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31595163.289999999</v>
      </c>
      <c r="BU72">
        <v>18557496.469999999</v>
      </c>
    </row>
    <row r="73" spans="1:73" x14ac:dyDescent="0.25">
      <c r="A73" t="s">
        <v>52</v>
      </c>
      <c r="B73" t="s">
        <v>53</v>
      </c>
      <c r="C73">
        <v>9078135</v>
      </c>
      <c r="D73" t="s">
        <v>245</v>
      </c>
      <c r="E73" t="s">
        <v>244</v>
      </c>
      <c r="F73" t="str">
        <f t="shared" si="2"/>
        <v>FR0000120503MTAH</v>
      </c>
      <c r="G73">
        <f t="shared" si="3"/>
        <v>29595.82515151515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1228725.6100000001</v>
      </c>
      <c r="BU73">
        <v>724598.85</v>
      </c>
    </row>
    <row r="74" spans="1:73" x14ac:dyDescent="0.25">
      <c r="A74" t="s">
        <v>54</v>
      </c>
      <c r="B74" t="s">
        <v>55</v>
      </c>
      <c r="C74">
        <v>4157</v>
      </c>
      <c r="D74" t="s">
        <v>6</v>
      </c>
      <c r="E74" t="s">
        <v>232</v>
      </c>
      <c r="F74" t="str">
        <f t="shared" si="2"/>
        <v>FR0000120578XPAR</v>
      </c>
      <c r="G74">
        <f t="shared" si="3"/>
        <v>137920821.344697</v>
      </c>
      <c r="H74">
        <v>122785036.8</v>
      </c>
      <c r="I74">
        <v>159611519.53999999</v>
      </c>
      <c r="J74">
        <v>147801950.13999999</v>
      </c>
      <c r="K74">
        <v>91419442</v>
      </c>
      <c r="L74">
        <v>109854833.61</v>
      </c>
      <c r="M74">
        <v>108864183.12</v>
      </c>
      <c r="N74">
        <v>105942664.52</v>
      </c>
      <c r="O74">
        <v>101379224.3</v>
      </c>
      <c r="P74">
        <v>230952372.72</v>
      </c>
      <c r="Q74">
        <v>157908835.94999999</v>
      </c>
      <c r="R74">
        <v>118632191.53</v>
      </c>
      <c r="S74">
        <v>119645255.13</v>
      </c>
      <c r="T74">
        <v>106062490.2</v>
      </c>
      <c r="U74">
        <v>139023342.66</v>
      </c>
      <c r="V74">
        <v>104126265.27</v>
      </c>
      <c r="W74">
        <v>197011541.56999999</v>
      </c>
      <c r="X74">
        <v>173442472.31999999</v>
      </c>
      <c r="Y74">
        <v>153133784.40000001</v>
      </c>
      <c r="Z74">
        <v>128265701.02</v>
      </c>
      <c r="AA74">
        <v>116617025.59999999</v>
      </c>
      <c r="AB74">
        <v>263528015.40000001</v>
      </c>
      <c r="AC74">
        <v>107980124.95</v>
      </c>
      <c r="AD74">
        <v>84839042.459999993</v>
      </c>
      <c r="AE74">
        <v>131084612.73</v>
      </c>
      <c r="AF74">
        <v>200233431.15000001</v>
      </c>
      <c r="AG74">
        <v>145991578.05000001</v>
      </c>
      <c r="AH74">
        <v>135491508.05000001</v>
      </c>
      <c r="AI74">
        <v>115741981.45999999</v>
      </c>
      <c r="AJ74">
        <v>184018615.84</v>
      </c>
      <c r="AK74">
        <v>131110629.42</v>
      </c>
      <c r="AL74">
        <v>168543686.94999999</v>
      </c>
      <c r="AM74">
        <v>229375238.44999999</v>
      </c>
      <c r="AN74">
        <v>143180244.77000001</v>
      </c>
      <c r="AO74">
        <v>163021925.02000001</v>
      </c>
      <c r="AP74">
        <v>128678556.31</v>
      </c>
      <c r="AQ74">
        <v>120945478.03</v>
      </c>
      <c r="AR74">
        <v>154671789.94</v>
      </c>
      <c r="AS74">
        <v>206767016.63999999</v>
      </c>
      <c r="AT74">
        <v>131551216.04000001</v>
      </c>
      <c r="AU74">
        <v>91074346.019999996</v>
      </c>
      <c r="AV74">
        <v>67801399.189999998</v>
      </c>
      <c r="AW74">
        <v>138330015.30000001</v>
      </c>
      <c r="AX74">
        <v>128148814.29000001</v>
      </c>
      <c r="AY74">
        <v>126401918.73</v>
      </c>
      <c r="AZ74">
        <v>98943137.689999998</v>
      </c>
      <c r="BA74">
        <v>111619580.23</v>
      </c>
      <c r="BB74">
        <v>130735817.81</v>
      </c>
      <c r="BC74">
        <v>114785051.39</v>
      </c>
      <c r="BD74">
        <v>133563785.29000001</v>
      </c>
      <c r="BE74">
        <v>113843850.69</v>
      </c>
      <c r="BF74">
        <v>141190826.03</v>
      </c>
      <c r="BG74">
        <v>196007603.18000001</v>
      </c>
      <c r="BH74">
        <v>160205033.96000001</v>
      </c>
      <c r="BI74">
        <v>308201964.97000003</v>
      </c>
      <c r="BJ74">
        <v>236231394.09999999</v>
      </c>
      <c r="BK74">
        <v>170072365.37</v>
      </c>
      <c r="BL74">
        <v>401386732.87</v>
      </c>
      <c r="BM74">
        <v>96081825.489999995</v>
      </c>
      <c r="BN74">
        <v>39324520.219999999</v>
      </c>
      <c r="BO74">
        <v>105663097.94</v>
      </c>
      <c r="BP74">
        <v>95923420.159999996</v>
      </c>
      <c r="BQ74">
        <v>44322424.729999997</v>
      </c>
      <c r="BR74">
        <v>108513880.7</v>
      </c>
      <c r="BS74">
        <v>101560161.73</v>
      </c>
      <c r="BT74">
        <v>1993219.17</v>
      </c>
      <c r="BU74">
        <v>1613197.44</v>
      </c>
    </row>
    <row r="75" spans="1:73" x14ac:dyDescent="0.25">
      <c r="A75" t="s">
        <v>54</v>
      </c>
      <c r="B75" t="s">
        <v>55</v>
      </c>
      <c r="C75">
        <v>3052966</v>
      </c>
      <c r="D75" t="s">
        <v>248</v>
      </c>
      <c r="E75" t="s">
        <v>244</v>
      </c>
      <c r="F75" t="str">
        <f t="shared" si="2"/>
        <v>FR0000120578BGEM</v>
      </c>
      <c r="G75">
        <f t="shared" si="3"/>
        <v>215234.36348484847</v>
      </c>
      <c r="H75">
        <v>55236</v>
      </c>
      <c r="I75">
        <v>25182.42</v>
      </c>
      <c r="J75">
        <v>67062.259999999995</v>
      </c>
      <c r="K75">
        <v>35691.480000000003</v>
      </c>
      <c r="L75">
        <v>52788</v>
      </c>
      <c r="M75">
        <v>15161.82</v>
      </c>
      <c r="N75">
        <v>4414.96</v>
      </c>
      <c r="O75">
        <v>57458.14</v>
      </c>
      <c r="P75">
        <v>16373.5</v>
      </c>
      <c r="Q75">
        <v>35251.040000000001</v>
      </c>
      <c r="R75">
        <v>154008.79999999999</v>
      </c>
      <c r="S75">
        <v>54656.92</v>
      </c>
      <c r="T75">
        <v>96746.25</v>
      </c>
      <c r="U75">
        <v>48663.18</v>
      </c>
      <c r="V75">
        <v>47742.45</v>
      </c>
      <c r="W75">
        <v>149402</v>
      </c>
      <c r="X75">
        <v>105129.01</v>
      </c>
      <c r="Y75">
        <v>67076.06</v>
      </c>
      <c r="Z75">
        <v>136224.16</v>
      </c>
      <c r="AA75">
        <v>59715.03</v>
      </c>
      <c r="AB75">
        <v>56817.74</v>
      </c>
      <c r="AC75">
        <v>13756.6</v>
      </c>
      <c r="AD75">
        <v>16653.02</v>
      </c>
      <c r="AE75">
        <v>39390.199999999997</v>
      </c>
      <c r="AF75">
        <v>15449.81</v>
      </c>
      <c r="AG75">
        <v>106352.85</v>
      </c>
      <c r="AH75">
        <v>56069.46</v>
      </c>
      <c r="AI75">
        <v>47258.07</v>
      </c>
      <c r="AJ75">
        <v>97493.29</v>
      </c>
      <c r="AK75">
        <v>102287.6</v>
      </c>
      <c r="AL75">
        <v>18375.97</v>
      </c>
      <c r="AM75">
        <v>169245.46</v>
      </c>
      <c r="AN75">
        <v>48971.54</v>
      </c>
      <c r="AO75">
        <v>222517.27</v>
      </c>
      <c r="AP75">
        <v>157920.38</v>
      </c>
      <c r="AQ75">
        <v>32974.879999999997</v>
      </c>
      <c r="AR75">
        <v>68006.09</v>
      </c>
      <c r="AS75">
        <v>69379.86</v>
      </c>
      <c r="AT75">
        <v>13869.99</v>
      </c>
      <c r="AU75">
        <v>11754.22</v>
      </c>
      <c r="AV75">
        <v>35992.589999999997</v>
      </c>
      <c r="AW75">
        <v>7972.22</v>
      </c>
      <c r="AX75">
        <v>18771.32</v>
      </c>
      <c r="AY75">
        <v>16954.419999999998</v>
      </c>
      <c r="AZ75">
        <v>70464.33</v>
      </c>
      <c r="BA75">
        <v>44116.800000000003</v>
      </c>
      <c r="BB75">
        <v>54284.9</v>
      </c>
      <c r="BC75">
        <v>283997.02</v>
      </c>
      <c r="BD75">
        <v>200792.49</v>
      </c>
      <c r="BE75">
        <v>96678.7</v>
      </c>
      <c r="BF75">
        <v>35995.94</v>
      </c>
      <c r="BG75">
        <v>153039.38</v>
      </c>
      <c r="BH75">
        <v>40939.25</v>
      </c>
      <c r="BI75">
        <v>128596.56</v>
      </c>
      <c r="BJ75">
        <v>67382.929999999993</v>
      </c>
      <c r="BK75">
        <v>196170.72</v>
      </c>
      <c r="BL75">
        <v>43548.34</v>
      </c>
      <c r="BM75">
        <v>246537.45</v>
      </c>
      <c r="BN75">
        <v>0</v>
      </c>
      <c r="BO75">
        <v>71463.02</v>
      </c>
      <c r="BP75">
        <v>36972.25</v>
      </c>
      <c r="BQ75">
        <v>0</v>
      </c>
      <c r="BR75">
        <v>138612.35</v>
      </c>
      <c r="BS75">
        <v>22569.43</v>
      </c>
      <c r="BT75">
        <v>4159987</v>
      </c>
      <c r="BU75">
        <v>5385100.7999999998</v>
      </c>
    </row>
    <row r="76" spans="1:73" x14ac:dyDescent="0.25">
      <c r="A76" t="s">
        <v>54</v>
      </c>
      <c r="B76" t="s">
        <v>55</v>
      </c>
      <c r="C76">
        <v>3077386</v>
      </c>
      <c r="D76" t="s">
        <v>245</v>
      </c>
      <c r="E76" t="s">
        <v>244</v>
      </c>
      <c r="F76" t="str">
        <f t="shared" si="2"/>
        <v>FR0000120578MTAH</v>
      </c>
      <c r="G76">
        <f t="shared" si="3"/>
        <v>75254.195000000007</v>
      </c>
      <c r="H76">
        <v>0</v>
      </c>
      <c r="I76">
        <v>0</v>
      </c>
      <c r="J76">
        <v>310.68</v>
      </c>
      <c r="K76">
        <v>0</v>
      </c>
      <c r="L76">
        <v>0</v>
      </c>
      <c r="M76">
        <v>0</v>
      </c>
      <c r="N76">
        <v>0</v>
      </c>
      <c r="O76">
        <v>4080.18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515.20000000000005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9347.15</v>
      </c>
      <c r="AG76">
        <v>0</v>
      </c>
      <c r="AH76">
        <v>4825.8999999999996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1523.2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17327.2</v>
      </c>
      <c r="BD76">
        <v>0</v>
      </c>
      <c r="BE76">
        <v>0</v>
      </c>
      <c r="BF76">
        <v>0</v>
      </c>
      <c r="BG76">
        <v>0</v>
      </c>
      <c r="BH76">
        <v>1400.32</v>
      </c>
      <c r="BI76">
        <v>0</v>
      </c>
      <c r="BJ76">
        <v>6417.84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2004335.8</v>
      </c>
      <c r="BU76">
        <v>2916693.4</v>
      </c>
    </row>
    <row r="77" spans="1:73" x14ac:dyDescent="0.25">
      <c r="A77" t="s">
        <v>54</v>
      </c>
      <c r="B77" t="s">
        <v>55</v>
      </c>
      <c r="C77">
        <v>6060170</v>
      </c>
      <c r="D77" t="s">
        <v>243</v>
      </c>
      <c r="E77" t="s">
        <v>244</v>
      </c>
      <c r="F77" t="str">
        <f t="shared" si="2"/>
        <v>FR0000120578ETLX</v>
      </c>
      <c r="G77">
        <f t="shared" si="3"/>
        <v>1114664.8169696969</v>
      </c>
      <c r="H77">
        <v>0</v>
      </c>
      <c r="I77">
        <v>0</v>
      </c>
      <c r="J77">
        <v>10008</v>
      </c>
      <c r="K77">
        <v>0</v>
      </c>
      <c r="L77">
        <v>0</v>
      </c>
      <c r="M77">
        <v>1006.2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29274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1796</v>
      </c>
      <c r="BH77">
        <v>0</v>
      </c>
      <c r="BI77">
        <v>0</v>
      </c>
      <c r="BJ77">
        <v>11943.9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38274144.280000001</v>
      </c>
      <c r="BU77">
        <v>35239705.539999999</v>
      </c>
    </row>
    <row r="78" spans="1:73" x14ac:dyDescent="0.25">
      <c r="A78" t="s">
        <v>56</v>
      </c>
      <c r="B78" t="s">
        <v>57</v>
      </c>
      <c r="C78">
        <v>4187</v>
      </c>
      <c r="D78" t="s">
        <v>6</v>
      </c>
      <c r="E78" t="s">
        <v>232</v>
      </c>
      <c r="F78" t="str">
        <f t="shared" si="2"/>
        <v>FR0000120628XPAR</v>
      </c>
      <c r="G78">
        <f t="shared" si="3"/>
        <v>128030613.52484843</v>
      </c>
      <c r="H78">
        <v>139963437.25999999</v>
      </c>
      <c r="I78">
        <v>153592628.15000001</v>
      </c>
      <c r="J78">
        <v>118736904.52</v>
      </c>
      <c r="K78">
        <v>117221359.06</v>
      </c>
      <c r="L78">
        <v>100907984.31</v>
      </c>
      <c r="M78">
        <v>109401348.63</v>
      </c>
      <c r="N78">
        <v>94815261.659999996</v>
      </c>
      <c r="O78">
        <v>98370617.700000003</v>
      </c>
      <c r="P78">
        <v>192828228.56</v>
      </c>
      <c r="Q78">
        <v>112610204.22</v>
      </c>
      <c r="R78">
        <v>122715709.88</v>
      </c>
      <c r="S78">
        <v>99805408.870000005</v>
      </c>
      <c r="T78">
        <v>101916928.23999999</v>
      </c>
      <c r="U78">
        <v>128720816.64</v>
      </c>
      <c r="V78">
        <v>92086393.709999993</v>
      </c>
      <c r="W78">
        <v>121762048.34999999</v>
      </c>
      <c r="X78">
        <v>122649867.76000001</v>
      </c>
      <c r="Y78">
        <v>121681200.22</v>
      </c>
      <c r="Z78">
        <v>122713732.73</v>
      </c>
      <c r="AA78">
        <v>138387245.5</v>
      </c>
      <c r="AB78">
        <v>205508757.88999999</v>
      </c>
      <c r="AC78">
        <v>97308548.599999994</v>
      </c>
      <c r="AD78">
        <v>77108688.25</v>
      </c>
      <c r="AE78">
        <v>85144082.340000004</v>
      </c>
      <c r="AF78">
        <v>145351137.05000001</v>
      </c>
      <c r="AG78">
        <v>142241506.87</v>
      </c>
      <c r="AH78">
        <v>95884488.170000002</v>
      </c>
      <c r="AI78">
        <v>97798173.370000005</v>
      </c>
      <c r="AJ78">
        <v>151708485.58000001</v>
      </c>
      <c r="AK78">
        <v>117603835.15000001</v>
      </c>
      <c r="AL78">
        <v>175803763</v>
      </c>
      <c r="AM78">
        <v>102168105.48999999</v>
      </c>
      <c r="AN78">
        <v>96006166.920000002</v>
      </c>
      <c r="AO78">
        <v>106062313.76000001</v>
      </c>
      <c r="AP78">
        <v>134041507.95</v>
      </c>
      <c r="AQ78">
        <v>122956675.79000001</v>
      </c>
      <c r="AR78">
        <v>110025562.73999999</v>
      </c>
      <c r="AS78">
        <v>264929841.44999999</v>
      </c>
      <c r="AT78">
        <v>118911431.13</v>
      </c>
      <c r="AU78">
        <v>301377729.69999999</v>
      </c>
      <c r="AV78">
        <v>154987432.55000001</v>
      </c>
      <c r="AW78">
        <v>236955556.71000001</v>
      </c>
      <c r="AX78">
        <v>214951349.28</v>
      </c>
      <c r="AY78">
        <v>226828702.33000001</v>
      </c>
      <c r="AZ78">
        <v>129349817.3</v>
      </c>
      <c r="BA78">
        <v>198748066.11000001</v>
      </c>
      <c r="BB78">
        <v>179610692.30000001</v>
      </c>
      <c r="BC78">
        <v>124689343.68000001</v>
      </c>
      <c r="BD78">
        <v>161642528.15000001</v>
      </c>
      <c r="BE78">
        <v>108623255.62</v>
      </c>
      <c r="BF78">
        <v>95798950.569999993</v>
      </c>
      <c r="BG78">
        <v>131929967.62</v>
      </c>
      <c r="BH78">
        <v>106439191.28</v>
      </c>
      <c r="BI78">
        <v>118488701.61</v>
      </c>
      <c r="BJ78">
        <v>131452189.7</v>
      </c>
      <c r="BK78">
        <v>122661430.78</v>
      </c>
      <c r="BL78">
        <v>349555340.22000003</v>
      </c>
      <c r="BM78">
        <v>74455804.760000005</v>
      </c>
      <c r="BN78">
        <v>30733925.989999998</v>
      </c>
      <c r="BO78">
        <v>79370915.719999999</v>
      </c>
      <c r="BP78">
        <v>71245317.489999995</v>
      </c>
      <c r="BQ78">
        <v>29480163.649999999</v>
      </c>
      <c r="BR78">
        <v>83043067.790000007</v>
      </c>
      <c r="BS78">
        <v>111074472.06999999</v>
      </c>
      <c r="BT78">
        <v>9263752.1999999993</v>
      </c>
      <c r="BU78">
        <v>9812429.9900000002</v>
      </c>
    </row>
    <row r="79" spans="1:73" x14ac:dyDescent="0.25">
      <c r="A79" t="s">
        <v>56</v>
      </c>
      <c r="B79" t="s">
        <v>57</v>
      </c>
      <c r="C79">
        <v>3047340</v>
      </c>
      <c r="D79" t="s">
        <v>248</v>
      </c>
      <c r="E79" t="s">
        <v>244</v>
      </c>
      <c r="F79" t="str">
        <f t="shared" si="2"/>
        <v>FR0000120628BGEM</v>
      </c>
      <c r="G79">
        <f t="shared" si="3"/>
        <v>234190.84030303033</v>
      </c>
      <c r="H79">
        <v>0</v>
      </c>
      <c r="I79">
        <v>5835.97</v>
      </c>
      <c r="J79">
        <v>27748.19</v>
      </c>
      <c r="K79">
        <v>49083.14</v>
      </c>
      <c r="L79">
        <v>10033.18</v>
      </c>
      <c r="M79">
        <v>45994.02</v>
      </c>
      <c r="N79">
        <v>0</v>
      </c>
      <c r="O79">
        <v>14361.26</v>
      </c>
      <c r="P79">
        <v>182068.46</v>
      </c>
      <c r="Q79">
        <v>112211.73</v>
      </c>
      <c r="R79">
        <v>56670.07</v>
      </c>
      <c r="S79">
        <v>15623.83</v>
      </c>
      <c r="T79">
        <v>8341.02</v>
      </c>
      <c r="U79">
        <v>21985.54</v>
      </c>
      <c r="V79">
        <v>14950.3</v>
      </c>
      <c r="W79">
        <v>14666.74</v>
      </c>
      <c r="X79">
        <v>61253.02</v>
      </c>
      <c r="Y79">
        <v>12184.97</v>
      </c>
      <c r="Z79">
        <v>21723.759999999998</v>
      </c>
      <c r="AA79">
        <v>7174.78</v>
      </c>
      <c r="AB79">
        <v>77136.59</v>
      </c>
      <c r="AC79">
        <v>13896.21</v>
      </c>
      <c r="AD79">
        <v>213002.08</v>
      </c>
      <c r="AE79">
        <v>0</v>
      </c>
      <c r="AF79">
        <v>217654.35</v>
      </c>
      <c r="AG79">
        <v>20938</v>
      </c>
      <c r="AH79">
        <v>72079.259999999995</v>
      </c>
      <c r="AI79">
        <v>27103.46</v>
      </c>
      <c r="AJ79">
        <v>123005.14</v>
      </c>
      <c r="AK79">
        <v>54647.839999999997</v>
      </c>
      <c r="AL79">
        <v>36512.21</v>
      </c>
      <c r="AM79">
        <v>60024.71</v>
      </c>
      <c r="AN79">
        <v>57268.3</v>
      </c>
      <c r="AO79">
        <v>132187.85999999999</v>
      </c>
      <c r="AP79">
        <v>102572.4</v>
      </c>
      <c r="AQ79">
        <v>67593.36</v>
      </c>
      <c r="AR79">
        <v>99055.19</v>
      </c>
      <c r="AS79">
        <v>57876.74</v>
      </c>
      <c r="AT79">
        <v>46747.06</v>
      </c>
      <c r="AU79">
        <v>117213.25</v>
      </c>
      <c r="AV79">
        <v>32335.72</v>
      </c>
      <c r="AW79">
        <v>48432.68</v>
      </c>
      <c r="AX79">
        <v>37704.699999999997</v>
      </c>
      <c r="AY79">
        <v>45051.86</v>
      </c>
      <c r="AZ79">
        <v>42053.440000000002</v>
      </c>
      <c r="BA79">
        <v>189773.49</v>
      </c>
      <c r="BB79">
        <v>79407.02</v>
      </c>
      <c r="BC79">
        <v>37059.74</v>
      </c>
      <c r="BD79">
        <v>15233.99</v>
      </c>
      <c r="BE79">
        <v>87972.69</v>
      </c>
      <c r="BF79">
        <v>74620.5</v>
      </c>
      <c r="BG79">
        <v>22694.48</v>
      </c>
      <c r="BH79">
        <v>31733.34</v>
      </c>
      <c r="BI79">
        <v>37792.449999999997</v>
      </c>
      <c r="BJ79">
        <v>9681.4500000000007</v>
      </c>
      <c r="BK79">
        <v>95967.22</v>
      </c>
      <c r="BL79">
        <v>39655.31</v>
      </c>
      <c r="BM79">
        <v>30143.93</v>
      </c>
      <c r="BN79">
        <v>0</v>
      </c>
      <c r="BO79">
        <v>29813.279999999999</v>
      </c>
      <c r="BP79">
        <v>45383.15</v>
      </c>
      <c r="BQ79">
        <v>0</v>
      </c>
      <c r="BR79">
        <v>79853.88</v>
      </c>
      <c r="BS79">
        <v>29746.35</v>
      </c>
      <c r="BT79">
        <v>6690679.0999999996</v>
      </c>
      <c r="BU79">
        <v>5345381.7</v>
      </c>
    </row>
    <row r="80" spans="1:73" x14ac:dyDescent="0.25">
      <c r="A80" t="s">
        <v>56</v>
      </c>
      <c r="B80" t="s">
        <v>57</v>
      </c>
      <c r="C80">
        <v>3077385</v>
      </c>
      <c r="D80" t="s">
        <v>245</v>
      </c>
      <c r="E80" t="s">
        <v>244</v>
      </c>
      <c r="F80" t="str">
        <f t="shared" si="2"/>
        <v>FR0000120628MTAH</v>
      </c>
      <c r="G80">
        <f t="shared" si="3"/>
        <v>37411.63015151515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814443.06</v>
      </c>
      <c r="BU80">
        <v>1654724.53</v>
      </c>
    </row>
    <row r="81" spans="1:73" x14ac:dyDescent="0.25">
      <c r="A81" t="s">
        <v>56</v>
      </c>
      <c r="B81" t="s">
        <v>57</v>
      </c>
      <c r="C81">
        <v>6060169</v>
      </c>
      <c r="D81" t="s">
        <v>243</v>
      </c>
      <c r="E81" t="s">
        <v>244</v>
      </c>
      <c r="F81" t="str">
        <f t="shared" si="2"/>
        <v>FR0000120628ETLX</v>
      </c>
      <c r="G81">
        <f t="shared" si="3"/>
        <v>252859.33363636362</v>
      </c>
      <c r="H81">
        <v>0</v>
      </c>
      <c r="I81">
        <v>7164.6</v>
      </c>
      <c r="J81">
        <v>5199</v>
      </c>
      <c r="K81">
        <v>49392</v>
      </c>
      <c r="L81">
        <v>44957</v>
      </c>
      <c r="M81">
        <v>0</v>
      </c>
      <c r="N81">
        <v>6326.52</v>
      </c>
      <c r="O81">
        <v>39498</v>
      </c>
      <c r="P81">
        <v>18479.38</v>
      </c>
      <c r="Q81">
        <v>0</v>
      </c>
      <c r="R81">
        <v>5020.3999999999996</v>
      </c>
      <c r="S81">
        <v>7216</v>
      </c>
      <c r="T81">
        <v>3579</v>
      </c>
      <c r="U81">
        <v>13323.31</v>
      </c>
      <c r="V81">
        <v>0</v>
      </c>
      <c r="W81">
        <v>38885.5</v>
      </c>
      <c r="X81">
        <v>70</v>
      </c>
      <c r="Y81">
        <v>0</v>
      </c>
      <c r="Z81">
        <v>0</v>
      </c>
      <c r="AA81">
        <v>8740</v>
      </c>
      <c r="AB81">
        <v>7593.6</v>
      </c>
      <c r="AC81">
        <v>27489</v>
      </c>
      <c r="AD81">
        <v>0</v>
      </c>
      <c r="AE81">
        <v>0</v>
      </c>
      <c r="AF81">
        <v>0</v>
      </c>
      <c r="AG81">
        <v>5155.5</v>
      </c>
      <c r="AH81">
        <v>10265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322.60000000000002</v>
      </c>
      <c r="AV81">
        <v>0</v>
      </c>
      <c r="AW81">
        <v>0</v>
      </c>
      <c r="AX81">
        <v>327.2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5645616.2699999996</v>
      </c>
      <c r="BU81">
        <v>10744096.140000001</v>
      </c>
    </row>
    <row r="82" spans="1:73" x14ac:dyDescent="0.25">
      <c r="A82" t="s">
        <v>58</v>
      </c>
      <c r="B82" t="s">
        <v>59</v>
      </c>
      <c r="C82">
        <v>4188</v>
      </c>
      <c r="D82" t="s">
        <v>6</v>
      </c>
      <c r="E82" t="s">
        <v>232</v>
      </c>
      <c r="F82" t="str">
        <f t="shared" si="2"/>
        <v>FR0000120644XPAR</v>
      </c>
      <c r="G82">
        <f t="shared" si="3"/>
        <v>69260332.303333357</v>
      </c>
      <c r="H82">
        <v>72859589.780000001</v>
      </c>
      <c r="I82">
        <v>78854285.439999998</v>
      </c>
      <c r="J82">
        <v>62976124.289999999</v>
      </c>
      <c r="K82">
        <v>52883840.439999998</v>
      </c>
      <c r="L82">
        <v>56880664.219999999</v>
      </c>
      <c r="M82">
        <v>37692660.479999997</v>
      </c>
      <c r="N82">
        <v>52684265.960000001</v>
      </c>
      <c r="O82">
        <v>50436907.670000002</v>
      </c>
      <c r="P82">
        <v>90860845.879999995</v>
      </c>
      <c r="Q82">
        <v>59714955.030000001</v>
      </c>
      <c r="R82">
        <v>60307376.969999999</v>
      </c>
      <c r="S82">
        <v>88930208.519999996</v>
      </c>
      <c r="T82">
        <v>55527919.289999999</v>
      </c>
      <c r="U82">
        <v>51936667.049999997</v>
      </c>
      <c r="V82">
        <v>76777484.030000001</v>
      </c>
      <c r="W82">
        <v>106182634.39</v>
      </c>
      <c r="X82">
        <v>65985526.68</v>
      </c>
      <c r="Y82">
        <v>103932762.88</v>
      </c>
      <c r="Z82">
        <v>96066537.659999996</v>
      </c>
      <c r="AA82">
        <v>68164445.280000001</v>
      </c>
      <c r="AB82">
        <v>93058385.040000007</v>
      </c>
      <c r="AC82">
        <v>62800489.560000002</v>
      </c>
      <c r="AD82">
        <v>62506400.579999998</v>
      </c>
      <c r="AE82">
        <v>65529822.520000003</v>
      </c>
      <c r="AF82">
        <v>86744698.579999998</v>
      </c>
      <c r="AG82">
        <v>69484794.140000001</v>
      </c>
      <c r="AH82">
        <v>68545725.180000007</v>
      </c>
      <c r="AI82">
        <v>74815496.579999998</v>
      </c>
      <c r="AJ82">
        <v>85481532.700000003</v>
      </c>
      <c r="AK82">
        <v>69975295.859999999</v>
      </c>
      <c r="AL82">
        <v>95144373.109999999</v>
      </c>
      <c r="AM82">
        <v>99391686.959999993</v>
      </c>
      <c r="AN82">
        <v>74395578.159999996</v>
      </c>
      <c r="AO82">
        <v>80880447.480000004</v>
      </c>
      <c r="AP82">
        <v>90046623.599999994</v>
      </c>
      <c r="AQ82">
        <v>73210112.799999997</v>
      </c>
      <c r="AR82">
        <v>83684984.480000004</v>
      </c>
      <c r="AS82">
        <v>179221021.90000001</v>
      </c>
      <c r="AT82">
        <v>68104927.439999998</v>
      </c>
      <c r="AU82">
        <v>64673908.280000001</v>
      </c>
      <c r="AV82">
        <v>53892545.109999999</v>
      </c>
      <c r="AW82">
        <v>74078047.450000003</v>
      </c>
      <c r="AX82">
        <v>74237985.359999999</v>
      </c>
      <c r="AY82">
        <v>69542602.530000001</v>
      </c>
      <c r="AZ82">
        <v>62872367.219999999</v>
      </c>
      <c r="BA82">
        <v>56676451.659999996</v>
      </c>
      <c r="BB82">
        <v>48804529.920000002</v>
      </c>
      <c r="BC82">
        <v>69682246.239999995</v>
      </c>
      <c r="BD82">
        <v>60161510.890000001</v>
      </c>
      <c r="BE82">
        <v>68401624.280000001</v>
      </c>
      <c r="BF82">
        <v>58988266.969999999</v>
      </c>
      <c r="BG82">
        <v>67389805.459999993</v>
      </c>
      <c r="BH82">
        <v>54339770.380000003</v>
      </c>
      <c r="BI82">
        <v>70533725.349999994</v>
      </c>
      <c r="BJ82">
        <v>60824324.759999998</v>
      </c>
      <c r="BK82">
        <v>83658692.069999993</v>
      </c>
      <c r="BL82">
        <v>163828316.37</v>
      </c>
      <c r="BM82">
        <v>60260334.369999997</v>
      </c>
      <c r="BN82">
        <v>16262045.720000001</v>
      </c>
      <c r="BO82">
        <v>49074192.719999999</v>
      </c>
      <c r="BP82">
        <v>44187074.039999999</v>
      </c>
      <c r="BQ82">
        <v>19024019.02</v>
      </c>
      <c r="BR82">
        <v>40739372.289999999</v>
      </c>
      <c r="BS82">
        <v>62869982.82</v>
      </c>
      <c r="BT82">
        <v>12359255.390000001</v>
      </c>
      <c r="BU82">
        <v>31140836.739999998</v>
      </c>
    </row>
    <row r="83" spans="1:73" x14ac:dyDescent="0.25">
      <c r="A83" t="s">
        <v>58</v>
      </c>
      <c r="B83" t="s">
        <v>59</v>
      </c>
      <c r="C83">
        <v>6060168</v>
      </c>
      <c r="D83" t="s">
        <v>243</v>
      </c>
      <c r="E83" t="s">
        <v>244</v>
      </c>
      <c r="F83" t="str">
        <f t="shared" si="2"/>
        <v>FR0000120644ETLX</v>
      </c>
      <c r="G83">
        <f t="shared" si="3"/>
        <v>24117.079393939395</v>
      </c>
      <c r="H83">
        <v>0</v>
      </c>
      <c r="I83">
        <v>706.2</v>
      </c>
      <c r="J83">
        <v>0</v>
      </c>
      <c r="K83">
        <v>0</v>
      </c>
      <c r="L83">
        <v>0</v>
      </c>
      <c r="M83">
        <v>0</v>
      </c>
      <c r="N83">
        <v>0</v>
      </c>
      <c r="O83">
        <v>9100</v>
      </c>
      <c r="P83">
        <v>0</v>
      </c>
      <c r="Q83">
        <v>0</v>
      </c>
      <c r="R83">
        <v>3249</v>
      </c>
      <c r="S83">
        <v>517.76</v>
      </c>
      <c r="T83">
        <v>0</v>
      </c>
      <c r="U83">
        <v>0</v>
      </c>
      <c r="V83">
        <v>0</v>
      </c>
      <c r="W83">
        <v>39292</v>
      </c>
      <c r="X83">
        <v>6554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6552</v>
      </c>
      <c r="AI83">
        <v>0</v>
      </c>
      <c r="AJ83">
        <v>0</v>
      </c>
      <c r="AK83">
        <v>0</v>
      </c>
      <c r="AL83">
        <v>0</v>
      </c>
      <c r="AM83">
        <v>55584</v>
      </c>
      <c r="AN83">
        <v>0</v>
      </c>
      <c r="AO83">
        <v>51550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3886.8</v>
      </c>
      <c r="AV83">
        <v>59137.46</v>
      </c>
      <c r="AW83">
        <v>0</v>
      </c>
      <c r="AX83">
        <v>13060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5328.6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2444.92</v>
      </c>
      <c r="BK83">
        <v>0</v>
      </c>
      <c r="BL83">
        <v>0</v>
      </c>
      <c r="BM83">
        <v>10569.9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682090.6</v>
      </c>
      <c r="BU83">
        <v>642104</v>
      </c>
    </row>
    <row r="84" spans="1:73" x14ac:dyDescent="0.25">
      <c r="A84" t="s">
        <v>58</v>
      </c>
      <c r="B84" t="s">
        <v>59</v>
      </c>
      <c r="C84">
        <v>9078134</v>
      </c>
      <c r="D84" t="s">
        <v>245</v>
      </c>
      <c r="E84" t="s">
        <v>244</v>
      </c>
      <c r="F84" t="str">
        <f t="shared" si="2"/>
        <v>FR0000120644MTAH</v>
      </c>
      <c r="G84">
        <f t="shared" si="3"/>
        <v>295986.86590909091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9773897.3399999999</v>
      </c>
      <c r="BU84">
        <v>9761235.8100000005</v>
      </c>
    </row>
    <row r="85" spans="1:73" x14ac:dyDescent="0.25">
      <c r="A85" t="s">
        <v>235</v>
      </c>
      <c r="B85" t="s">
        <v>254</v>
      </c>
      <c r="C85">
        <v>4189</v>
      </c>
      <c r="D85" t="s">
        <v>6</v>
      </c>
      <c r="E85" t="s">
        <v>232</v>
      </c>
      <c r="F85" t="str">
        <f t="shared" si="2"/>
        <v>FR0000120669XPAR</v>
      </c>
      <c r="G85">
        <f t="shared" si="3"/>
        <v>1011987.0801515152</v>
      </c>
      <c r="H85">
        <v>1395224</v>
      </c>
      <c r="I85">
        <v>2420167.7999999998</v>
      </c>
      <c r="J85">
        <v>2060619.2</v>
      </c>
      <c r="K85">
        <v>836182.4</v>
      </c>
      <c r="L85">
        <v>928496.8</v>
      </c>
      <c r="M85">
        <v>421660</v>
      </c>
      <c r="N85">
        <v>485871.4</v>
      </c>
      <c r="O85">
        <v>1466621.2</v>
      </c>
      <c r="P85">
        <v>1662231.2</v>
      </c>
      <c r="Q85">
        <v>704805</v>
      </c>
      <c r="R85">
        <v>629268.6</v>
      </c>
      <c r="S85">
        <v>816766.8</v>
      </c>
      <c r="T85">
        <v>882901.2</v>
      </c>
      <c r="U85">
        <v>1026725.3</v>
      </c>
      <c r="V85">
        <v>1125160.8</v>
      </c>
      <c r="W85">
        <v>1342191.6</v>
      </c>
      <c r="X85">
        <v>666241.6</v>
      </c>
      <c r="Y85">
        <v>1036956.2</v>
      </c>
      <c r="Z85">
        <v>1055993.8</v>
      </c>
      <c r="AA85">
        <v>1377520</v>
      </c>
      <c r="AB85">
        <v>1406249.4</v>
      </c>
      <c r="AC85">
        <v>5143859.5999999996</v>
      </c>
      <c r="AD85">
        <v>2476777.6</v>
      </c>
      <c r="AE85">
        <v>763597.1</v>
      </c>
      <c r="AF85">
        <v>2083253.95</v>
      </c>
      <c r="AG85">
        <v>903358.6</v>
      </c>
      <c r="AH85">
        <v>627199.80000000005</v>
      </c>
      <c r="AI85">
        <v>952512.4</v>
      </c>
      <c r="AJ85">
        <v>901562.4</v>
      </c>
      <c r="AK85">
        <v>594485.30000000005</v>
      </c>
      <c r="AL85">
        <v>501968.2</v>
      </c>
      <c r="AM85">
        <v>986780.2</v>
      </c>
      <c r="AN85">
        <v>749757.4</v>
      </c>
      <c r="AO85">
        <v>920244.4</v>
      </c>
      <c r="AP85">
        <v>298904.40000000002</v>
      </c>
      <c r="AQ85">
        <v>587968.6</v>
      </c>
      <c r="AR85">
        <v>505704.4</v>
      </c>
      <c r="AS85">
        <v>1565833.2</v>
      </c>
      <c r="AT85">
        <v>823996.9</v>
      </c>
      <c r="AU85">
        <v>1152642.5</v>
      </c>
      <c r="AV85">
        <v>385276.8</v>
      </c>
      <c r="AW85">
        <v>386542.1</v>
      </c>
      <c r="AX85">
        <v>610224.19999999995</v>
      </c>
      <c r="AY85">
        <v>458137.35</v>
      </c>
      <c r="AZ85">
        <v>935944.6</v>
      </c>
      <c r="BA85">
        <v>465172</v>
      </c>
      <c r="BB85">
        <v>553505.19999999995</v>
      </c>
      <c r="BC85">
        <v>1063601.8</v>
      </c>
      <c r="BD85">
        <v>487950.3</v>
      </c>
      <c r="BE85">
        <v>290047.59999999998</v>
      </c>
      <c r="BF85">
        <v>830678.4</v>
      </c>
      <c r="BG85">
        <v>703135.7</v>
      </c>
      <c r="BH85">
        <v>649356.19999999995</v>
      </c>
      <c r="BI85">
        <v>903444.8</v>
      </c>
      <c r="BJ85">
        <v>722590.4</v>
      </c>
      <c r="BK85">
        <v>920423</v>
      </c>
      <c r="BL85">
        <v>854545.4</v>
      </c>
      <c r="BM85">
        <v>373895</v>
      </c>
      <c r="BN85">
        <v>140734.6</v>
      </c>
      <c r="BO85">
        <v>551693.4</v>
      </c>
      <c r="BP85">
        <v>313126.2</v>
      </c>
      <c r="BQ85">
        <v>439650.8</v>
      </c>
      <c r="BR85">
        <v>1484907.7</v>
      </c>
      <c r="BS85">
        <v>1766540.7</v>
      </c>
      <c r="BT85">
        <v>2007481.96</v>
      </c>
      <c r="BU85">
        <v>2204279.83</v>
      </c>
    </row>
    <row r="86" spans="1:73" x14ac:dyDescent="0.25">
      <c r="A86" t="s">
        <v>60</v>
      </c>
      <c r="B86" t="s">
        <v>61</v>
      </c>
      <c r="C86">
        <v>4192</v>
      </c>
      <c r="D86" t="s">
        <v>6</v>
      </c>
      <c r="E86" t="s">
        <v>232</v>
      </c>
      <c r="F86" t="str">
        <f t="shared" si="2"/>
        <v>FR0000120693XPAR</v>
      </c>
      <c r="G86">
        <f t="shared" si="3"/>
        <v>60581592.290757567</v>
      </c>
      <c r="H86">
        <v>52619228.600000001</v>
      </c>
      <c r="I86">
        <v>52701568.950000003</v>
      </c>
      <c r="J86">
        <v>52088620.850000001</v>
      </c>
      <c r="K86">
        <v>94561226.010000005</v>
      </c>
      <c r="L86">
        <v>45587662.25</v>
      </c>
      <c r="M86">
        <v>60339165.640000001</v>
      </c>
      <c r="N86">
        <v>61368717.549999997</v>
      </c>
      <c r="O86">
        <v>48222817.219999999</v>
      </c>
      <c r="P86">
        <v>62486516.399999999</v>
      </c>
      <c r="Q86">
        <v>63949504.799999997</v>
      </c>
      <c r="R86">
        <v>92674986.950000003</v>
      </c>
      <c r="S86">
        <v>72261088.269999996</v>
      </c>
      <c r="T86">
        <v>41962215.899999999</v>
      </c>
      <c r="U86">
        <v>40166242.939999998</v>
      </c>
      <c r="V86">
        <v>43867393.950000003</v>
      </c>
      <c r="W86">
        <v>47185314.799999997</v>
      </c>
      <c r="X86">
        <v>43964023.880000003</v>
      </c>
      <c r="Y86">
        <v>39944459.25</v>
      </c>
      <c r="Z86">
        <v>47223265.109999999</v>
      </c>
      <c r="AA86">
        <v>113996898.83</v>
      </c>
      <c r="AB86">
        <v>98391007.280000001</v>
      </c>
      <c r="AC86">
        <v>56378748.100000001</v>
      </c>
      <c r="AD86">
        <v>51697971.030000001</v>
      </c>
      <c r="AE86">
        <v>47690121.799999997</v>
      </c>
      <c r="AF86">
        <v>68609251.579999998</v>
      </c>
      <c r="AG86">
        <v>50553945.700000003</v>
      </c>
      <c r="AH86">
        <v>63956750.280000001</v>
      </c>
      <c r="AI86">
        <v>37869518.600000001</v>
      </c>
      <c r="AJ86">
        <v>73104676.950000003</v>
      </c>
      <c r="AK86">
        <v>54273578.200000003</v>
      </c>
      <c r="AL86">
        <v>52866933.649999999</v>
      </c>
      <c r="AM86">
        <v>40961848.450000003</v>
      </c>
      <c r="AN86">
        <v>37066246.100000001</v>
      </c>
      <c r="AO86">
        <v>37264033.579999998</v>
      </c>
      <c r="AP86">
        <v>59008830.329999998</v>
      </c>
      <c r="AQ86">
        <v>48003408.880000003</v>
      </c>
      <c r="AR86">
        <v>61513279.850000001</v>
      </c>
      <c r="AS86">
        <v>143008371.44999999</v>
      </c>
      <c r="AT86">
        <v>55544047.030000001</v>
      </c>
      <c r="AU86">
        <v>36769092.850000001</v>
      </c>
      <c r="AV86">
        <v>49296522.07</v>
      </c>
      <c r="AW86">
        <v>66592955.880000003</v>
      </c>
      <c r="AX86">
        <v>60005561.409999996</v>
      </c>
      <c r="AY86">
        <v>65704991.420000002</v>
      </c>
      <c r="AZ86">
        <v>81293586.450000003</v>
      </c>
      <c r="BA86">
        <v>74631058.969999999</v>
      </c>
      <c r="BB86">
        <v>59030014.240000002</v>
      </c>
      <c r="BC86">
        <v>89458950.950000003</v>
      </c>
      <c r="BD86">
        <v>92590602.069999993</v>
      </c>
      <c r="BE86">
        <v>89922968.030000001</v>
      </c>
      <c r="BF86">
        <v>85923164.75</v>
      </c>
      <c r="BG86">
        <v>75622784.079999998</v>
      </c>
      <c r="BH86">
        <v>72899347.239999995</v>
      </c>
      <c r="BI86">
        <v>92678048.959999993</v>
      </c>
      <c r="BJ86">
        <v>73477415.290000007</v>
      </c>
      <c r="BK86">
        <v>61831454.299999997</v>
      </c>
      <c r="BL86">
        <v>181273619.99000001</v>
      </c>
      <c r="BM86">
        <v>43454986.850000001</v>
      </c>
      <c r="BN86">
        <v>11098865.949999999</v>
      </c>
      <c r="BO86">
        <v>39648540.850000001</v>
      </c>
      <c r="BP86">
        <v>41693673.590000004</v>
      </c>
      <c r="BQ86">
        <v>17702433.100000001</v>
      </c>
      <c r="BR86">
        <v>31963562.629999999</v>
      </c>
      <c r="BS86">
        <v>88000086.819999993</v>
      </c>
      <c r="BT86">
        <v>464827.2</v>
      </c>
      <c r="BU86">
        <v>422488.26</v>
      </c>
    </row>
    <row r="87" spans="1:73" x14ac:dyDescent="0.25">
      <c r="A87" t="s">
        <v>60</v>
      </c>
      <c r="B87" t="s">
        <v>61</v>
      </c>
      <c r="C87">
        <v>6060167</v>
      </c>
      <c r="D87" t="s">
        <v>243</v>
      </c>
      <c r="E87" t="s">
        <v>244</v>
      </c>
      <c r="F87" t="str">
        <f t="shared" si="2"/>
        <v>FR0000120693ETLX</v>
      </c>
      <c r="G87">
        <f t="shared" si="3"/>
        <v>521629.34833333327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920</v>
      </c>
      <c r="AC87">
        <v>808.85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664.5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747.6</v>
      </c>
      <c r="AT87">
        <v>737.8</v>
      </c>
      <c r="AU87">
        <v>737.1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445.8</v>
      </c>
      <c r="BJ87">
        <v>0</v>
      </c>
      <c r="BK87">
        <v>0</v>
      </c>
      <c r="BL87">
        <v>2162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18180811.079999998</v>
      </c>
      <c r="BU87">
        <v>16239502.26</v>
      </c>
    </row>
    <row r="88" spans="1:73" x14ac:dyDescent="0.25">
      <c r="A88" t="s">
        <v>60</v>
      </c>
      <c r="B88" t="s">
        <v>61</v>
      </c>
      <c r="C88">
        <v>9078133</v>
      </c>
      <c r="D88" t="s">
        <v>245</v>
      </c>
      <c r="E88" t="s">
        <v>244</v>
      </c>
      <c r="F88" t="str">
        <f t="shared" si="2"/>
        <v>FR0000120693MTAH</v>
      </c>
      <c r="G88">
        <f t="shared" si="3"/>
        <v>21423.590909090908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823423</v>
      </c>
      <c r="BU88">
        <v>590534</v>
      </c>
    </row>
    <row r="89" spans="1:73" x14ac:dyDescent="0.25">
      <c r="A89" t="s">
        <v>62</v>
      </c>
      <c r="B89" t="s">
        <v>63</v>
      </c>
      <c r="C89">
        <v>4202</v>
      </c>
      <c r="D89" t="s">
        <v>6</v>
      </c>
      <c r="E89" t="s">
        <v>232</v>
      </c>
      <c r="F89" t="str">
        <f t="shared" si="2"/>
        <v>FR0000120859XPAR</v>
      </c>
      <c r="G89">
        <f t="shared" si="3"/>
        <v>2180442.1819696967</v>
      </c>
      <c r="H89">
        <v>1867952.5</v>
      </c>
      <c r="I89">
        <v>3302947.2</v>
      </c>
      <c r="J89">
        <v>1592409.28</v>
      </c>
      <c r="K89">
        <v>1586111.88</v>
      </c>
      <c r="L89">
        <v>2348415.7599999998</v>
      </c>
      <c r="M89">
        <v>1123172.3799999999</v>
      </c>
      <c r="N89">
        <v>2700180.88</v>
      </c>
      <c r="O89">
        <v>2477448.6</v>
      </c>
      <c r="P89">
        <v>1506396.56</v>
      </c>
      <c r="Q89">
        <v>1740068.84</v>
      </c>
      <c r="R89">
        <v>1096981.3400000001</v>
      </c>
      <c r="S89">
        <v>1015265.42</v>
      </c>
      <c r="T89">
        <v>1600629.62</v>
      </c>
      <c r="U89">
        <v>2381338.3199999998</v>
      </c>
      <c r="V89">
        <v>2407161.7200000002</v>
      </c>
      <c r="W89">
        <v>2246375.6800000002</v>
      </c>
      <c r="X89">
        <v>2779842.93</v>
      </c>
      <c r="Y89">
        <v>2864432.04</v>
      </c>
      <c r="Z89">
        <v>1540869.16</v>
      </c>
      <c r="AA89">
        <v>4003438.04</v>
      </c>
      <c r="AB89">
        <v>6449850.2400000002</v>
      </c>
      <c r="AC89">
        <v>2316079.84</v>
      </c>
      <c r="AD89">
        <v>2943236.18</v>
      </c>
      <c r="AE89">
        <v>3221181.2</v>
      </c>
      <c r="AF89">
        <v>6331679.8799999999</v>
      </c>
      <c r="AG89">
        <v>4970561.62</v>
      </c>
      <c r="AH89">
        <v>2868996.52</v>
      </c>
      <c r="AI89">
        <v>825301.4</v>
      </c>
      <c r="AJ89">
        <v>1320807.68</v>
      </c>
      <c r="AK89">
        <v>1979566.72</v>
      </c>
      <c r="AL89">
        <v>2084682.18</v>
      </c>
      <c r="AM89">
        <v>1477519.74</v>
      </c>
      <c r="AN89">
        <v>2391351.36</v>
      </c>
      <c r="AO89">
        <v>2277238.7400000002</v>
      </c>
      <c r="AP89">
        <v>922240.64</v>
      </c>
      <c r="AQ89">
        <v>1628588.85</v>
      </c>
      <c r="AR89">
        <v>1414503.6</v>
      </c>
      <c r="AS89">
        <v>1715068.92</v>
      </c>
      <c r="AT89">
        <v>2468822.2200000002</v>
      </c>
      <c r="AU89">
        <v>2539241.2000000002</v>
      </c>
      <c r="AV89">
        <v>1218257.04</v>
      </c>
      <c r="AW89">
        <v>1866968.5</v>
      </c>
      <c r="AX89">
        <v>3224247.08</v>
      </c>
      <c r="AY89">
        <v>2339511.8199999998</v>
      </c>
      <c r="AZ89">
        <v>3199705.8</v>
      </c>
      <c r="BA89">
        <v>3377543.41</v>
      </c>
      <c r="BB89">
        <v>2182813.2799999998</v>
      </c>
      <c r="BC89">
        <v>1722155.5</v>
      </c>
      <c r="BD89">
        <v>1494043.1</v>
      </c>
      <c r="BE89">
        <v>723179.16</v>
      </c>
      <c r="BF89">
        <v>1059705.92</v>
      </c>
      <c r="BG89">
        <v>1398464.22</v>
      </c>
      <c r="BH89">
        <v>1534278.3</v>
      </c>
      <c r="BI89">
        <v>1259506.3400000001</v>
      </c>
      <c r="BJ89">
        <v>1874681.6</v>
      </c>
      <c r="BK89">
        <v>1849109.1</v>
      </c>
      <c r="BL89">
        <v>10299437.32</v>
      </c>
      <c r="BM89">
        <v>1102211.42</v>
      </c>
      <c r="BN89">
        <v>1357052.6</v>
      </c>
      <c r="BO89">
        <v>1733216.86</v>
      </c>
      <c r="BP89">
        <v>1199054.8600000001</v>
      </c>
      <c r="BQ89">
        <v>353295.28</v>
      </c>
      <c r="BR89">
        <v>850734.3</v>
      </c>
      <c r="BS89">
        <v>882876.54</v>
      </c>
      <c r="BT89">
        <v>589248.88</v>
      </c>
      <c r="BU89">
        <v>889928.9</v>
      </c>
    </row>
    <row r="90" spans="1:73" x14ac:dyDescent="0.25">
      <c r="A90" t="s">
        <v>62</v>
      </c>
      <c r="B90" t="s">
        <v>63</v>
      </c>
      <c r="C90">
        <v>9078132</v>
      </c>
      <c r="D90" t="s">
        <v>245</v>
      </c>
      <c r="E90" t="s">
        <v>244</v>
      </c>
      <c r="F90" t="str">
        <f t="shared" si="2"/>
        <v>FR0000120859MTAH</v>
      </c>
      <c r="G90">
        <f t="shared" si="3"/>
        <v>77959.121212121216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2305680.7599999998</v>
      </c>
      <c r="BU90">
        <v>2839621.24</v>
      </c>
    </row>
    <row r="91" spans="1:73" x14ac:dyDescent="0.25">
      <c r="A91" t="s">
        <v>64</v>
      </c>
      <c r="B91" t="s">
        <v>65</v>
      </c>
      <c r="C91">
        <v>4210</v>
      </c>
      <c r="D91" t="s">
        <v>6</v>
      </c>
      <c r="E91" t="s">
        <v>232</v>
      </c>
      <c r="F91" t="str">
        <f t="shared" si="2"/>
        <v>FR0000120966XPAR</v>
      </c>
      <c r="G91">
        <f t="shared" si="3"/>
        <v>2270807.7545454539</v>
      </c>
      <c r="H91">
        <v>1481562.7</v>
      </c>
      <c r="I91">
        <v>1237151.7</v>
      </c>
      <c r="J91">
        <v>1827229.8</v>
      </c>
      <c r="K91">
        <v>986426.7</v>
      </c>
      <c r="L91">
        <v>1671383.1</v>
      </c>
      <c r="M91">
        <v>1122508.3</v>
      </c>
      <c r="N91">
        <v>1574225.1</v>
      </c>
      <c r="O91">
        <v>2318528.6</v>
      </c>
      <c r="P91">
        <v>3629552.4</v>
      </c>
      <c r="Q91">
        <v>1408182.4</v>
      </c>
      <c r="R91">
        <v>1374013.1</v>
      </c>
      <c r="S91">
        <v>1289082</v>
      </c>
      <c r="T91">
        <v>1294050.7</v>
      </c>
      <c r="U91">
        <v>1665892.7</v>
      </c>
      <c r="V91">
        <v>1462607</v>
      </c>
      <c r="W91">
        <v>13708609.699999999</v>
      </c>
      <c r="X91">
        <v>5397224.0999999996</v>
      </c>
      <c r="Y91">
        <v>3009670.9</v>
      </c>
      <c r="Z91">
        <v>2413211.9</v>
      </c>
      <c r="AA91">
        <v>2100236.9</v>
      </c>
      <c r="AB91">
        <v>3180556.8</v>
      </c>
      <c r="AC91">
        <v>2472435</v>
      </c>
      <c r="AD91">
        <v>1338790.3</v>
      </c>
      <c r="AE91">
        <v>1696960.1</v>
      </c>
      <c r="AF91">
        <v>1922834.4</v>
      </c>
      <c r="AG91">
        <v>1209336</v>
      </c>
      <c r="AH91">
        <v>2189518.9</v>
      </c>
      <c r="AI91">
        <v>1893216.9</v>
      </c>
      <c r="AJ91">
        <v>1128352.1000000001</v>
      </c>
      <c r="AK91">
        <v>1922909.2</v>
      </c>
      <c r="AL91">
        <v>1212802.7</v>
      </c>
      <c r="AM91">
        <v>1086959.2</v>
      </c>
      <c r="AN91">
        <v>1367258.5</v>
      </c>
      <c r="AO91">
        <v>1326172.8</v>
      </c>
      <c r="AP91">
        <v>1714770.3</v>
      </c>
      <c r="AQ91">
        <v>2432870.1</v>
      </c>
      <c r="AR91">
        <v>2079289.1</v>
      </c>
      <c r="AS91">
        <v>3258193.5</v>
      </c>
      <c r="AT91">
        <v>2441032.7000000002</v>
      </c>
      <c r="AU91">
        <v>2690468.7</v>
      </c>
      <c r="AV91">
        <v>1567566.6</v>
      </c>
      <c r="AW91">
        <v>2249072.5</v>
      </c>
      <c r="AX91">
        <v>2402752.6</v>
      </c>
      <c r="AY91">
        <v>1185074.7</v>
      </c>
      <c r="AZ91">
        <v>1412490.7</v>
      </c>
      <c r="BA91">
        <v>1347614</v>
      </c>
      <c r="BB91">
        <v>2441722.7000000002</v>
      </c>
      <c r="BC91">
        <v>1046994.1</v>
      </c>
      <c r="BD91">
        <v>1241596.5</v>
      </c>
      <c r="BE91">
        <v>875037.2</v>
      </c>
      <c r="BF91">
        <v>2372273.9</v>
      </c>
      <c r="BG91">
        <v>1746910.6</v>
      </c>
      <c r="BH91">
        <v>1706112.1</v>
      </c>
      <c r="BI91">
        <v>1820056.3</v>
      </c>
      <c r="BJ91">
        <v>2550793.6</v>
      </c>
      <c r="BK91">
        <v>2615571.6</v>
      </c>
      <c r="BL91">
        <v>6219616.2999999998</v>
      </c>
      <c r="BM91">
        <v>1672296.9</v>
      </c>
      <c r="BN91">
        <v>450020.8</v>
      </c>
      <c r="BO91">
        <v>876903.2</v>
      </c>
      <c r="BP91">
        <v>1333976.8</v>
      </c>
      <c r="BQ91">
        <v>665468.80000000005</v>
      </c>
      <c r="BR91">
        <v>1420321.4</v>
      </c>
      <c r="BS91">
        <v>1756355.3</v>
      </c>
      <c r="BT91">
        <v>11839088.1</v>
      </c>
      <c r="BU91">
        <v>5521547.4000000004</v>
      </c>
    </row>
    <row r="92" spans="1:73" x14ac:dyDescent="0.25">
      <c r="A92" t="s">
        <v>64</v>
      </c>
      <c r="B92" t="s">
        <v>65</v>
      </c>
      <c r="C92">
        <v>9078179</v>
      </c>
      <c r="D92" t="s">
        <v>245</v>
      </c>
      <c r="E92" t="s">
        <v>244</v>
      </c>
      <c r="F92" t="str">
        <f t="shared" si="2"/>
        <v>FR0000120966MTAH</v>
      </c>
      <c r="G92">
        <f t="shared" si="3"/>
        <v>59796.605303030308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2430687.2400000002</v>
      </c>
      <c r="BU92">
        <v>1515888.71</v>
      </c>
    </row>
    <row r="93" spans="1:73" x14ac:dyDescent="0.25">
      <c r="A93" t="s">
        <v>66</v>
      </c>
      <c r="B93" t="s">
        <v>67</v>
      </c>
      <c r="C93">
        <v>4213</v>
      </c>
      <c r="D93" t="s">
        <v>6</v>
      </c>
      <c r="E93" t="s">
        <v>232</v>
      </c>
      <c r="F93" t="str">
        <f t="shared" si="2"/>
        <v>FR0000121014XPAR</v>
      </c>
      <c r="G93">
        <f t="shared" si="3"/>
        <v>266196974.90136373</v>
      </c>
      <c r="H93">
        <v>223666954.55000001</v>
      </c>
      <c r="I93">
        <v>310068018.80000001</v>
      </c>
      <c r="J93">
        <v>371488599.05000001</v>
      </c>
      <c r="K93">
        <v>328160781.05000001</v>
      </c>
      <c r="L93">
        <v>236714363.15000001</v>
      </c>
      <c r="M93">
        <v>245130186.5</v>
      </c>
      <c r="N93">
        <v>225058197.05000001</v>
      </c>
      <c r="O93">
        <v>363711735.35000002</v>
      </c>
      <c r="P93">
        <v>400577895.89999998</v>
      </c>
      <c r="Q93">
        <v>681541211</v>
      </c>
      <c r="R93">
        <v>272898455.35000002</v>
      </c>
      <c r="S93">
        <v>370734266.05000001</v>
      </c>
      <c r="T93">
        <v>211123475.09999999</v>
      </c>
      <c r="U93">
        <v>195175800.65000001</v>
      </c>
      <c r="V93">
        <v>170432554.59999999</v>
      </c>
      <c r="W93">
        <v>325015598.55000001</v>
      </c>
      <c r="X93">
        <v>200377124.69999999</v>
      </c>
      <c r="Y93">
        <v>214772052.84999999</v>
      </c>
      <c r="Z93">
        <v>229255747.09999999</v>
      </c>
      <c r="AA93">
        <v>331147602.5</v>
      </c>
      <c r="AB93">
        <v>320663819.60000002</v>
      </c>
      <c r="AC93">
        <v>160933743.75</v>
      </c>
      <c r="AD93">
        <v>146164507.30000001</v>
      </c>
      <c r="AE93">
        <v>187295123.09999999</v>
      </c>
      <c r="AF93">
        <v>308893464.85000002</v>
      </c>
      <c r="AG93">
        <v>284136085.19999999</v>
      </c>
      <c r="AH93">
        <v>388147155.39999998</v>
      </c>
      <c r="AI93">
        <v>232543613.80000001</v>
      </c>
      <c r="AJ93">
        <v>555012028.39999998</v>
      </c>
      <c r="AK93">
        <v>315392293.14999998</v>
      </c>
      <c r="AL93">
        <v>343341344</v>
      </c>
      <c r="AM93">
        <v>217454010.69999999</v>
      </c>
      <c r="AN93">
        <v>169282051.65000001</v>
      </c>
      <c r="AO93">
        <v>289216478.44999999</v>
      </c>
      <c r="AP93">
        <v>174274892.65000001</v>
      </c>
      <c r="AQ93">
        <v>206725444.69999999</v>
      </c>
      <c r="AR93">
        <v>239290561.19999999</v>
      </c>
      <c r="AS93">
        <v>366531030.89999998</v>
      </c>
      <c r="AT93">
        <v>226474331.69999999</v>
      </c>
      <c r="AU93">
        <v>228189700.80000001</v>
      </c>
      <c r="AV93">
        <v>153008852.80000001</v>
      </c>
      <c r="AW93">
        <v>259837825.05000001</v>
      </c>
      <c r="AX93">
        <v>371673560.75</v>
      </c>
      <c r="AY93">
        <v>302613921.64999998</v>
      </c>
      <c r="AZ93">
        <v>270869445.75</v>
      </c>
      <c r="BA93">
        <v>248796516.5</v>
      </c>
      <c r="BB93">
        <v>341653793.10000002</v>
      </c>
      <c r="BC93">
        <v>485552772.10000002</v>
      </c>
      <c r="BD93">
        <v>307076920</v>
      </c>
      <c r="BE93">
        <v>280684292.64999998</v>
      </c>
      <c r="BF93">
        <v>303014827.14999998</v>
      </c>
      <c r="BG93">
        <v>271753561</v>
      </c>
      <c r="BH93">
        <v>254449506.75</v>
      </c>
      <c r="BI93">
        <v>260573072.69999999</v>
      </c>
      <c r="BJ93">
        <v>280705530.60000002</v>
      </c>
      <c r="BK93">
        <v>292555965.64999998</v>
      </c>
      <c r="BL93">
        <v>478675519.64999998</v>
      </c>
      <c r="BM93">
        <v>165858622.44999999</v>
      </c>
      <c r="BN93">
        <v>48165632.100000001</v>
      </c>
      <c r="BO93">
        <v>161535436.59999999</v>
      </c>
      <c r="BP93">
        <v>184335561.55000001</v>
      </c>
      <c r="BQ93">
        <v>63203194.799999997</v>
      </c>
      <c r="BR93">
        <v>236108283.30000001</v>
      </c>
      <c r="BS93">
        <v>255525545.55000001</v>
      </c>
      <c r="BT93">
        <v>14509210.74</v>
      </c>
      <c r="BU93">
        <v>9250671.4000000004</v>
      </c>
    </row>
    <row r="94" spans="1:73" x14ac:dyDescent="0.25">
      <c r="A94" t="s">
        <v>66</v>
      </c>
      <c r="B94" t="s">
        <v>67</v>
      </c>
      <c r="C94">
        <v>3047341</v>
      </c>
      <c r="D94" t="s">
        <v>248</v>
      </c>
      <c r="E94" t="s">
        <v>244</v>
      </c>
      <c r="F94" t="str">
        <f t="shared" si="2"/>
        <v>FR0000121014BGEM</v>
      </c>
      <c r="G94">
        <f t="shared" si="3"/>
        <v>771600.1812121215</v>
      </c>
      <c r="H94">
        <v>459476.9</v>
      </c>
      <c r="I94">
        <v>493680.4</v>
      </c>
      <c r="J94">
        <v>875177.4</v>
      </c>
      <c r="K94">
        <v>979584.1</v>
      </c>
      <c r="L94">
        <v>404718</v>
      </c>
      <c r="M94">
        <v>222328</v>
      </c>
      <c r="N94">
        <v>207971.3</v>
      </c>
      <c r="O94">
        <v>927871.8</v>
      </c>
      <c r="P94">
        <v>1096876.1000000001</v>
      </c>
      <c r="Q94">
        <v>3965962.2</v>
      </c>
      <c r="R94">
        <v>1243944.2</v>
      </c>
      <c r="S94">
        <v>1510256.4</v>
      </c>
      <c r="T94">
        <v>1286800.5</v>
      </c>
      <c r="U94">
        <v>411275.1</v>
      </c>
      <c r="V94">
        <v>1328155.1000000001</v>
      </c>
      <c r="W94">
        <v>1725139.7</v>
      </c>
      <c r="X94">
        <v>597244.30000000005</v>
      </c>
      <c r="Y94">
        <v>600546.9</v>
      </c>
      <c r="Z94">
        <v>601260.4</v>
      </c>
      <c r="AA94">
        <v>918578.3</v>
      </c>
      <c r="AB94">
        <v>422469.6</v>
      </c>
      <c r="AC94">
        <v>222022.39999999999</v>
      </c>
      <c r="AD94">
        <v>295169.7</v>
      </c>
      <c r="AE94">
        <v>466772.3</v>
      </c>
      <c r="AF94">
        <v>1116516.3999999999</v>
      </c>
      <c r="AG94">
        <v>806894</v>
      </c>
      <c r="AH94">
        <v>1739181.8</v>
      </c>
      <c r="AI94">
        <v>1928843.7</v>
      </c>
      <c r="AJ94">
        <v>2769870.4</v>
      </c>
      <c r="AK94">
        <v>795054.8</v>
      </c>
      <c r="AL94">
        <v>612328.9</v>
      </c>
      <c r="AM94">
        <v>382107.7</v>
      </c>
      <c r="AN94">
        <v>311910.2</v>
      </c>
      <c r="AO94">
        <v>726715.8</v>
      </c>
      <c r="AP94">
        <v>357057.2</v>
      </c>
      <c r="AQ94">
        <v>475088.7</v>
      </c>
      <c r="AR94">
        <v>512587.4</v>
      </c>
      <c r="AS94">
        <v>565837.6</v>
      </c>
      <c r="AT94">
        <v>944803.8</v>
      </c>
      <c r="AU94">
        <v>464589.8</v>
      </c>
      <c r="AV94">
        <v>132016.79999999999</v>
      </c>
      <c r="AW94">
        <v>324848.7</v>
      </c>
      <c r="AX94">
        <v>962493.5</v>
      </c>
      <c r="AY94">
        <v>847329</v>
      </c>
      <c r="AZ94">
        <v>396325.1</v>
      </c>
      <c r="BA94">
        <v>405864.7</v>
      </c>
      <c r="BB94">
        <v>1383992.6</v>
      </c>
      <c r="BC94">
        <v>1675557.4</v>
      </c>
      <c r="BD94">
        <v>984291.2</v>
      </c>
      <c r="BE94">
        <v>386479.2</v>
      </c>
      <c r="BF94">
        <v>1153349</v>
      </c>
      <c r="BG94">
        <v>644841.6</v>
      </c>
      <c r="BH94">
        <v>444018</v>
      </c>
      <c r="BI94">
        <v>509831.2</v>
      </c>
      <c r="BJ94">
        <v>282494.7</v>
      </c>
      <c r="BK94">
        <v>1234963.3999999999</v>
      </c>
      <c r="BL94">
        <v>273194.7</v>
      </c>
      <c r="BM94">
        <v>203943.4</v>
      </c>
      <c r="BN94">
        <v>0</v>
      </c>
      <c r="BO94">
        <v>459378.7</v>
      </c>
      <c r="BP94">
        <v>306719.7</v>
      </c>
      <c r="BQ94">
        <v>0</v>
      </c>
      <c r="BR94">
        <v>301243.3</v>
      </c>
      <c r="BS94">
        <v>331178.2</v>
      </c>
      <c r="BT94">
        <v>819359.81</v>
      </c>
      <c r="BU94">
        <v>689228.75</v>
      </c>
    </row>
    <row r="95" spans="1:73" x14ac:dyDescent="0.25">
      <c r="A95" t="s">
        <v>66</v>
      </c>
      <c r="B95" t="s">
        <v>67</v>
      </c>
      <c r="C95">
        <v>3077384</v>
      </c>
      <c r="D95" t="s">
        <v>245</v>
      </c>
      <c r="E95" t="s">
        <v>244</v>
      </c>
      <c r="F95" t="str">
        <f t="shared" si="2"/>
        <v>FR0000121014MTAH</v>
      </c>
      <c r="G95">
        <f t="shared" si="3"/>
        <v>84228.340454545454</v>
      </c>
      <c r="H95">
        <v>3398.5</v>
      </c>
      <c r="I95">
        <v>0</v>
      </c>
      <c r="J95">
        <v>0</v>
      </c>
      <c r="K95">
        <v>0</v>
      </c>
      <c r="L95">
        <v>0</v>
      </c>
      <c r="M95">
        <v>665</v>
      </c>
      <c r="N95">
        <v>0</v>
      </c>
      <c r="O95">
        <v>1963.8</v>
      </c>
      <c r="P95">
        <v>8634.2999999999993</v>
      </c>
      <c r="Q95">
        <v>0</v>
      </c>
      <c r="R95">
        <v>0</v>
      </c>
      <c r="S95">
        <v>6994.1</v>
      </c>
      <c r="T95">
        <v>3748.9</v>
      </c>
      <c r="U95">
        <v>3102.4</v>
      </c>
      <c r="V95">
        <v>0</v>
      </c>
      <c r="W95">
        <v>0</v>
      </c>
      <c r="X95">
        <v>6541.7</v>
      </c>
      <c r="Y95">
        <v>0</v>
      </c>
      <c r="Z95">
        <v>649.4</v>
      </c>
      <c r="AA95">
        <v>0</v>
      </c>
      <c r="AB95">
        <v>0</v>
      </c>
      <c r="AC95">
        <v>0</v>
      </c>
      <c r="AD95">
        <v>0</v>
      </c>
      <c r="AE95">
        <v>1187.2</v>
      </c>
      <c r="AF95">
        <v>0</v>
      </c>
      <c r="AG95">
        <v>0</v>
      </c>
      <c r="AH95">
        <v>4921.6000000000004</v>
      </c>
      <c r="AI95">
        <v>3681.2</v>
      </c>
      <c r="AJ95">
        <v>41507.1</v>
      </c>
      <c r="AK95">
        <v>0</v>
      </c>
      <c r="AL95">
        <v>0</v>
      </c>
      <c r="AM95">
        <v>2412.8000000000002</v>
      </c>
      <c r="AN95">
        <v>1209</v>
      </c>
      <c r="AO95">
        <v>0</v>
      </c>
      <c r="AP95">
        <v>1769.4</v>
      </c>
      <c r="AQ95">
        <v>16071.3</v>
      </c>
      <c r="AR95">
        <v>7054.2</v>
      </c>
      <c r="AS95">
        <v>0</v>
      </c>
      <c r="AT95">
        <v>0</v>
      </c>
      <c r="AU95">
        <v>2426.8000000000002</v>
      </c>
      <c r="AV95">
        <v>0</v>
      </c>
      <c r="AW95">
        <v>0</v>
      </c>
      <c r="AX95">
        <v>21947.200000000001</v>
      </c>
      <c r="AY95">
        <v>0</v>
      </c>
      <c r="AZ95">
        <v>3108.7</v>
      </c>
      <c r="BA95">
        <v>4387.6000000000004</v>
      </c>
      <c r="BB95">
        <v>0</v>
      </c>
      <c r="BC95">
        <v>11400.8</v>
      </c>
      <c r="BD95">
        <v>5149.7</v>
      </c>
      <c r="BE95">
        <v>0</v>
      </c>
      <c r="BF95">
        <v>0</v>
      </c>
      <c r="BG95">
        <v>0</v>
      </c>
      <c r="BH95">
        <v>4974.3999999999996</v>
      </c>
      <c r="BI95">
        <v>5811.2</v>
      </c>
      <c r="BJ95">
        <v>1310.2</v>
      </c>
      <c r="BK95">
        <v>0</v>
      </c>
      <c r="BL95">
        <v>11556.8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2558274.27</v>
      </c>
      <c r="BU95">
        <v>2813210.9</v>
      </c>
    </row>
    <row r="96" spans="1:73" x14ac:dyDescent="0.25">
      <c r="A96" t="s">
        <v>66</v>
      </c>
      <c r="B96" t="s">
        <v>67</v>
      </c>
      <c r="C96">
        <v>6051944</v>
      </c>
      <c r="D96" t="s">
        <v>243</v>
      </c>
      <c r="E96" t="s">
        <v>244</v>
      </c>
      <c r="F96" t="str">
        <f t="shared" si="2"/>
        <v>FR0000121014ETLX</v>
      </c>
      <c r="G96">
        <f t="shared" si="3"/>
        <v>105511.99060606062</v>
      </c>
      <c r="H96">
        <v>5280</v>
      </c>
      <c r="I96">
        <v>9246.6</v>
      </c>
      <c r="J96">
        <v>0</v>
      </c>
      <c r="K96">
        <v>30668.3</v>
      </c>
      <c r="L96">
        <v>0</v>
      </c>
      <c r="M96">
        <v>0</v>
      </c>
      <c r="N96">
        <v>0</v>
      </c>
      <c r="O96">
        <v>5078.3999999999996</v>
      </c>
      <c r="P96">
        <v>3755.9</v>
      </c>
      <c r="Q96">
        <v>76813.600000000006</v>
      </c>
      <c r="R96">
        <v>36110.400000000001</v>
      </c>
      <c r="S96">
        <v>2500</v>
      </c>
      <c r="T96">
        <v>14759.2</v>
      </c>
      <c r="U96">
        <v>0</v>
      </c>
      <c r="V96">
        <v>0</v>
      </c>
      <c r="W96">
        <v>3769.8</v>
      </c>
      <c r="X96">
        <v>0</v>
      </c>
      <c r="Y96">
        <v>42869.4</v>
      </c>
      <c r="Z96">
        <v>0</v>
      </c>
      <c r="AA96">
        <v>127475.4</v>
      </c>
      <c r="AB96">
        <v>6110</v>
      </c>
      <c r="AC96">
        <v>0</v>
      </c>
      <c r="AD96">
        <v>0</v>
      </c>
      <c r="AE96">
        <v>2998.5</v>
      </c>
      <c r="AF96">
        <v>0</v>
      </c>
      <c r="AG96">
        <v>1235.4000000000001</v>
      </c>
      <c r="AH96">
        <v>51132.2</v>
      </c>
      <c r="AI96">
        <v>35818.400000000001</v>
      </c>
      <c r="AJ96">
        <v>51624.6</v>
      </c>
      <c r="AK96">
        <v>0</v>
      </c>
      <c r="AL96">
        <v>0</v>
      </c>
      <c r="AM96">
        <v>0</v>
      </c>
      <c r="AN96">
        <v>6484</v>
      </c>
      <c r="AO96">
        <v>0</v>
      </c>
      <c r="AP96">
        <v>0</v>
      </c>
      <c r="AQ96">
        <v>7985.4</v>
      </c>
      <c r="AR96">
        <v>1172.4000000000001</v>
      </c>
      <c r="AS96">
        <v>0</v>
      </c>
      <c r="AT96">
        <v>38867.5</v>
      </c>
      <c r="AU96">
        <v>1178</v>
      </c>
      <c r="AV96">
        <v>0</v>
      </c>
      <c r="AW96">
        <v>0</v>
      </c>
      <c r="AX96">
        <v>8367.7999999999993</v>
      </c>
      <c r="AY96">
        <v>0</v>
      </c>
      <c r="AZ96">
        <v>3783</v>
      </c>
      <c r="BA96">
        <v>6103</v>
      </c>
      <c r="BB96">
        <v>2522.4</v>
      </c>
      <c r="BC96">
        <v>21543.1</v>
      </c>
      <c r="BD96">
        <v>2586.4</v>
      </c>
      <c r="BE96">
        <v>0</v>
      </c>
      <c r="BF96">
        <v>0</v>
      </c>
      <c r="BG96">
        <v>3246</v>
      </c>
      <c r="BH96">
        <v>18554.2</v>
      </c>
      <c r="BI96">
        <v>0</v>
      </c>
      <c r="BJ96">
        <v>0</v>
      </c>
      <c r="BK96">
        <v>0</v>
      </c>
      <c r="BL96">
        <v>0</v>
      </c>
      <c r="BM96">
        <v>4403</v>
      </c>
      <c r="BN96">
        <v>0</v>
      </c>
      <c r="BO96">
        <v>0</v>
      </c>
      <c r="BP96">
        <v>1893</v>
      </c>
      <c r="BQ96">
        <v>0</v>
      </c>
      <c r="BR96">
        <v>4403</v>
      </c>
      <c r="BS96">
        <v>37035</v>
      </c>
      <c r="BT96">
        <v>3825846.86</v>
      </c>
      <c r="BU96">
        <v>2460571.2200000002</v>
      </c>
    </row>
    <row r="97" spans="1:73" x14ac:dyDescent="0.25">
      <c r="A97" t="s">
        <v>68</v>
      </c>
      <c r="B97" t="s">
        <v>69</v>
      </c>
      <c r="C97">
        <v>4220</v>
      </c>
      <c r="D97" t="s">
        <v>6</v>
      </c>
      <c r="E97" t="s">
        <v>232</v>
      </c>
      <c r="F97" t="str">
        <f t="shared" si="2"/>
        <v>FR0000121121XPAR</v>
      </c>
      <c r="G97">
        <f t="shared" si="3"/>
        <v>6867648.916212122</v>
      </c>
      <c r="H97">
        <v>5263495.1500000004</v>
      </c>
      <c r="I97">
        <v>5630679.4500000002</v>
      </c>
      <c r="J97">
        <v>7523573.9000000004</v>
      </c>
      <c r="K97">
        <v>7197362.5800000001</v>
      </c>
      <c r="L97">
        <v>6104098.9500000002</v>
      </c>
      <c r="M97">
        <v>9516810.8499999996</v>
      </c>
      <c r="N97">
        <v>4223900.2</v>
      </c>
      <c r="O97">
        <v>3692622.2</v>
      </c>
      <c r="P97">
        <v>5748764.8499999996</v>
      </c>
      <c r="Q97">
        <v>4432333.95</v>
      </c>
      <c r="R97">
        <v>5176432.75</v>
      </c>
      <c r="S97">
        <v>7626041.75</v>
      </c>
      <c r="T97">
        <v>3740918.6</v>
      </c>
      <c r="U97">
        <v>5088551.25</v>
      </c>
      <c r="V97">
        <v>6156445.75</v>
      </c>
      <c r="W97">
        <v>4104792.25</v>
      </c>
      <c r="X97">
        <v>3003691.3</v>
      </c>
      <c r="Y97">
        <v>4797793.7</v>
      </c>
      <c r="Z97">
        <v>5860892.7000000002</v>
      </c>
      <c r="AA97">
        <v>6413523.8499999996</v>
      </c>
      <c r="AB97">
        <v>7218474.9000000004</v>
      </c>
      <c r="AC97">
        <v>3479083.65</v>
      </c>
      <c r="AD97">
        <v>5587577.8700000001</v>
      </c>
      <c r="AE97">
        <v>4970658.25</v>
      </c>
      <c r="AF97">
        <v>5996723.8499999996</v>
      </c>
      <c r="AG97">
        <v>5800589.25</v>
      </c>
      <c r="AH97">
        <v>6005727.5</v>
      </c>
      <c r="AI97">
        <v>4741429.9000000004</v>
      </c>
      <c r="AJ97">
        <v>8857592.75</v>
      </c>
      <c r="AK97">
        <v>7286077.2000000002</v>
      </c>
      <c r="AL97">
        <v>6294771</v>
      </c>
      <c r="AM97">
        <v>5941664.5999999996</v>
      </c>
      <c r="AN97">
        <v>5428362.0499999998</v>
      </c>
      <c r="AO97">
        <v>7511025.75</v>
      </c>
      <c r="AP97">
        <v>5960869.7999999998</v>
      </c>
      <c r="AQ97">
        <v>6232226.9500000002</v>
      </c>
      <c r="AR97">
        <v>5975915</v>
      </c>
      <c r="AS97">
        <v>32863314.5</v>
      </c>
      <c r="AT97">
        <v>7945188.7999999998</v>
      </c>
      <c r="AU97">
        <v>6089498.25</v>
      </c>
      <c r="AV97">
        <v>3886399.1</v>
      </c>
      <c r="AW97">
        <v>4997225.5999999996</v>
      </c>
      <c r="AX97">
        <v>11446425.060000001</v>
      </c>
      <c r="AY97">
        <v>8554023.3699999992</v>
      </c>
      <c r="AZ97">
        <v>10847247.51</v>
      </c>
      <c r="BA97">
        <v>7637207.3499999996</v>
      </c>
      <c r="BB97">
        <v>5997199.9500000002</v>
      </c>
      <c r="BC97">
        <v>6053019.2000000002</v>
      </c>
      <c r="BD97">
        <v>6825165.75</v>
      </c>
      <c r="BE97">
        <v>6849062.4000000004</v>
      </c>
      <c r="BF97">
        <v>6281387.25</v>
      </c>
      <c r="BG97">
        <v>6879763.0499999998</v>
      </c>
      <c r="BH97">
        <v>5473462.0499999998</v>
      </c>
      <c r="BI97">
        <v>8352874.5499999998</v>
      </c>
      <c r="BJ97">
        <v>6996164.75</v>
      </c>
      <c r="BK97">
        <v>9954378.3000000007</v>
      </c>
      <c r="BL97">
        <v>16741863.699999999</v>
      </c>
      <c r="BM97">
        <v>5589498</v>
      </c>
      <c r="BN97">
        <v>1985277.95</v>
      </c>
      <c r="BO97">
        <v>4870242.75</v>
      </c>
      <c r="BP97">
        <v>6749035.6500000004</v>
      </c>
      <c r="BQ97">
        <v>2475716.1</v>
      </c>
      <c r="BR97">
        <v>4852800.6500000004</v>
      </c>
      <c r="BS97">
        <v>7222481.9299999997</v>
      </c>
      <c r="BT97">
        <v>11309254.9</v>
      </c>
      <c r="BU97">
        <v>12948153.800000001</v>
      </c>
    </row>
    <row r="98" spans="1:73" x14ac:dyDescent="0.25">
      <c r="A98" t="s">
        <v>68</v>
      </c>
      <c r="B98" t="s">
        <v>69</v>
      </c>
      <c r="C98">
        <v>9078178</v>
      </c>
      <c r="D98" t="s">
        <v>245</v>
      </c>
      <c r="E98" t="s">
        <v>244</v>
      </c>
      <c r="F98" t="str">
        <f t="shared" si="2"/>
        <v>FR0000121121MTAH</v>
      </c>
      <c r="G98">
        <f t="shared" si="3"/>
        <v>559229.87666666671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22609969.66</v>
      </c>
      <c r="BU98">
        <v>14299202.199999999</v>
      </c>
    </row>
    <row r="99" spans="1:73" x14ac:dyDescent="0.25">
      <c r="A99" t="s">
        <v>70</v>
      </c>
      <c r="B99" t="s">
        <v>223</v>
      </c>
      <c r="C99">
        <v>4222</v>
      </c>
      <c r="D99" t="s">
        <v>6</v>
      </c>
      <c r="E99" t="s">
        <v>232</v>
      </c>
      <c r="F99" t="str">
        <f t="shared" si="2"/>
        <v>FR0000121147XPAR</v>
      </c>
      <c r="G99">
        <f t="shared" si="3"/>
        <v>8998135.7413636371</v>
      </c>
      <c r="H99">
        <v>5838742.3300000001</v>
      </c>
      <c r="I99">
        <v>9819607.9800000004</v>
      </c>
      <c r="J99">
        <v>8655111.4600000009</v>
      </c>
      <c r="K99">
        <v>12127631.289999999</v>
      </c>
      <c r="L99">
        <v>8459475.7400000002</v>
      </c>
      <c r="M99">
        <v>7376804.54</v>
      </c>
      <c r="N99">
        <v>5271065</v>
      </c>
      <c r="O99">
        <v>6106238.7400000002</v>
      </c>
      <c r="P99">
        <v>7903968.8700000001</v>
      </c>
      <c r="Q99">
        <v>8695544.0399999991</v>
      </c>
      <c r="R99">
        <v>14504877.210000001</v>
      </c>
      <c r="S99">
        <v>16452357.93</v>
      </c>
      <c r="T99">
        <v>16292595.43</v>
      </c>
      <c r="U99">
        <v>13468978.779999999</v>
      </c>
      <c r="V99">
        <v>11113241.23</v>
      </c>
      <c r="W99">
        <v>10300016.82</v>
      </c>
      <c r="X99">
        <v>11118833.9</v>
      </c>
      <c r="Y99">
        <v>10122986.949999999</v>
      </c>
      <c r="Z99">
        <v>12686846.369999999</v>
      </c>
      <c r="AA99">
        <v>9344364.8300000001</v>
      </c>
      <c r="AB99">
        <v>6614016.4699999997</v>
      </c>
      <c r="AC99">
        <v>5073642.9000000004</v>
      </c>
      <c r="AD99">
        <v>4037116.74</v>
      </c>
      <c r="AE99">
        <v>4099001.36</v>
      </c>
      <c r="AF99">
        <v>19625915.239999998</v>
      </c>
      <c r="AG99">
        <v>14800348.699999999</v>
      </c>
      <c r="AH99">
        <v>10672237.92</v>
      </c>
      <c r="AI99">
        <v>8234468.6399999997</v>
      </c>
      <c r="AJ99">
        <v>11285643.41</v>
      </c>
      <c r="AK99">
        <v>7485910.6600000001</v>
      </c>
      <c r="AL99">
        <v>10043422.109999999</v>
      </c>
      <c r="AM99">
        <v>8998098.5800000001</v>
      </c>
      <c r="AN99">
        <v>7760453.04</v>
      </c>
      <c r="AO99">
        <v>12660409.859999999</v>
      </c>
      <c r="AP99">
        <v>9271380.6799999997</v>
      </c>
      <c r="AQ99">
        <v>8366665.2199999997</v>
      </c>
      <c r="AR99">
        <v>11015749.74</v>
      </c>
      <c r="AS99">
        <v>12873501.210000001</v>
      </c>
      <c r="AT99">
        <v>7074216.0499999998</v>
      </c>
      <c r="AU99">
        <v>6170376.5300000003</v>
      </c>
      <c r="AV99">
        <v>5837025.9800000004</v>
      </c>
      <c r="AW99">
        <v>4235950.88</v>
      </c>
      <c r="AX99">
        <v>7784741.0099999998</v>
      </c>
      <c r="AY99">
        <v>14190633.050000001</v>
      </c>
      <c r="AZ99">
        <v>10187076.52</v>
      </c>
      <c r="BA99">
        <v>12542841.82</v>
      </c>
      <c r="BB99">
        <v>10183132.52</v>
      </c>
      <c r="BC99">
        <v>18492540.800000001</v>
      </c>
      <c r="BD99">
        <v>12631246</v>
      </c>
      <c r="BE99">
        <v>9545046.4600000009</v>
      </c>
      <c r="BF99">
        <v>7756642.7800000003</v>
      </c>
      <c r="BG99">
        <v>8139798.5700000003</v>
      </c>
      <c r="BH99">
        <v>5767576.4100000001</v>
      </c>
      <c r="BI99">
        <v>8501914.4100000001</v>
      </c>
      <c r="BJ99">
        <v>7547298.3300000001</v>
      </c>
      <c r="BK99">
        <v>8743263.5500000007</v>
      </c>
      <c r="BL99">
        <v>14468881.619999999</v>
      </c>
      <c r="BM99">
        <v>5707057.5300000003</v>
      </c>
      <c r="BN99">
        <v>2011514.99</v>
      </c>
      <c r="BO99">
        <v>5158095.91</v>
      </c>
      <c r="BP99">
        <v>4387208.82</v>
      </c>
      <c r="BQ99">
        <v>2413848.58</v>
      </c>
      <c r="BR99">
        <v>4863960.53</v>
      </c>
      <c r="BS99">
        <v>5490273.3399999999</v>
      </c>
      <c r="BT99">
        <v>3024416.84</v>
      </c>
      <c r="BU99">
        <v>2443107.1800000002</v>
      </c>
    </row>
    <row r="100" spans="1:73" x14ac:dyDescent="0.25">
      <c r="A100" t="s">
        <v>70</v>
      </c>
      <c r="B100" t="s">
        <v>223</v>
      </c>
      <c r="C100">
        <v>3069333</v>
      </c>
      <c r="D100" t="s">
        <v>248</v>
      </c>
      <c r="E100" t="s">
        <v>244</v>
      </c>
      <c r="F100" t="str">
        <f t="shared" si="2"/>
        <v>FR0000121147BGEM</v>
      </c>
      <c r="G100">
        <f t="shared" si="3"/>
        <v>701992.55136363651</v>
      </c>
      <c r="H100">
        <v>109409.95</v>
      </c>
      <c r="I100">
        <v>252259.56</v>
      </c>
      <c r="J100">
        <v>615449.23</v>
      </c>
      <c r="K100">
        <v>463400.91</v>
      </c>
      <c r="L100">
        <v>468844.13</v>
      </c>
      <c r="M100">
        <v>279120.82</v>
      </c>
      <c r="N100">
        <v>624816.18000000005</v>
      </c>
      <c r="O100">
        <v>576694.43999999994</v>
      </c>
      <c r="P100">
        <v>769304.85</v>
      </c>
      <c r="Q100">
        <v>540185.18999999994</v>
      </c>
      <c r="R100">
        <v>1367440.25</v>
      </c>
      <c r="S100">
        <v>808584.89</v>
      </c>
      <c r="T100">
        <v>1344047.76</v>
      </c>
      <c r="U100">
        <v>725935.66</v>
      </c>
      <c r="V100">
        <v>346005.87</v>
      </c>
      <c r="W100">
        <v>308083.64</v>
      </c>
      <c r="X100">
        <v>655175.31000000006</v>
      </c>
      <c r="Y100">
        <v>273513.52</v>
      </c>
      <c r="Z100">
        <v>401536.4</v>
      </c>
      <c r="AA100">
        <v>108484.43</v>
      </c>
      <c r="AB100">
        <v>108971.37</v>
      </c>
      <c r="AC100">
        <v>70154.539999999994</v>
      </c>
      <c r="AD100">
        <v>113615.21</v>
      </c>
      <c r="AE100">
        <v>105216.78</v>
      </c>
      <c r="AF100">
        <v>911845.31</v>
      </c>
      <c r="AG100">
        <v>610937.39</v>
      </c>
      <c r="AH100">
        <v>492222.03</v>
      </c>
      <c r="AI100">
        <v>798953.93</v>
      </c>
      <c r="AJ100">
        <v>442187.93</v>
      </c>
      <c r="AK100">
        <v>234586.36</v>
      </c>
      <c r="AL100">
        <v>279936.24</v>
      </c>
      <c r="AM100">
        <v>220184.41</v>
      </c>
      <c r="AN100">
        <v>322390.25</v>
      </c>
      <c r="AO100">
        <v>571943.59</v>
      </c>
      <c r="AP100">
        <v>732498.99</v>
      </c>
      <c r="AQ100">
        <v>215627.62</v>
      </c>
      <c r="AR100">
        <v>108378.5</v>
      </c>
      <c r="AS100">
        <v>286052.90000000002</v>
      </c>
      <c r="AT100">
        <v>166603.99</v>
      </c>
      <c r="AU100">
        <v>359591.96</v>
      </c>
      <c r="AV100">
        <v>181953.7</v>
      </c>
      <c r="AW100">
        <v>54220.11</v>
      </c>
      <c r="AX100">
        <v>267268.67</v>
      </c>
      <c r="AY100">
        <v>1282181.44</v>
      </c>
      <c r="AZ100">
        <v>544323.96</v>
      </c>
      <c r="BA100">
        <v>556311.64</v>
      </c>
      <c r="BB100">
        <v>725432.75</v>
      </c>
      <c r="BC100">
        <v>1036879.19</v>
      </c>
      <c r="BD100">
        <v>436136.66</v>
      </c>
      <c r="BE100">
        <v>379259.3</v>
      </c>
      <c r="BF100">
        <v>227151.1</v>
      </c>
      <c r="BG100">
        <v>160027.87</v>
      </c>
      <c r="BH100">
        <v>246155.7</v>
      </c>
      <c r="BI100">
        <v>208486.21</v>
      </c>
      <c r="BJ100">
        <v>271982.26</v>
      </c>
      <c r="BK100">
        <v>423940.64</v>
      </c>
      <c r="BL100">
        <v>457901.99</v>
      </c>
      <c r="BM100">
        <v>302452</v>
      </c>
      <c r="BN100">
        <v>0</v>
      </c>
      <c r="BO100">
        <v>253801.36</v>
      </c>
      <c r="BP100">
        <v>114206.69</v>
      </c>
      <c r="BQ100">
        <v>0</v>
      </c>
      <c r="BR100">
        <v>230201.75</v>
      </c>
      <c r="BS100">
        <v>102300.76</v>
      </c>
      <c r="BT100">
        <v>11066189.35</v>
      </c>
      <c r="BU100">
        <v>8612551</v>
      </c>
    </row>
    <row r="101" spans="1:73" x14ac:dyDescent="0.25">
      <c r="A101" t="s">
        <v>70</v>
      </c>
      <c r="B101" t="s">
        <v>223</v>
      </c>
      <c r="C101">
        <v>3077437</v>
      </c>
      <c r="D101" t="s">
        <v>245</v>
      </c>
      <c r="E101" t="s">
        <v>244</v>
      </c>
      <c r="F101" t="str">
        <f t="shared" si="2"/>
        <v>FR0000121147MTAH</v>
      </c>
      <c r="G101">
        <f t="shared" si="3"/>
        <v>86114.350454545449</v>
      </c>
      <c r="H101">
        <v>0</v>
      </c>
      <c r="I101">
        <v>8.92</v>
      </c>
      <c r="J101">
        <v>3604.81</v>
      </c>
      <c r="K101">
        <v>0</v>
      </c>
      <c r="L101">
        <v>0</v>
      </c>
      <c r="M101">
        <v>106.24</v>
      </c>
      <c r="N101">
        <v>0</v>
      </c>
      <c r="O101">
        <v>0</v>
      </c>
      <c r="P101">
        <v>0</v>
      </c>
      <c r="Q101">
        <v>0</v>
      </c>
      <c r="R101">
        <v>10417.959999999999</v>
      </c>
      <c r="S101">
        <v>0</v>
      </c>
      <c r="T101">
        <v>122.88</v>
      </c>
      <c r="U101">
        <v>0</v>
      </c>
      <c r="V101">
        <v>0</v>
      </c>
      <c r="W101">
        <v>0</v>
      </c>
      <c r="X101">
        <v>0</v>
      </c>
      <c r="Y101">
        <v>8.4499999999999993</v>
      </c>
      <c r="Z101">
        <v>8.7100000000000009</v>
      </c>
      <c r="AA101">
        <v>0</v>
      </c>
      <c r="AB101">
        <v>0</v>
      </c>
      <c r="AC101">
        <v>0</v>
      </c>
      <c r="AD101">
        <v>369.7</v>
      </c>
      <c r="AE101">
        <v>0</v>
      </c>
      <c r="AF101">
        <v>0</v>
      </c>
      <c r="AG101">
        <v>0</v>
      </c>
      <c r="AH101">
        <v>1991.4</v>
      </c>
      <c r="AI101">
        <v>0</v>
      </c>
      <c r="AJ101">
        <v>0</v>
      </c>
      <c r="AK101">
        <v>109.04</v>
      </c>
      <c r="AL101">
        <v>0</v>
      </c>
      <c r="AM101">
        <v>0</v>
      </c>
      <c r="AN101">
        <v>90.72</v>
      </c>
      <c r="AO101">
        <v>0</v>
      </c>
      <c r="AP101">
        <v>0</v>
      </c>
      <c r="AQ101">
        <v>67.540000000000006</v>
      </c>
      <c r="AR101">
        <v>0</v>
      </c>
      <c r="AS101">
        <v>0</v>
      </c>
      <c r="AT101">
        <v>0</v>
      </c>
      <c r="AU101">
        <v>742.94</v>
      </c>
      <c r="AV101">
        <v>0</v>
      </c>
      <c r="AW101">
        <v>0</v>
      </c>
      <c r="AX101">
        <v>925.78</v>
      </c>
      <c r="AY101">
        <v>0</v>
      </c>
      <c r="AZ101">
        <v>0</v>
      </c>
      <c r="BA101">
        <v>0</v>
      </c>
      <c r="BB101">
        <v>0</v>
      </c>
      <c r="BC101">
        <v>151.91</v>
      </c>
      <c r="BD101">
        <v>0</v>
      </c>
      <c r="BE101">
        <v>0</v>
      </c>
      <c r="BF101">
        <v>0</v>
      </c>
      <c r="BG101">
        <v>0</v>
      </c>
      <c r="BH101">
        <v>66.989999999999995</v>
      </c>
      <c r="BI101">
        <v>8.36</v>
      </c>
      <c r="BJ101">
        <v>0</v>
      </c>
      <c r="BK101">
        <v>466.38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2790917.13</v>
      </c>
      <c r="BU101">
        <v>2873361.27</v>
      </c>
    </row>
    <row r="102" spans="1:73" x14ac:dyDescent="0.25">
      <c r="A102" t="s">
        <v>70</v>
      </c>
      <c r="B102" t="s">
        <v>223</v>
      </c>
      <c r="C102">
        <v>6060220</v>
      </c>
      <c r="D102" t="s">
        <v>243</v>
      </c>
      <c r="E102" t="s">
        <v>244</v>
      </c>
      <c r="F102" t="str">
        <f t="shared" si="2"/>
        <v>FR0000121147ETLX</v>
      </c>
      <c r="G102">
        <f t="shared" si="3"/>
        <v>111872.88303030304</v>
      </c>
      <c r="H102">
        <v>369.06</v>
      </c>
      <c r="I102">
        <v>0</v>
      </c>
      <c r="J102">
        <v>6993.45</v>
      </c>
      <c r="K102">
        <v>770.6</v>
      </c>
      <c r="L102">
        <v>13933.34</v>
      </c>
      <c r="M102">
        <v>899.05</v>
      </c>
      <c r="N102">
        <v>253.2</v>
      </c>
      <c r="O102">
        <v>16.32</v>
      </c>
      <c r="P102">
        <v>0</v>
      </c>
      <c r="Q102">
        <v>95.81</v>
      </c>
      <c r="R102">
        <v>9575.7099999999991</v>
      </c>
      <c r="S102">
        <v>10085.75</v>
      </c>
      <c r="T102">
        <v>169.64</v>
      </c>
      <c r="U102">
        <v>44.1</v>
      </c>
      <c r="V102">
        <v>4490</v>
      </c>
      <c r="W102">
        <v>0</v>
      </c>
      <c r="X102">
        <v>76.73</v>
      </c>
      <c r="Y102">
        <v>0</v>
      </c>
      <c r="Z102">
        <v>452.5</v>
      </c>
      <c r="AA102">
        <v>0</v>
      </c>
      <c r="AB102">
        <v>0</v>
      </c>
      <c r="AC102">
        <v>0</v>
      </c>
      <c r="AD102">
        <v>274.19</v>
      </c>
      <c r="AE102">
        <v>0</v>
      </c>
      <c r="AF102">
        <v>153.65</v>
      </c>
      <c r="AG102">
        <v>0</v>
      </c>
      <c r="AH102">
        <v>0</v>
      </c>
      <c r="AI102">
        <v>310.42</v>
      </c>
      <c r="AJ102">
        <v>0</v>
      </c>
      <c r="AK102">
        <v>0</v>
      </c>
      <c r="AL102">
        <v>417.36</v>
      </c>
      <c r="AM102">
        <v>370.44</v>
      </c>
      <c r="AN102">
        <v>1149.3900000000001</v>
      </c>
      <c r="AO102">
        <v>101001.60000000001</v>
      </c>
      <c r="AP102">
        <v>0</v>
      </c>
      <c r="AQ102">
        <v>2677.5</v>
      </c>
      <c r="AR102">
        <v>110.12</v>
      </c>
      <c r="AS102">
        <v>2569.63</v>
      </c>
      <c r="AT102">
        <v>48.36</v>
      </c>
      <c r="AU102">
        <v>4312.04</v>
      </c>
      <c r="AV102">
        <v>0</v>
      </c>
      <c r="AW102">
        <v>127.98</v>
      </c>
      <c r="AX102">
        <v>15.53</v>
      </c>
      <c r="AY102">
        <v>7720</v>
      </c>
      <c r="AZ102">
        <v>70.180000000000007</v>
      </c>
      <c r="BA102">
        <v>116.17</v>
      </c>
      <c r="BB102">
        <v>49.91</v>
      </c>
      <c r="BC102">
        <v>11926.35</v>
      </c>
      <c r="BD102">
        <v>101.89</v>
      </c>
      <c r="BE102">
        <v>0</v>
      </c>
      <c r="BF102">
        <v>0</v>
      </c>
      <c r="BG102">
        <v>88.83</v>
      </c>
      <c r="BH102">
        <v>883.96</v>
      </c>
      <c r="BI102">
        <v>83.54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134.1</v>
      </c>
      <c r="BQ102">
        <v>0</v>
      </c>
      <c r="BR102">
        <v>0</v>
      </c>
      <c r="BS102">
        <v>302.52</v>
      </c>
      <c r="BT102">
        <v>4144155.44</v>
      </c>
      <c r="BU102">
        <v>3056213.92</v>
      </c>
    </row>
    <row r="103" spans="1:73" x14ac:dyDescent="0.25">
      <c r="A103" t="s">
        <v>71</v>
      </c>
      <c r="B103" t="s">
        <v>72</v>
      </c>
      <c r="C103">
        <v>4228</v>
      </c>
      <c r="D103" t="s">
        <v>6</v>
      </c>
      <c r="E103" t="s">
        <v>232</v>
      </c>
      <c r="F103" t="str">
        <f t="shared" si="2"/>
        <v>FR0000121204XPAR</v>
      </c>
      <c r="G103">
        <f t="shared" si="3"/>
        <v>3305586.2646969697</v>
      </c>
      <c r="H103">
        <v>2624352.7999999998</v>
      </c>
      <c r="I103">
        <v>3849210.6</v>
      </c>
      <c r="J103">
        <v>1702966.8</v>
      </c>
      <c r="K103">
        <v>2803829.5</v>
      </c>
      <c r="L103">
        <v>1551999.05</v>
      </c>
      <c r="M103">
        <v>4261169.55</v>
      </c>
      <c r="N103">
        <v>1140304.1000000001</v>
      </c>
      <c r="O103">
        <v>1672777.75</v>
      </c>
      <c r="P103">
        <v>3215515.3</v>
      </c>
      <c r="Q103">
        <v>1602521.15</v>
      </c>
      <c r="R103">
        <v>2819256.45</v>
      </c>
      <c r="S103">
        <v>1930796.35</v>
      </c>
      <c r="T103">
        <v>2204089.5499999998</v>
      </c>
      <c r="U103">
        <v>3682509.15</v>
      </c>
      <c r="V103">
        <v>2100892.5499999998</v>
      </c>
      <c r="W103">
        <v>2623529.2000000002</v>
      </c>
      <c r="X103">
        <v>4478174.6500000004</v>
      </c>
      <c r="Y103">
        <v>2950486.98</v>
      </c>
      <c r="Z103">
        <v>2183389.85</v>
      </c>
      <c r="AA103">
        <v>4213626</v>
      </c>
      <c r="AB103">
        <v>4074647.95</v>
      </c>
      <c r="AC103">
        <v>2258908.6</v>
      </c>
      <c r="AD103">
        <v>2165488.25</v>
      </c>
      <c r="AE103">
        <v>2057018.5</v>
      </c>
      <c r="AF103">
        <v>5273035.9000000004</v>
      </c>
      <c r="AG103">
        <v>2847787.65</v>
      </c>
      <c r="AH103">
        <v>2827729.35</v>
      </c>
      <c r="AI103">
        <v>3798462.5</v>
      </c>
      <c r="AJ103">
        <v>6423797.3499999996</v>
      </c>
      <c r="AK103">
        <v>4315599.3</v>
      </c>
      <c r="AL103">
        <v>2472653.5499999998</v>
      </c>
      <c r="AM103">
        <v>3449856.15</v>
      </c>
      <c r="AN103">
        <v>5301198.95</v>
      </c>
      <c r="AO103">
        <v>4114296.95</v>
      </c>
      <c r="AP103">
        <v>2257176.75</v>
      </c>
      <c r="AQ103">
        <v>2209532.35</v>
      </c>
      <c r="AR103">
        <v>2797724.3</v>
      </c>
      <c r="AS103">
        <v>6194394.25</v>
      </c>
      <c r="AT103">
        <v>3354206.7</v>
      </c>
      <c r="AU103">
        <v>4709071.75</v>
      </c>
      <c r="AV103">
        <v>1783856.2</v>
      </c>
      <c r="AW103">
        <v>2034951.2</v>
      </c>
      <c r="AX103">
        <v>4693456.9400000004</v>
      </c>
      <c r="AY103">
        <v>3641487.25</v>
      </c>
      <c r="AZ103">
        <v>2944511.85</v>
      </c>
      <c r="BA103">
        <v>4747386.8499999996</v>
      </c>
      <c r="BB103">
        <v>1688535.35</v>
      </c>
      <c r="BC103">
        <v>3037161.65</v>
      </c>
      <c r="BD103">
        <v>2496114.2000000002</v>
      </c>
      <c r="BE103">
        <v>3893960.15</v>
      </c>
      <c r="BF103">
        <v>2777632.7</v>
      </c>
      <c r="BG103">
        <v>2380664.0499999998</v>
      </c>
      <c r="BH103">
        <v>2400666.2999999998</v>
      </c>
      <c r="BI103">
        <v>3753527.1</v>
      </c>
      <c r="BJ103">
        <v>2738981.15</v>
      </c>
      <c r="BK103">
        <v>3755238.95</v>
      </c>
      <c r="BL103">
        <v>13908129.4</v>
      </c>
      <c r="BM103">
        <v>2312745.85</v>
      </c>
      <c r="BN103">
        <v>2908918.25</v>
      </c>
      <c r="BO103">
        <v>3380185.03</v>
      </c>
      <c r="BP103">
        <v>1827560.8</v>
      </c>
      <c r="BQ103">
        <v>1101725.8</v>
      </c>
      <c r="BR103">
        <v>1716160.65</v>
      </c>
      <c r="BS103">
        <v>2674679</v>
      </c>
      <c r="BT103">
        <v>7112661.4800000004</v>
      </c>
      <c r="BU103">
        <v>5943810.9400000004</v>
      </c>
    </row>
    <row r="104" spans="1:73" x14ac:dyDescent="0.25">
      <c r="A104" t="s">
        <v>71</v>
      </c>
      <c r="B104" t="s">
        <v>72</v>
      </c>
      <c r="C104">
        <v>9078177</v>
      </c>
      <c r="D104" t="s">
        <v>245</v>
      </c>
      <c r="E104" t="s">
        <v>244</v>
      </c>
      <c r="F104" t="str">
        <f t="shared" si="2"/>
        <v>FR0000121204MTAH</v>
      </c>
      <c r="G104">
        <f t="shared" si="3"/>
        <v>785456.43848484848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23199937.98</v>
      </c>
      <c r="BU104">
        <v>28640186.960000001</v>
      </c>
    </row>
    <row r="105" spans="1:73" x14ac:dyDescent="0.25">
      <c r="A105" t="s">
        <v>73</v>
      </c>
      <c r="B105" t="s">
        <v>74</v>
      </c>
      <c r="C105">
        <v>4230</v>
      </c>
      <c r="D105" t="s">
        <v>6</v>
      </c>
      <c r="E105" t="s">
        <v>232</v>
      </c>
      <c r="F105" t="str">
        <f t="shared" si="2"/>
        <v>FR0000121220XPAR</v>
      </c>
      <c r="G105">
        <f t="shared" si="3"/>
        <v>15995215.60151515</v>
      </c>
      <c r="H105">
        <v>20980980.899999999</v>
      </c>
      <c r="I105">
        <v>21234561</v>
      </c>
      <c r="J105">
        <v>14891939</v>
      </c>
      <c r="K105">
        <v>14092981.75</v>
      </c>
      <c r="L105">
        <v>10392427.65</v>
      </c>
      <c r="M105">
        <v>9552126.1999999993</v>
      </c>
      <c r="N105">
        <v>7658507.25</v>
      </c>
      <c r="O105">
        <v>10033885.85</v>
      </c>
      <c r="P105">
        <v>16176493.050000001</v>
      </c>
      <c r="Q105">
        <v>6344034.4500000002</v>
      </c>
      <c r="R105">
        <v>10885302.4</v>
      </c>
      <c r="S105">
        <v>10819293.199999999</v>
      </c>
      <c r="T105">
        <v>10157255.25</v>
      </c>
      <c r="U105">
        <v>15260496.300000001</v>
      </c>
      <c r="V105">
        <v>18459647.600000001</v>
      </c>
      <c r="W105">
        <v>47478564.399999999</v>
      </c>
      <c r="X105">
        <v>22168412.75</v>
      </c>
      <c r="Y105">
        <v>18575110.800000001</v>
      </c>
      <c r="Z105">
        <v>30059097.050000001</v>
      </c>
      <c r="AA105">
        <v>17706361</v>
      </c>
      <c r="AB105">
        <v>28235002.800000001</v>
      </c>
      <c r="AC105">
        <v>13961810.65</v>
      </c>
      <c r="AD105">
        <v>17270112.399999999</v>
      </c>
      <c r="AE105">
        <v>11079440.85</v>
      </c>
      <c r="AF105">
        <v>19079078.5</v>
      </c>
      <c r="AG105">
        <v>19284341.449999999</v>
      </c>
      <c r="AH105">
        <v>15228447.800000001</v>
      </c>
      <c r="AI105">
        <v>15436825.65</v>
      </c>
      <c r="AJ105">
        <v>16029059.550000001</v>
      </c>
      <c r="AK105">
        <v>12553938.65</v>
      </c>
      <c r="AL105">
        <v>20548062.550000001</v>
      </c>
      <c r="AM105">
        <v>13780971</v>
      </c>
      <c r="AN105">
        <v>13146503.949999999</v>
      </c>
      <c r="AO105">
        <v>20432016.5</v>
      </c>
      <c r="AP105">
        <v>16725510.9</v>
      </c>
      <c r="AQ105">
        <v>17725717.350000001</v>
      </c>
      <c r="AR105">
        <v>15916827.550000001</v>
      </c>
      <c r="AS105">
        <v>43597771.100000001</v>
      </c>
      <c r="AT105">
        <v>26798584.800000001</v>
      </c>
      <c r="AU105">
        <v>14717183.15</v>
      </c>
      <c r="AV105">
        <v>12777808.75</v>
      </c>
      <c r="AW105">
        <v>14282200.65</v>
      </c>
      <c r="AX105">
        <v>21409190.010000002</v>
      </c>
      <c r="AY105">
        <v>18420132.140000001</v>
      </c>
      <c r="AZ105">
        <v>18169993.199999999</v>
      </c>
      <c r="BA105">
        <v>18196502.25</v>
      </c>
      <c r="BB105">
        <v>11340127.42</v>
      </c>
      <c r="BC105">
        <v>9649954.1500000004</v>
      </c>
      <c r="BD105">
        <v>14485332.65</v>
      </c>
      <c r="BE105">
        <v>11823459.6</v>
      </c>
      <c r="BF105">
        <v>15933650.65</v>
      </c>
      <c r="BG105">
        <v>11981211.75</v>
      </c>
      <c r="BH105">
        <v>15274514.720000001</v>
      </c>
      <c r="BI105">
        <v>16769638.85</v>
      </c>
      <c r="BJ105">
        <v>18166106.800000001</v>
      </c>
      <c r="BK105">
        <v>19168710.850000001</v>
      </c>
      <c r="BL105">
        <v>35623968.700000003</v>
      </c>
      <c r="BM105">
        <v>9737875</v>
      </c>
      <c r="BN105">
        <v>3151262.28</v>
      </c>
      <c r="BO105">
        <v>10337628.01</v>
      </c>
      <c r="BP105">
        <v>9696179.9800000004</v>
      </c>
      <c r="BQ105">
        <v>3696934</v>
      </c>
      <c r="BR105">
        <v>11835648.15</v>
      </c>
      <c r="BS105">
        <v>17564536.949999999</v>
      </c>
      <c r="BT105">
        <v>842496.47</v>
      </c>
      <c r="BU105">
        <v>874480.72</v>
      </c>
    </row>
    <row r="106" spans="1:73" x14ac:dyDescent="0.25">
      <c r="A106" t="s">
        <v>73</v>
      </c>
      <c r="B106" t="s">
        <v>74</v>
      </c>
      <c r="C106">
        <v>6060219</v>
      </c>
      <c r="D106" t="s">
        <v>243</v>
      </c>
      <c r="E106" t="s">
        <v>244</v>
      </c>
      <c r="F106" t="str">
        <f t="shared" si="2"/>
        <v>FR0000121220ETLX</v>
      </c>
      <c r="G106">
        <f t="shared" si="3"/>
        <v>98900.542121212115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3308494.44</v>
      </c>
      <c r="BU106">
        <v>3218941.34</v>
      </c>
    </row>
    <row r="107" spans="1:73" x14ac:dyDescent="0.25">
      <c r="A107" t="s">
        <v>73</v>
      </c>
      <c r="B107" t="s">
        <v>74</v>
      </c>
      <c r="C107">
        <v>9078176</v>
      </c>
      <c r="D107" t="s">
        <v>245</v>
      </c>
      <c r="E107" t="s">
        <v>244</v>
      </c>
      <c r="F107" t="str">
        <f t="shared" si="2"/>
        <v>FR0000121220MTAH</v>
      </c>
      <c r="G107">
        <f t="shared" si="3"/>
        <v>120009.23878787878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5117238.4800000004</v>
      </c>
      <c r="BU107">
        <v>2803371.28</v>
      </c>
    </row>
    <row r="108" spans="1:73" x14ac:dyDescent="0.25">
      <c r="A108" t="s">
        <v>75</v>
      </c>
      <c r="B108" t="s">
        <v>76</v>
      </c>
      <c r="C108">
        <v>4237</v>
      </c>
      <c r="D108" t="s">
        <v>6</v>
      </c>
      <c r="E108" t="s">
        <v>232</v>
      </c>
      <c r="F108" t="str">
        <f t="shared" si="2"/>
        <v>FR0000121329XPAR</v>
      </c>
      <c r="G108">
        <f t="shared" si="3"/>
        <v>36397924.310606077</v>
      </c>
      <c r="H108">
        <v>28597559.23</v>
      </c>
      <c r="I108">
        <v>25961870.23</v>
      </c>
      <c r="J108">
        <v>33573329.399999999</v>
      </c>
      <c r="K108">
        <v>36673110</v>
      </c>
      <c r="L108">
        <v>22904919.149999999</v>
      </c>
      <c r="M108">
        <v>45383267.560000002</v>
      </c>
      <c r="N108">
        <v>30284847.5</v>
      </c>
      <c r="O108">
        <v>21920742.800000001</v>
      </c>
      <c r="P108">
        <v>35722069.740000002</v>
      </c>
      <c r="Q108">
        <v>44711686.850000001</v>
      </c>
      <c r="R108">
        <v>26360680.050000001</v>
      </c>
      <c r="S108">
        <v>32195008.300000001</v>
      </c>
      <c r="T108">
        <v>24292630.43</v>
      </c>
      <c r="U108">
        <v>29765779.780000001</v>
      </c>
      <c r="V108">
        <v>33418919.75</v>
      </c>
      <c r="W108">
        <v>28508953.149999999</v>
      </c>
      <c r="X108">
        <v>28721265.699999999</v>
      </c>
      <c r="Y108">
        <v>20300557.25</v>
      </c>
      <c r="Z108">
        <v>24048662.800000001</v>
      </c>
      <c r="AA108">
        <v>33370840.899999999</v>
      </c>
      <c r="AB108">
        <v>28264269.5</v>
      </c>
      <c r="AC108">
        <v>16214058.15</v>
      </c>
      <c r="AD108">
        <v>23724759.949999999</v>
      </c>
      <c r="AE108">
        <v>59955178</v>
      </c>
      <c r="AF108">
        <v>58459267.390000001</v>
      </c>
      <c r="AG108">
        <v>55643375.32</v>
      </c>
      <c r="AH108">
        <v>47018005.450000003</v>
      </c>
      <c r="AI108">
        <v>31334158.809999999</v>
      </c>
      <c r="AJ108">
        <v>61294740.950000003</v>
      </c>
      <c r="AK108">
        <v>38818902.25</v>
      </c>
      <c r="AL108">
        <v>47196245.380000003</v>
      </c>
      <c r="AM108">
        <v>40780894.5</v>
      </c>
      <c r="AN108">
        <v>19970641.600000001</v>
      </c>
      <c r="AO108">
        <v>41219091.509999998</v>
      </c>
      <c r="AP108">
        <v>33895624.149999999</v>
      </c>
      <c r="AQ108">
        <v>34201694.149999999</v>
      </c>
      <c r="AR108">
        <v>152965105.03999999</v>
      </c>
      <c r="AS108">
        <v>96687288.950000003</v>
      </c>
      <c r="AT108">
        <v>32124382.199999999</v>
      </c>
      <c r="AU108">
        <v>28703397.199999999</v>
      </c>
      <c r="AV108">
        <v>23463165.399999999</v>
      </c>
      <c r="AW108">
        <v>29596798.699999999</v>
      </c>
      <c r="AX108">
        <v>41032285.979999997</v>
      </c>
      <c r="AY108">
        <v>46419976.399999999</v>
      </c>
      <c r="AZ108">
        <v>26731350.149999999</v>
      </c>
      <c r="BA108">
        <v>27405933.25</v>
      </c>
      <c r="BB108">
        <v>30821567</v>
      </c>
      <c r="BC108">
        <v>36059463.200000003</v>
      </c>
      <c r="BD108">
        <v>33534893.5</v>
      </c>
      <c r="BE108">
        <v>52108404.100000001</v>
      </c>
      <c r="BF108">
        <v>40928130.399999999</v>
      </c>
      <c r="BG108">
        <v>29691786.100000001</v>
      </c>
      <c r="BH108">
        <v>53159092.149999999</v>
      </c>
      <c r="BI108">
        <v>38902627.299999997</v>
      </c>
      <c r="BJ108">
        <v>32270653.75</v>
      </c>
      <c r="BK108">
        <v>55550325.600000001</v>
      </c>
      <c r="BL108">
        <v>125227472.7</v>
      </c>
      <c r="BM108">
        <v>20228680.600000001</v>
      </c>
      <c r="BN108">
        <v>9950770.4000000004</v>
      </c>
      <c r="BO108">
        <v>16292800.949999999</v>
      </c>
      <c r="BP108">
        <v>10478393.050000001</v>
      </c>
      <c r="BQ108">
        <v>7333706.0999999996</v>
      </c>
      <c r="BR108">
        <v>19453475.050000001</v>
      </c>
      <c r="BS108">
        <v>22046999.649999999</v>
      </c>
      <c r="BT108">
        <v>7664105.2999999998</v>
      </c>
      <c r="BU108">
        <v>10722366.699999999</v>
      </c>
    </row>
    <row r="109" spans="1:73" x14ac:dyDescent="0.25">
      <c r="A109" t="s">
        <v>75</v>
      </c>
      <c r="B109" t="s">
        <v>76</v>
      </c>
      <c r="C109">
        <v>6060218</v>
      </c>
      <c r="D109" t="s">
        <v>243</v>
      </c>
      <c r="E109" t="s">
        <v>244</v>
      </c>
      <c r="F109" t="str">
        <f t="shared" si="2"/>
        <v>FR0000121329ETLX</v>
      </c>
      <c r="G109">
        <f t="shared" si="3"/>
        <v>394460.81863636366</v>
      </c>
      <c r="H109">
        <v>5127.5</v>
      </c>
      <c r="I109">
        <v>0</v>
      </c>
      <c r="J109">
        <v>4383</v>
      </c>
      <c r="K109">
        <v>0</v>
      </c>
      <c r="L109">
        <v>0</v>
      </c>
      <c r="M109">
        <v>0</v>
      </c>
      <c r="N109">
        <v>0</v>
      </c>
      <c r="O109">
        <v>5230.75</v>
      </c>
      <c r="P109">
        <v>0</v>
      </c>
      <c r="Q109">
        <v>0</v>
      </c>
      <c r="R109">
        <v>2156.6999999999998</v>
      </c>
      <c r="S109">
        <v>0</v>
      </c>
      <c r="T109">
        <v>0</v>
      </c>
      <c r="U109">
        <v>0</v>
      </c>
      <c r="V109">
        <v>0</v>
      </c>
      <c r="W109">
        <v>1079.4000000000001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6156.5</v>
      </c>
      <c r="AJ109">
        <v>0</v>
      </c>
      <c r="AK109">
        <v>938.7</v>
      </c>
      <c r="AL109">
        <v>1524</v>
      </c>
      <c r="AM109">
        <v>0</v>
      </c>
      <c r="AN109">
        <v>0</v>
      </c>
      <c r="AO109">
        <v>26180</v>
      </c>
      <c r="AP109">
        <v>3826.25</v>
      </c>
      <c r="AQ109">
        <v>7595</v>
      </c>
      <c r="AR109">
        <v>0</v>
      </c>
      <c r="AS109">
        <v>14190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1443.5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11696.55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13443561.779999999</v>
      </c>
      <c r="BU109">
        <v>12499324.4</v>
      </c>
    </row>
    <row r="110" spans="1:73" x14ac:dyDescent="0.25">
      <c r="A110" t="s">
        <v>75</v>
      </c>
      <c r="B110" t="s">
        <v>76</v>
      </c>
      <c r="C110">
        <v>9078175</v>
      </c>
      <c r="D110" t="s">
        <v>245</v>
      </c>
      <c r="E110" t="s">
        <v>244</v>
      </c>
      <c r="F110" t="str">
        <f t="shared" si="2"/>
        <v>FR0000121329MTAH</v>
      </c>
      <c r="G110">
        <f t="shared" si="3"/>
        <v>1139860.1565151515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44249257.109999999</v>
      </c>
      <c r="BU110">
        <v>30981513.219999999</v>
      </c>
    </row>
    <row r="111" spans="1:73" x14ac:dyDescent="0.25">
      <c r="A111" t="s">
        <v>77</v>
      </c>
      <c r="B111" t="s">
        <v>78</v>
      </c>
      <c r="C111">
        <v>4250</v>
      </c>
      <c r="D111" t="s">
        <v>6</v>
      </c>
      <c r="E111" t="s">
        <v>232</v>
      </c>
      <c r="F111" t="str">
        <f t="shared" si="2"/>
        <v>FR0000121485XPAR</v>
      </c>
      <c r="G111">
        <f t="shared" si="3"/>
        <v>71190885.578030318</v>
      </c>
      <c r="H111">
        <v>74426858.599999994</v>
      </c>
      <c r="I111">
        <v>98628888.650000006</v>
      </c>
      <c r="J111">
        <v>115771727.91</v>
      </c>
      <c r="K111">
        <v>142134487.09999999</v>
      </c>
      <c r="L111">
        <v>69821488.75</v>
      </c>
      <c r="M111">
        <v>43530092.729999997</v>
      </c>
      <c r="N111">
        <v>62265706.149999999</v>
      </c>
      <c r="O111">
        <v>105994293.66</v>
      </c>
      <c r="P111">
        <v>98974599.680000007</v>
      </c>
      <c r="Q111">
        <v>108949854.39</v>
      </c>
      <c r="R111">
        <v>87172947.25</v>
      </c>
      <c r="S111">
        <v>105311764.53</v>
      </c>
      <c r="T111">
        <v>56488920.829999998</v>
      </c>
      <c r="U111">
        <v>54578874.700000003</v>
      </c>
      <c r="V111">
        <v>57965778.25</v>
      </c>
      <c r="W111">
        <v>91013527.849999994</v>
      </c>
      <c r="X111">
        <v>58560239.079999998</v>
      </c>
      <c r="Y111">
        <v>64548813.18</v>
      </c>
      <c r="Z111">
        <v>70570859.840000004</v>
      </c>
      <c r="AA111">
        <v>105118779.11</v>
      </c>
      <c r="AB111">
        <v>57947027.549999997</v>
      </c>
      <c r="AC111">
        <v>33279969.75</v>
      </c>
      <c r="AD111">
        <v>46415173.649999999</v>
      </c>
      <c r="AE111">
        <v>40539169.68</v>
      </c>
      <c r="AF111">
        <v>79804648.599999994</v>
      </c>
      <c r="AG111">
        <v>90154526.709999993</v>
      </c>
      <c r="AH111">
        <v>156673080.33000001</v>
      </c>
      <c r="AI111">
        <v>72334443.329999998</v>
      </c>
      <c r="AJ111">
        <v>134167202.38</v>
      </c>
      <c r="AK111">
        <v>64899672.299999997</v>
      </c>
      <c r="AL111">
        <v>89769191.700000003</v>
      </c>
      <c r="AM111">
        <v>68121811.939999998</v>
      </c>
      <c r="AN111">
        <v>48127657.600000001</v>
      </c>
      <c r="AO111">
        <v>80273138.530000001</v>
      </c>
      <c r="AP111">
        <v>65228607.329999998</v>
      </c>
      <c r="AQ111">
        <v>88520741.650000006</v>
      </c>
      <c r="AR111">
        <v>87911900.849999994</v>
      </c>
      <c r="AS111">
        <v>157160727.78</v>
      </c>
      <c r="AT111">
        <v>60726544.149999999</v>
      </c>
      <c r="AU111">
        <v>38202961.75</v>
      </c>
      <c r="AV111">
        <v>31786149.329999998</v>
      </c>
      <c r="AW111">
        <v>43488294.649999999</v>
      </c>
      <c r="AX111">
        <v>71741527.659999996</v>
      </c>
      <c r="AY111">
        <v>43494372.909999996</v>
      </c>
      <c r="AZ111">
        <v>46743668.890000001</v>
      </c>
      <c r="BA111">
        <v>49014667.810000002</v>
      </c>
      <c r="BB111">
        <v>136737931.11000001</v>
      </c>
      <c r="BC111">
        <v>111790907.90000001</v>
      </c>
      <c r="BD111">
        <v>72170031.980000004</v>
      </c>
      <c r="BE111">
        <v>48915510.68</v>
      </c>
      <c r="BF111">
        <v>67901139.629999995</v>
      </c>
      <c r="BG111">
        <v>68151360.650000006</v>
      </c>
      <c r="BH111">
        <v>56799977.100000001</v>
      </c>
      <c r="BI111">
        <v>57061297.909999996</v>
      </c>
      <c r="BJ111">
        <v>56686463.359999999</v>
      </c>
      <c r="BK111">
        <v>48744444.659999996</v>
      </c>
      <c r="BL111">
        <v>119107129.13</v>
      </c>
      <c r="BM111">
        <v>40141641.509999998</v>
      </c>
      <c r="BN111">
        <v>13561854.6</v>
      </c>
      <c r="BO111">
        <v>50771398.100000001</v>
      </c>
      <c r="BP111">
        <v>46885052.659999996</v>
      </c>
      <c r="BQ111">
        <v>20671744.899999999</v>
      </c>
      <c r="BR111">
        <v>47038320.509999998</v>
      </c>
      <c r="BS111">
        <v>107892226.91</v>
      </c>
      <c r="BT111">
        <v>6116044.7999999998</v>
      </c>
      <c r="BU111">
        <v>3098589</v>
      </c>
    </row>
    <row r="112" spans="1:73" x14ac:dyDescent="0.25">
      <c r="A112" t="s">
        <v>77</v>
      </c>
      <c r="B112" t="s">
        <v>78</v>
      </c>
      <c r="C112">
        <v>3052965</v>
      </c>
      <c r="D112" t="s">
        <v>248</v>
      </c>
      <c r="E112" t="s">
        <v>244</v>
      </c>
      <c r="F112" t="str">
        <f t="shared" si="2"/>
        <v>FR0000121485BGEM</v>
      </c>
      <c r="G112">
        <f t="shared" si="3"/>
        <v>322929.37969696976</v>
      </c>
      <c r="H112">
        <v>160730.9</v>
      </c>
      <c r="I112">
        <v>306296.8</v>
      </c>
      <c r="J112">
        <v>177215.9</v>
      </c>
      <c r="K112">
        <v>892423.85</v>
      </c>
      <c r="L112">
        <v>295217.55</v>
      </c>
      <c r="M112">
        <v>131403.29999999999</v>
      </c>
      <c r="N112">
        <v>166166.45000000001</v>
      </c>
      <c r="O112">
        <v>595091.4</v>
      </c>
      <c r="P112">
        <v>512218.2</v>
      </c>
      <c r="Q112">
        <v>482368.15</v>
      </c>
      <c r="R112">
        <v>147917.1</v>
      </c>
      <c r="S112">
        <v>554082.6</v>
      </c>
      <c r="T112">
        <v>196544.2</v>
      </c>
      <c r="U112">
        <v>217747.05</v>
      </c>
      <c r="V112">
        <v>173901.7</v>
      </c>
      <c r="W112">
        <v>371873.75</v>
      </c>
      <c r="X112">
        <v>122073.05</v>
      </c>
      <c r="Y112">
        <v>267556.75</v>
      </c>
      <c r="Z112">
        <v>211879.55</v>
      </c>
      <c r="AA112">
        <v>259611.4</v>
      </c>
      <c r="AB112">
        <v>135941.04999999999</v>
      </c>
      <c r="AC112">
        <v>66591.05</v>
      </c>
      <c r="AD112">
        <v>96910.25</v>
      </c>
      <c r="AE112">
        <v>112146.1</v>
      </c>
      <c r="AF112">
        <v>190669.8</v>
      </c>
      <c r="AG112">
        <v>267553.45</v>
      </c>
      <c r="AH112">
        <v>1304190.5</v>
      </c>
      <c r="AI112">
        <v>566984.5</v>
      </c>
      <c r="AJ112">
        <v>648951.1</v>
      </c>
      <c r="AK112">
        <v>499712.5</v>
      </c>
      <c r="AL112">
        <v>200383.85</v>
      </c>
      <c r="AM112">
        <v>149146.54999999999</v>
      </c>
      <c r="AN112">
        <v>135525.75</v>
      </c>
      <c r="AO112">
        <v>169159.6</v>
      </c>
      <c r="AP112">
        <v>152950.45000000001</v>
      </c>
      <c r="AQ112">
        <v>349832.6</v>
      </c>
      <c r="AR112">
        <v>201167.1</v>
      </c>
      <c r="AS112">
        <v>286156.59999999998</v>
      </c>
      <c r="AT112">
        <v>233918.8</v>
      </c>
      <c r="AU112">
        <v>66300.05</v>
      </c>
      <c r="AV112">
        <v>130052.4</v>
      </c>
      <c r="AW112">
        <v>88261.3</v>
      </c>
      <c r="AX112">
        <v>240684.6</v>
      </c>
      <c r="AY112">
        <v>130902.85</v>
      </c>
      <c r="AZ112">
        <v>145957.75</v>
      </c>
      <c r="BA112">
        <v>69613.350000000006</v>
      </c>
      <c r="BB112">
        <v>866205.85</v>
      </c>
      <c r="BC112">
        <v>826876.9</v>
      </c>
      <c r="BD112">
        <v>205680.4</v>
      </c>
      <c r="BE112">
        <v>160788.79999999999</v>
      </c>
      <c r="BF112">
        <v>141269.79999999999</v>
      </c>
      <c r="BG112">
        <v>374170.7</v>
      </c>
      <c r="BH112">
        <v>283595.84999999998</v>
      </c>
      <c r="BI112">
        <v>77657.2</v>
      </c>
      <c r="BJ112">
        <v>118236.05</v>
      </c>
      <c r="BK112">
        <v>61034.35</v>
      </c>
      <c r="BL112">
        <v>101101.65</v>
      </c>
      <c r="BM112">
        <v>55516.85</v>
      </c>
      <c r="BN112">
        <v>0</v>
      </c>
      <c r="BO112">
        <v>101213.2</v>
      </c>
      <c r="BP112">
        <v>24876.400000000001</v>
      </c>
      <c r="BQ112">
        <v>0</v>
      </c>
      <c r="BR112">
        <v>139334.04999999999</v>
      </c>
      <c r="BS112">
        <v>443587.5</v>
      </c>
      <c r="BT112">
        <v>956835.05</v>
      </c>
      <c r="BU112">
        <v>3493374.91</v>
      </c>
    </row>
    <row r="113" spans="1:73" x14ac:dyDescent="0.25">
      <c r="A113" t="s">
        <v>77</v>
      </c>
      <c r="B113" t="s">
        <v>78</v>
      </c>
      <c r="C113">
        <v>3077436</v>
      </c>
      <c r="D113" t="s">
        <v>245</v>
      </c>
      <c r="E113" t="s">
        <v>244</v>
      </c>
      <c r="F113" t="str">
        <f t="shared" si="2"/>
        <v>FR0000121485MTAH</v>
      </c>
      <c r="G113">
        <f t="shared" si="3"/>
        <v>1186723.8163636364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2512.5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485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5310.2</v>
      </c>
      <c r="AI113">
        <v>5224.45</v>
      </c>
      <c r="AJ113">
        <v>2161.5</v>
      </c>
      <c r="AK113">
        <v>0</v>
      </c>
      <c r="AL113">
        <v>0</v>
      </c>
      <c r="AM113">
        <v>920.6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5681.95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869.4</v>
      </c>
      <c r="AZ113">
        <v>0</v>
      </c>
      <c r="BA113">
        <v>231.8</v>
      </c>
      <c r="BB113">
        <v>3828</v>
      </c>
      <c r="BC113">
        <v>0</v>
      </c>
      <c r="BD113">
        <v>238.5</v>
      </c>
      <c r="BE113">
        <v>0</v>
      </c>
      <c r="BF113">
        <v>0</v>
      </c>
      <c r="BG113">
        <v>996.8</v>
      </c>
      <c r="BH113">
        <v>0</v>
      </c>
      <c r="BI113">
        <v>6844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44855427.890000001</v>
      </c>
      <c r="BU113">
        <v>33433039.289999999</v>
      </c>
    </row>
    <row r="114" spans="1:73" x14ac:dyDescent="0.25">
      <c r="A114" t="s">
        <v>77</v>
      </c>
      <c r="B114" t="s">
        <v>78</v>
      </c>
      <c r="C114">
        <v>6060217</v>
      </c>
      <c r="D114" t="s">
        <v>243</v>
      </c>
      <c r="E114" t="s">
        <v>244</v>
      </c>
      <c r="F114" t="str">
        <f t="shared" si="2"/>
        <v>FR0000121485ETLX</v>
      </c>
      <c r="G114">
        <f t="shared" si="3"/>
        <v>421488.20227272721</v>
      </c>
      <c r="H114">
        <v>3110</v>
      </c>
      <c r="I114">
        <v>2857.5</v>
      </c>
      <c r="J114">
        <v>2465.5</v>
      </c>
      <c r="K114">
        <v>12047</v>
      </c>
      <c r="L114">
        <v>0</v>
      </c>
      <c r="M114">
        <v>0</v>
      </c>
      <c r="N114">
        <v>6000</v>
      </c>
      <c r="O114">
        <v>18411</v>
      </c>
      <c r="P114">
        <v>1590.4</v>
      </c>
      <c r="Q114">
        <v>36692</v>
      </c>
      <c r="R114">
        <v>0</v>
      </c>
      <c r="S114">
        <v>1209</v>
      </c>
      <c r="T114">
        <v>0</v>
      </c>
      <c r="U114">
        <v>0</v>
      </c>
      <c r="V114">
        <v>931.4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1147.75</v>
      </c>
      <c r="AF114">
        <v>0</v>
      </c>
      <c r="AG114">
        <v>0</v>
      </c>
      <c r="AH114">
        <v>2244</v>
      </c>
      <c r="AI114">
        <v>7400</v>
      </c>
      <c r="AJ114">
        <v>17307.150000000001</v>
      </c>
      <c r="AK114">
        <v>2755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9929.25</v>
      </c>
      <c r="AU114">
        <v>0</v>
      </c>
      <c r="AV114">
        <v>0</v>
      </c>
      <c r="AW114">
        <v>438.4</v>
      </c>
      <c r="AX114">
        <v>0</v>
      </c>
      <c r="AY114">
        <v>0</v>
      </c>
      <c r="AZ114">
        <v>0</v>
      </c>
      <c r="BA114">
        <v>2244</v>
      </c>
      <c r="BB114">
        <v>942.4</v>
      </c>
      <c r="BC114">
        <v>9883</v>
      </c>
      <c r="BD114">
        <v>26478</v>
      </c>
      <c r="BE114">
        <v>463.65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2346</v>
      </c>
      <c r="BL114">
        <v>0</v>
      </c>
      <c r="BM114">
        <v>0</v>
      </c>
      <c r="BN114">
        <v>0</v>
      </c>
      <c r="BO114">
        <v>7102.5</v>
      </c>
      <c r="BP114">
        <v>0</v>
      </c>
      <c r="BQ114">
        <v>0</v>
      </c>
      <c r="BR114">
        <v>0</v>
      </c>
      <c r="BS114">
        <v>4191.8</v>
      </c>
      <c r="BT114">
        <v>15224438.029999999</v>
      </c>
      <c r="BU114">
        <v>12413596.619999999</v>
      </c>
    </row>
    <row r="115" spans="1:73" x14ac:dyDescent="0.25">
      <c r="A115" t="s">
        <v>79</v>
      </c>
      <c r="B115" t="s">
        <v>80</v>
      </c>
      <c r="C115">
        <v>4265</v>
      </c>
      <c r="D115" t="s">
        <v>6</v>
      </c>
      <c r="E115" t="s">
        <v>232</v>
      </c>
      <c r="F115" t="str">
        <f t="shared" si="2"/>
        <v>FR0000121667XPAR</v>
      </c>
      <c r="G115">
        <f t="shared" si="3"/>
        <v>105870478.05227268</v>
      </c>
      <c r="H115">
        <v>65828054.950000003</v>
      </c>
      <c r="I115">
        <v>93573830.049999997</v>
      </c>
      <c r="J115">
        <v>106459482.95</v>
      </c>
      <c r="K115">
        <v>81562889.200000003</v>
      </c>
      <c r="L115">
        <v>62677509</v>
      </c>
      <c r="M115">
        <v>90741488.349999994</v>
      </c>
      <c r="N115">
        <v>59633764.200000003</v>
      </c>
      <c r="O115">
        <v>55102678.299999997</v>
      </c>
      <c r="P115">
        <v>112230756.25</v>
      </c>
      <c r="Q115">
        <v>79188804.700000003</v>
      </c>
      <c r="R115">
        <v>92403569.099999994</v>
      </c>
      <c r="S115">
        <v>134770068.44999999</v>
      </c>
      <c r="T115">
        <v>113609065.8</v>
      </c>
      <c r="U115">
        <v>128220153.5</v>
      </c>
      <c r="V115">
        <v>74886738.400000006</v>
      </c>
      <c r="W115">
        <v>101354149.5</v>
      </c>
      <c r="X115">
        <v>84235649.799999997</v>
      </c>
      <c r="Y115">
        <v>149396544.19999999</v>
      </c>
      <c r="Z115">
        <v>144978647.69999999</v>
      </c>
      <c r="AA115">
        <v>92530921.700000003</v>
      </c>
      <c r="AB115">
        <v>195293769.69999999</v>
      </c>
      <c r="AC115">
        <v>84317288.549999997</v>
      </c>
      <c r="AD115">
        <v>224263640.09999999</v>
      </c>
      <c r="AE115">
        <v>85665713.200000003</v>
      </c>
      <c r="AF115">
        <v>168139452.19999999</v>
      </c>
      <c r="AG115">
        <v>148948722.65000001</v>
      </c>
      <c r="AH115">
        <v>90147940.900000006</v>
      </c>
      <c r="AI115">
        <v>105114217.90000001</v>
      </c>
      <c r="AJ115">
        <v>116667009.2</v>
      </c>
      <c r="AK115">
        <v>103790517.2</v>
      </c>
      <c r="AL115">
        <v>144950174.65000001</v>
      </c>
      <c r="AM115">
        <v>113169289.7</v>
      </c>
      <c r="AN115">
        <v>107424204.2</v>
      </c>
      <c r="AO115">
        <v>256625666.30000001</v>
      </c>
      <c r="AP115">
        <v>147673431.30000001</v>
      </c>
      <c r="AQ115">
        <v>129957996.09999999</v>
      </c>
      <c r="AR115">
        <v>107293953.09999999</v>
      </c>
      <c r="AS115">
        <v>261818103.69999999</v>
      </c>
      <c r="AT115">
        <v>108912337.8</v>
      </c>
      <c r="AU115">
        <v>74814382.5</v>
      </c>
      <c r="AV115">
        <v>94728416.700000003</v>
      </c>
      <c r="AW115">
        <v>98598169.25</v>
      </c>
      <c r="AX115">
        <v>86364441.75</v>
      </c>
      <c r="AY115">
        <v>122162507.3</v>
      </c>
      <c r="AZ115">
        <v>71858083.299999997</v>
      </c>
      <c r="BA115">
        <v>71756032.349999994</v>
      </c>
      <c r="BB115">
        <v>80030789.650000006</v>
      </c>
      <c r="BC115">
        <v>90359443.700000003</v>
      </c>
      <c r="BD115">
        <v>81724750.950000003</v>
      </c>
      <c r="BE115">
        <v>81210330.950000003</v>
      </c>
      <c r="BF115">
        <v>81283599.400000006</v>
      </c>
      <c r="BG115">
        <v>117068894.2</v>
      </c>
      <c r="BH115">
        <v>118093052.84999999</v>
      </c>
      <c r="BI115">
        <v>113249478.15000001</v>
      </c>
      <c r="BJ115">
        <v>105743585.7</v>
      </c>
      <c r="BK115">
        <v>114598531</v>
      </c>
      <c r="BL115">
        <v>238311065.75</v>
      </c>
      <c r="BM115">
        <v>80545034.900000006</v>
      </c>
      <c r="BN115">
        <v>30947028.899999999</v>
      </c>
      <c r="BO115">
        <v>84939303.849999994</v>
      </c>
      <c r="BP115">
        <v>81659023.650000006</v>
      </c>
      <c r="BQ115">
        <v>38427785.950000003</v>
      </c>
      <c r="BR115">
        <v>110107332.90000001</v>
      </c>
      <c r="BS115">
        <v>91227820.400000006</v>
      </c>
      <c r="BT115">
        <v>2391699.19</v>
      </c>
      <c r="BU115">
        <v>1692771.71</v>
      </c>
    </row>
    <row r="116" spans="1:73" x14ac:dyDescent="0.25">
      <c r="A116" t="s">
        <v>79</v>
      </c>
      <c r="B116" t="s">
        <v>80</v>
      </c>
      <c r="C116">
        <v>3052964</v>
      </c>
      <c r="D116" t="s">
        <v>248</v>
      </c>
      <c r="E116" t="s">
        <v>244</v>
      </c>
      <c r="F116" t="str">
        <f t="shared" si="2"/>
        <v>FR0000121667BGEM</v>
      </c>
      <c r="G116">
        <f t="shared" si="3"/>
        <v>3299105.9278787877</v>
      </c>
      <c r="H116">
        <v>176596</v>
      </c>
      <c r="I116">
        <v>117792.4</v>
      </c>
      <c r="J116">
        <v>324380.59999999998</v>
      </c>
      <c r="K116">
        <v>504728.6</v>
      </c>
      <c r="L116">
        <v>258899.8</v>
      </c>
      <c r="M116">
        <v>206104.5</v>
      </c>
      <c r="N116">
        <v>1343029</v>
      </c>
      <c r="O116">
        <v>196834.6</v>
      </c>
      <c r="P116">
        <v>210959.2</v>
      </c>
      <c r="Q116">
        <v>377126.2</v>
      </c>
      <c r="R116">
        <v>201721.7</v>
      </c>
      <c r="S116">
        <v>1203169.6000000001</v>
      </c>
      <c r="T116">
        <v>220989.7</v>
      </c>
      <c r="U116">
        <v>749212.4</v>
      </c>
      <c r="V116">
        <v>363547</v>
      </c>
      <c r="W116">
        <v>243618.7</v>
      </c>
      <c r="X116">
        <v>217682.9</v>
      </c>
      <c r="Y116">
        <v>163620.79999999999</v>
      </c>
      <c r="Z116">
        <v>359997.3</v>
      </c>
      <c r="AA116">
        <v>361965.6</v>
      </c>
      <c r="AB116">
        <v>127155.6</v>
      </c>
      <c r="AC116">
        <v>177880.5</v>
      </c>
      <c r="AD116">
        <v>2152720.7000000002</v>
      </c>
      <c r="AE116">
        <v>441468.1</v>
      </c>
      <c r="AF116">
        <v>484530.8</v>
      </c>
      <c r="AG116">
        <v>679364.2</v>
      </c>
      <c r="AH116">
        <v>287497.3</v>
      </c>
      <c r="AI116">
        <v>235932.9</v>
      </c>
      <c r="AJ116">
        <v>278026.2</v>
      </c>
      <c r="AK116">
        <v>401733.4</v>
      </c>
      <c r="AL116">
        <v>490750.4</v>
      </c>
      <c r="AM116">
        <v>268743.7</v>
      </c>
      <c r="AN116">
        <v>154973.5</v>
      </c>
      <c r="AO116">
        <v>876217</v>
      </c>
      <c r="AP116">
        <v>468901.9</v>
      </c>
      <c r="AQ116">
        <v>409318.7</v>
      </c>
      <c r="AR116">
        <v>307748.59999999998</v>
      </c>
      <c r="AS116">
        <v>455987</v>
      </c>
      <c r="AT116">
        <v>197108</v>
      </c>
      <c r="AU116">
        <v>156625.20000000001</v>
      </c>
      <c r="AV116">
        <v>394619.9</v>
      </c>
      <c r="AW116">
        <v>370144</v>
      </c>
      <c r="AX116">
        <v>247028.2</v>
      </c>
      <c r="AY116">
        <v>306170.90000000002</v>
      </c>
      <c r="AZ116">
        <v>310221.5</v>
      </c>
      <c r="BA116">
        <v>255642</v>
      </c>
      <c r="BB116">
        <v>167105.70000000001</v>
      </c>
      <c r="BC116">
        <v>294795.7</v>
      </c>
      <c r="BD116">
        <v>332996</v>
      </c>
      <c r="BE116">
        <v>205109.6</v>
      </c>
      <c r="BF116">
        <v>325389.09999999998</v>
      </c>
      <c r="BG116">
        <v>238280.9</v>
      </c>
      <c r="BH116">
        <v>185285.3</v>
      </c>
      <c r="BI116">
        <v>324051.5</v>
      </c>
      <c r="BJ116">
        <v>295680.90000000002</v>
      </c>
      <c r="BK116">
        <v>367218.7</v>
      </c>
      <c r="BL116">
        <v>239718.9</v>
      </c>
      <c r="BM116">
        <v>169587.5</v>
      </c>
      <c r="BN116">
        <v>0</v>
      </c>
      <c r="BO116">
        <v>286695.09999999998</v>
      </c>
      <c r="BP116">
        <v>320938.90000000002</v>
      </c>
      <c r="BQ116">
        <v>0</v>
      </c>
      <c r="BR116">
        <v>191564.9</v>
      </c>
      <c r="BS116">
        <v>303238.59999999998</v>
      </c>
      <c r="BT116">
        <v>128782715.73</v>
      </c>
      <c r="BU116">
        <v>65972131.409999996</v>
      </c>
    </row>
    <row r="117" spans="1:73" x14ac:dyDescent="0.25">
      <c r="A117" t="s">
        <v>79</v>
      </c>
      <c r="B117" t="s">
        <v>80</v>
      </c>
      <c r="C117">
        <v>6060216</v>
      </c>
      <c r="D117" t="s">
        <v>243</v>
      </c>
      <c r="E117" t="s">
        <v>244</v>
      </c>
      <c r="F117" t="str">
        <f t="shared" si="2"/>
        <v>FR0000121667ETLX</v>
      </c>
      <c r="G117">
        <f t="shared" si="3"/>
        <v>2959699.7248484851</v>
      </c>
      <c r="H117">
        <v>8402</v>
      </c>
      <c r="I117">
        <v>0</v>
      </c>
      <c r="J117">
        <v>0</v>
      </c>
      <c r="K117">
        <v>854.4</v>
      </c>
      <c r="L117">
        <v>0</v>
      </c>
      <c r="M117">
        <v>0</v>
      </c>
      <c r="N117">
        <v>0</v>
      </c>
      <c r="O117">
        <v>0</v>
      </c>
      <c r="P117">
        <v>2370.5</v>
      </c>
      <c r="Q117">
        <v>32178</v>
      </c>
      <c r="R117">
        <v>0</v>
      </c>
      <c r="S117">
        <v>19539.3</v>
      </c>
      <c r="T117">
        <v>0</v>
      </c>
      <c r="U117">
        <v>0</v>
      </c>
      <c r="V117">
        <v>22050</v>
      </c>
      <c r="W117">
        <v>49417.1</v>
      </c>
      <c r="X117">
        <v>6759</v>
      </c>
      <c r="Y117">
        <v>0</v>
      </c>
      <c r="Z117">
        <v>1302</v>
      </c>
      <c r="AA117">
        <v>8328.9</v>
      </c>
      <c r="AB117">
        <v>0</v>
      </c>
      <c r="AC117">
        <v>0</v>
      </c>
      <c r="AD117">
        <v>0</v>
      </c>
      <c r="AE117">
        <v>2682</v>
      </c>
      <c r="AF117">
        <v>450.2</v>
      </c>
      <c r="AG117">
        <v>22808</v>
      </c>
      <c r="AH117">
        <v>910.4</v>
      </c>
      <c r="AI117">
        <v>0</v>
      </c>
      <c r="AJ117">
        <v>0</v>
      </c>
      <c r="AK117">
        <v>0</v>
      </c>
      <c r="AL117">
        <v>8008</v>
      </c>
      <c r="AM117">
        <v>0</v>
      </c>
      <c r="AN117">
        <v>22880</v>
      </c>
      <c r="AO117">
        <v>0</v>
      </c>
      <c r="AP117">
        <v>0</v>
      </c>
      <c r="AQ117">
        <v>0</v>
      </c>
      <c r="AR117">
        <v>0</v>
      </c>
      <c r="AS117">
        <v>23500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6900</v>
      </c>
      <c r="AZ117">
        <v>19465</v>
      </c>
      <c r="BA117">
        <v>0</v>
      </c>
      <c r="BB117">
        <v>0</v>
      </c>
      <c r="BC117">
        <v>0</v>
      </c>
      <c r="BD117">
        <v>4566</v>
      </c>
      <c r="BE117">
        <v>0</v>
      </c>
      <c r="BF117">
        <v>9040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4578</v>
      </c>
      <c r="BM117">
        <v>0</v>
      </c>
      <c r="BN117">
        <v>0</v>
      </c>
      <c r="BO117">
        <v>0</v>
      </c>
      <c r="BP117">
        <v>1158</v>
      </c>
      <c r="BQ117">
        <v>0</v>
      </c>
      <c r="BR117">
        <v>21978.400000000001</v>
      </c>
      <c r="BS117">
        <v>231.7</v>
      </c>
      <c r="BT117">
        <v>113498933.72</v>
      </c>
      <c r="BU117">
        <v>81540891.219999999</v>
      </c>
    </row>
    <row r="118" spans="1:73" x14ac:dyDescent="0.25">
      <c r="A118" t="s">
        <v>79</v>
      </c>
      <c r="B118" t="s">
        <v>80</v>
      </c>
      <c r="C118">
        <v>9078174</v>
      </c>
      <c r="D118" t="s">
        <v>245</v>
      </c>
      <c r="E118" t="s">
        <v>244</v>
      </c>
      <c r="F118" t="str">
        <f t="shared" si="2"/>
        <v>FR0000121667MTAH</v>
      </c>
      <c r="G118">
        <f t="shared" si="3"/>
        <v>191824.66818181821</v>
      </c>
      <c r="H118">
        <v>0</v>
      </c>
      <c r="I118">
        <v>0</v>
      </c>
      <c r="J118">
        <v>0</v>
      </c>
      <c r="K118">
        <v>0</v>
      </c>
      <c r="L118">
        <v>5533.5</v>
      </c>
      <c r="M118">
        <v>0</v>
      </c>
      <c r="N118">
        <v>220.2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6737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666.3</v>
      </c>
      <c r="AA118">
        <v>0</v>
      </c>
      <c r="AB118">
        <v>221.7</v>
      </c>
      <c r="AC118">
        <v>0</v>
      </c>
      <c r="AD118">
        <v>0</v>
      </c>
      <c r="AE118">
        <v>0</v>
      </c>
      <c r="AF118">
        <v>1163</v>
      </c>
      <c r="AG118">
        <v>23750</v>
      </c>
      <c r="AH118">
        <v>703.2</v>
      </c>
      <c r="AI118">
        <v>1831.2</v>
      </c>
      <c r="AJ118">
        <v>7840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24250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226.4</v>
      </c>
      <c r="BA118">
        <v>2302</v>
      </c>
      <c r="BB118">
        <v>0</v>
      </c>
      <c r="BC118">
        <v>454.2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8311.7000000000007</v>
      </c>
      <c r="BK118">
        <v>0</v>
      </c>
      <c r="BL118">
        <v>2095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5729044.25</v>
      </c>
      <c r="BU118">
        <v>6845078.4500000002</v>
      </c>
    </row>
    <row r="119" spans="1:73" x14ac:dyDescent="0.25">
      <c r="A119" t="s">
        <v>81</v>
      </c>
      <c r="B119" t="s">
        <v>82</v>
      </c>
      <c r="C119">
        <v>4268</v>
      </c>
      <c r="D119" t="s">
        <v>6</v>
      </c>
      <c r="E119" t="s">
        <v>232</v>
      </c>
      <c r="F119" t="str">
        <f t="shared" si="2"/>
        <v>FR0000121709XPAR</v>
      </c>
      <c r="G119">
        <f t="shared" si="3"/>
        <v>4861950.4648484821</v>
      </c>
      <c r="H119">
        <v>3345664.75</v>
      </c>
      <c r="I119">
        <v>4810791.95</v>
      </c>
      <c r="J119">
        <v>7684603.5</v>
      </c>
      <c r="K119">
        <v>6436676.4500000002</v>
      </c>
      <c r="L119">
        <v>3867727.5</v>
      </c>
      <c r="M119">
        <v>1592306.4</v>
      </c>
      <c r="N119">
        <v>3328568.7</v>
      </c>
      <c r="O119">
        <v>5382575.5999999996</v>
      </c>
      <c r="P119">
        <v>6511222.3899999997</v>
      </c>
      <c r="Q119">
        <v>3235142.35</v>
      </c>
      <c r="R119">
        <v>4352223.33</v>
      </c>
      <c r="S119">
        <v>2969448.2</v>
      </c>
      <c r="T119">
        <v>3207130.4</v>
      </c>
      <c r="U119">
        <v>3482972.15</v>
      </c>
      <c r="V119">
        <v>4395543.25</v>
      </c>
      <c r="W119">
        <v>4289216.25</v>
      </c>
      <c r="X119">
        <v>5715139.5499999998</v>
      </c>
      <c r="Y119">
        <v>5502283.8499999996</v>
      </c>
      <c r="Z119">
        <v>4156063.4</v>
      </c>
      <c r="AA119">
        <v>10598361.199999999</v>
      </c>
      <c r="AB119">
        <v>4435720.5999999996</v>
      </c>
      <c r="AC119">
        <v>2274200.15</v>
      </c>
      <c r="AD119">
        <v>3249058.6</v>
      </c>
      <c r="AE119">
        <v>3203502.55</v>
      </c>
      <c r="AF119">
        <v>10061310.4</v>
      </c>
      <c r="AG119">
        <v>4423327.3</v>
      </c>
      <c r="AH119">
        <v>7545734.4800000004</v>
      </c>
      <c r="AI119">
        <v>2147459.2000000002</v>
      </c>
      <c r="AJ119">
        <v>5796877.6299999999</v>
      </c>
      <c r="AK119">
        <v>6820022.5499999998</v>
      </c>
      <c r="AL119">
        <v>3392304.6</v>
      </c>
      <c r="AM119">
        <v>4276342.5</v>
      </c>
      <c r="AN119">
        <v>4153966.48</v>
      </c>
      <c r="AO119">
        <v>4696599.8499999996</v>
      </c>
      <c r="AP119">
        <v>4892344.05</v>
      </c>
      <c r="AQ119">
        <v>6071333.4000000004</v>
      </c>
      <c r="AR119">
        <v>3939751.95</v>
      </c>
      <c r="AS119">
        <v>8631381.9499999993</v>
      </c>
      <c r="AT119">
        <v>9407919.75</v>
      </c>
      <c r="AU119">
        <v>4692848.2</v>
      </c>
      <c r="AV119">
        <v>3779185.75</v>
      </c>
      <c r="AW119">
        <v>5023702.16</v>
      </c>
      <c r="AX119">
        <v>7045498.7300000004</v>
      </c>
      <c r="AY119">
        <v>5048540.0999999996</v>
      </c>
      <c r="AZ119">
        <v>3976682.99</v>
      </c>
      <c r="BA119">
        <v>3519012.95</v>
      </c>
      <c r="BB119">
        <v>3620526.55</v>
      </c>
      <c r="BC119">
        <v>5702105.2000000002</v>
      </c>
      <c r="BD119">
        <v>4276924.38</v>
      </c>
      <c r="BE119">
        <v>2959423.1</v>
      </c>
      <c r="BF119">
        <v>3725434.95</v>
      </c>
      <c r="BG119">
        <v>4455401.2</v>
      </c>
      <c r="BH119">
        <v>7594677.4500000002</v>
      </c>
      <c r="BI119">
        <v>5891597.0999999996</v>
      </c>
      <c r="BJ119">
        <v>4867368.8499999996</v>
      </c>
      <c r="BK119">
        <v>6270430.5999999996</v>
      </c>
      <c r="BL119">
        <v>11951631.199999999</v>
      </c>
      <c r="BM119">
        <v>5404356.5599999996</v>
      </c>
      <c r="BN119">
        <v>1243139.6499999999</v>
      </c>
      <c r="BO119">
        <v>3695569.15</v>
      </c>
      <c r="BP119">
        <v>4157697.75</v>
      </c>
      <c r="BQ119">
        <v>1585756.55</v>
      </c>
      <c r="BR119">
        <v>3255399.05</v>
      </c>
      <c r="BS119">
        <v>3777052.5</v>
      </c>
      <c r="BT119">
        <v>4153414.59</v>
      </c>
      <c r="BU119">
        <v>4932534.26</v>
      </c>
    </row>
    <row r="120" spans="1:73" x14ac:dyDescent="0.25">
      <c r="A120" t="s">
        <v>81</v>
      </c>
      <c r="B120" t="s">
        <v>82</v>
      </c>
      <c r="C120">
        <v>9078173</v>
      </c>
      <c r="D120" t="s">
        <v>245</v>
      </c>
      <c r="E120" t="s">
        <v>244</v>
      </c>
      <c r="F120" t="str">
        <f t="shared" si="2"/>
        <v>FR0000121709MTAH</v>
      </c>
      <c r="G120">
        <f t="shared" si="3"/>
        <v>1091938.6381818182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46014539.420000002</v>
      </c>
      <c r="BU120">
        <v>26053410.699999999</v>
      </c>
    </row>
    <row r="121" spans="1:73" x14ac:dyDescent="0.25">
      <c r="A121" t="s">
        <v>83</v>
      </c>
      <c r="B121" t="s">
        <v>84</v>
      </c>
      <c r="C121">
        <v>4291</v>
      </c>
      <c r="D121" t="s">
        <v>6</v>
      </c>
      <c r="E121" t="s">
        <v>232</v>
      </c>
      <c r="F121" t="str">
        <f t="shared" si="2"/>
        <v>FR0000121964XPAR</v>
      </c>
      <c r="G121">
        <f t="shared" si="3"/>
        <v>16901192.141406249</v>
      </c>
      <c r="H121">
        <v>19074155.16</v>
      </c>
      <c r="I121">
        <v>16162125.640000001</v>
      </c>
      <c r="J121">
        <v>12464486.18</v>
      </c>
      <c r="K121">
        <v>15263826.58</v>
      </c>
      <c r="L121">
        <v>11417585.42</v>
      </c>
      <c r="M121">
        <v>17632682.899999999</v>
      </c>
      <c r="N121">
        <v>20234225.379999999</v>
      </c>
      <c r="O121">
        <v>9532600.0899999999</v>
      </c>
      <c r="P121">
        <v>15439983.720000001</v>
      </c>
      <c r="Q121">
        <v>11404479.5</v>
      </c>
      <c r="R121">
        <v>23154435.620000001</v>
      </c>
      <c r="S121">
        <v>14484936.16</v>
      </c>
      <c r="T121">
        <v>14814436.66</v>
      </c>
      <c r="U121">
        <v>22099541.800000001</v>
      </c>
      <c r="V121">
        <v>16409346.199999999</v>
      </c>
      <c r="W121">
        <v>11502293.220000001</v>
      </c>
      <c r="X121">
        <v>10344313.970000001</v>
      </c>
      <c r="Y121">
        <v>14320633.210000001</v>
      </c>
      <c r="Z121">
        <v>14626253.380000001</v>
      </c>
      <c r="AA121">
        <v>17012661.48</v>
      </c>
      <c r="AB121">
        <v>17432644.75</v>
      </c>
      <c r="AC121">
        <v>10631256.48</v>
      </c>
      <c r="AD121">
        <v>11638734.98</v>
      </c>
      <c r="AE121">
        <v>17289436.300000001</v>
      </c>
      <c r="AF121">
        <v>21135053.719999999</v>
      </c>
      <c r="AG121">
        <v>13607460.16</v>
      </c>
      <c r="AH121">
        <v>12780641.880000001</v>
      </c>
      <c r="AI121">
        <v>9915573.5299999993</v>
      </c>
      <c r="AJ121">
        <v>23172474.760000002</v>
      </c>
      <c r="AK121">
        <v>16487725.41</v>
      </c>
      <c r="AL121">
        <v>17015225.82</v>
      </c>
      <c r="AM121">
        <v>18211976.120000001</v>
      </c>
      <c r="AN121">
        <v>10804880.6</v>
      </c>
      <c r="AO121">
        <v>15275030.18</v>
      </c>
      <c r="AP121">
        <v>15105712.039999999</v>
      </c>
      <c r="AQ121">
        <v>21221980.5</v>
      </c>
      <c r="AR121">
        <v>22623711.640000001</v>
      </c>
      <c r="AS121">
        <v>48484537.869999997</v>
      </c>
      <c r="AT121">
        <v>14458313.98</v>
      </c>
      <c r="AU121">
        <v>20451465.280000001</v>
      </c>
      <c r="AV121">
        <v>13157508.9</v>
      </c>
      <c r="AW121">
        <v>13144167.279999999</v>
      </c>
      <c r="AX121">
        <v>18752257.260000002</v>
      </c>
      <c r="AY121">
        <v>14009567.539999999</v>
      </c>
      <c r="AZ121">
        <v>17869650.84</v>
      </c>
      <c r="BA121">
        <v>16383164.039999999</v>
      </c>
      <c r="BB121">
        <v>25057951.52</v>
      </c>
      <c r="BC121">
        <v>23624645.48</v>
      </c>
      <c r="BD121">
        <v>28914399.579999998</v>
      </c>
      <c r="BE121">
        <v>16013516.92</v>
      </c>
      <c r="BF121">
        <v>11188838.939999999</v>
      </c>
      <c r="BG121">
        <v>17177476.399999999</v>
      </c>
      <c r="BH121">
        <v>22818217.239999998</v>
      </c>
      <c r="BI121">
        <v>19441543.120000001</v>
      </c>
      <c r="BJ121">
        <v>14962001.800000001</v>
      </c>
      <c r="BK121">
        <v>28280022.620000001</v>
      </c>
      <c r="BL121">
        <v>52309381.380000003</v>
      </c>
      <c r="BM121">
        <v>11204067.880000001</v>
      </c>
      <c r="BN121">
        <v>4331006.0599999996</v>
      </c>
      <c r="BO121">
        <v>9331348.3800000008</v>
      </c>
      <c r="BP121">
        <v>7973595.4400000004</v>
      </c>
      <c r="BQ121">
        <v>8178437.0999999996</v>
      </c>
      <c r="BR121">
        <v>10096270.92</v>
      </c>
      <c r="BS121">
        <v>12318422.140000001</v>
      </c>
    </row>
    <row r="122" spans="1:73" x14ac:dyDescent="0.25">
      <c r="A122" t="s">
        <v>83</v>
      </c>
      <c r="B122" t="s">
        <v>84</v>
      </c>
      <c r="C122">
        <v>9078172</v>
      </c>
      <c r="D122" t="s">
        <v>245</v>
      </c>
      <c r="E122" t="s">
        <v>244</v>
      </c>
      <c r="F122" t="str">
        <f t="shared" ref="F122:F123" si="4">A122&amp;D122</f>
        <v>FR0000121964MTAH</v>
      </c>
      <c r="G122">
        <f t="shared" ref="G122:G123" si="5">AVERAGE(H122:BU122)</f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</row>
    <row r="123" spans="1:73" x14ac:dyDescent="0.25">
      <c r="A123" t="s">
        <v>83</v>
      </c>
      <c r="B123" t="s">
        <v>255</v>
      </c>
      <c r="C123">
        <v>6060215</v>
      </c>
      <c r="D123" t="s">
        <v>243</v>
      </c>
      <c r="E123" t="s">
        <v>244</v>
      </c>
      <c r="F123" t="str">
        <f t="shared" si="4"/>
        <v>FR0000121964ETLX</v>
      </c>
      <c r="G123">
        <f t="shared" si="5"/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</row>
    <row r="124" spans="1:73" x14ac:dyDescent="0.25">
      <c r="A124" t="s">
        <v>85</v>
      </c>
      <c r="B124" t="s">
        <v>86</v>
      </c>
      <c r="C124">
        <v>4292</v>
      </c>
      <c r="D124" t="s">
        <v>6</v>
      </c>
      <c r="E124" t="s">
        <v>232</v>
      </c>
      <c r="F124" t="str">
        <f t="shared" ref="F124:F187" si="6">A124&amp;D124</f>
        <v>FR0000121972XPAR</v>
      </c>
      <c r="G124">
        <f t="shared" ref="G124:G187" si="7">AVERAGE(H124:BU124)</f>
        <v>174962755.9287501</v>
      </c>
      <c r="H124">
        <v>119952792</v>
      </c>
      <c r="I124">
        <v>137894013.30000001</v>
      </c>
      <c r="J124">
        <v>123840052.95</v>
      </c>
      <c r="K124">
        <v>174995534.38</v>
      </c>
      <c r="L124">
        <v>156751245.36000001</v>
      </c>
      <c r="M124">
        <v>147830143.72999999</v>
      </c>
      <c r="N124">
        <v>98077439.700000003</v>
      </c>
      <c r="O124">
        <v>94266955.599999994</v>
      </c>
      <c r="P124">
        <v>213260861.84999999</v>
      </c>
      <c r="Q124">
        <v>193653369.06</v>
      </c>
      <c r="R124">
        <v>181371767.19</v>
      </c>
      <c r="S124">
        <v>148786320.84</v>
      </c>
      <c r="T124">
        <v>120553585.95</v>
      </c>
      <c r="U124">
        <v>115055926.68000001</v>
      </c>
      <c r="V124">
        <v>154449601.86000001</v>
      </c>
      <c r="W124">
        <v>116715494.78</v>
      </c>
      <c r="X124">
        <v>100968138.59999999</v>
      </c>
      <c r="Y124">
        <v>123440256.34999999</v>
      </c>
      <c r="Z124">
        <v>190273405.5</v>
      </c>
      <c r="AA124">
        <v>188404150.30000001</v>
      </c>
      <c r="AB124">
        <v>274074156.16000003</v>
      </c>
      <c r="AC124">
        <v>188742632.40000001</v>
      </c>
      <c r="AD124">
        <v>194736706.91</v>
      </c>
      <c r="AE124">
        <v>166212729.33000001</v>
      </c>
      <c r="AF124">
        <v>261633680.43000001</v>
      </c>
      <c r="AG124">
        <v>213818996.94</v>
      </c>
      <c r="AH124">
        <v>177736540.80000001</v>
      </c>
      <c r="AI124">
        <v>200270058.34999999</v>
      </c>
      <c r="AJ124">
        <v>226033364.97</v>
      </c>
      <c r="AK124">
        <v>238085279.09999999</v>
      </c>
      <c r="AL124">
        <v>261027306.59999999</v>
      </c>
      <c r="AM124">
        <v>194205684.30000001</v>
      </c>
      <c r="AN124">
        <v>167950779.34999999</v>
      </c>
      <c r="AO124">
        <v>235862698.55000001</v>
      </c>
      <c r="AP124">
        <v>149716220.09999999</v>
      </c>
      <c r="AQ124">
        <v>159486413.38</v>
      </c>
      <c r="AR124">
        <v>187429624.86000001</v>
      </c>
      <c r="AS124">
        <v>337982762.11000001</v>
      </c>
      <c r="AT124">
        <v>160718541.22</v>
      </c>
      <c r="AU124">
        <v>136862106.30000001</v>
      </c>
      <c r="AV124">
        <v>96104747.430000007</v>
      </c>
      <c r="AW124">
        <v>189933603.47</v>
      </c>
      <c r="AX124">
        <v>196772229.78999999</v>
      </c>
      <c r="AY124">
        <v>185314611.53</v>
      </c>
      <c r="AZ124">
        <v>204085376.71000001</v>
      </c>
      <c r="BA124">
        <v>213509991.59</v>
      </c>
      <c r="BB124">
        <v>192377646.38999999</v>
      </c>
      <c r="BC124">
        <v>193108885.06</v>
      </c>
      <c r="BD124">
        <v>226963912.5</v>
      </c>
      <c r="BE124">
        <v>173404957.91999999</v>
      </c>
      <c r="BF124">
        <v>168867949.11000001</v>
      </c>
      <c r="BG124">
        <v>152148653.19999999</v>
      </c>
      <c r="BH124">
        <v>175184793.75999999</v>
      </c>
      <c r="BI124">
        <v>184207750.06999999</v>
      </c>
      <c r="BJ124">
        <v>240661074.53</v>
      </c>
      <c r="BK124">
        <v>217701608.05000001</v>
      </c>
      <c r="BL124">
        <v>424999083.63999999</v>
      </c>
      <c r="BM124">
        <v>129875072.73999999</v>
      </c>
      <c r="BN124">
        <v>26708928.800000001</v>
      </c>
      <c r="BO124">
        <v>102522532.59999999</v>
      </c>
      <c r="BP124">
        <v>113843394.18000001</v>
      </c>
      <c r="BQ124">
        <v>59590590.359999999</v>
      </c>
      <c r="BR124">
        <v>138096174.86000001</v>
      </c>
      <c r="BS124">
        <v>158505473.00999999</v>
      </c>
    </row>
    <row r="125" spans="1:73" x14ac:dyDescent="0.25">
      <c r="A125" t="s">
        <v>85</v>
      </c>
      <c r="B125" t="s">
        <v>86</v>
      </c>
      <c r="C125">
        <v>6060214</v>
      </c>
      <c r="D125" t="s">
        <v>243</v>
      </c>
      <c r="E125" t="s">
        <v>244</v>
      </c>
      <c r="F125" t="str">
        <f t="shared" si="6"/>
        <v>FR0000121972ETLX</v>
      </c>
      <c r="G125">
        <f t="shared" si="7"/>
        <v>5101.8249999999998</v>
      </c>
      <c r="H125">
        <v>0</v>
      </c>
      <c r="I125">
        <v>0</v>
      </c>
      <c r="J125">
        <v>0</v>
      </c>
      <c r="K125">
        <v>8258.25</v>
      </c>
      <c r="L125">
        <v>0</v>
      </c>
      <c r="M125">
        <v>4822</v>
      </c>
      <c r="N125">
        <v>2860.2</v>
      </c>
      <c r="O125">
        <v>2406</v>
      </c>
      <c r="P125">
        <v>0</v>
      </c>
      <c r="Q125">
        <v>0</v>
      </c>
      <c r="R125">
        <v>1227.75</v>
      </c>
      <c r="S125">
        <v>0</v>
      </c>
      <c r="T125">
        <v>0</v>
      </c>
      <c r="U125">
        <v>0</v>
      </c>
      <c r="V125">
        <v>0</v>
      </c>
      <c r="W125">
        <v>28939</v>
      </c>
      <c r="X125">
        <v>0</v>
      </c>
      <c r="Y125">
        <v>0</v>
      </c>
      <c r="Z125">
        <v>3674.25</v>
      </c>
      <c r="AA125">
        <v>0</v>
      </c>
      <c r="AB125">
        <v>0</v>
      </c>
      <c r="AC125">
        <v>0</v>
      </c>
      <c r="AD125">
        <v>4748</v>
      </c>
      <c r="AE125">
        <v>1918</v>
      </c>
      <c r="AF125">
        <v>0</v>
      </c>
      <c r="AG125">
        <v>23785</v>
      </c>
      <c r="AH125">
        <v>22346.1</v>
      </c>
      <c r="AI125">
        <v>4670.05</v>
      </c>
      <c r="AJ125">
        <v>0</v>
      </c>
      <c r="AK125">
        <v>17719.3</v>
      </c>
      <c r="AL125">
        <v>0</v>
      </c>
      <c r="AM125">
        <v>0</v>
      </c>
      <c r="AN125">
        <v>0</v>
      </c>
      <c r="AO125">
        <v>0</v>
      </c>
      <c r="AP125">
        <v>12446.9</v>
      </c>
      <c r="AQ125">
        <v>11862.5</v>
      </c>
      <c r="AR125">
        <v>13229.5</v>
      </c>
      <c r="AS125">
        <v>11985</v>
      </c>
      <c r="AT125">
        <v>29636.1</v>
      </c>
      <c r="AU125">
        <v>3836.8</v>
      </c>
      <c r="AV125">
        <v>49594</v>
      </c>
      <c r="AW125">
        <v>0</v>
      </c>
      <c r="AX125">
        <v>1679.3</v>
      </c>
      <c r="AY125">
        <v>0</v>
      </c>
      <c r="AZ125">
        <v>7470</v>
      </c>
      <c r="BA125">
        <v>5955</v>
      </c>
      <c r="BB125">
        <v>0</v>
      </c>
      <c r="BC125">
        <v>0</v>
      </c>
      <c r="BD125">
        <v>3720.75</v>
      </c>
      <c r="BE125">
        <v>0</v>
      </c>
      <c r="BF125">
        <v>0</v>
      </c>
      <c r="BG125">
        <v>0</v>
      </c>
      <c r="BH125">
        <v>9868</v>
      </c>
      <c r="BI125">
        <v>0</v>
      </c>
      <c r="BJ125">
        <v>0</v>
      </c>
      <c r="BK125">
        <v>0</v>
      </c>
      <c r="BL125">
        <v>12999.25</v>
      </c>
      <c r="BM125">
        <v>0</v>
      </c>
      <c r="BN125">
        <v>0</v>
      </c>
      <c r="BO125">
        <v>0</v>
      </c>
      <c r="BP125">
        <v>24859.8</v>
      </c>
      <c r="BQ125">
        <v>0</v>
      </c>
      <c r="BR125">
        <v>0</v>
      </c>
      <c r="BS125">
        <v>0</v>
      </c>
    </row>
    <row r="126" spans="1:73" x14ac:dyDescent="0.25">
      <c r="A126" t="s">
        <v>85</v>
      </c>
      <c r="B126" t="s">
        <v>86</v>
      </c>
      <c r="C126">
        <v>9078171</v>
      </c>
      <c r="D126" t="s">
        <v>245</v>
      </c>
      <c r="E126" t="s">
        <v>244</v>
      </c>
      <c r="F126" t="str">
        <f t="shared" si="6"/>
        <v>FR0000121972MTAH</v>
      </c>
      <c r="G126">
        <f t="shared" si="7"/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</row>
    <row r="127" spans="1:73" x14ac:dyDescent="0.25">
      <c r="A127" t="s">
        <v>87</v>
      </c>
      <c r="B127" t="s">
        <v>256</v>
      </c>
      <c r="C127">
        <v>6060213</v>
      </c>
      <c r="D127" t="s">
        <v>243</v>
      </c>
      <c r="E127" t="s">
        <v>244</v>
      </c>
      <c r="F127" t="str">
        <f t="shared" si="6"/>
        <v>FR0000124141ETLX</v>
      </c>
      <c r="G127">
        <f t="shared" si="7"/>
        <v>448.17875000000004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675.84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11432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3523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13052.6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</row>
    <row r="128" spans="1:73" x14ac:dyDescent="0.25">
      <c r="A128" t="s">
        <v>87</v>
      </c>
      <c r="B128" t="s">
        <v>88</v>
      </c>
      <c r="C128">
        <v>49471</v>
      </c>
      <c r="D128" t="s">
        <v>6</v>
      </c>
      <c r="E128" t="s">
        <v>232</v>
      </c>
      <c r="F128" t="str">
        <f t="shared" si="6"/>
        <v>FR0000124141XPAR</v>
      </c>
      <c r="G128">
        <f t="shared" si="7"/>
        <v>50661677.31953124</v>
      </c>
      <c r="H128">
        <v>45114134.020000003</v>
      </c>
      <c r="I128">
        <v>47962209.75</v>
      </c>
      <c r="J128">
        <v>34094960.299999997</v>
      </c>
      <c r="K128">
        <v>33944206.689999998</v>
      </c>
      <c r="L128">
        <v>33383553.16</v>
      </c>
      <c r="M128">
        <v>31275842.399999999</v>
      </c>
      <c r="N128">
        <v>39753100.390000001</v>
      </c>
      <c r="O128">
        <v>49338115.560000002</v>
      </c>
      <c r="P128">
        <v>66899153.280000001</v>
      </c>
      <c r="Q128">
        <v>53653224.840000004</v>
      </c>
      <c r="R128">
        <v>75163622.510000005</v>
      </c>
      <c r="S128">
        <v>186075754.55000001</v>
      </c>
      <c r="T128">
        <v>51481295.420000002</v>
      </c>
      <c r="U128">
        <v>51834976.950000003</v>
      </c>
      <c r="V128">
        <v>29757860.440000001</v>
      </c>
      <c r="W128">
        <v>56011509.789999999</v>
      </c>
      <c r="X128">
        <v>41162487.299999997</v>
      </c>
      <c r="Y128">
        <v>41490489.869999997</v>
      </c>
      <c r="Z128">
        <v>45246766.060000002</v>
      </c>
      <c r="AA128">
        <v>48695338.030000001</v>
      </c>
      <c r="AB128">
        <v>54670666.060000002</v>
      </c>
      <c r="AC128">
        <v>31505656.940000001</v>
      </c>
      <c r="AD128">
        <v>24835168.370000001</v>
      </c>
      <c r="AE128">
        <v>33023969.140000001</v>
      </c>
      <c r="AF128">
        <v>71466269.329999998</v>
      </c>
      <c r="AG128">
        <v>80546014.650000006</v>
      </c>
      <c r="AH128">
        <v>60733596.259999998</v>
      </c>
      <c r="AI128">
        <v>42568079.399999999</v>
      </c>
      <c r="AJ128">
        <v>58032824.950000003</v>
      </c>
      <c r="AK128">
        <v>61501964.009999998</v>
      </c>
      <c r="AL128">
        <v>60268540.159999996</v>
      </c>
      <c r="AM128">
        <v>52952397.969999999</v>
      </c>
      <c r="AN128">
        <v>38752003.960000001</v>
      </c>
      <c r="AO128">
        <v>47639128.729999997</v>
      </c>
      <c r="AP128">
        <v>40031510.509999998</v>
      </c>
      <c r="AQ128">
        <v>41205601.130000003</v>
      </c>
      <c r="AR128">
        <v>67286894.640000001</v>
      </c>
      <c r="AS128">
        <v>98085358.480000004</v>
      </c>
      <c r="AT128">
        <v>58725229.030000001</v>
      </c>
      <c r="AU128">
        <v>78458923.260000005</v>
      </c>
      <c r="AV128">
        <v>55034918.869999997</v>
      </c>
      <c r="AW128">
        <v>44878912.469999999</v>
      </c>
      <c r="AX128">
        <v>56744359.520000003</v>
      </c>
      <c r="AY128">
        <v>36172412.460000001</v>
      </c>
      <c r="AZ128">
        <v>39333078.25</v>
      </c>
      <c r="BA128">
        <v>64692810.079999998</v>
      </c>
      <c r="BB128">
        <v>56967032.939999998</v>
      </c>
      <c r="BC128">
        <v>44058226.969999999</v>
      </c>
      <c r="BD128">
        <v>43993079.509999998</v>
      </c>
      <c r="BE128">
        <v>35333613.140000001</v>
      </c>
      <c r="BF128">
        <v>50095564.109999999</v>
      </c>
      <c r="BG128">
        <v>32682333.710000001</v>
      </c>
      <c r="BH128">
        <v>48442781.719999999</v>
      </c>
      <c r="BI128">
        <v>61742524.280000001</v>
      </c>
      <c r="BJ128">
        <v>51254306.619999997</v>
      </c>
      <c r="BK128">
        <v>58856773.649999999</v>
      </c>
      <c r="BL128">
        <v>119815355.06</v>
      </c>
      <c r="BM128">
        <v>30215679.219999999</v>
      </c>
      <c r="BN128">
        <v>12988847.220000001</v>
      </c>
      <c r="BO128">
        <v>26580532.739999998</v>
      </c>
      <c r="BP128">
        <v>21098703.52</v>
      </c>
      <c r="BQ128">
        <v>20701020.170000002</v>
      </c>
      <c r="BR128">
        <v>25961437.23</v>
      </c>
      <c r="BS128">
        <v>40074646.700000003</v>
      </c>
    </row>
    <row r="129" spans="1:71" x14ac:dyDescent="0.25">
      <c r="A129" t="s">
        <v>87</v>
      </c>
      <c r="B129" t="s">
        <v>88</v>
      </c>
      <c r="C129">
        <v>9078170</v>
      </c>
      <c r="D129" t="s">
        <v>245</v>
      </c>
      <c r="E129" t="s">
        <v>244</v>
      </c>
      <c r="F129" t="str">
        <f t="shared" si="6"/>
        <v>FR0000124141MTAH</v>
      </c>
      <c r="G129">
        <f t="shared" si="7"/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</row>
    <row r="130" spans="1:71" x14ac:dyDescent="0.25">
      <c r="A130" t="s">
        <v>89</v>
      </c>
      <c r="B130" t="s">
        <v>257</v>
      </c>
      <c r="C130">
        <v>4318</v>
      </c>
      <c r="D130" t="s">
        <v>6</v>
      </c>
      <c r="E130" t="s">
        <v>232</v>
      </c>
      <c r="F130" t="str">
        <f t="shared" si="6"/>
        <v>FR0000124570XPAR</v>
      </c>
      <c r="G130">
        <f t="shared" si="7"/>
        <v>1365491.1314062506</v>
      </c>
      <c r="H130">
        <v>1130332.93</v>
      </c>
      <c r="I130">
        <v>1537428.58</v>
      </c>
      <c r="J130">
        <v>1303157.3600000001</v>
      </c>
      <c r="K130">
        <v>1065177.46</v>
      </c>
      <c r="L130">
        <v>914860.79</v>
      </c>
      <c r="M130">
        <v>681524.17</v>
      </c>
      <c r="N130">
        <v>904572.63</v>
      </c>
      <c r="O130">
        <v>734890.2</v>
      </c>
      <c r="P130">
        <v>1152967.19</v>
      </c>
      <c r="Q130">
        <v>1161618.07</v>
      </c>
      <c r="R130">
        <v>799150.65</v>
      </c>
      <c r="S130">
        <v>1029341.88</v>
      </c>
      <c r="T130">
        <v>1536653.18</v>
      </c>
      <c r="U130">
        <v>1048521.14</v>
      </c>
      <c r="V130">
        <v>846501.13</v>
      </c>
      <c r="W130">
        <v>1268410.6299999999</v>
      </c>
      <c r="X130">
        <v>821153.26</v>
      </c>
      <c r="Y130">
        <v>2953971.13</v>
      </c>
      <c r="Z130">
        <v>1670537.28</v>
      </c>
      <c r="AA130">
        <v>3124786.33</v>
      </c>
      <c r="AB130">
        <v>808661.17</v>
      </c>
      <c r="AC130">
        <v>669827.06999999995</v>
      </c>
      <c r="AD130">
        <v>1111094.27</v>
      </c>
      <c r="AE130">
        <v>581874.11</v>
      </c>
      <c r="AF130">
        <v>1597036.13</v>
      </c>
      <c r="AG130">
        <v>1276153.6100000001</v>
      </c>
      <c r="AH130">
        <v>1008010.36</v>
      </c>
      <c r="AI130">
        <v>953291.67</v>
      </c>
      <c r="AJ130">
        <v>1040601.62</v>
      </c>
      <c r="AK130">
        <v>807850.68</v>
      </c>
      <c r="AL130">
        <v>1118895.3999999999</v>
      </c>
      <c r="AM130">
        <v>686172.49</v>
      </c>
      <c r="AN130">
        <v>803197.79</v>
      </c>
      <c r="AO130">
        <v>2850376.74</v>
      </c>
      <c r="AP130">
        <v>3218748.37</v>
      </c>
      <c r="AQ130">
        <v>2423556.92</v>
      </c>
      <c r="AR130">
        <v>1651770.81</v>
      </c>
      <c r="AS130">
        <v>1946038.17</v>
      </c>
      <c r="AT130">
        <v>1686112.11</v>
      </c>
      <c r="AU130">
        <v>2326159.2200000002</v>
      </c>
      <c r="AV130">
        <v>1655130.02</v>
      </c>
      <c r="AW130">
        <v>1556148.84</v>
      </c>
      <c r="AX130">
        <v>1663276.88</v>
      </c>
      <c r="AY130">
        <v>1506809.92</v>
      </c>
      <c r="AZ130">
        <v>2189530.4</v>
      </c>
      <c r="BA130">
        <v>1552073.86</v>
      </c>
      <c r="BB130">
        <v>2132657.7400000002</v>
      </c>
      <c r="BC130">
        <v>2017945.5</v>
      </c>
      <c r="BD130">
        <v>1986968.39</v>
      </c>
      <c r="BE130">
        <v>1963563.34</v>
      </c>
      <c r="BF130">
        <v>2074806.36</v>
      </c>
      <c r="BG130">
        <v>1449773.68</v>
      </c>
      <c r="BH130">
        <v>1830516.53</v>
      </c>
      <c r="BI130">
        <v>1200046.76</v>
      </c>
      <c r="BJ130">
        <v>811799.51</v>
      </c>
      <c r="BK130">
        <v>1178116.8400000001</v>
      </c>
      <c r="BL130">
        <v>1701279.03</v>
      </c>
      <c r="BM130">
        <v>799379.45</v>
      </c>
      <c r="BN130">
        <v>528387.93999999994</v>
      </c>
      <c r="BO130">
        <v>810457.45</v>
      </c>
      <c r="BP130">
        <v>577181.55000000005</v>
      </c>
      <c r="BQ130">
        <v>359792.16</v>
      </c>
      <c r="BR130">
        <v>671643.64</v>
      </c>
      <c r="BS130">
        <v>923161.92</v>
      </c>
    </row>
    <row r="131" spans="1:71" x14ac:dyDescent="0.25">
      <c r="A131" t="s">
        <v>89</v>
      </c>
      <c r="B131" t="s">
        <v>257</v>
      </c>
      <c r="C131">
        <v>9078169</v>
      </c>
      <c r="D131" t="s">
        <v>245</v>
      </c>
      <c r="E131" t="s">
        <v>244</v>
      </c>
      <c r="F131" t="str">
        <f t="shared" si="6"/>
        <v>FR0000124570MTAH</v>
      </c>
      <c r="G131">
        <f t="shared" si="7"/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</row>
    <row r="132" spans="1:71" x14ac:dyDescent="0.25">
      <c r="A132" t="s">
        <v>90</v>
      </c>
      <c r="B132" t="s">
        <v>91</v>
      </c>
      <c r="C132">
        <v>4322</v>
      </c>
      <c r="D132" t="s">
        <v>6</v>
      </c>
      <c r="E132" t="s">
        <v>232</v>
      </c>
      <c r="F132" t="str">
        <f t="shared" si="6"/>
        <v>FR0000125007XPAR</v>
      </c>
      <c r="G132">
        <f t="shared" si="7"/>
        <v>82175903.877187535</v>
      </c>
      <c r="H132">
        <v>81231515.459999993</v>
      </c>
      <c r="I132">
        <v>80073951.019999996</v>
      </c>
      <c r="J132">
        <v>49294818.799999997</v>
      </c>
      <c r="K132">
        <v>60125321.5</v>
      </c>
      <c r="L132">
        <v>37790903.390000001</v>
      </c>
      <c r="M132">
        <v>60387147.219999999</v>
      </c>
      <c r="N132">
        <v>36746744.539999999</v>
      </c>
      <c r="O132">
        <v>47225228.590000004</v>
      </c>
      <c r="P132">
        <v>91182203.079999998</v>
      </c>
      <c r="Q132">
        <v>62422128.200000003</v>
      </c>
      <c r="R132">
        <v>51010489.82</v>
      </c>
      <c r="S132">
        <v>62584484.789999999</v>
      </c>
      <c r="T132">
        <v>58337649.609999999</v>
      </c>
      <c r="U132">
        <v>57348231.810000002</v>
      </c>
      <c r="V132">
        <v>61130506.659999996</v>
      </c>
      <c r="W132">
        <v>61015309.420000002</v>
      </c>
      <c r="X132">
        <v>63358929.670000002</v>
      </c>
      <c r="Y132">
        <v>59110044.359999999</v>
      </c>
      <c r="Z132">
        <v>56388654.780000001</v>
      </c>
      <c r="AA132">
        <v>108818756</v>
      </c>
      <c r="AB132">
        <v>109516613.18000001</v>
      </c>
      <c r="AC132">
        <v>67765688.920000002</v>
      </c>
      <c r="AD132">
        <v>51974359.210000001</v>
      </c>
      <c r="AE132">
        <v>54003237.399999999</v>
      </c>
      <c r="AF132">
        <v>123730218.36</v>
      </c>
      <c r="AG132">
        <v>123411005.33</v>
      </c>
      <c r="AH132">
        <v>89363982.099999994</v>
      </c>
      <c r="AI132">
        <v>78095133.519999996</v>
      </c>
      <c r="AJ132">
        <v>92522530.909999996</v>
      </c>
      <c r="AK132">
        <v>124926905.15000001</v>
      </c>
      <c r="AL132">
        <v>171709138.06999999</v>
      </c>
      <c r="AM132">
        <v>140190827.66999999</v>
      </c>
      <c r="AN132">
        <v>127283813.02</v>
      </c>
      <c r="AO132">
        <v>132165831.8</v>
      </c>
      <c r="AP132">
        <v>108297780.06</v>
      </c>
      <c r="AQ132">
        <v>103825777.31999999</v>
      </c>
      <c r="AR132">
        <v>137427526.75</v>
      </c>
      <c r="AS132">
        <v>164182883.90000001</v>
      </c>
      <c r="AT132">
        <v>107301797.17</v>
      </c>
      <c r="AU132">
        <v>115557203.90000001</v>
      </c>
      <c r="AV132">
        <v>68275017.049999997</v>
      </c>
      <c r="AW132">
        <v>69521786.319999993</v>
      </c>
      <c r="AX132">
        <v>117179151.76000001</v>
      </c>
      <c r="AY132">
        <v>79499573.109999999</v>
      </c>
      <c r="AZ132">
        <v>66712410.729999997</v>
      </c>
      <c r="BA132">
        <v>83022359.439999998</v>
      </c>
      <c r="BB132">
        <v>103222101.33</v>
      </c>
      <c r="BC132">
        <v>100984013.93000001</v>
      </c>
      <c r="BD132">
        <v>90205712.930000007</v>
      </c>
      <c r="BE132">
        <v>63185223.479999997</v>
      </c>
      <c r="BF132">
        <v>59378389.57</v>
      </c>
      <c r="BG132">
        <v>61324354.920000002</v>
      </c>
      <c r="BH132">
        <v>64189654.100000001</v>
      </c>
      <c r="BI132">
        <v>93182458.409999996</v>
      </c>
      <c r="BJ132">
        <v>73469058.670000002</v>
      </c>
      <c r="BK132">
        <v>106113426.11</v>
      </c>
      <c r="BL132">
        <v>203653212.88999999</v>
      </c>
      <c r="BM132">
        <v>43934996.25</v>
      </c>
      <c r="BN132">
        <v>11425674.140000001</v>
      </c>
      <c r="BO132">
        <v>45136727.899999999</v>
      </c>
      <c r="BP132">
        <v>43707004.310000002</v>
      </c>
      <c r="BQ132">
        <v>19284986.559999999</v>
      </c>
      <c r="BR132">
        <v>37725616.850000001</v>
      </c>
      <c r="BS132">
        <v>86089664.920000002</v>
      </c>
    </row>
    <row r="133" spans="1:71" x14ac:dyDescent="0.25">
      <c r="A133" t="s">
        <v>90</v>
      </c>
      <c r="B133" t="s">
        <v>91</v>
      </c>
      <c r="C133">
        <v>9078168</v>
      </c>
      <c r="D133" t="s">
        <v>245</v>
      </c>
      <c r="E133" t="s">
        <v>244</v>
      </c>
      <c r="F133" t="str">
        <f t="shared" si="6"/>
        <v>FR0000125007MTAH</v>
      </c>
      <c r="G133">
        <f t="shared" si="7"/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</row>
    <row r="134" spans="1:71" x14ac:dyDescent="0.25">
      <c r="A134" t="s">
        <v>90</v>
      </c>
      <c r="B134" t="s">
        <v>258</v>
      </c>
      <c r="C134">
        <v>6060212</v>
      </c>
      <c r="D134" t="s">
        <v>243</v>
      </c>
      <c r="E134" t="s">
        <v>244</v>
      </c>
      <c r="F134" t="str">
        <f t="shared" si="6"/>
        <v>FR0000125007ETLX</v>
      </c>
      <c r="G134">
        <f t="shared" si="7"/>
        <v>910.92250000000001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529.20000000000005</v>
      </c>
      <c r="AK134">
        <v>0</v>
      </c>
      <c r="AL134">
        <v>8972</v>
      </c>
      <c r="AM134">
        <v>0</v>
      </c>
      <c r="AN134">
        <v>6658.52</v>
      </c>
      <c r="AO134">
        <v>0</v>
      </c>
      <c r="AP134">
        <v>3015.12</v>
      </c>
      <c r="AQ134">
        <v>7368.48</v>
      </c>
      <c r="AR134">
        <v>0</v>
      </c>
      <c r="AS134">
        <v>7339.92</v>
      </c>
      <c r="AT134">
        <v>17416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4313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2686.8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</row>
    <row r="135" spans="1:71" x14ac:dyDescent="0.25">
      <c r="A135" t="s">
        <v>92</v>
      </c>
      <c r="B135" t="s">
        <v>93</v>
      </c>
      <c r="C135">
        <v>4340</v>
      </c>
      <c r="D135" t="s">
        <v>6</v>
      </c>
      <c r="E135" t="s">
        <v>232</v>
      </c>
      <c r="F135" t="str">
        <f t="shared" si="6"/>
        <v>FR0000125338XPAR</v>
      </c>
      <c r="G135">
        <f t="shared" si="7"/>
        <v>69678878.282656252</v>
      </c>
      <c r="H135">
        <v>45441052.75</v>
      </c>
      <c r="I135">
        <v>51417805.200000003</v>
      </c>
      <c r="J135">
        <v>61972831.159999996</v>
      </c>
      <c r="K135">
        <v>71996368.379999995</v>
      </c>
      <c r="L135">
        <v>41515694.990000002</v>
      </c>
      <c r="M135">
        <v>63240993.25</v>
      </c>
      <c r="N135">
        <v>48258859.93</v>
      </c>
      <c r="O135">
        <v>59099193.75</v>
      </c>
      <c r="P135">
        <v>64779724.049999997</v>
      </c>
      <c r="Q135">
        <v>48298575.079999998</v>
      </c>
      <c r="R135">
        <v>62742949.560000002</v>
      </c>
      <c r="S135">
        <v>70030488.290000007</v>
      </c>
      <c r="T135">
        <v>48521111.859999999</v>
      </c>
      <c r="U135">
        <v>53341573.5</v>
      </c>
      <c r="V135">
        <v>58937217.079999998</v>
      </c>
      <c r="W135">
        <v>52601397.899999999</v>
      </c>
      <c r="X135">
        <v>67364872.930000007</v>
      </c>
      <c r="Y135">
        <v>72361148.609999999</v>
      </c>
      <c r="Z135">
        <v>80931352.120000005</v>
      </c>
      <c r="AA135">
        <v>160237175.66999999</v>
      </c>
      <c r="AB135">
        <v>127536228.16</v>
      </c>
      <c r="AC135">
        <v>81930619.560000002</v>
      </c>
      <c r="AD135">
        <v>74892558.849999994</v>
      </c>
      <c r="AE135">
        <v>62812576.549999997</v>
      </c>
      <c r="AF135">
        <v>81372230.599999994</v>
      </c>
      <c r="AG135">
        <v>52608564.450000003</v>
      </c>
      <c r="AH135">
        <v>55154613.700000003</v>
      </c>
      <c r="AI135">
        <v>54521258.07</v>
      </c>
      <c r="AJ135">
        <v>68994165.450000003</v>
      </c>
      <c r="AK135">
        <v>82590328.25</v>
      </c>
      <c r="AL135">
        <v>65204245.640000001</v>
      </c>
      <c r="AM135">
        <v>111229004.59999999</v>
      </c>
      <c r="AN135">
        <v>53843035.700000003</v>
      </c>
      <c r="AO135">
        <v>53385588.600000001</v>
      </c>
      <c r="AP135">
        <v>55234955.950000003</v>
      </c>
      <c r="AQ135">
        <v>78336009.75</v>
      </c>
      <c r="AR135">
        <v>57210253.700000003</v>
      </c>
      <c r="AS135">
        <v>126042500</v>
      </c>
      <c r="AT135">
        <v>78804435.599999994</v>
      </c>
      <c r="AU135">
        <v>71806063.049999997</v>
      </c>
      <c r="AV135">
        <v>37543891.899999999</v>
      </c>
      <c r="AW135">
        <v>68106696.299999997</v>
      </c>
      <c r="AX135">
        <v>88343663.280000001</v>
      </c>
      <c r="AY135">
        <v>66177159.359999999</v>
      </c>
      <c r="AZ135">
        <v>89729790.75</v>
      </c>
      <c r="BA135">
        <v>69154899.989999995</v>
      </c>
      <c r="BB135">
        <v>76545320.659999996</v>
      </c>
      <c r="BC135">
        <v>93293859.230000004</v>
      </c>
      <c r="BD135">
        <v>86045668.230000004</v>
      </c>
      <c r="BE135">
        <v>76029152.400000006</v>
      </c>
      <c r="BF135">
        <v>95268430.099999994</v>
      </c>
      <c r="BG135">
        <v>97637917.599999994</v>
      </c>
      <c r="BH135">
        <v>96690832.489999995</v>
      </c>
      <c r="BI135">
        <v>77009982.299999997</v>
      </c>
      <c r="BJ135">
        <v>73603391.650000006</v>
      </c>
      <c r="BK135">
        <v>103857927.16</v>
      </c>
      <c r="BL135">
        <v>154911477.55000001</v>
      </c>
      <c r="BM135">
        <v>41982074.25</v>
      </c>
      <c r="BN135">
        <v>16049961.15</v>
      </c>
      <c r="BO135">
        <v>50415551.799999997</v>
      </c>
      <c r="BP135">
        <v>34356099.299999997</v>
      </c>
      <c r="BQ135">
        <v>22891377</v>
      </c>
      <c r="BR135">
        <v>29944842.100000001</v>
      </c>
      <c r="BS135">
        <v>37258621.25</v>
      </c>
    </row>
    <row r="136" spans="1:71" x14ac:dyDescent="0.25">
      <c r="A136" t="s">
        <v>92</v>
      </c>
      <c r="B136" t="s">
        <v>93</v>
      </c>
      <c r="C136">
        <v>6060211</v>
      </c>
      <c r="D136" t="s">
        <v>243</v>
      </c>
      <c r="E136" t="s">
        <v>244</v>
      </c>
      <c r="F136" t="str">
        <f t="shared" si="6"/>
        <v>FR0000125338ETLX</v>
      </c>
      <c r="G136">
        <f t="shared" si="7"/>
        <v>1345.925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1098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76253.05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481.95</v>
      </c>
      <c r="AF136">
        <v>0</v>
      </c>
      <c r="AG136">
        <v>0</v>
      </c>
      <c r="AH136">
        <v>0</v>
      </c>
      <c r="AI136">
        <v>4932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463.2</v>
      </c>
      <c r="AT136">
        <v>1986.1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924.9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</row>
    <row r="137" spans="1:71" x14ac:dyDescent="0.25">
      <c r="A137" t="s">
        <v>92</v>
      </c>
      <c r="B137" t="s">
        <v>93</v>
      </c>
      <c r="C137">
        <v>9078167</v>
      </c>
      <c r="D137" t="s">
        <v>245</v>
      </c>
      <c r="E137" t="s">
        <v>244</v>
      </c>
      <c r="F137" t="str">
        <f t="shared" si="6"/>
        <v>FR0000125338MTAH</v>
      </c>
      <c r="G137">
        <f t="shared" si="7"/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</row>
    <row r="138" spans="1:71" x14ac:dyDescent="0.25">
      <c r="A138" t="s">
        <v>94</v>
      </c>
      <c r="B138" t="s">
        <v>95</v>
      </c>
      <c r="C138">
        <v>4351</v>
      </c>
      <c r="D138" t="s">
        <v>6</v>
      </c>
      <c r="E138" t="s">
        <v>232</v>
      </c>
      <c r="F138" t="str">
        <f t="shared" si="6"/>
        <v>FR0000125486XPAR</v>
      </c>
      <c r="G138">
        <f t="shared" si="7"/>
        <v>99184740.332500011</v>
      </c>
      <c r="H138">
        <v>111057083.67</v>
      </c>
      <c r="I138">
        <v>215323010.16</v>
      </c>
      <c r="J138">
        <v>85700512.150000006</v>
      </c>
      <c r="K138">
        <v>99141178.180000007</v>
      </c>
      <c r="L138">
        <v>95809549.299999997</v>
      </c>
      <c r="M138">
        <v>79976669.299999997</v>
      </c>
      <c r="N138">
        <v>67540865.150000006</v>
      </c>
      <c r="O138">
        <v>65965120.630000003</v>
      </c>
      <c r="P138">
        <v>139079166.69</v>
      </c>
      <c r="Q138">
        <v>139218311.55000001</v>
      </c>
      <c r="R138">
        <v>119617848.02</v>
      </c>
      <c r="S138">
        <v>101675812.45</v>
      </c>
      <c r="T138">
        <v>74560892.040000007</v>
      </c>
      <c r="U138">
        <v>76977403.450000003</v>
      </c>
      <c r="V138">
        <v>92303400.579999998</v>
      </c>
      <c r="W138">
        <v>81264908.540000007</v>
      </c>
      <c r="X138">
        <v>206099161.19999999</v>
      </c>
      <c r="Y138">
        <v>115562882.04000001</v>
      </c>
      <c r="Z138">
        <v>101230572.54000001</v>
      </c>
      <c r="AA138">
        <v>94168188.200000003</v>
      </c>
      <c r="AB138">
        <v>158850566.38</v>
      </c>
      <c r="AC138">
        <v>67852471.950000003</v>
      </c>
      <c r="AD138">
        <v>67662049</v>
      </c>
      <c r="AE138">
        <v>97729617.549999997</v>
      </c>
      <c r="AF138">
        <v>111134016.26000001</v>
      </c>
      <c r="AG138">
        <v>96899926</v>
      </c>
      <c r="AH138">
        <v>75133148.329999998</v>
      </c>
      <c r="AI138">
        <v>72413769.700000003</v>
      </c>
      <c r="AJ138">
        <v>97680969.700000003</v>
      </c>
      <c r="AK138">
        <v>99416164.180000007</v>
      </c>
      <c r="AL138">
        <v>89701191.780000001</v>
      </c>
      <c r="AM138">
        <v>72205603.189999998</v>
      </c>
      <c r="AN138">
        <v>76166424.480000004</v>
      </c>
      <c r="AO138">
        <v>89840198.390000001</v>
      </c>
      <c r="AP138">
        <v>68931378.349999994</v>
      </c>
      <c r="AQ138">
        <v>74147581.329999998</v>
      </c>
      <c r="AR138">
        <v>102112911.86</v>
      </c>
      <c r="AS138">
        <v>215525977.97999999</v>
      </c>
      <c r="AT138">
        <v>102385517.09</v>
      </c>
      <c r="AU138">
        <v>155883598.91999999</v>
      </c>
      <c r="AV138">
        <v>93146982.200000003</v>
      </c>
      <c r="AW138">
        <v>120820941.89</v>
      </c>
      <c r="AX138">
        <v>194660908.09999999</v>
      </c>
      <c r="AY138">
        <v>141119449.86000001</v>
      </c>
      <c r="AZ138">
        <v>128790124.65000001</v>
      </c>
      <c r="BA138">
        <v>115181360.02</v>
      </c>
      <c r="BB138">
        <v>75297120</v>
      </c>
      <c r="BC138">
        <v>71726040.609999999</v>
      </c>
      <c r="BD138">
        <v>88891461.519999996</v>
      </c>
      <c r="BE138">
        <v>81111860.620000005</v>
      </c>
      <c r="BF138">
        <v>79298776.680000007</v>
      </c>
      <c r="BG138">
        <v>83326208.260000005</v>
      </c>
      <c r="BH138">
        <v>107054253.06999999</v>
      </c>
      <c r="BI138">
        <v>92469453.269999996</v>
      </c>
      <c r="BJ138">
        <v>97226898.790000007</v>
      </c>
      <c r="BK138">
        <v>95653959.519999996</v>
      </c>
      <c r="BL138">
        <v>192023701.38999999</v>
      </c>
      <c r="BM138">
        <v>49149996.630000003</v>
      </c>
      <c r="BN138">
        <v>17055519.649999999</v>
      </c>
      <c r="BO138">
        <v>60251055.590000004</v>
      </c>
      <c r="BP138">
        <v>49098846.920000002</v>
      </c>
      <c r="BQ138">
        <v>26497870.899999999</v>
      </c>
      <c r="BR138">
        <v>68530014.930000007</v>
      </c>
      <c r="BS138">
        <v>65494957.950000003</v>
      </c>
    </row>
    <row r="139" spans="1:71" x14ac:dyDescent="0.25">
      <c r="A139" t="s">
        <v>94</v>
      </c>
      <c r="B139" t="s">
        <v>95</v>
      </c>
      <c r="C139">
        <v>6060210</v>
      </c>
      <c r="D139" t="s">
        <v>243</v>
      </c>
      <c r="E139" t="s">
        <v>244</v>
      </c>
      <c r="F139" t="str">
        <f t="shared" si="6"/>
        <v>FR0000125486ETLX</v>
      </c>
      <c r="G139">
        <f t="shared" si="7"/>
        <v>2835.3851562499995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4090.7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51564.5</v>
      </c>
      <c r="Y139">
        <v>10440.15</v>
      </c>
      <c r="Z139">
        <v>1968.4</v>
      </c>
      <c r="AA139">
        <v>2059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1005.5</v>
      </c>
      <c r="AK139">
        <v>495</v>
      </c>
      <c r="AL139">
        <v>0</v>
      </c>
      <c r="AM139">
        <v>0</v>
      </c>
      <c r="AN139">
        <v>3327.2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4065.2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101450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999</v>
      </c>
    </row>
    <row r="140" spans="1:71" x14ac:dyDescent="0.25">
      <c r="A140" t="s">
        <v>94</v>
      </c>
      <c r="B140" t="s">
        <v>95</v>
      </c>
      <c r="C140">
        <v>9078166</v>
      </c>
      <c r="D140" t="s">
        <v>245</v>
      </c>
      <c r="E140" t="s">
        <v>244</v>
      </c>
      <c r="F140" t="str">
        <f t="shared" si="6"/>
        <v>FR0000125486MTAH</v>
      </c>
      <c r="G140">
        <f t="shared" si="7"/>
        <v>33.862499999999997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2167.1999999999998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</row>
    <row r="141" spans="1:71" x14ac:dyDescent="0.25">
      <c r="A141" t="s">
        <v>96</v>
      </c>
      <c r="B141" t="s">
        <v>259</v>
      </c>
      <c r="C141">
        <v>3047342</v>
      </c>
      <c r="D141" t="s">
        <v>248</v>
      </c>
      <c r="E141" t="s">
        <v>244</v>
      </c>
      <c r="F141" t="str">
        <f t="shared" si="6"/>
        <v>FR0000127771BGEM</v>
      </c>
      <c r="G141">
        <f t="shared" si="7"/>
        <v>3148.5273437499995</v>
      </c>
      <c r="H141">
        <v>0</v>
      </c>
      <c r="I141">
        <v>0</v>
      </c>
      <c r="J141">
        <v>512</v>
      </c>
      <c r="K141">
        <v>0</v>
      </c>
      <c r="L141">
        <v>0</v>
      </c>
      <c r="M141">
        <v>1264.8</v>
      </c>
      <c r="N141">
        <v>20.399999999999999</v>
      </c>
      <c r="O141">
        <v>0</v>
      </c>
      <c r="P141">
        <v>509.5</v>
      </c>
      <c r="Q141">
        <v>7954.1</v>
      </c>
      <c r="R141">
        <v>0</v>
      </c>
      <c r="S141">
        <v>1056.5</v>
      </c>
      <c r="T141">
        <v>20106.75</v>
      </c>
      <c r="U141">
        <v>0</v>
      </c>
      <c r="V141">
        <v>0</v>
      </c>
      <c r="W141">
        <v>836.4</v>
      </c>
      <c r="X141">
        <v>0</v>
      </c>
      <c r="Y141">
        <v>0</v>
      </c>
      <c r="Z141">
        <v>0</v>
      </c>
      <c r="AA141">
        <v>0</v>
      </c>
      <c r="AB141">
        <v>988.8</v>
      </c>
      <c r="AC141">
        <v>0</v>
      </c>
      <c r="AD141">
        <v>0</v>
      </c>
      <c r="AE141">
        <v>0</v>
      </c>
      <c r="AF141">
        <v>14370</v>
      </c>
      <c r="AG141">
        <v>0</v>
      </c>
      <c r="AH141">
        <v>0</v>
      </c>
      <c r="AI141">
        <v>0</v>
      </c>
      <c r="AJ141">
        <v>0</v>
      </c>
      <c r="AK141">
        <v>27638.959999999999</v>
      </c>
      <c r="AL141">
        <v>0</v>
      </c>
      <c r="AM141">
        <v>1362.53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203.69</v>
      </c>
      <c r="AT141">
        <v>0</v>
      </c>
      <c r="AU141">
        <v>0</v>
      </c>
      <c r="AV141">
        <v>0</v>
      </c>
      <c r="AW141">
        <v>0</v>
      </c>
      <c r="AX141">
        <v>509.28</v>
      </c>
      <c r="AY141">
        <v>358.93</v>
      </c>
      <c r="AZ141">
        <v>0</v>
      </c>
      <c r="BA141">
        <v>10136.92</v>
      </c>
      <c r="BB141">
        <v>0</v>
      </c>
      <c r="BC141">
        <v>893.86</v>
      </c>
      <c r="BD141">
        <v>0</v>
      </c>
      <c r="BE141">
        <v>13124.58</v>
      </c>
      <c r="BF141">
        <v>1046.81</v>
      </c>
      <c r="BG141">
        <v>1327.68</v>
      </c>
      <c r="BH141">
        <v>0</v>
      </c>
      <c r="BI141">
        <v>3370.26</v>
      </c>
      <c r="BJ141">
        <v>71969.78</v>
      </c>
      <c r="BK141">
        <v>18616.97</v>
      </c>
      <c r="BL141">
        <v>1313.41</v>
      </c>
      <c r="BM141">
        <v>0</v>
      </c>
      <c r="BN141">
        <v>0</v>
      </c>
      <c r="BO141">
        <v>1260</v>
      </c>
      <c r="BP141">
        <v>0</v>
      </c>
      <c r="BQ141">
        <v>0</v>
      </c>
      <c r="BR141">
        <v>752.84</v>
      </c>
      <c r="BS141">
        <v>0</v>
      </c>
    </row>
    <row r="142" spans="1:71" x14ac:dyDescent="0.25">
      <c r="A142" t="s">
        <v>96</v>
      </c>
      <c r="B142" t="s">
        <v>259</v>
      </c>
      <c r="C142">
        <v>3077435</v>
      </c>
      <c r="D142" t="s">
        <v>245</v>
      </c>
      <c r="E142" t="s">
        <v>244</v>
      </c>
      <c r="F142" t="str">
        <f t="shared" si="6"/>
        <v>FR0000127771MTAH</v>
      </c>
      <c r="G142">
        <f t="shared" si="7"/>
        <v>33.271562500000002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2129.38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</row>
    <row r="143" spans="1:71" x14ac:dyDescent="0.25">
      <c r="A143" t="s">
        <v>96</v>
      </c>
      <c r="B143" t="s">
        <v>259</v>
      </c>
      <c r="C143">
        <v>6051943</v>
      </c>
      <c r="D143" t="s">
        <v>243</v>
      </c>
      <c r="E143" t="s">
        <v>244</v>
      </c>
      <c r="F143" t="str">
        <f t="shared" si="6"/>
        <v>FR0000127771ETLX</v>
      </c>
      <c r="G143">
        <f t="shared" si="7"/>
        <v>980.80734374999997</v>
      </c>
      <c r="H143">
        <v>10320</v>
      </c>
      <c r="I143">
        <v>0</v>
      </c>
      <c r="J143">
        <v>0</v>
      </c>
      <c r="K143">
        <v>0</v>
      </c>
      <c r="L143">
        <v>0</v>
      </c>
      <c r="M143">
        <v>1840.5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357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1395.46</v>
      </c>
      <c r="AL143">
        <v>0</v>
      </c>
      <c r="AM143">
        <v>910.2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931.7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34099.699999999997</v>
      </c>
      <c r="BJ143">
        <v>7854.22</v>
      </c>
      <c r="BK143">
        <v>0</v>
      </c>
      <c r="BL143">
        <v>995.09</v>
      </c>
      <c r="BM143">
        <v>1519.8</v>
      </c>
      <c r="BN143">
        <v>0</v>
      </c>
      <c r="BO143">
        <v>0</v>
      </c>
      <c r="BP143">
        <v>2548</v>
      </c>
      <c r="BQ143">
        <v>0</v>
      </c>
      <c r="BR143">
        <v>0</v>
      </c>
      <c r="BS143">
        <v>0</v>
      </c>
    </row>
    <row r="144" spans="1:71" x14ac:dyDescent="0.25">
      <c r="A144" t="s">
        <v>96</v>
      </c>
      <c r="B144" t="s">
        <v>97</v>
      </c>
      <c r="C144">
        <v>4245</v>
      </c>
      <c r="D144" t="s">
        <v>6</v>
      </c>
      <c r="E144" t="s">
        <v>232</v>
      </c>
      <c r="F144" t="str">
        <f t="shared" si="6"/>
        <v>FR0000127771XPAR</v>
      </c>
      <c r="G144">
        <f t="shared" si="7"/>
        <v>34593766.581562504</v>
      </c>
      <c r="H144">
        <v>22064950.469999999</v>
      </c>
      <c r="I144">
        <v>18653490.600000001</v>
      </c>
      <c r="J144">
        <v>9939863.4900000002</v>
      </c>
      <c r="K144">
        <v>11937081.35</v>
      </c>
      <c r="L144">
        <v>11656261.49</v>
      </c>
      <c r="M144">
        <v>14751155.65</v>
      </c>
      <c r="N144">
        <v>16630506.9</v>
      </c>
      <c r="O144">
        <v>11881330.91</v>
      </c>
      <c r="P144">
        <v>20262673.16</v>
      </c>
      <c r="Q144">
        <v>29077586.93</v>
      </c>
      <c r="R144">
        <v>22210912.010000002</v>
      </c>
      <c r="S144">
        <v>23738545.489999998</v>
      </c>
      <c r="T144">
        <v>17920187.780000001</v>
      </c>
      <c r="U144">
        <v>16096274.619999999</v>
      </c>
      <c r="V144">
        <v>27194419.07</v>
      </c>
      <c r="W144">
        <v>20379628.010000002</v>
      </c>
      <c r="X144">
        <v>12783662.439999999</v>
      </c>
      <c r="Y144">
        <v>10468450.66</v>
      </c>
      <c r="Z144">
        <v>23357902.300000001</v>
      </c>
      <c r="AA144">
        <v>42463178.880000003</v>
      </c>
      <c r="AB144">
        <v>40668208.079999998</v>
      </c>
      <c r="AC144">
        <v>15992841.460000001</v>
      </c>
      <c r="AD144">
        <v>15485067.369999999</v>
      </c>
      <c r="AE144">
        <v>22706054.350000001</v>
      </c>
      <c r="AF144">
        <v>45707524.299999997</v>
      </c>
      <c r="AG144">
        <v>35173651.509999998</v>
      </c>
      <c r="AH144">
        <v>40017475.829999998</v>
      </c>
      <c r="AI144">
        <v>21560907.030000001</v>
      </c>
      <c r="AJ144">
        <v>32629189.98</v>
      </c>
      <c r="AK144">
        <v>25273717.379999999</v>
      </c>
      <c r="AL144">
        <v>24024769.43</v>
      </c>
      <c r="AM144">
        <v>23252561.350000001</v>
      </c>
      <c r="AN144">
        <v>23228107.210000001</v>
      </c>
      <c r="AO144">
        <v>51140860.700000003</v>
      </c>
      <c r="AP144">
        <v>44282179.259999998</v>
      </c>
      <c r="AQ144">
        <v>35550495.600000001</v>
      </c>
      <c r="AR144">
        <v>27002678.300000001</v>
      </c>
      <c r="AS144">
        <v>65820641.670000002</v>
      </c>
      <c r="AT144">
        <v>20099992.27</v>
      </c>
      <c r="AU144">
        <v>21330971.780000001</v>
      </c>
      <c r="AV144">
        <v>32012595.960000001</v>
      </c>
      <c r="AW144">
        <v>29352933.420000002</v>
      </c>
      <c r="AX144">
        <v>29519536.82</v>
      </c>
      <c r="AY144">
        <v>33435427.989999998</v>
      </c>
      <c r="AZ144">
        <v>32260030.23</v>
      </c>
      <c r="BA144">
        <v>33984288.340000004</v>
      </c>
      <c r="BB144">
        <v>52785364.409999996</v>
      </c>
      <c r="BC144">
        <v>50054155.509999998</v>
      </c>
      <c r="BD144">
        <v>46027194.229999997</v>
      </c>
      <c r="BE144">
        <v>49756425.210000001</v>
      </c>
      <c r="BF144">
        <v>67322157.569999993</v>
      </c>
      <c r="BG144">
        <v>225284206.78</v>
      </c>
      <c r="BH144">
        <v>196300995.27000001</v>
      </c>
      <c r="BI144">
        <v>72222671.829999998</v>
      </c>
      <c r="BJ144">
        <v>52678784.229999997</v>
      </c>
      <c r="BK144">
        <v>49071409.340000004</v>
      </c>
      <c r="BL144">
        <v>65889748.950000003</v>
      </c>
      <c r="BM144">
        <v>17777991.399999999</v>
      </c>
      <c r="BN144">
        <v>8596871.0399999991</v>
      </c>
      <c r="BO144">
        <v>10485239.710000001</v>
      </c>
      <c r="BP144">
        <v>14562003.41</v>
      </c>
      <c r="BQ144">
        <v>5637221.3200000003</v>
      </c>
      <c r="BR144">
        <v>14935764.82</v>
      </c>
      <c r="BS144">
        <v>9632086.3599999994</v>
      </c>
    </row>
    <row r="145" spans="1:71" x14ac:dyDescent="0.25">
      <c r="A145" t="s">
        <v>98</v>
      </c>
      <c r="B145" t="s">
        <v>99</v>
      </c>
      <c r="C145">
        <v>23236</v>
      </c>
      <c r="D145" t="s">
        <v>6</v>
      </c>
      <c r="E145" t="s">
        <v>232</v>
      </c>
      <c r="F145" t="str">
        <f t="shared" si="6"/>
        <v>FR0000130395XPAR</v>
      </c>
      <c r="G145">
        <f t="shared" si="7"/>
        <v>6433538.8750000009</v>
      </c>
      <c r="H145">
        <v>8664868.3499999996</v>
      </c>
      <c r="I145">
        <v>9557374.0999999996</v>
      </c>
      <c r="J145">
        <v>6683327.4500000002</v>
      </c>
      <c r="K145">
        <v>21043950.350000001</v>
      </c>
      <c r="L145">
        <v>7260700</v>
      </c>
      <c r="M145">
        <v>7859380.3499999996</v>
      </c>
      <c r="N145">
        <v>4427530.5</v>
      </c>
      <c r="O145">
        <v>7545973.0499999998</v>
      </c>
      <c r="P145">
        <v>5187405.1500000004</v>
      </c>
      <c r="Q145">
        <v>6203965.7000000002</v>
      </c>
      <c r="R145">
        <v>4885033.7</v>
      </c>
      <c r="S145">
        <v>7831060.4000000004</v>
      </c>
      <c r="T145">
        <v>3291068.05</v>
      </c>
      <c r="U145">
        <v>2024396.55</v>
      </c>
      <c r="V145">
        <v>2348141.5</v>
      </c>
      <c r="W145">
        <v>6538934.3499999996</v>
      </c>
      <c r="X145">
        <v>8720048.0500000007</v>
      </c>
      <c r="Y145">
        <v>4430626.3</v>
      </c>
      <c r="Z145">
        <v>4308898.7</v>
      </c>
      <c r="AA145">
        <v>8525203.8499999996</v>
      </c>
      <c r="AB145">
        <v>4990824.8</v>
      </c>
      <c r="AC145">
        <v>1908223.1</v>
      </c>
      <c r="AD145">
        <v>3392442.35</v>
      </c>
      <c r="AE145">
        <v>4281476.3</v>
      </c>
      <c r="AF145">
        <v>21086772.850000001</v>
      </c>
      <c r="AG145">
        <v>8067989.4000000004</v>
      </c>
      <c r="AH145">
        <v>5414366.7000000002</v>
      </c>
      <c r="AI145">
        <v>3045875.1</v>
      </c>
      <c r="AJ145">
        <v>4933094.9000000004</v>
      </c>
      <c r="AK145">
        <v>6827917.0499999998</v>
      </c>
      <c r="AL145">
        <v>8132404.4500000002</v>
      </c>
      <c r="AM145">
        <v>4471015.55</v>
      </c>
      <c r="AN145">
        <v>5242925.8</v>
      </c>
      <c r="AO145">
        <v>4518686.6500000004</v>
      </c>
      <c r="AP145">
        <v>5304024.8499999996</v>
      </c>
      <c r="AQ145">
        <v>3458456.8</v>
      </c>
      <c r="AR145">
        <v>3161491.3</v>
      </c>
      <c r="AS145">
        <v>10645243.4</v>
      </c>
      <c r="AT145">
        <v>5394502.7999999998</v>
      </c>
      <c r="AU145">
        <v>5386623.4000000004</v>
      </c>
      <c r="AV145">
        <v>10978995</v>
      </c>
      <c r="AW145">
        <v>9817664.3499999996</v>
      </c>
      <c r="AX145">
        <v>6034925.5999999996</v>
      </c>
      <c r="AY145">
        <v>6910414.5999999996</v>
      </c>
      <c r="AZ145">
        <v>7605214.0999999996</v>
      </c>
      <c r="BA145">
        <v>6792450</v>
      </c>
      <c r="BB145">
        <v>7990759.5499999998</v>
      </c>
      <c r="BC145">
        <v>9070527.4000000004</v>
      </c>
      <c r="BD145">
        <v>8566739.0500000007</v>
      </c>
      <c r="BE145">
        <v>9835665.6999999993</v>
      </c>
      <c r="BF145">
        <v>8862212.4000000004</v>
      </c>
      <c r="BG145">
        <v>6320274.5</v>
      </c>
      <c r="BH145">
        <v>8315122.0499999998</v>
      </c>
      <c r="BI145">
        <v>7577975.4000000004</v>
      </c>
      <c r="BJ145">
        <v>4207405.45</v>
      </c>
      <c r="BK145">
        <v>4021455.3</v>
      </c>
      <c r="BL145">
        <v>6211604.5999999996</v>
      </c>
      <c r="BM145">
        <v>4008569.25</v>
      </c>
      <c r="BN145">
        <v>1114933.8999999999</v>
      </c>
      <c r="BO145">
        <v>3448608.75</v>
      </c>
      <c r="BP145">
        <v>3481906.65</v>
      </c>
      <c r="BQ145">
        <v>1219352.7</v>
      </c>
      <c r="BR145">
        <v>4384814.7</v>
      </c>
      <c r="BS145">
        <v>7966653</v>
      </c>
    </row>
    <row r="146" spans="1:71" x14ac:dyDescent="0.25">
      <c r="A146" t="s">
        <v>98</v>
      </c>
      <c r="B146" t="s">
        <v>99</v>
      </c>
      <c r="C146">
        <v>9078164</v>
      </c>
      <c r="D146" t="s">
        <v>245</v>
      </c>
      <c r="E146" t="s">
        <v>244</v>
      </c>
      <c r="F146" t="str">
        <f t="shared" si="6"/>
        <v>FR0000130395MTAH</v>
      </c>
      <c r="G146">
        <f t="shared" si="7"/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</row>
    <row r="147" spans="1:71" x14ac:dyDescent="0.25">
      <c r="A147" t="s">
        <v>100</v>
      </c>
      <c r="B147" t="s">
        <v>101</v>
      </c>
      <c r="C147">
        <v>1512</v>
      </c>
      <c r="D147" t="s">
        <v>6</v>
      </c>
      <c r="E147" t="s">
        <v>232</v>
      </c>
      <c r="F147" t="str">
        <f t="shared" si="6"/>
        <v>FR0000130452XPAR</v>
      </c>
      <c r="G147">
        <f t="shared" si="7"/>
        <v>21973799.264218755</v>
      </c>
      <c r="H147">
        <v>31580189.48</v>
      </c>
      <c r="I147">
        <v>36427171.200000003</v>
      </c>
      <c r="J147">
        <v>19996041.920000002</v>
      </c>
      <c r="K147">
        <v>34501868.880000003</v>
      </c>
      <c r="L147">
        <v>36316588.369999997</v>
      </c>
      <c r="M147">
        <v>27895552.18</v>
      </c>
      <c r="N147">
        <v>27662277.239999998</v>
      </c>
      <c r="O147">
        <v>14768825.68</v>
      </c>
      <c r="P147">
        <v>24370727.600000001</v>
      </c>
      <c r="Q147">
        <v>20981132.030000001</v>
      </c>
      <c r="R147">
        <v>22392015.68</v>
      </c>
      <c r="S147">
        <v>21209290.690000001</v>
      </c>
      <c r="T147">
        <v>23307697.440000001</v>
      </c>
      <c r="U147">
        <v>19446509.5</v>
      </c>
      <c r="V147">
        <v>21881846.640000001</v>
      </c>
      <c r="W147">
        <v>20766796.280000001</v>
      </c>
      <c r="X147">
        <v>25371583.940000001</v>
      </c>
      <c r="Y147">
        <v>20300008.530000001</v>
      </c>
      <c r="Z147">
        <v>21567399.02</v>
      </c>
      <c r="AA147">
        <v>21850290.039999999</v>
      </c>
      <c r="AB147">
        <v>24132900.199999999</v>
      </c>
      <c r="AC147">
        <v>14568270.539999999</v>
      </c>
      <c r="AD147">
        <v>19586032.809999999</v>
      </c>
      <c r="AE147">
        <v>23504463.399999999</v>
      </c>
      <c r="AF147">
        <v>26445585.34</v>
      </c>
      <c r="AG147">
        <v>18570263.879999999</v>
      </c>
      <c r="AH147">
        <v>19649061.800000001</v>
      </c>
      <c r="AI147">
        <v>18364271.219999999</v>
      </c>
      <c r="AJ147">
        <v>25765041.66</v>
      </c>
      <c r="AK147">
        <v>24090092.899999999</v>
      </c>
      <c r="AL147">
        <v>41370312.799999997</v>
      </c>
      <c r="AM147">
        <v>27566486.699999999</v>
      </c>
      <c r="AN147">
        <v>15357558.710000001</v>
      </c>
      <c r="AO147">
        <v>22070885.800000001</v>
      </c>
      <c r="AP147">
        <v>16264317.26</v>
      </c>
      <c r="AQ147">
        <v>20662176.960000001</v>
      </c>
      <c r="AR147">
        <v>20139024.579999998</v>
      </c>
      <c r="AS147">
        <v>44317273.380000003</v>
      </c>
      <c r="AT147">
        <v>20881543.399999999</v>
      </c>
      <c r="AU147">
        <v>29807453.949999999</v>
      </c>
      <c r="AV147">
        <v>15095276.58</v>
      </c>
      <c r="AW147">
        <v>14783037.869999999</v>
      </c>
      <c r="AX147">
        <v>28668120.850000001</v>
      </c>
      <c r="AY147">
        <v>16468119.82</v>
      </c>
      <c r="AZ147">
        <v>21961946.98</v>
      </c>
      <c r="BA147">
        <v>24158844.649999999</v>
      </c>
      <c r="BB147">
        <v>19083352.120000001</v>
      </c>
      <c r="BC147">
        <v>15766037.5</v>
      </c>
      <c r="BD147">
        <v>20014553.440000001</v>
      </c>
      <c r="BE147">
        <v>17387067.059999999</v>
      </c>
      <c r="BF147">
        <v>18672582.120000001</v>
      </c>
      <c r="BG147">
        <v>15630749.84</v>
      </c>
      <c r="BH147">
        <v>21741106.48</v>
      </c>
      <c r="BI147">
        <v>31030304.68</v>
      </c>
      <c r="BJ147">
        <v>24313603.219999999</v>
      </c>
      <c r="BK147">
        <v>18342776.559999999</v>
      </c>
      <c r="BL147">
        <v>48487028.780000001</v>
      </c>
      <c r="BM147">
        <v>10359835.380000001</v>
      </c>
      <c r="BN147">
        <v>4615753.7</v>
      </c>
      <c r="BO147">
        <v>10123155.220000001</v>
      </c>
      <c r="BP147">
        <v>12223801.029999999</v>
      </c>
      <c r="BQ147">
        <v>8891663.5800000001</v>
      </c>
      <c r="BR147">
        <v>12149697.92</v>
      </c>
      <c r="BS147">
        <v>10647907.9</v>
      </c>
    </row>
    <row r="148" spans="1:71" x14ac:dyDescent="0.25">
      <c r="A148" t="s">
        <v>100</v>
      </c>
      <c r="B148" t="s">
        <v>101</v>
      </c>
      <c r="C148">
        <v>9078163</v>
      </c>
      <c r="D148" t="s">
        <v>245</v>
      </c>
      <c r="E148" t="s">
        <v>244</v>
      </c>
      <c r="F148" t="str">
        <f t="shared" si="6"/>
        <v>FR0000130452MTAH</v>
      </c>
      <c r="G148">
        <f t="shared" si="7"/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</row>
    <row r="149" spans="1:71" x14ac:dyDescent="0.25">
      <c r="A149" t="s">
        <v>102</v>
      </c>
      <c r="B149" t="s">
        <v>260</v>
      </c>
      <c r="C149">
        <v>6060209</v>
      </c>
      <c r="D149" t="s">
        <v>243</v>
      </c>
      <c r="E149" t="s">
        <v>244</v>
      </c>
      <c r="F149" t="str">
        <f t="shared" si="6"/>
        <v>FR0000130577ETLX</v>
      </c>
      <c r="G149">
        <f t="shared" si="7"/>
        <v>1411.12328125</v>
      </c>
      <c r="H149">
        <v>0</v>
      </c>
      <c r="I149">
        <v>0</v>
      </c>
      <c r="J149">
        <v>0</v>
      </c>
      <c r="K149">
        <v>0</v>
      </c>
      <c r="L149">
        <v>5784</v>
      </c>
      <c r="M149">
        <v>11656.8</v>
      </c>
      <c r="N149">
        <v>0</v>
      </c>
      <c r="O149">
        <v>0</v>
      </c>
      <c r="P149">
        <v>0</v>
      </c>
      <c r="Q149">
        <v>6497.04</v>
      </c>
      <c r="R149">
        <v>1994</v>
      </c>
      <c r="S149">
        <v>0</v>
      </c>
      <c r="T149">
        <v>0</v>
      </c>
      <c r="U149">
        <v>0</v>
      </c>
      <c r="V149">
        <v>0</v>
      </c>
      <c r="W149">
        <v>4967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2050.86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9908.5</v>
      </c>
      <c r="AN149">
        <v>0</v>
      </c>
      <c r="AO149">
        <v>0</v>
      </c>
      <c r="AP149">
        <v>0</v>
      </c>
      <c r="AQ149">
        <v>6378.24</v>
      </c>
      <c r="AR149">
        <v>0</v>
      </c>
      <c r="AS149">
        <v>0</v>
      </c>
      <c r="AT149">
        <v>4001.4</v>
      </c>
      <c r="AU149">
        <v>9888.2000000000007</v>
      </c>
      <c r="AV149">
        <v>2157.75</v>
      </c>
      <c r="AW149">
        <v>0</v>
      </c>
      <c r="AX149">
        <v>0</v>
      </c>
      <c r="AY149">
        <v>7441.2</v>
      </c>
      <c r="AZ149">
        <v>2135.6999999999998</v>
      </c>
      <c r="BA149">
        <v>0</v>
      </c>
      <c r="BB149">
        <v>11499.6</v>
      </c>
      <c r="BC149">
        <v>0</v>
      </c>
      <c r="BD149">
        <v>0</v>
      </c>
      <c r="BE149">
        <v>0</v>
      </c>
      <c r="BF149">
        <v>0</v>
      </c>
      <c r="BG149">
        <v>3951.6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</row>
    <row r="150" spans="1:71" x14ac:dyDescent="0.25">
      <c r="A150" t="s">
        <v>102</v>
      </c>
      <c r="B150" t="s">
        <v>103</v>
      </c>
      <c r="C150">
        <v>895</v>
      </c>
      <c r="D150" t="s">
        <v>6</v>
      </c>
      <c r="E150" t="s">
        <v>232</v>
      </c>
      <c r="F150" t="str">
        <f t="shared" si="6"/>
        <v>FR0000130577XPAR</v>
      </c>
      <c r="G150">
        <f t="shared" si="7"/>
        <v>40359937.117343754</v>
      </c>
      <c r="H150">
        <v>46662119.549999997</v>
      </c>
      <c r="I150">
        <v>38771407.710000001</v>
      </c>
      <c r="J150">
        <v>34395019.479999997</v>
      </c>
      <c r="K150">
        <v>28444353.510000002</v>
      </c>
      <c r="L150">
        <v>24744033.940000001</v>
      </c>
      <c r="M150">
        <v>27024014.600000001</v>
      </c>
      <c r="N150">
        <v>27941388.039999999</v>
      </c>
      <c r="O150">
        <v>26084379.260000002</v>
      </c>
      <c r="P150">
        <v>38111854.009999998</v>
      </c>
      <c r="Q150">
        <v>38873002.020000003</v>
      </c>
      <c r="R150">
        <v>72864022.280000001</v>
      </c>
      <c r="S150">
        <v>50923046.289999999</v>
      </c>
      <c r="T150">
        <v>38374479.68</v>
      </c>
      <c r="U150">
        <v>35822917.299999997</v>
      </c>
      <c r="V150">
        <v>31175962.190000001</v>
      </c>
      <c r="W150">
        <v>40299357.359999999</v>
      </c>
      <c r="X150">
        <v>19574264.829999998</v>
      </c>
      <c r="Y150">
        <v>29667448.699999999</v>
      </c>
      <c r="Z150">
        <v>52950340.200000003</v>
      </c>
      <c r="AA150">
        <v>41898647.600000001</v>
      </c>
      <c r="AB150">
        <v>43458314.68</v>
      </c>
      <c r="AC150">
        <v>24918952.199999999</v>
      </c>
      <c r="AD150">
        <v>22035278.199999999</v>
      </c>
      <c r="AE150">
        <v>48617341.740000002</v>
      </c>
      <c r="AF150">
        <v>52348582.049999997</v>
      </c>
      <c r="AG150">
        <v>36620374.450000003</v>
      </c>
      <c r="AH150">
        <v>38469079.700000003</v>
      </c>
      <c r="AI150">
        <v>34285788.700000003</v>
      </c>
      <c r="AJ150">
        <v>40374508.700000003</v>
      </c>
      <c r="AK150">
        <v>38514483.399999999</v>
      </c>
      <c r="AL150">
        <v>40374441.899999999</v>
      </c>
      <c r="AM150">
        <v>114917812.03</v>
      </c>
      <c r="AN150">
        <v>38841007.299999997</v>
      </c>
      <c r="AO150">
        <v>41284649.399999999</v>
      </c>
      <c r="AP150">
        <v>26149546.719999999</v>
      </c>
      <c r="AQ150">
        <v>33006392.420000002</v>
      </c>
      <c r="AR150">
        <v>35135668.799999997</v>
      </c>
      <c r="AS150">
        <v>107284761.01000001</v>
      </c>
      <c r="AT150">
        <v>28467660.949999999</v>
      </c>
      <c r="AU150">
        <v>24590814.199999999</v>
      </c>
      <c r="AV150">
        <v>28767494.629999999</v>
      </c>
      <c r="AW150">
        <v>44578124.530000001</v>
      </c>
      <c r="AX150">
        <v>42520691.920000002</v>
      </c>
      <c r="AY150">
        <v>32151869.329999998</v>
      </c>
      <c r="AZ150">
        <v>45371596.350000001</v>
      </c>
      <c r="BA150">
        <v>49118723.799999997</v>
      </c>
      <c r="BB150">
        <v>39219389.289999999</v>
      </c>
      <c r="BC150">
        <v>73021966.019999996</v>
      </c>
      <c r="BD150">
        <v>38882388.359999999</v>
      </c>
      <c r="BE150">
        <v>52297091.460000001</v>
      </c>
      <c r="BF150">
        <v>42483819.93</v>
      </c>
      <c r="BG150">
        <v>43452715.329999998</v>
      </c>
      <c r="BH150">
        <v>37730200.689999998</v>
      </c>
      <c r="BI150">
        <v>42086460.840000004</v>
      </c>
      <c r="BJ150">
        <v>31094964.809999999</v>
      </c>
      <c r="BK150">
        <v>48664698.890000001</v>
      </c>
      <c r="BL150">
        <v>111712904.41</v>
      </c>
      <c r="BM150">
        <v>33488812.829999998</v>
      </c>
      <c r="BN150">
        <v>11718510.800000001</v>
      </c>
      <c r="BO150">
        <v>23720779.100000001</v>
      </c>
      <c r="BP150">
        <v>17811833.75</v>
      </c>
      <c r="BQ150">
        <v>15082902.23</v>
      </c>
      <c r="BR150">
        <v>25858144.960000001</v>
      </c>
      <c r="BS150">
        <v>37902374.149999999</v>
      </c>
    </row>
    <row r="151" spans="1:71" x14ac:dyDescent="0.25">
      <c r="A151" t="s">
        <v>102</v>
      </c>
      <c r="B151" t="s">
        <v>103</v>
      </c>
      <c r="C151">
        <v>9078162</v>
      </c>
      <c r="D151" t="s">
        <v>245</v>
      </c>
      <c r="E151" t="s">
        <v>244</v>
      </c>
      <c r="F151" t="str">
        <f t="shared" si="6"/>
        <v>FR0000130577MTAH</v>
      </c>
      <c r="G151">
        <f t="shared" si="7"/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</row>
    <row r="152" spans="1:71" x14ac:dyDescent="0.25">
      <c r="A152" t="s">
        <v>104</v>
      </c>
      <c r="B152" t="s">
        <v>105</v>
      </c>
      <c r="C152">
        <v>4462</v>
      </c>
      <c r="D152" t="s">
        <v>6</v>
      </c>
      <c r="E152" t="s">
        <v>232</v>
      </c>
      <c r="F152" t="str">
        <f t="shared" si="6"/>
        <v>FR0000130809XPAR</v>
      </c>
      <c r="G152">
        <f t="shared" si="7"/>
        <v>75043937.204531267</v>
      </c>
      <c r="H152">
        <v>57236681.939999998</v>
      </c>
      <c r="I152">
        <v>110827076.37</v>
      </c>
      <c r="J152">
        <v>57108779.350000001</v>
      </c>
      <c r="K152">
        <v>45229955.630000003</v>
      </c>
      <c r="L152">
        <v>65937943.68</v>
      </c>
      <c r="M152">
        <v>50842273.600000001</v>
      </c>
      <c r="N152">
        <v>42026489.630000003</v>
      </c>
      <c r="O152">
        <v>33697082.57</v>
      </c>
      <c r="P152">
        <v>55652226.299999997</v>
      </c>
      <c r="Q152">
        <v>55115254.350000001</v>
      </c>
      <c r="R152">
        <v>77684720.030000001</v>
      </c>
      <c r="S152">
        <v>109808112.29000001</v>
      </c>
      <c r="T152">
        <v>56695783.32</v>
      </c>
      <c r="U152">
        <v>42189440.630000003</v>
      </c>
      <c r="V152">
        <v>34113747.159999996</v>
      </c>
      <c r="W152">
        <v>52812024.399999999</v>
      </c>
      <c r="X152">
        <v>39522246.210000001</v>
      </c>
      <c r="Y152">
        <v>50298286.890000001</v>
      </c>
      <c r="Z152">
        <v>44357604.289999999</v>
      </c>
      <c r="AA152">
        <v>66813288.219999999</v>
      </c>
      <c r="AB152">
        <v>397841815.60000002</v>
      </c>
      <c r="AC152">
        <v>225426530.84</v>
      </c>
      <c r="AD152">
        <v>91838450.480000004</v>
      </c>
      <c r="AE152">
        <v>81347470.930000007</v>
      </c>
      <c r="AF152">
        <v>147170513.28</v>
      </c>
      <c r="AG152">
        <v>106100302.98999999</v>
      </c>
      <c r="AH152">
        <v>64160843.840000004</v>
      </c>
      <c r="AI152">
        <v>55609836.240000002</v>
      </c>
      <c r="AJ152">
        <v>77773081.909999996</v>
      </c>
      <c r="AK152">
        <v>79511808.670000002</v>
      </c>
      <c r="AL152">
        <v>90248030.359999999</v>
      </c>
      <c r="AM152">
        <v>57453709.920000002</v>
      </c>
      <c r="AN152">
        <v>56542933.390000001</v>
      </c>
      <c r="AO152">
        <v>77334135.299999997</v>
      </c>
      <c r="AP152">
        <v>74799586.840000004</v>
      </c>
      <c r="AQ152">
        <v>61319495.07</v>
      </c>
      <c r="AR152">
        <v>84673968.049999997</v>
      </c>
      <c r="AS152">
        <v>81730903.099999994</v>
      </c>
      <c r="AT152">
        <v>65998198.469999999</v>
      </c>
      <c r="AU152">
        <v>110923160.41</v>
      </c>
      <c r="AV152">
        <v>66007821.229999997</v>
      </c>
      <c r="AW152">
        <v>65889340.880000003</v>
      </c>
      <c r="AX152">
        <v>116084066.14</v>
      </c>
      <c r="AY152">
        <v>65348034.409999996</v>
      </c>
      <c r="AZ152">
        <v>64147041.560000002</v>
      </c>
      <c r="BA152">
        <v>122139277.23</v>
      </c>
      <c r="BB152">
        <v>97011762.260000005</v>
      </c>
      <c r="BC152">
        <v>97838395.459999993</v>
      </c>
      <c r="BD152">
        <v>51272062.649999999</v>
      </c>
      <c r="BE152">
        <v>79745739.079999998</v>
      </c>
      <c r="BF152">
        <v>95277953.159999996</v>
      </c>
      <c r="BG152">
        <v>53374871.469999999</v>
      </c>
      <c r="BH152">
        <v>50977022.740000002</v>
      </c>
      <c r="BI152">
        <v>63062063.520000003</v>
      </c>
      <c r="BJ152">
        <v>55807421.079999998</v>
      </c>
      <c r="BK152">
        <v>58696041.960000001</v>
      </c>
      <c r="BL152">
        <v>111322633.62</v>
      </c>
      <c r="BM152">
        <v>37588713.289999999</v>
      </c>
      <c r="BN152">
        <v>13884066.310000001</v>
      </c>
      <c r="BO152">
        <v>43446649.93</v>
      </c>
      <c r="BP152">
        <v>33738739.380000003</v>
      </c>
      <c r="BQ152">
        <v>15310520.949999999</v>
      </c>
      <c r="BR152">
        <v>49588178.880000003</v>
      </c>
      <c r="BS152">
        <v>59479771.350000001</v>
      </c>
    </row>
    <row r="153" spans="1:71" x14ac:dyDescent="0.25">
      <c r="A153" t="s">
        <v>104</v>
      </c>
      <c r="B153" t="s">
        <v>105</v>
      </c>
      <c r="C153">
        <v>3047343</v>
      </c>
      <c r="D153" t="s">
        <v>248</v>
      </c>
      <c r="E153" t="s">
        <v>244</v>
      </c>
      <c r="F153" t="str">
        <f t="shared" si="6"/>
        <v>FR0000130809BGEM</v>
      </c>
      <c r="G153">
        <f t="shared" si="7"/>
        <v>43432.0309375</v>
      </c>
      <c r="H153">
        <v>10854.5</v>
      </c>
      <c r="I153">
        <v>41216.5</v>
      </c>
      <c r="J153">
        <v>1017</v>
      </c>
      <c r="K153">
        <v>3014.8</v>
      </c>
      <c r="L153">
        <v>32327.81</v>
      </c>
      <c r="M153">
        <v>6480.28</v>
      </c>
      <c r="N153">
        <v>25354</v>
      </c>
      <c r="O153">
        <v>21623.13</v>
      </c>
      <c r="P153">
        <v>65514.25</v>
      </c>
      <c r="Q153">
        <v>52538.7</v>
      </c>
      <c r="R153">
        <v>80254</v>
      </c>
      <c r="S153">
        <v>83296.28</v>
      </c>
      <c r="T153">
        <v>1198</v>
      </c>
      <c r="U153">
        <v>12713.63</v>
      </c>
      <c r="V153">
        <v>25720.6</v>
      </c>
      <c r="W153">
        <v>6125.1</v>
      </c>
      <c r="X153">
        <v>12578.2</v>
      </c>
      <c r="Y153">
        <v>14294.52</v>
      </c>
      <c r="Z153">
        <v>25138</v>
      </c>
      <c r="AA153">
        <v>38480.92</v>
      </c>
      <c r="AB153">
        <v>582906.81999999995</v>
      </c>
      <c r="AC153">
        <v>104092.59</v>
      </c>
      <c r="AD153">
        <v>103434.26</v>
      </c>
      <c r="AE153">
        <v>79166.77</v>
      </c>
      <c r="AF153">
        <v>197001.32</v>
      </c>
      <c r="AG153">
        <v>74869.5</v>
      </c>
      <c r="AH153">
        <v>19221.68</v>
      </c>
      <c r="AI153">
        <v>80328.479999999996</v>
      </c>
      <c r="AJ153">
        <v>81371.490000000005</v>
      </c>
      <c r="AK153">
        <v>20016.88</v>
      </c>
      <c r="AL153">
        <v>76103.75</v>
      </c>
      <c r="AM153">
        <v>784.8</v>
      </c>
      <c r="AN153">
        <v>15463.18</v>
      </c>
      <c r="AO153">
        <v>10573.85</v>
      </c>
      <c r="AP153">
        <v>13206</v>
      </c>
      <c r="AQ153">
        <v>18841.47</v>
      </c>
      <c r="AR153">
        <v>35394.160000000003</v>
      </c>
      <c r="AS153">
        <v>30323.97</v>
      </c>
      <c r="AT153">
        <v>22894.54</v>
      </c>
      <c r="AU153">
        <v>27136.69</v>
      </c>
      <c r="AV153">
        <v>38176.65</v>
      </c>
      <c r="AW153">
        <v>25010.16</v>
      </c>
      <c r="AX153">
        <v>10870.78</v>
      </c>
      <c r="AY153">
        <v>50183.5</v>
      </c>
      <c r="AZ153">
        <v>0</v>
      </c>
      <c r="BA153">
        <v>7626</v>
      </c>
      <c r="BB153">
        <v>5714.4</v>
      </c>
      <c r="BC153">
        <v>72840.53</v>
      </c>
      <c r="BD153">
        <v>211888.31</v>
      </c>
      <c r="BE153">
        <v>70512.2</v>
      </c>
      <c r="BF153">
        <v>23524</v>
      </c>
      <c r="BG153">
        <v>5568.22</v>
      </c>
      <c r="BH153">
        <v>22148.43</v>
      </c>
      <c r="BI153">
        <v>9205.5</v>
      </c>
      <c r="BJ153">
        <v>18444.849999999999</v>
      </c>
      <c r="BK153">
        <v>13433.76</v>
      </c>
      <c r="BL153">
        <v>10549.23</v>
      </c>
      <c r="BM153">
        <v>401.55</v>
      </c>
      <c r="BN153">
        <v>0</v>
      </c>
      <c r="BO153">
        <v>9772.24</v>
      </c>
      <c r="BP153">
        <v>19180.84</v>
      </c>
      <c r="BQ153">
        <v>0</v>
      </c>
      <c r="BR153">
        <v>1458.81</v>
      </c>
      <c r="BS153">
        <v>267.60000000000002</v>
      </c>
    </row>
    <row r="154" spans="1:71" x14ac:dyDescent="0.25">
      <c r="A154" t="s">
        <v>104</v>
      </c>
      <c r="B154" t="s">
        <v>105</v>
      </c>
      <c r="C154">
        <v>3077434</v>
      </c>
      <c r="D154" t="s">
        <v>245</v>
      </c>
      <c r="E154" t="s">
        <v>244</v>
      </c>
      <c r="F154" t="str">
        <f t="shared" si="6"/>
        <v>FR0000130809MTAH</v>
      </c>
      <c r="G154">
        <f t="shared" si="7"/>
        <v>0.38500000000000001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24.64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</row>
    <row r="155" spans="1:71" x14ac:dyDescent="0.25">
      <c r="A155" t="s">
        <v>104</v>
      </c>
      <c r="B155" t="s">
        <v>105</v>
      </c>
      <c r="C155">
        <v>6060208</v>
      </c>
      <c r="D155" t="s">
        <v>243</v>
      </c>
      <c r="E155" t="s">
        <v>244</v>
      </c>
      <c r="F155" t="str">
        <f t="shared" si="6"/>
        <v>FR0000130809ETLX</v>
      </c>
      <c r="G155">
        <f t="shared" si="7"/>
        <v>733.29843749999998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1880.8</v>
      </c>
      <c r="S155">
        <v>2883</v>
      </c>
      <c r="T155">
        <v>0</v>
      </c>
      <c r="U155">
        <v>3101.8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8152.5</v>
      </c>
      <c r="AE155">
        <v>5358</v>
      </c>
      <c r="AF155">
        <v>0</v>
      </c>
      <c r="AG155">
        <v>25555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</row>
    <row r="156" spans="1:71" x14ac:dyDescent="0.25">
      <c r="A156" t="s">
        <v>106</v>
      </c>
      <c r="B156" t="s">
        <v>261</v>
      </c>
      <c r="C156">
        <v>3047344</v>
      </c>
      <c r="D156" t="s">
        <v>248</v>
      </c>
      <c r="E156" t="s">
        <v>244</v>
      </c>
      <c r="F156" t="str">
        <f t="shared" si="6"/>
        <v>FR0000131104BGEM</v>
      </c>
      <c r="G156">
        <f t="shared" si="7"/>
        <v>181707.00859375001</v>
      </c>
      <c r="H156">
        <v>212477.8</v>
      </c>
      <c r="I156">
        <v>49752.19</v>
      </c>
      <c r="J156">
        <v>146495.17000000001</v>
      </c>
      <c r="K156">
        <v>84373.46</v>
      </c>
      <c r="L156">
        <v>101334.48</v>
      </c>
      <c r="M156">
        <v>253920.48</v>
      </c>
      <c r="N156">
        <v>156813.68</v>
      </c>
      <c r="O156">
        <v>127740.74</v>
      </c>
      <c r="P156">
        <v>172960.81</v>
      </c>
      <c r="Q156">
        <v>267318.53999999998</v>
      </c>
      <c r="R156">
        <v>623985.65</v>
      </c>
      <c r="S156">
        <v>315699.77</v>
      </c>
      <c r="T156">
        <v>137372.16</v>
      </c>
      <c r="U156">
        <v>46991.24</v>
      </c>
      <c r="V156">
        <v>25164.720000000001</v>
      </c>
      <c r="W156">
        <v>75007.95</v>
      </c>
      <c r="X156">
        <v>127728.02</v>
      </c>
      <c r="Y156">
        <v>2627.15</v>
      </c>
      <c r="Z156">
        <v>252913.25</v>
      </c>
      <c r="AA156">
        <v>57652.2</v>
      </c>
      <c r="AB156">
        <v>699320.76</v>
      </c>
      <c r="AC156">
        <v>121363.93</v>
      </c>
      <c r="AD156">
        <v>89309.51</v>
      </c>
      <c r="AE156">
        <v>191981.36</v>
      </c>
      <c r="AF156">
        <v>235900.1</v>
      </c>
      <c r="AG156">
        <v>487335.83</v>
      </c>
      <c r="AH156">
        <v>120728.13</v>
      </c>
      <c r="AI156">
        <v>123912.43</v>
      </c>
      <c r="AJ156">
        <v>231061.85</v>
      </c>
      <c r="AK156">
        <v>175298.68</v>
      </c>
      <c r="AL156">
        <v>23870.99</v>
      </c>
      <c r="AM156">
        <v>55536.67</v>
      </c>
      <c r="AN156">
        <v>88692.54</v>
      </c>
      <c r="AO156">
        <v>246481.94</v>
      </c>
      <c r="AP156">
        <v>71787.78</v>
      </c>
      <c r="AQ156">
        <v>87987.28</v>
      </c>
      <c r="AR156">
        <v>720231.45</v>
      </c>
      <c r="AS156">
        <v>123270.04</v>
      </c>
      <c r="AT156">
        <v>85107.87</v>
      </c>
      <c r="AU156">
        <v>164320.79</v>
      </c>
      <c r="AV156">
        <v>226384.52</v>
      </c>
      <c r="AW156">
        <v>24262.62</v>
      </c>
      <c r="AX156">
        <v>162677.01</v>
      </c>
      <c r="AY156">
        <v>163044.28</v>
      </c>
      <c r="AZ156">
        <v>344135.52</v>
      </c>
      <c r="BA156">
        <v>333272.92</v>
      </c>
      <c r="BB156">
        <v>420531.3</v>
      </c>
      <c r="BC156">
        <v>419687.38</v>
      </c>
      <c r="BD156">
        <v>84020.91</v>
      </c>
      <c r="BE156">
        <v>407661.15</v>
      </c>
      <c r="BF156">
        <v>82889.87</v>
      </c>
      <c r="BG156">
        <v>38674.94</v>
      </c>
      <c r="BH156">
        <v>143872.22</v>
      </c>
      <c r="BI156">
        <v>95673.72</v>
      </c>
      <c r="BJ156">
        <v>65963.61</v>
      </c>
      <c r="BK156">
        <v>107992.7</v>
      </c>
      <c r="BL156">
        <v>63906.69</v>
      </c>
      <c r="BM156">
        <v>82539.47</v>
      </c>
      <c r="BN156">
        <v>0</v>
      </c>
      <c r="BO156">
        <v>130301.07</v>
      </c>
      <c r="BP156">
        <v>643727.11</v>
      </c>
      <c r="BQ156">
        <v>0</v>
      </c>
      <c r="BR156">
        <v>96479.76</v>
      </c>
      <c r="BS156">
        <v>109720.39</v>
      </c>
    </row>
    <row r="157" spans="1:71" x14ac:dyDescent="0.25">
      <c r="A157" t="s">
        <v>106</v>
      </c>
      <c r="B157" t="s">
        <v>261</v>
      </c>
      <c r="C157">
        <v>3077433</v>
      </c>
      <c r="D157" t="s">
        <v>245</v>
      </c>
      <c r="E157" t="s">
        <v>244</v>
      </c>
      <c r="F157" t="str">
        <f t="shared" si="6"/>
        <v>FR0000131104MTAH</v>
      </c>
      <c r="G157">
        <f t="shared" si="7"/>
        <v>720.75312500000007</v>
      </c>
      <c r="H157">
        <v>0</v>
      </c>
      <c r="I157">
        <v>0</v>
      </c>
      <c r="J157">
        <v>0</v>
      </c>
      <c r="K157">
        <v>0</v>
      </c>
      <c r="L157">
        <v>18146.400000000001</v>
      </c>
      <c r="M157">
        <v>0</v>
      </c>
      <c r="N157">
        <v>0</v>
      </c>
      <c r="O157">
        <v>0</v>
      </c>
      <c r="P157">
        <v>5034.1499999999996</v>
      </c>
      <c r="Q157">
        <v>635.20000000000005</v>
      </c>
      <c r="R157">
        <v>643.29999999999995</v>
      </c>
      <c r="S157">
        <v>4208.75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3875.4</v>
      </c>
      <c r="AC157">
        <v>0</v>
      </c>
      <c r="AD157">
        <v>0</v>
      </c>
      <c r="AE157">
        <v>0</v>
      </c>
      <c r="AF157">
        <v>1262.5999999999999</v>
      </c>
      <c r="AG157">
        <v>12322.4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</row>
    <row r="158" spans="1:71" x14ac:dyDescent="0.25">
      <c r="A158" t="s">
        <v>106</v>
      </c>
      <c r="B158" t="s">
        <v>261</v>
      </c>
      <c r="C158">
        <v>6051942</v>
      </c>
      <c r="D158" t="s">
        <v>243</v>
      </c>
      <c r="E158" t="s">
        <v>244</v>
      </c>
      <c r="F158" t="str">
        <f t="shared" si="6"/>
        <v>FR0000131104ETLX</v>
      </c>
      <c r="G158">
        <f t="shared" si="7"/>
        <v>651.73640624999996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2100.7800000000002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23085.5</v>
      </c>
      <c r="X158">
        <v>0</v>
      </c>
      <c r="Y158">
        <v>0</v>
      </c>
      <c r="Z158">
        <v>997.65</v>
      </c>
      <c r="AA158">
        <v>0</v>
      </c>
      <c r="AB158">
        <v>10792.1</v>
      </c>
      <c r="AC158">
        <v>0</v>
      </c>
      <c r="AD158">
        <v>0</v>
      </c>
      <c r="AE158">
        <v>0</v>
      </c>
      <c r="AF158">
        <v>0</v>
      </c>
      <c r="AG158">
        <v>2990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854.85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890.25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</row>
    <row r="159" spans="1:71" x14ac:dyDescent="0.25">
      <c r="A159" t="s">
        <v>106</v>
      </c>
      <c r="B159" t="s">
        <v>107</v>
      </c>
      <c r="C159">
        <v>26990</v>
      </c>
      <c r="D159" t="s">
        <v>6</v>
      </c>
      <c r="E159" t="s">
        <v>232</v>
      </c>
      <c r="F159" t="str">
        <f t="shared" si="6"/>
        <v>FR0000131104XPAR</v>
      </c>
      <c r="G159">
        <f t="shared" si="7"/>
        <v>167517127.98671874</v>
      </c>
      <c r="H159">
        <v>163508947.33000001</v>
      </c>
      <c r="I159">
        <v>191944811.74000001</v>
      </c>
      <c r="J159">
        <v>130560400.8</v>
      </c>
      <c r="K159">
        <v>104919833.09</v>
      </c>
      <c r="L159">
        <v>119907513.78</v>
      </c>
      <c r="M159">
        <v>92785510.049999997</v>
      </c>
      <c r="N159">
        <v>90001363.780000001</v>
      </c>
      <c r="O159">
        <v>93996650.670000002</v>
      </c>
      <c r="P159">
        <v>185750691.55000001</v>
      </c>
      <c r="Q159">
        <v>163662040.97999999</v>
      </c>
      <c r="R159">
        <v>231777843.34</v>
      </c>
      <c r="S159">
        <v>210766130.75999999</v>
      </c>
      <c r="T159">
        <v>115531439.73999999</v>
      </c>
      <c r="U159">
        <v>86094829.799999997</v>
      </c>
      <c r="V159">
        <v>111214511.38</v>
      </c>
      <c r="W159">
        <v>114438207.98999999</v>
      </c>
      <c r="X159">
        <v>95660844.879999995</v>
      </c>
      <c r="Y159">
        <v>123783021.11</v>
      </c>
      <c r="Z159">
        <v>151702246.65000001</v>
      </c>
      <c r="AA159">
        <v>135197688.38</v>
      </c>
      <c r="AB159">
        <v>436523229.56999999</v>
      </c>
      <c r="AC159">
        <v>189659525.16999999</v>
      </c>
      <c r="AD159">
        <v>122825863.61</v>
      </c>
      <c r="AE159">
        <v>134884834.80000001</v>
      </c>
      <c r="AF159">
        <v>310734335.25</v>
      </c>
      <c r="AG159">
        <v>316274687.32999998</v>
      </c>
      <c r="AH159">
        <v>281946743.05000001</v>
      </c>
      <c r="AI159">
        <v>186196027.74000001</v>
      </c>
      <c r="AJ159">
        <v>230508186.33000001</v>
      </c>
      <c r="AK159">
        <v>164536510.05000001</v>
      </c>
      <c r="AL159">
        <v>125557112.09999999</v>
      </c>
      <c r="AM159">
        <v>138442292.12</v>
      </c>
      <c r="AN159">
        <v>92749207.930000007</v>
      </c>
      <c r="AO159">
        <v>195429852.88</v>
      </c>
      <c r="AP159">
        <v>178226257.78999999</v>
      </c>
      <c r="AQ159">
        <v>202359912.83000001</v>
      </c>
      <c r="AR159">
        <v>319142186.91000003</v>
      </c>
      <c r="AS159">
        <v>272547267.14999998</v>
      </c>
      <c r="AT159">
        <v>166410364.03999999</v>
      </c>
      <c r="AU159">
        <v>256166025.86000001</v>
      </c>
      <c r="AV159">
        <v>133620016.34</v>
      </c>
      <c r="AW159">
        <v>191950514.90000001</v>
      </c>
      <c r="AX159">
        <v>234676071.03</v>
      </c>
      <c r="AY159">
        <v>202961397.94</v>
      </c>
      <c r="AZ159">
        <v>148312715.52000001</v>
      </c>
      <c r="BA159">
        <v>210664794.11000001</v>
      </c>
      <c r="BB159">
        <v>220318854.33000001</v>
      </c>
      <c r="BC159">
        <v>218473376.43000001</v>
      </c>
      <c r="BD159">
        <v>180225483.36000001</v>
      </c>
      <c r="BE159">
        <v>107735466.83</v>
      </c>
      <c r="BF159">
        <v>180980835.62</v>
      </c>
      <c r="BG159">
        <v>127418547.64</v>
      </c>
      <c r="BH159">
        <v>104418553.43000001</v>
      </c>
      <c r="BI159">
        <v>179489491.81</v>
      </c>
      <c r="BJ159">
        <v>169697395.27000001</v>
      </c>
      <c r="BK159">
        <v>161805126.34</v>
      </c>
      <c r="BL159">
        <v>277160315.45999998</v>
      </c>
      <c r="BM159">
        <v>80043611.310000002</v>
      </c>
      <c r="BN159">
        <v>27645541.66</v>
      </c>
      <c r="BO159">
        <v>136728200.77000001</v>
      </c>
      <c r="BP159">
        <v>98084593.480000004</v>
      </c>
      <c r="BQ159">
        <v>47149342.450000003</v>
      </c>
      <c r="BR159">
        <v>92809040.909999996</v>
      </c>
      <c r="BS159">
        <v>154401953.90000001</v>
      </c>
    </row>
    <row r="160" spans="1:71" x14ac:dyDescent="0.25">
      <c r="A160" t="s">
        <v>108</v>
      </c>
      <c r="B160" t="s">
        <v>109</v>
      </c>
      <c r="C160">
        <v>29157</v>
      </c>
      <c r="D160" t="s">
        <v>6</v>
      </c>
      <c r="E160" t="s">
        <v>232</v>
      </c>
      <c r="F160" t="str">
        <f t="shared" si="6"/>
        <v>FR0000131757XPAR</v>
      </c>
      <c r="G160">
        <f t="shared" si="7"/>
        <v>3690250.9642187501</v>
      </c>
      <c r="H160">
        <v>2472060.2000000002</v>
      </c>
      <c r="I160">
        <v>4639037.0999999996</v>
      </c>
      <c r="J160">
        <v>4201577.05</v>
      </c>
      <c r="K160">
        <v>4325763.29</v>
      </c>
      <c r="L160">
        <v>2893536.15</v>
      </c>
      <c r="M160">
        <v>1649109.65</v>
      </c>
      <c r="N160">
        <v>2377191.25</v>
      </c>
      <c r="O160">
        <v>2713875.15</v>
      </c>
      <c r="P160">
        <v>2888811.5</v>
      </c>
      <c r="Q160">
        <v>28553705.050000001</v>
      </c>
      <c r="R160">
        <v>10729804.6</v>
      </c>
      <c r="S160">
        <v>5882751.3499999996</v>
      </c>
      <c r="T160">
        <v>4386850</v>
      </c>
      <c r="U160">
        <v>2476795.75</v>
      </c>
      <c r="V160">
        <v>6462722.5499999998</v>
      </c>
      <c r="W160">
        <v>7895294.2000000002</v>
      </c>
      <c r="X160">
        <v>5166320</v>
      </c>
      <c r="Y160">
        <v>3785641.15</v>
      </c>
      <c r="Z160">
        <v>3044000.7</v>
      </c>
      <c r="AA160">
        <v>6342378.5499999998</v>
      </c>
      <c r="AB160">
        <v>1858016.35</v>
      </c>
      <c r="AC160">
        <v>1534088.25</v>
      </c>
      <c r="AD160">
        <v>4489973.45</v>
      </c>
      <c r="AE160">
        <v>3015839.4</v>
      </c>
      <c r="AF160">
        <v>3947989.7</v>
      </c>
      <c r="AG160">
        <v>4611001.05</v>
      </c>
      <c r="AH160">
        <v>2694467.6</v>
      </c>
      <c r="AI160">
        <v>2174981.7999999998</v>
      </c>
      <c r="AJ160">
        <v>3366237.55</v>
      </c>
      <c r="AK160">
        <v>3196719.75</v>
      </c>
      <c r="AL160">
        <v>4030929</v>
      </c>
      <c r="AM160">
        <v>3978245.6</v>
      </c>
      <c r="AN160">
        <v>3308788.25</v>
      </c>
      <c r="AO160">
        <v>2612735.4</v>
      </c>
      <c r="AP160">
        <v>2336668.7000000002</v>
      </c>
      <c r="AQ160">
        <v>2495330.1</v>
      </c>
      <c r="AR160">
        <v>2488870.15</v>
      </c>
      <c r="AS160">
        <v>4014375.35</v>
      </c>
      <c r="AT160">
        <v>1944743.3</v>
      </c>
      <c r="AU160">
        <v>4451009.3600000003</v>
      </c>
      <c r="AV160">
        <v>1772822.89</v>
      </c>
      <c r="AW160">
        <v>2142486.5499999998</v>
      </c>
      <c r="AX160">
        <v>3968818.32</v>
      </c>
      <c r="AY160">
        <v>2097876.44</v>
      </c>
      <c r="AZ160">
        <v>2440502.06</v>
      </c>
      <c r="BA160">
        <v>2327287.7799999998</v>
      </c>
      <c r="BB160">
        <v>2611180.92</v>
      </c>
      <c r="BC160">
        <v>7279733.0999999996</v>
      </c>
      <c r="BD160">
        <v>3814443.65</v>
      </c>
      <c r="BE160">
        <v>2019710.75</v>
      </c>
      <c r="BF160">
        <v>4058000.05</v>
      </c>
      <c r="BG160">
        <v>3363952.35</v>
      </c>
      <c r="BH160">
        <v>2974877.5</v>
      </c>
      <c r="BI160">
        <v>1939672.5</v>
      </c>
      <c r="BJ160">
        <v>1396930.85</v>
      </c>
      <c r="BK160">
        <v>2555072.75</v>
      </c>
      <c r="BL160">
        <v>2707720.75</v>
      </c>
      <c r="BM160">
        <v>1172302.3</v>
      </c>
      <c r="BN160">
        <v>1237284.25</v>
      </c>
      <c r="BO160">
        <v>2915876.7</v>
      </c>
      <c r="BP160">
        <v>1220692.1499999999</v>
      </c>
      <c r="BQ160">
        <v>655696.65</v>
      </c>
      <c r="BR160">
        <v>1397325.1</v>
      </c>
      <c r="BS160">
        <v>2667560</v>
      </c>
    </row>
    <row r="161" spans="1:71" x14ac:dyDescent="0.25">
      <c r="A161" t="s">
        <v>108</v>
      </c>
      <c r="B161" t="s">
        <v>109</v>
      </c>
      <c r="C161">
        <v>9078161</v>
      </c>
      <c r="D161" t="s">
        <v>245</v>
      </c>
      <c r="E161" t="s">
        <v>244</v>
      </c>
      <c r="F161" t="str">
        <f t="shared" si="6"/>
        <v>FR0000131757MTAH</v>
      </c>
      <c r="G161">
        <f t="shared" si="7"/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</row>
    <row r="162" spans="1:71" x14ac:dyDescent="0.25">
      <c r="A162" t="s">
        <v>110</v>
      </c>
      <c r="B162" t="s">
        <v>111</v>
      </c>
      <c r="C162">
        <v>29512</v>
      </c>
      <c r="D162" t="s">
        <v>6</v>
      </c>
      <c r="E162" t="s">
        <v>232</v>
      </c>
      <c r="F162" t="str">
        <f t="shared" si="6"/>
        <v>FR0000131906XPAR</v>
      </c>
      <c r="G162">
        <f t="shared" si="7"/>
        <v>40874892.56718751</v>
      </c>
      <c r="H162">
        <v>39661346.68</v>
      </c>
      <c r="I162">
        <v>41024327.049999997</v>
      </c>
      <c r="J162">
        <v>27344899.59</v>
      </c>
      <c r="K162">
        <v>57220897.619999997</v>
      </c>
      <c r="L162">
        <v>55016508.670000002</v>
      </c>
      <c r="M162">
        <v>19816585.32</v>
      </c>
      <c r="N162">
        <v>27977280.210000001</v>
      </c>
      <c r="O162">
        <v>18952151.170000002</v>
      </c>
      <c r="P162">
        <v>31884706.379999999</v>
      </c>
      <c r="Q162">
        <v>38888963.649999999</v>
      </c>
      <c r="R162">
        <v>34543199.289999999</v>
      </c>
      <c r="S162">
        <v>29415651.219999999</v>
      </c>
      <c r="T162">
        <v>24882449.68</v>
      </c>
      <c r="U162">
        <v>21846321.859999999</v>
      </c>
      <c r="V162">
        <v>37069915.850000001</v>
      </c>
      <c r="W162">
        <v>88642332.140000001</v>
      </c>
      <c r="X162">
        <v>65965328.57</v>
      </c>
      <c r="Y162">
        <v>43482136.840000004</v>
      </c>
      <c r="Z162">
        <v>44493228.130000003</v>
      </c>
      <c r="AA162">
        <v>37572617.009999998</v>
      </c>
      <c r="AB162">
        <v>51033228</v>
      </c>
      <c r="AC162">
        <v>46018867.039999999</v>
      </c>
      <c r="AD162">
        <v>30259114.039999999</v>
      </c>
      <c r="AE162">
        <v>22801458.18</v>
      </c>
      <c r="AF162">
        <v>60003353.390000001</v>
      </c>
      <c r="AG162">
        <v>52751115.82</v>
      </c>
      <c r="AH162">
        <v>36575450.710000001</v>
      </c>
      <c r="AI162">
        <v>32667098.27</v>
      </c>
      <c r="AJ162">
        <v>41807410.140000001</v>
      </c>
      <c r="AK162">
        <v>29851189.399999999</v>
      </c>
      <c r="AL162">
        <v>44830669.200000003</v>
      </c>
      <c r="AM162">
        <v>29548059.620000001</v>
      </c>
      <c r="AN162">
        <v>25379981.109999999</v>
      </c>
      <c r="AO162">
        <v>36793195.159999996</v>
      </c>
      <c r="AP162">
        <v>28627929.309999999</v>
      </c>
      <c r="AQ162">
        <v>22322601.859999999</v>
      </c>
      <c r="AR162">
        <v>43139353.170000002</v>
      </c>
      <c r="AS162">
        <v>60496413.380000003</v>
      </c>
      <c r="AT162">
        <v>40022835.719999999</v>
      </c>
      <c r="AU162">
        <v>35211872.68</v>
      </c>
      <c r="AV162">
        <v>28668160.02</v>
      </c>
      <c r="AW162">
        <v>36411194.049999997</v>
      </c>
      <c r="AX162">
        <v>67341153.989999995</v>
      </c>
      <c r="AY162">
        <v>30308806.350000001</v>
      </c>
      <c r="AZ162">
        <v>62950536.259999998</v>
      </c>
      <c r="BA162">
        <v>56869299.649999999</v>
      </c>
      <c r="BB162">
        <v>73696805.329999998</v>
      </c>
      <c r="BC162">
        <v>41957694.130000003</v>
      </c>
      <c r="BD162">
        <v>33478083.149999999</v>
      </c>
      <c r="BE162">
        <v>22215998.5</v>
      </c>
      <c r="BF162">
        <v>22531181.739999998</v>
      </c>
      <c r="BG162">
        <v>44904741.780000001</v>
      </c>
      <c r="BH162">
        <v>40943903.789999999</v>
      </c>
      <c r="BI162">
        <v>39879587.810000002</v>
      </c>
      <c r="BJ162">
        <v>124171080.22</v>
      </c>
      <c r="BK162">
        <v>61408741.759999998</v>
      </c>
      <c r="BL162">
        <v>97880602.109999999</v>
      </c>
      <c r="BM162">
        <v>34623375.380000003</v>
      </c>
      <c r="BN162">
        <v>18533408.68</v>
      </c>
      <c r="BO162">
        <v>28236385</v>
      </c>
      <c r="BP162">
        <v>20824664.670000002</v>
      </c>
      <c r="BQ162">
        <v>11356929.52</v>
      </c>
      <c r="BR162">
        <v>28132175.129999999</v>
      </c>
      <c r="BS162">
        <v>32826572.149999999</v>
      </c>
    </row>
    <row r="163" spans="1:71" x14ac:dyDescent="0.25">
      <c r="A163" t="s">
        <v>110</v>
      </c>
      <c r="B163" t="s">
        <v>111</v>
      </c>
      <c r="C163">
        <v>3052963</v>
      </c>
      <c r="D163" t="s">
        <v>248</v>
      </c>
      <c r="E163" t="s">
        <v>244</v>
      </c>
      <c r="F163" t="str">
        <f t="shared" si="6"/>
        <v>FR0000131906BGEM</v>
      </c>
      <c r="G163">
        <f t="shared" si="7"/>
        <v>74262.584218750009</v>
      </c>
      <c r="H163">
        <v>68155.649999999994</v>
      </c>
      <c r="I163">
        <v>114773.98</v>
      </c>
      <c r="J163">
        <v>26503.4</v>
      </c>
      <c r="K163">
        <v>99764.81</v>
      </c>
      <c r="L163">
        <v>178527.31</v>
      </c>
      <c r="M163">
        <v>0</v>
      </c>
      <c r="N163">
        <v>13244.18</v>
      </c>
      <c r="O163">
        <v>25264.33</v>
      </c>
      <c r="P163">
        <v>43683.78</v>
      </c>
      <c r="Q163">
        <v>88267.06</v>
      </c>
      <c r="R163">
        <v>77202.25</v>
      </c>
      <c r="S163">
        <v>44524.69</v>
      </c>
      <c r="T163">
        <v>33781.54</v>
      </c>
      <c r="U163">
        <v>16792.11</v>
      </c>
      <c r="V163">
        <v>77246.87</v>
      </c>
      <c r="W163">
        <v>284960.96999999997</v>
      </c>
      <c r="X163">
        <v>185527.43</v>
      </c>
      <c r="Y163">
        <v>42600.13</v>
      </c>
      <c r="Z163">
        <v>10827.31</v>
      </c>
      <c r="AA163">
        <v>68614.55</v>
      </c>
      <c r="AB163">
        <v>15858.62</v>
      </c>
      <c r="AC163">
        <v>8835.75</v>
      </c>
      <c r="AD163">
        <v>21757.7</v>
      </c>
      <c r="AE163">
        <v>11286.65</v>
      </c>
      <c r="AF163">
        <v>329167.44</v>
      </c>
      <c r="AG163">
        <v>49260.04</v>
      </c>
      <c r="AH163">
        <v>17347.75</v>
      </c>
      <c r="AI163">
        <v>7255.09</v>
      </c>
      <c r="AJ163">
        <v>7214.3</v>
      </c>
      <c r="AK163">
        <v>34563.040000000001</v>
      </c>
      <c r="AL163">
        <v>52947.65</v>
      </c>
      <c r="AM163">
        <v>10627.81</v>
      </c>
      <c r="AN163">
        <v>20325.53</v>
      </c>
      <c r="AO163">
        <v>1633.04</v>
      </c>
      <c r="AP163">
        <v>14634.57</v>
      </c>
      <c r="AQ163">
        <v>20578.490000000002</v>
      </c>
      <c r="AR163">
        <v>32550.97</v>
      </c>
      <c r="AS163">
        <v>58533.38</v>
      </c>
      <c r="AT163">
        <v>19982.41</v>
      </c>
      <c r="AU163">
        <v>15503.1</v>
      </c>
      <c r="AV163">
        <v>0</v>
      </c>
      <c r="AW163">
        <v>3964.62</v>
      </c>
      <c r="AX163">
        <v>100543.83</v>
      </c>
      <c r="AY163">
        <v>55051.26</v>
      </c>
      <c r="AZ163">
        <v>106154.85</v>
      </c>
      <c r="BA163">
        <v>130282.22</v>
      </c>
      <c r="BB163">
        <v>459060.28</v>
      </c>
      <c r="BC163">
        <v>133421.95000000001</v>
      </c>
      <c r="BD163">
        <v>65860.88</v>
      </c>
      <c r="BE163">
        <v>129613.92</v>
      </c>
      <c r="BF163">
        <v>73297.460000000006</v>
      </c>
      <c r="BG163">
        <v>234520.48</v>
      </c>
      <c r="BH163">
        <v>114161.21</v>
      </c>
      <c r="BI163">
        <v>31798.17</v>
      </c>
      <c r="BJ163">
        <v>389847.94</v>
      </c>
      <c r="BK163">
        <v>28425.64</v>
      </c>
      <c r="BL163">
        <v>28013.49</v>
      </c>
      <c r="BM163">
        <v>108026.9</v>
      </c>
      <c r="BN163">
        <v>0</v>
      </c>
      <c r="BO163">
        <v>274148.64</v>
      </c>
      <c r="BP163">
        <v>11239.94</v>
      </c>
      <c r="BQ163">
        <v>0</v>
      </c>
      <c r="BR163">
        <v>7660.27</v>
      </c>
      <c r="BS163">
        <v>17585.759999999998</v>
      </c>
    </row>
    <row r="164" spans="1:71" x14ac:dyDescent="0.25">
      <c r="A164" t="s">
        <v>110</v>
      </c>
      <c r="B164" t="s">
        <v>111</v>
      </c>
      <c r="C164">
        <v>3077432</v>
      </c>
      <c r="D164" t="s">
        <v>245</v>
      </c>
      <c r="E164" t="s">
        <v>244</v>
      </c>
      <c r="F164" t="str">
        <f t="shared" si="6"/>
        <v>FR0000131906MTAH</v>
      </c>
      <c r="G164">
        <f t="shared" si="7"/>
        <v>16.12875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1032.24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</row>
    <row r="165" spans="1:71" x14ac:dyDescent="0.25">
      <c r="A165" t="s">
        <v>110</v>
      </c>
      <c r="B165" t="s">
        <v>111</v>
      </c>
      <c r="C165">
        <v>6051941</v>
      </c>
      <c r="D165" t="s">
        <v>243</v>
      </c>
      <c r="E165" t="s">
        <v>244</v>
      </c>
      <c r="F165" t="str">
        <f t="shared" si="6"/>
        <v>FR0000131906ETLX</v>
      </c>
      <c r="G165">
        <f t="shared" si="7"/>
        <v>999.32999999999993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779.8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6155.2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2204.62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54817.5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</row>
    <row r="166" spans="1:71" x14ac:dyDescent="0.25">
      <c r="A166" t="s">
        <v>112</v>
      </c>
      <c r="B166" t="s">
        <v>113</v>
      </c>
      <c r="C166">
        <v>36064</v>
      </c>
      <c r="D166" t="s">
        <v>6</v>
      </c>
      <c r="E166" t="s">
        <v>232</v>
      </c>
      <c r="F166" t="str">
        <f t="shared" si="6"/>
        <v>FR0000133308XPAR</v>
      </c>
      <c r="G166">
        <f t="shared" si="7"/>
        <v>64126796.696250014</v>
      </c>
      <c r="H166">
        <v>181829085.90000001</v>
      </c>
      <c r="I166">
        <v>98705002.180000007</v>
      </c>
      <c r="J166">
        <v>55529450.060000002</v>
      </c>
      <c r="K166">
        <v>65249599.289999999</v>
      </c>
      <c r="L166">
        <v>48767323.969999999</v>
      </c>
      <c r="M166">
        <v>38365744.57</v>
      </c>
      <c r="N166">
        <v>56809472.799999997</v>
      </c>
      <c r="O166">
        <v>37924221.719999999</v>
      </c>
      <c r="P166">
        <v>65860698.039999999</v>
      </c>
      <c r="Q166">
        <v>86629928.209999993</v>
      </c>
      <c r="R166">
        <v>70178047.349999994</v>
      </c>
      <c r="S166">
        <v>54958052.189999998</v>
      </c>
      <c r="T166">
        <v>50672537.149999999</v>
      </c>
      <c r="U166">
        <v>48586388.100000001</v>
      </c>
      <c r="V166">
        <v>67232146.239999995</v>
      </c>
      <c r="W166">
        <v>75547391.280000001</v>
      </c>
      <c r="X166">
        <v>65224241.5</v>
      </c>
      <c r="Y166">
        <v>49168923.990000002</v>
      </c>
      <c r="Z166">
        <v>52148359.460000001</v>
      </c>
      <c r="AA166">
        <v>83199041.170000002</v>
      </c>
      <c r="AB166">
        <v>91953585.769999996</v>
      </c>
      <c r="AC166">
        <v>48023912.200000003</v>
      </c>
      <c r="AD166">
        <v>34451697.219999999</v>
      </c>
      <c r="AE166">
        <v>30707740.600000001</v>
      </c>
      <c r="AF166">
        <v>106565104.22</v>
      </c>
      <c r="AG166">
        <v>69883133.459999993</v>
      </c>
      <c r="AH166">
        <v>55567187.670000002</v>
      </c>
      <c r="AI166">
        <v>64564619.43</v>
      </c>
      <c r="AJ166">
        <v>98520206.980000004</v>
      </c>
      <c r="AK166">
        <v>53938384.740000002</v>
      </c>
      <c r="AL166">
        <v>70881454.060000002</v>
      </c>
      <c r="AM166">
        <v>78636532.689999998</v>
      </c>
      <c r="AN166">
        <v>39974630.799999997</v>
      </c>
      <c r="AO166">
        <v>47152128.469999999</v>
      </c>
      <c r="AP166">
        <v>47167311.229999997</v>
      </c>
      <c r="AQ166">
        <v>37978799.140000001</v>
      </c>
      <c r="AR166">
        <v>65462599.799999997</v>
      </c>
      <c r="AS166">
        <v>138155519.93000001</v>
      </c>
      <c r="AT166">
        <v>52653217.530000001</v>
      </c>
      <c r="AU166">
        <v>70863018.5</v>
      </c>
      <c r="AV166">
        <v>52918346.799999997</v>
      </c>
      <c r="AW166">
        <v>64224698.039999999</v>
      </c>
      <c r="AX166">
        <v>87205795.569999993</v>
      </c>
      <c r="AY166">
        <v>93604342.189999998</v>
      </c>
      <c r="AZ166">
        <v>137985848.16</v>
      </c>
      <c r="BA166">
        <v>88345398.280000001</v>
      </c>
      <c r="BB166">
        <v>57865177.100000001</v>
      </c>
      <c r="BC166">
        <v>46254477.409999996</v>
      </c>
      <c r="BD166">
        <v>39643204.289999999</v>
      </c>
      <c r="BE166">
        <v>73318152.629999995</v>
      </c>
      <c r="BF166">
        <v>46354099.969999999</v>
      </c>
      <c r="BG166">
        <v>51160321.140000001</v>
      </c>
      <c r="BH166">
        <v>47672248.039999999</v>
      </c>
      <c r="BI166">
        <v>58549391.75</v>
      </c>
      <c r="BJ166">
        <v>62365287.75</v>
      </c>
      <c r="BK166">
        <v>78676190.959999993</v>
      </c>
      <c r="BL166">
        <v>124736848.77</v>
      </c>
      <c r="BM166">
        <v>38121889.280000001</v>
      </c>
      <c r="BN166">
        <v>16012138.039999999</v>
      </c>
      <c r="BO166">
        <v>37315450.770000003</v>
      </c>
      <c r="BP166">
        <v>35328600.460000001</v>
      </c>
      <c r="BQ166">
        <v>15405116.550000001</v>
      </c>
      <c r="BR166">
        <v>43491135.450000003</v>
      </c>
      <c r="BS166">
        <v>51874389.549999997</v>
      </c>
    </row>
    <row r="167" spans="1:71" x14ac:dyDescent="0.25">
      <c r="A167" t="s">
        <v>112</v>
      </c>
      <c r="B167" t="s">
        <v>113</v>
      </c>
      <c r="C167">
        <v>3047345</v>
      </c>
      <c r="D167" t="s">
        <v>248</v>
      </c>
      <c r="E167" t="s">
        <v>244</v>
      </c>
      <c r="F167" t="str">
        <f t="shared" si="6"/>
        <v>FR0000133308BGEM</v>
      </c>
      <c r="G167">
        <f t="shared" si="7"/>
        <v>10306.167812500002</v>
      </c>
      <c r="H167">
        <v>104117.57</v>
      </c>
      <c r="I167">
        <v>3583.64</v>
      </c>
      <c r="J167">
        <v>9900</v>
      </c>
      <c r="K167">
        <v>13679.49</v>
      </c>
      <c r="L167">
        <v>81260.070000000007</v>
      </c>
      <c r="M167">
        <v>25416.5</v>
      </c>
      <c r="N167">
        <v>26790.240000000002</v>
      </c>
      <c r="O167">
        <v>0</v>
      </c>
      <c r="P167">
        <v>1510</v>
      </c>
      <c r="Q167">
        <v>21499</v>
      </c>
      <c r="R167">
        <v>6714.03</v>
      </c>
      <c r="S167">
        <v>510.25</v>
      </c>
      <c r="T167">
        <v>0</v>
      </c>
      <c r="U167">
        <v>21105</v>
      </c>
      <c r="V167">
        <v>3051</v>
      </c>
      <c r="W167">
        <v>750.81</v>
      </c>
      <c r="X167">
        <v>685.8</v>
      </c>
      <c r="Y167">
        <v>0</v>
      </c>
      <c r="Z167">
        <v>0</v>
      </c>
      <c r="AA167">
        <v>10010</v>
      </c>
      <c r="AB167">
        <v>4728.68</v>
      </c>
      <c r="AC167">
        <v>0</v>
      </c>
      <c r="AD167">
        <v>26513.96</v>
      </c>
      <c r="AE167">
        <v>0</v>
      </c>
      <c r="AF167">
        <v>9974</v>
      </c>
      <c r="AG167">
        <v>3944</v>
      </c>
      <c r="AH167">
        <v>29.78</v>
      </c>
      <c r="AI167">
        <v>279.38</v>
      </c>
      <c r="AJ167">
        <v>2102.3200000000002</v>
      </c>
      <c r="AK167">
        <v>8650.08</v>
      </c>
      <c r="AL167">
        <v>0</v>
      </c>
      <c r="AM167">
        <v>0</v>
      </c>
      <c r="AN167">
        <v>0</v>
      </c>
      <c r="AO167">
        <v>1950.8</v>
      </c>
      <c r="AP167">
        <v>1505.41</v>
      </c>
      <c r="AQ167">
        <v>98.84</v>
      </c>
      <c r="AR167">
        <v>31847.31</v>
      </c>
      <c r="AS167">
        <v>99.74</v>
      </c>
      <c r="AT167">
        <v>34559.550000000003</v>
      </c>
      <c r="AU167">
        <v>1986.6</v>
      </c>
      <c r="AV167">
        <v>1802.12</v>
      </c>
      <c r="AW167">
        <v>0</v>
      </c>
      <c r="AX167">
        <v>4136.8</v>
      </c>
      <c r="AY167">
        <v>96.3</v>
      </c>
      <c r="AZ167">
        <v>34413.269999999997</v>
      </c>
      <c r="BA167">
        <v>5185.12</v>
      </c>
      <c r="BB167">
        <v>14006.58</v>
      </c>
      <c r="BC167">
        <v>1714.24</v>
      </c>
      <c r="BD167">
        <v>4268.8999999999996</v>
      </c>
      <c r="BE167">
        <v>4404.92</v>
      </c>
      <c r="BF167">
        <v>956</v>
      </c>
      <c r="BG167">
        <v>7713.6</v>
      </c>
      <c r="BH167">
        <v>5575.05</v>
      </c>
      <c r="BI167">
        <v>53983.4</v>
      </c>
      <c r="BJ167">
        <v>12746.5</v>
      </c>
      <c r="BK167">
        <v>3850.67</v>
      </c>
      <c r="BL167">
        <v>11278.6</v>
      </c>
      <c r="BM167">
        <v>0</v>
      </c>
      <c r="BN167">
        <v>0</v>
      </c>
      <c r="BO167">
        <v>1725.82</v>
      </c>
      <c r="BP167">
        <v>0</v>
      </c>
      <c r="BQ167">
        <v>0</v>
      </c>
      <c r="BR167">
        <v>32883</v>
      </c>
      <c r="BS167">
        <v>0</v>
      </c>
    </row>
    <row r="168" spans="1:71" x14ac:dyDescent="0.25">
      <c r="A168" t="s">
        <v>112</v>
      </c>
      <c r="B168" t="s">
        <v>113</v>
      </c>
      <c r="C168">
        <v>3077431</v>
      </c>
      <c r="D168" t="s">
        <v>245</v>
      </c>
      <c r="E168" t="s">
        <v>244</v>
      </c>
      <c r="F168" t="str">
        <f t="shared" si="6"/>
        <v>FR0000133308MTAH</v>
      </c>
      <c r="G168">
        <f t="shared" si="7"/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</row>
    <row r="169" spans="1:71" x14ac:dyDescent="0.25">
      <c r="A169" t="s">
        <v>112</v>
      </c>
      <c r="B169" t="s">
        <v>113</v>
      </c>
      <c r="C169">
        <v>6060207</v>
      </c>
      <c r="D169" t="s">
        <v>243</v>
      </c>
      <c r="E169" t="s">
        <v>244</v>
      </c>
      <c r="F169" t="str">
        <f t="shared" si="6"/>
        <v>FR0000133308ETLX</v>
      </c>
      <c r="G169">
        <f t="shared" si="7"/>
        <v>1366.8089062500001</v>
      </c>
      <c r="H169">
        <v>0</v>
      </c>
      <c r="I169">
        <v>0</v>
      </c>
      <c r="J169">
        <v>0</v>
      </c>
      <c r="K169">
        <v>0</v>
      </c>
      <c r="L169">
        <v>5158.22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201.5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1494.3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75928.75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391.2</v>
      </c>
      <c r="BE169">
        <v>0</v>
      </c>
      <c r="BF169">
        <v>0</v>
      </c>
      <c r="BG169">
        <v>0</v>
      </c>
      <c r="BH169">
        <v>480.2</v>
      </c>
      <c r="BI169">
        <v>0</v>
      </c>
      <c r="BJ169">
        <v>3821.6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</row>
    <row r="170" spans="1:71" x14ac:dyDescent="0.25">
      <c r="A170" t="s">
        <v>114</v>
      </c>
      <c r="B170" t="s">
        <v>115</v>
      </c>
      <c r="C170">
        <v>27971</v>
      </c>
      <c r="D170" t="s">
        <v>6</v>
      </c>
      <c r="E170" t="s">
        <v>232</v>
      </c>
      <c r="F170" t="str">
        <f t="shared" si="6"/>
        <v>FR0004024222XPAR</v>
      </c>
      <c r="G170">
        <f t="shared" si="7"/>
        <v>1504415.4390625001</v>
      </c>
      <c r="H170">
        <v>1088875.2</v>
      </c>
      <c r="I170">
        <v>985463.2</v>
      </c>
      <c r="J170">
        <v>1483868.35</v>
      </c>
      <c r="K170">
        <v>1856603.95</v>
      </c>
      <c r="L170">
        <v>721235.15</v>
      </c>
      <c r="M170">
        <v>1247226.5</v>
      </c>
      <c r="N170">
        <v>1081190.1499999999</v>
      </c>
      <c r="O170">
        <v>1089804.25</v>
      </c>
      <c r="P170">
        <v>2298093.1</v>
      </c>
      <c r="Q170">
        <v>2786853.29</v>
      </c>
      <c r="R170">
        <v>2352945.0299999998</v>
      </c>
      <c r="S170">
        <v>2505602.15</v>
      </c>
      <c r="T170">
        <v>1771901.75</v>
      </c>
      <c r="U170">
        <v>3821150.97</v>
      </c>
      <c r="V170">
        <v>2248336</v>
      </c>
      <c r="W170">
        <v>1880740.95</v>
      </c>
      <c r="X170">
        <v>1858655.95</v>
      </c>
      <c r="Y170">
        <v>1471305.5</v>
      </c>
      <c r="Z170">
        <v>2096115.75</v>
      </c>
      <c r="AA170">
        <v>4707737.8499999996</v>
      </c>
      <c r="AB170">
        <v>1566107.55</v>
      </c>
      <c r="AC170">
        <v>2315472.5499999998</v>
      </c>
      <c r="AD170">
        <v>1168725.05</v>
      </c>
      <c r="AE170">
        <v>1070222.8999999999</v>
      </c>
      <c r="AF170">
        <v>1947957.55</v>
      </c>
      <c r="AG170">
        <v>1355858.65</v>
      </c>
      <c r="AH170">
        <v>1407415.1</v>
      </c>
      <c r="AI170">
        <v>1043230.95</v>
      </c>
      <c r="AJ170">
        <v>1643075.15</v>
      </c>
      <c r="AK170">
        <v>2594207.5</v>
      </c>
      <c r="AL170">
        <v>1456701.6</v>
      </c>
      <c r="AM170">
        <v>1246458.3999999999</v>
      </c>
      <c r="AN170">
        <v>1426505.35</v>
      </c>
      <c r="AO170">
        <v>1908988.05</v>
      </c>
      <c r="AP170">
        <v>1585591.1</v>
      </c>
      <c r="AQ170">
        <v>1110552.55</v>
      </c>
      <c r="AR170">
        <v>1408219.85</v>
      </c>
      <c r="AS170">
        <v>2344549.2999999998</v>
      </c>
      <c r="AT170">
        <v>1399445.5</v>
      </c>
      <c r="AU170">
        <v>1115791.55</v>
      </c>
      <c r="AV170">
        <v>1208126.45</v>
      </c>
      <c r="AW170">
        <v>1367943.38</v>
      </c>
      <c r="AX170">
        <v>1271231.45</v>
      </c>
      <c r="AY170">
        <v>1327631.05</v>
      </c>
      <c r="AZ170">
        <v>849231.15</v>
      </c>
      <c r="BA170">
        <v>747289.68</v>
      </c>
      <c r="BB170">
        <v>1391746.15</v>
      </c>
      <c r="BC170">
        <v>2112561.2000000002</v>
      </c>
      <c r="BD170">
        <v>1101869.45</v>
      </c>
      <c r="BE170">
        <v>1253344.55</v>
      </c>
      <c r="BF170">
        <v>989549.9</v>
      </c>
      <c r="BG170">
        <v>799339.65</v>
      </c>
      <c r="BH170">
        <v>1253082.8999999999</v>
      </c>
      <c r="BI170">
        <v>1272480.25</v>
      </c>
      <c r="BJ170">
        <v>1077126.1499999999</v>
      </c>
      <c r="BK170">
        <v>1300126.3500000001</v>
      </c>
      <c r="BL170">
        <v>958737</v>
      </c>
      <c r="BM170">
        <v>1045935.2</v>
      </c>
      <c r="BN170">
        <v>537888.44999999995</v>
      </c>
      <c r="BO170">
        <v>792988.6</v>
      </c>
      <c r="BP170">
        <v>740383.85</v>
      </c>
      <c r="BQ170">
        <v>795124.05</v>
      </c>
      <c r="BR170">
        <v>773645.65</v>
      </c>
      <c r="BS170">
        <v>846424.35</v>
      </c>
    </row>
    <row r="171" spans="1:71" x14ac:dyDescent="0.25">
      <c r="A171" t="s">
        <v>114</v>
      </c>
      <c r="B171" t="s">
        <v>115</v>
      </c>
      <c r="C171">
        <v>9078159</v>
      </c>
      <c r="D171" t="s">
        <v>245</v>
      </c>
      <c r="E171" t="s">
        <v>244</v>
      </c>
      <c r="F171" t="str">
        <f t="shared" si="6"/>
        <v>FR0004024222MTAH</v>
      </c>
      <c r="G171">
        <f t="shared" si="7"/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</row>
    <row r="172" spans="1:71" x14ac:dyDescent="0.25">
      <c r="A172" t="s">
        <v>116</v>
      </c>
      <c r="B172" t="s">
        <v>117</v>
      </c>
      <c r="C172">
        <v>160435</v>
      </c>
      <c r="D172" t="s">
        <v>6</v>
      </c>
      <c r="E172" t="s">
        <v>232</v>
      </c>
      <c r="F172" t="str">
        <f t="shared" si="6"/>
        <v>FR0004056851XPAR</v>
      </c>
      <c r="G172">
        <f t="shared" si="7"/>
        <v>1507544.9476562499</v>
      </c>
      <c r="H172">
        <v>1431572.27</v>
      </c>
      <c r="I172">
        <v>911205.02</v>
      </c>
      <c r="J172">
        <v>716162.63</v>
      </c>
      <c r="K172">
        <v>662091.35</v>
      </c>
      <c r="L172">
        <v>1059138.17</v>
      </c>
      <c r="M172">
        <v>968194.99</v>
      </c>
      <c r="N172">
        <v>734898.7</v>
      </c>
      <c r="O172">
        <v>1526086.87</v>
      </c>
      <c r="P172">
        <v>839217.16</v>
      </c>
      <c r="Q172">
        <v>776885.78</v>
      </c>
      <c r="R172">
        <v>2170492.69</v>
      </c>
      <c r="S172">
        <v>2113153.54</v>
      </c>
      <c r="T172">
        <v>947938.34</v>
      </c>
      <c r="U172">
        <v>1288637.1399999999</v>
      </c>
      <c r="V172">
        <v>954733.36</v>
      </c>
      <c r="W172">
        <v>675578.67</v>
      </c>
      <c r="X172">
        <v>601521.78</v>
      </c>
      <c r="Y172">
        <v>1854964.76</v>
      </c>
      <c r="Z172">
        <v>922574.7</v>
      </c>
      <c r="AA172">
        <v>865031.79</v>
      </c>
      <c r="AB172">
        <v>1165163.46</v>
      </c>
      <c r="AC172">
        <v>469388.39</v>
      </c>
      <c r="AD172">
        <v>789866.3</v>
      </c>
      <c r="AE172">
        <v>473610.8</v>
      </c>
      <c r="AF172">
        <v>1015072.83</v>
      </c>
      <c r="AG172">
        <v>1626425.61</v>
      </c>
      <c r="AH172">
        <v>1390846.74</v>
      </c>
      <c r="AI172">
        <v>973357.54</v>
      </c>
      <c r="AJ172">
        <v>1856391.44</v>
      </c>
      <c r="AK172">
        <v>2045183.22</v>
      </c>
      <c r="AL172">
        <v>835329.02</v>
      </c>
      <c r="AM172">
        <v>2392503.2799999998</v>
      </c>
      <c r="AN172">
        <v>1649281.9</v>
      </c>
      <c r="AO172">
        <v>809232.11</v>
      </c>
      <c r="AP172">
        <v>801614.88</v>
      </c>
      <c r="AQ172">
        <v>1129355.1000000001</v>
      </c>
      <c r="AR172">
        <v>888352.34</v>
      </c>
      <c r="AS172">
        <v>1664884.62</v>
      </c>
      <c r="AT172">
        <v>1916136.27</v>
      </c>
      <c r="AU172">
        <v>1697889.88</v>
      </c>
      <c r="AV172">
        <v>1384691.27</v>
      </c>
      <c r="AW172">
        <v>1359035.9</v>
      </c>
      <c r="AX172">
        <v>1270899.98</v>
      </c>
      <c r="AY172">
        <v>1945986.23</v>
      </c>
      <c r="AZ172">
        <v>3562716.22</v>
      </c>
      <c r="BA172">
        <v>1836658.6</v>
      </c>
      <c r="BB172">
        <v>1587382.52</v>
      </c>
      <c r="BC172">
        <v>1611270.27</v>
      </c>
      <c r="BD172">
        <v>1920328.66</v>
      </c>
      <c r="BE172">
        <v>886053.91</v>
      </c>
      <c r="BF172">
        <v>1063584.8</v>
      </c>
      <c r="BG172">
        <v>678175.26</v>
      </c>
      <c r="BH172">
        <v>1476201.65</v>
      </c>
      <c r="BI172">
        <v>742027.46</v>
      </c>
      <c r="BJ172">
        <v>881134.61</v>
      </c>
      <c r="BK172">
        <v>3565283.46</v>
      </c>
      <c r="BL172">
        <v>6522972.3499999996</v>
      </c>
      <c r="BM172">
        <v>1458129.94</v>
      </c>
      <c r="BN172">
        <v>742964.34</v>
      </c>
      <c r="BO172">
        <v>3480938.02</v>
      </c>
      <c r="BP172">
        <v>3226061.15</v>
      </c>
      <c r="BQ172">
        <v>1058290.94</v>
      </c>
      <c r="BR172">
        <v>3509941.16</v>
      </c>
      <c r="BS172">
        <v>3102182.51</v>
      </c>
    </row>
    <row r="173" spans="1:71" x14ac:dyDescent="0.25">
      <c r="A173" t="s">
        <v>116</v>
      </c>
      <c r="B173" t="s">
        <v>117</v>
      </c>
      <c r="C173">
        <v>6060206</v>
      </c>
      <c r="D173" t="s">
        <v>243</v>
      </c>
      <c r="E173" t="s">
        <v>244</v>
      </c>
      <c r="F173" t="str">
        <f t="shared" si="6"/>
        <v>FR0004056851ETLX</v>
      </c>
      <c r="G173">
        <f t="shared" si="7"/>
        <v>3.359375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215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</row>
    <row r="174" spans="1:71" x14ac:dyDescent="0.25">
      <c r="A174" t="s">
        <v>116</v>
      </c>
      <c r="B174" t="s">
        <v>117</v>
      </c>
      <c r="C174">
        <v>9078158</v>
      </c>
      <c r="D174" t="s">
        <v>245</v>
      </c>
      <c r="E174" t="s">
        <v>244</v>
      </c>
      <c r="F174" t="str">
        <f t="shared" si="6"/>
        <v>FR0004056851MTAH</v>
      </c>
      <c r="G174">
        <f t="shared" si="7"/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</row>
    <row r="175" spans="1:71" x14ac:dyDescent="0.25">
      <c r="A175" t="s">
        <v>237</v>
      </c>
      <c r="B175" t="s">
        <v>262</v>
      </c>
      <c r="C175">
        <v>1318105</v>
      </c>
      <c r="D175" t="s">
        <v>6</v>
      </c>
      <c r="E175" t="s">
        <v>232</v>
      </c>
      <c r="F175" t="str">
        <f t="shared" si="6"/>
        <v>FR0004065605XPAR</v>
      </c>
      <c r="G175">
        <f t="shared" si="7"/>
        <v>1181209.0146875002</v>
      </c>
      <c r="H175">
        <v>465741.56</v>
      </c>
      <c r="I175">
        <v>461450.6</v>
      </c>
      <c r="J175">
        <v>674485</v>
      </c>
      <c r="K175">
        <v>443678.4</v>
      </c>
      <c r="L175">
        <v>431134.94</v>
      </c>
      <c r="M175">
        <v>648229.30000000005</v>
      </c>
      <c r="N175">
        <v>667588.07999999996</v>
      </c>
      <c r="O175">
        <v>703575.12</v>
      </c>
      <c r="P175">
        <v>928988.38</v>
      </c>
      <c r="Q175">
        <v>867283.98</v>
      </c>
      <c r="R175">
        <v>451395.4</v>
      </c>
      <c r="S175">
        <v>678180.1</v>
      </c>
      <c r="T175">
        <v>1061070.6000000001</v>
      </c>
      <c r="U175">
        <v>722379.04</v>
      </c>
      <c r="V175">
        <v>781495.74</v>
      </c>
      <c r="W175">
        <v>755405.66</v>
      </c>
      <c r="X175">
        <v>247428.12</v>
      </c>
      <c r="Y175">
        <v>734878.82</v>
      </c>
      <c r="Z175">
        <v>435200.08</v>
      </c>
      <c r="AA175">
        <v>635343.22</v>
      </c>
      <c r="AB175">
        <v>744786.8</v>
      </c>
      <c r="AC175">
        <v>251955.48</v>
      </c>
      <c r="AD175">
        <v>1336339.26</v>
      </c>
      <c r="AE175">
        <v>670972.81999999995</v>
      </c>
      <c r="AF175">
        <v>3500447.57</v>
      </c>
      <c r="AG175">
        <v>3513127.2</v>
      </c>
      <c r="AH175">
        <v>2020136.82</v>
      </c>
      <c r="AI175">
        <v>2329955.6800000002</v>
      </c>
      <c r="AJ175">
        <v>1371855.66</v>
      </c>
      <c r="AK175">
        <v>899405.52</v>
      </c>
      <c r="AL175">
        <v>761134.62</v>
      </c>
      <c r="AM175">
        <v>1231532.6599999999</v>
      </c>
      <c r="AN175">
        <v>2157492.7599999998</v>
      </c>
      <c r="AO175">
        <v>1780915.76</v>
      </c>
      <c r="AP175">
        <v>722987.22</v>
      </c>
      <c r="AQ175">
        <v>734830.32</v>
      </c>
      <c r="AR175">
        <v>933595.06</v>
      </c>
      <c r="AS175">
        <v>911740.72</v>
      </c>
      <c r="AT175">
        <v>1704876.7</v>
      </c>
      <c r="AU175">
        <v>933563.84</v>
      </c>
      <c r="AV175">
        <v>808531.52</v>
      </c>
      <c r="AW175">
        <v>893647.62</v>
      </c>
      <c r="AX175">
        <v>2647790.65</v>
      </c>
      <c r="AY175">
        <v>1184401.29</v>
      </c>
      <c r="AZ175">
        <v>826072.55</v>
      </c>
      <c r="BA175">
        <v>720716.27</v>
      </c>
      <c r="BB175">
        <v>685579.24</v>
      </c>
      <c r="BC175">
        <v>851596.4</v>
      </c>
      <c r="BD175">
        <v>1763505.9</v>
      </c>
      <c r="BE175">
        <v>5638416.46</v>
      </c>
      <c r="BF175">
        <v>2708258.21</v>
      </c>
      <c r="BG175">
        <v>2283274.9</v>
      </c>
      <c r="BH175">
        <v>1652972.78</v>
      </c>
      <c r="BI175">
        <v>1198267.6100000001</v>
      </c>
      <c r="BJ175">
        <v>1474795.82</v>
      </c>
      <c r="BK175">
        <v>1124441.1399999999</v>
      </c>
      <c r="BL175">
        <v>1450183.48</v>
      </c>
      <c r="BM175">
        <v>1039413.9</v>
      </c>
      <c r="BN175">
        <v>437577.08</v>
      </c>
      <c r="BO175">
        <v>958133.98</v>
      </c>
      <c r="BP175">
        <v>726787.16</v>
      </c>
      <c r="BQ175">
        <v>380354.93</v>
      </c>
      <c r="BR175">
        <v>1372737.74</v>
      </c>
      <c r="BS175">
        <v>1463335.7</v>
      </c>
    </row>
    <row r="176" spans="1:71" x14ac:dyDescent="0.25">
      <c r="A176" t="s">
        <v>118</v>
      </c>
      <c r="B176" t="s">
        <v>119</v>
      </c>
      <c r="C176">
        <v>842212</v>
      </c>
      <c r="D176" t="s">
        <v>6</v>
      </c>
      <c r="E176" t="s">
        <v>232</v>
      </c>
      <c r="F176" t="str">
        <f t="shared" si="6"/>
        <v>FR0004125920XPAR</v>
      </c>
      <c r="G176">
        <f t="shared" si="7"/>
        <v>10270064.152656248</v>
      </c>
      <c r="H176">
        <v>7257432.5</v>
      </c>
      <c r="I176">
        <v>8928248.0999999996</v>
      </c>
      <c r="J176">
        <v>11358414.300000001</v>
      </c>
      <c r="K176">
        <v>9621840.3000000007</v>
      </c>
      <c r="L176">
        <v>7835386.9000000004</v>
      </c>
      <c r="M176">
        <v>10000397.5</v>
      </c>
      <c r="N176">
        <v>6510036.9500000002</v>
      </c>
      <c r="O176">
        <v>6833636.8499999996</v>
      </c>
      <c r="P176">
        <v>10201220.35</v>
      </c>
      <c r="Q176">
        <v>6804441.6500000004</v>
      </c>
      <c r="R176">
        <v>8566647.5</v>
      </c>
      <c r="S176">
        <v>6304441.1500000004</v>
      </c>
      <c r="T176">
        <v>8291976.8499999996</v>
      </c>
      <c r="U176">
        <v>9956533.6999999993</v>
      </c>
      <c r="V176">
        <v>8899356.9499999993</v>
      </c>
      <c r="W176">
        <v>7020564.2999999998</v>
      </c>
      <c r="X176">
        <v>6203844.8499999996</v>
      </c>
      <c r="Y176">
        <v>9310501.6999999993</v>
      </c>
      <c r="Z176">
        <v>13471202.949999999</v>
      </c>
      <c r="AA176">
        <v>20636402.649999999</v>
      </c>
      <c r="AB176">
        <v>14615374.050000001</v>
      </c>
      <c r="AC176">
        <v>8730560.8499999996</v>
      </c>
      <c r="AD176">
        <v>9969672.3800000008</v>
      </c>
      <c r="AE176">
        <v>7944229.2999999998</v>
      </c>
      <c r="AF176">
        <v>11204655.449999999</v>
      </c>
      <c r="AG176">
        <v>12915845.300000001</v>
      </c>
      <c r="AH176">
        <v>12648862.15</v>
      </c>
      <c r="AI176">
        <v>8193462.9500000002</v>
      </c>
      <c r="AJ176">
        <v>12057612.25</v>
      </c>
      <c r="AK176">
        <v>9680340.3499999996</v>
      </c>
      <c r="AL176">
        <v>9123380.9499999993</v>
      </c>
      <c r="AM176">
        <v>7864512.4800000004</v>
      </c>
      <c r="AN176">
        <v>8458457.25</v>
      </c>
      <c r="AO176">
        <v>12093341</v>
      </c>
      <c r="AP176">
        <v>9172727.0500000007</v>
      </c>
      <c r="AQ176">
        <v>9155387.9499999993</v>
      </c>
      <c r="AR176">
        <v>11334327.9</v>
      </c>
      <c r="AS176">
        <v>32426236.449999999</v>
      </c>
      <c r="AT176">
        <v>20794768.75</v>
      </c>
      <c r="AU176">
        <v>15069101.1</v>
      </c>
      <c r="AV176">
        <v>7845887.0499999998</v>
      </c>
      <c r="AW176">
        <v>13386776.35</v>
      </c>
      <c r="AX176">
        <v>10583609.83</v>
      </c>
      <c r="AY176">
        <v>14136560.66</v>
      </c>
      <c r="AZ176">
        <v>14632306.779999999</v>
      </c>
      <c r="BA176">
        <v>14125660.9</v>
      </c>
      <c r="BB176">
        <v>12311531.68</v>
      </c>
      <c r="BC176">
        <v>11033690.449999999</v>
      </c>
      <c r="BD176">
        <v>10528259.300000001</v>
      </c>
      <c r="BE176">
        <v>7418569.1500000004</v>
      </c>
      <c r="BF176">
        <v>7437453.6600000001</v>
      </c>
      <c r="BG176">
        <v>5954159.3499999996</v>
      </c>
      <c r="BH176">
        <v>7372177</v>
      </c>
      <c r="BI176">
        <v>8103577.6500000004</v>
      </c>
      <c r="BJ176">
        <v>10204788.300000001</v>
      </c>
      <c r="BK176">
        <v>9082531.75</v>
      </c>
      <c r="BL176">
        <v>28015843.5</v>
      </c>
      <c r="BM176">
        <v>5842015.75</v>
      </c>
      <c r="BN176">
        <v>2051393.95</v>
      </c>
      <c r="BO176">
        <v>6538679.5499999998</v>
      </c>
      <c r="BP176">
        <v>4713360.05</v>
      </c>
      <c r="BQ176">
        <v>1936088.65</v>
      </c>
      <c r="BR176">
        <v>7774580.2999999998</v>
      </c>
      <c r="BS176">
        <v>8789220.25</v>
      </c>
    </row>
    <row r="177" spans="1:71" x14ac:dyDescent="0.25">
      <c r="A177" t="s">
        <v>118</v>
      </c>
      <c r="B177" t="s">
        <v>119</v>
      </c>
      <c r="C177">
        <v>6060205</v>
      </c>
      <c r="D177" t="s">
        <v>243</v>
      </c>
      <c r="E177" t="s">
        <v>244</v>
      </c>
      <c r="F177" t="str">
        <f t="shared" si="6"/>
        <v>FR0004125920ETLX</v>
      </c>
      <c r="G177">
        <f t="shared" si="7"/>
        <v>174.10546875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3472.5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331.5</v>
      </c>
      <c r="AP177">
        <v>0</v>
      </c>
      <c r="AQ177">
        <v>0</v>
      </c>
      <c r="AR177">
        <v>0</v>
      </c>
      <c r="AS177">
        <v>7143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195.75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</row>
    <row r="178" spans="1:71" x14ac:dyDescent="0.25">
      <c r="A178" t="s">
        <v>118</v>
      </c>
      <c r="B178" t="s">
        <v>119</v>
      </c>
      <c r="C178">
        <v>9078157</v>
      </c>
      <c r="D178" t="s">
        <v>245</v>
      </c>
      <c r="E178" t="s">
        <v>244</v>
      </c>
      <c r="F178" t="str">
        <f t="shared" si="6"/>
        <v>FR0004125920MTAH</v>
      </c>
      <c r="G178">
        <f t="shared" si="7"/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</row>
    <row r="179" spans="1:71" x14ac:dyDescent="0.25">
      <c r="A179" t="s">
        <v>120</v>
      </c>
      <c r="B179" t="s">
        <v>121</v>
      </c>
      <c r="C179">
        <v>37472</v>
      </c>
      <c r="D179" t="s">
        <v>6</v>
      </c>
      <c r="E179" t="s">
        <v>232</v>
      </c>
      <c r="F179" t="str">
        <f t="shared" si="6"/>
        <v>FR0005691656XPAR</v>
      </c>
      <c r="G179">
        <f t="shared" si="7"/>
        <v>2115352.15</v>
      </c>
      <c r="H179">
        <v>2391899.7999999998</v>
      </c>
      <c r="I179">
        <v>2264575</v>
      </c>
      <c r="J179">
        <v>1476689.8</v>
      </c>
      <c r="K179">
        <v>1309285.8999999999</v>
      </c>
      <c r="L179">
        <v>2127267</v>
      </c>
      <c r="M179">
        <v>2423598.5</v>
      </c>
      <c r="N179">
        <v>1948471.8</v>
      </c>
      <c r="O179">
        <v>1463552.3</v>
      </c>
      <c r="P179">
        <v>2066257.8</v>
      </c>
      <c r="Q179">
        <v>1960323.1</v>
      </c>
      <c r="R179">
        <v>2229388.7000000002</v>
      </c>
      <c r="S179">
        <v>3593963</v>
      </c>
      <c r="T179">
        <v>2218224.7999999998</v>
      </c>
      <c r="U179">
        <v>1882534.6</v>
      </c>
      <c r="V179">
        <v>1693389.2</v>
      </c>
      <c r="W179">
        <v>1419073.4</v>
      </c>
      <c r="X179">
        <v>2386796.4</v>
      </c>
      <c r="Y179">
        <v>1853811.5</v>
      </c>
      <c r="Z179">
        <v>4388320.8</v>
      </c>
      <c r="AA179">
        <v>2287400.5</v>
      </c>
      <c r="AB179">
        <v>1909730.2</v>
      </c>
      <c r="AC179">
        <v>1091838.8</v>
      </c>
      <c r="AD179">
        <v>1838978.6</v>
      </c>
      <c r="AE179">
        <v>1331165.5</v>
      </c>
      <c r="AF179">
        <v>1890147.4</v>
      </c>
      <c r="AG179">
        <v>1741213.9</v>
      </c>
      <c r="AH179">
        <v>1222833.8</v>
      </c>
      <c r="AI179">
        <v>937308</v>
      </c>
      <c r="AJ179">
        <v>2035107.5</v>
      </c>
      <c r="AK179">
        <v>4597869.0999999996</v>
      </c>
      <c r="AL179">
        <v>3049956.3</v>
      </c>
      <c r="AM179">
        <v>1517493.8</v>
      </c>
      <c r="AN179">
        <v>1690831.5</v>
      </c>
      <c r="AO179">
        <v>2426647.6</v>
      </c>
      <c r="AP179">
        <v>2928225.2</v>
      </c>
      <c r="AQ179">
        <v>3128886.5</v>
      </c>
      <c r="AR179">
        <v>1337877.8</v>
      </c>
      <c r="AS179">
        <v>2488616</v>
      </c>
      <c r="AT179">
        <v>8407763.1500000004</v>
      </c>
      <c r="AU179">
        <v>4395879.9000000004</v>
      </c>
      <c r="AV179">
        <v>2747802.7</v>
      </c>
      <c r="AW179">
        <v>3042137.95</v>
      </c>
      <c r="AX179">
        <v>3171093.45</v>
      </c>
      <c r="AY179">
        <v>1762377.1</v>
      </c>
      <c r="AZ179">
        <v>2378357.65</v>
      </c>
      <c r="BA179">
        <v>1977215.7</v>
      </c>
      <c r="BB179">
        <v>1618695.8</v>
      </c>
      <c r="BC179">
        <v>2832371.9</v>
      </c>
      <c r="BD179">
        <v>1839428.8</v>
      </c>
      <c r="BE179">
        <v>1487638.3</v>
      </c>
      <c r="BF179">
        <v>1956706.9</v>
      </c>
      <c r="BG179">
        <v>1487940.1</v>
      </c>
      <c r="BH179">
        <v>2529816.9</v>
      </c>
      <c r="BI179">
        <v>1165126.8</v>
      </c>
      <c r="BJ179">
        <v>1544466.5</v>
      </c>
      <c r="BK179">
        <v>1574043.3</v>
      </c>
      <c r="BL179">
        <v>2176973.2999999998</v>
      </c>
      <c r="BM179">
        <v>970338.2</v>
      </c>
      <c r="BN179">
        <v>399894.2</v>
      </c>
      <c r="BO179">
        <v>924649.9</v>
      </c>
      <c r="BP179">
        <v>1452300.6</v>
      </c>
      <c r="BQ179">
        <v>238191.1</v>
      </c>
      <c r="BR179">
        <v>1309127.3999999999</v>
      </c>
      <c r="BS179">
        <v>1442648.6</v>
      </c>
    </row>
    <row r="180" spans="1:71" x14ac:dyDescent="0.25">
      <c r="A180" t="s">
        <v>120</v>
      </c>
      <c r="B180" t="s">
        <v>121</v>
      </c>
      <c r="C180">
        <v>9078156</v>
      </c>
      <c r="D180" t="s">
        <v>245</v>
      </c>
      <c r="E180" t="s">
        <v>244</v>
      </c>
      <c r="F180" t="str">
        <f t="shared" si="6"/>
        <v>FR0005691656MTAH</v>
      </c>
      <c r="G180">
        <f t="shared" si="7"/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</row>
    <row r="181" spans="1:71" x14ac:dyDescent="0.25">
      <c r="A181" t="s">
        <v>122</v>
      </c>
      <c r="B181" t="s">
        <v>123</v>
      </c>
      <c r="C181">
        <v>171320</v>
      </c>
      <c r="D181" t="s">
        <v>6</v>
      </c>
      <c r="E181" t="s">
        <v>232</v>
      </c>
      <c r="F181" t="str">
        <f t="shared" si="6"/>
        <v>FR0006174348XPAR</v>
      </c>
      <c r="G181">
        <f t="shared" si="7"/>
        <v>22718405.652812507</v>
      </c>
      <c r="H181">
        <v>20465073.41</v>
      </c>
      <c r="I181">
        <v>24333191.02</v>
      </c>
      <c r="J181">
        <v>22364615.57</v>
      </c>
      <c r="K181">
        <v>22566443.760000002</v>
      </c>
      <c r="L181">
        <v>9972923.2100000009</v>
      </c>
      <c r="M181">
        <v>17386193.879999999</v>
      </c>
      <c r="N181">
        <v>12571628.5</v>
      </c>
      <c r="O181">
        <v>27940354.82</v>
      </c>
      <c r="P181">
        <v>32478094.68</v>
      </c>
      <c r="Q181">
        <v>21863175.600000001</v>
      </c>
      <c r="R181">
        <v>14492427</v>
      </c>
      <c r="S181">
        <v>22606443.68</v>
      </c>
      <c r="T181">
        <v>19274597.760000002</v>
      </c>
      <c r="U181">
        <v>24693291.140000001</v>
      </c>
      <c r="V181">
        <v>22515668.579999998</v>
      </c>
      <c r="W181">
        <v>30829277.149999999</v>
      </c>
      <c r="X181">
        <v>19061794.98</v>
      </c>
      <c r="Y181">
        <v>15444398.42</v>
      </c>
      <c r="Z181">
        <v>23295956.66</v>
      </c>
      <c r="AA181">
        <v>23074456.739999998</v>
      </c>
      <c r="AB181">
        <v>21553523.5</v>
      </c>
      <c r="AC181">
        <v>13025800.51</v>
      </c>
      <c r="AD181">
        <v>11438628.310000001</v>
      </c>
      <c r="AE181">
        <v>14774609</v>
      </c>
      <c r="AF181">
        <v>41515010.490000002</v>
      </c>
      <c r="AG181">
        <v>18627104.18</v>
      </c>
      <c r="AH181">
        <v>10659468.08</v>
      </c>
      <c r="AI181">
        <v>18017391.989999998</v>
      </c>
      <c r="AJ181">
        <v>14374975.300000001</v>
      </c>
      <c r="AK181">
        <v>19052171.129999999</v>
      </c>
      <c r="AL181">
        <v>20855753.780000001</v>
      </c>
      <c r="AM181">
        <v>20305046.460000001</v>
      </c>
      <c r="AN181">
        <v>14875484.75</v>
      </c>
      <c r="AO181">
        <v>17864424.5</v>
      </c>
      <c r="AP181">
        <v>20245382.940000001</v>
      </c>
      <c r="AQ181">
        <v>18793054.079999998</v>
      </c>
      <c r="AR181">
        <v>19454537.359999999</v>
      </c>
      <c r="AS181">
        <v>48858373.899999999</v>
      </c>
      <c r="AT181">
        <v>29577797.219999999</v>
      </c>
      <c r="AU181">
        <v>14919147.800000001</v>
      </c>
      <c r="AV181">
        <v>11240717.68</v>
      </c>
      <c r="AW181">
        <v>14085172.48</v>
      </c>
      <c r="AX181">
        <v>17494739.260000002</v>
      </c>
      <c r="AY181">
        <v>18298419.41</v>
      </c>
      <c r="AZ181">
        <v>29355638</v>
      </c>
      <c r="BA181">
        <v>21368314.829999998</v>
      </c>
      <c r="BB181">
        <v>19123465.960000001</v>
      </c>
      <c r="BC181">
        <v>16774804.619999999</v>
      </c>
      <c r="BD181">
        <v>23731888.460000001</v>
      </c>
      <c r="BE181">
        <v>44663237.719999999</v>
      </c>
      <c r="BF181">
        <v>23403807.09</v>
      </c>
      <c r="BG181">
        <v>17695178.969999999</v>
      </c>
      <c r="BH181">
        <v>24945095.219999999</v>
      </c>
      <c r="BI181">
        <v>28903761.059999999</v>
      </c>
      <c r="BJ181">
        <v>24166430.16</v>
      </c>
      <c r="BK181">
        <v>26062277.07</v>
      </c>
      <c r="BL181">
        <v>161121933.46000001</v>
      </c>
      <c r="BM181">
        <v>23406042.460000001</v>
      </c>
      <c r="BN181">
        <v>5912041.9500000002</v>
      </c>
      <c r="BO181">
        <v>12760731.52</v>
      </c>
      <c r="BP181">
        <v>14437098.17</v>
      </c>
      <c r="BQ181">
        <v>6553064.9800000004</v>
      </c>
      <c r="BR181">
        <v>12781938.439999999</v>
      </c>
      <c r="BS181">
        <v>19674470.969999999</v>
      </c>
    </row>
    <row r="182" spans="1:71" x14ac:dyDescent="0.25">
      <c r="A182" t="s">
        <v>122</v>
      </c>
      <c r="B182" t="s">
        <v>123</v>
      </c>
      <c r="C182">
        <v>9078194</v>
      </c>
      <c r="D182" t="s">
        <v>245</v>
      </c>
      <c r="E182" t="s">
        <v>244</v>
      </c>
      <c r="F182" t="str">
        <f t="shared" si="6"/>
        <v>FR0006174348MTAH</v>
      </c>
      <c r="G182">
        <f t="shared" si="7"/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</row>
    <row r="183" spans="1:71" x14ac:dyDescent="0.25">
      <c r="A183" t="s">
        <v>124</v>
      </c>
      <c r="B183" t="s">
        <v>125</v>
      </c>
      <c r="C183">
        <v>878</v>
      </c>
      <c r="D183" t="s">
        <v>6</v>
      </c>
      <c r="E183" t="s">
        <v>232</v>
      </c>
      <c r="F183" t="str">
        <f t="shared" si="6"/>
        <v>FR0010040865XPAR</v>
      </c>
      <c r="G183">
        <f t="shared" si="7"/>
        <v>10285829.417031251</v>
      </c>
      <c r="H183">
        <v>11862749</v>
      </c>
      <c r="I183">
        <v>13272628.9</v>
      </c>
      <c r="J183">
        <v>8420347.5999999996</v>
      </c>
      <c r="K183">
        <v>10285217.1</v>
      </c>
      <c r="L183">
        <v>9382878.4000000004</v>
      </c>
      <c r="M183">
        <v>12533662.199999999</v>
      </c>
      <c r="N183">
        <v>11153406.699999999</v>
      </c>
      <c r="O183">
        <v>8686760.3000000007</v>
      </c>
      <c r="P183">
        <v>20400129.550000001</v>
      </c>
      <c r="Q183">
        <v>11403023</v>
      </c>
      <c r="R183">
        <v>14841490.25</v>
      </c>
      <c r="S183">
        <v>12146353.199999999</v>
      </c>
      <c r="T183">
        <v>10667388.5</v>
      </c>
      <c r="U183">
        <v>12122655.699999999</v>
      </c>
      <c r="V183">
        <v>7304901.2000000002</v>
      </c>
      <c r="W183">
        <v>11708659.699999999</v>
      </c>
      <c r="X183">
        <v>7881587.7000000002</v>
      </c>
      <c r="Y183">
        <v>7102875.2000000002</v>
      </c>
      <c r="Z183">
        <v>8550079</v>
      </c>
      <c r="AA183">
        <v>10260376.300000001</v>
      </c>
      <c r="AB183">
        <v>12379088.050000001</v>
      </c>
      <c r="AC183">
        <v>8299340.7999999998</v>
      </c>
      <c r="AD183">
        <v>8562426.3499999996</v>
      </c>
      <c r="AE183">
        <v>6508960.2999999998</v>
      </c>
      <c r="AF183">
        <v>12905593.6</v>
      </c>
      <c r="AG183">
        <v>9583511.6999999993</v>
      </c>
      <c r="AH183">
        <v>7843656.75</v>
      </c>
      <c r="AI183">
        <v>8220679.2000000002</v>
      </c>
      <c r="AJ183">
        <v>9382795.3000000007</v>
      </c>
      <c r="AK183">
        <v>9985672.25</v>
      </c>
      <c r="AL183">
        <v>10750718.35</v>
      </c>
      <c r="AM183">
        <v>9055113.3499999996</v>
      </c>
      <c r="AN183">
        <v>8094713.9000000004</v>
      </c>
      <c r="AO183">
        <v>5407874.4000000004</v>
      </c>
      <c r="AP183">
        <v>8693217.9499999993</v>
      </c>
      <c r="AQ183">
        <v>12080078.449999999</v>
      </c>
      <c r="AR183">
        <v>10330210.050000001</v>
      </c>
      <c r="AS183">
        <v>22604207.5</v>
      </c>
      <c r="AT183">
        <v>9114025.0099999998</v>
      </c>
      <c r="AU183">
        <v>10774650.5</v>
      </c>
      <c r="AV183">
        <v>10114251.050000001</v>
      </c>
      <c r="AW183">
        <v>10339804</v>
      </c>
      <c r="AX183">
        <v>12720131.35</v>
      </c>
      <c r="AY183">
        <v>9250449.8499999996</v>
      </c>
      <c r="AZ183">
        <v>11935523.1</v>
      </c>
      <c r="BA183">
        <v>7282756</v>
      </c>
      <c r="BB183">
        <v>8876563.6999999993</v>
      </c>
      <c r="BC183">
        <v>8437138.5999999996</v>
      </c>
      <c r="BD183">
        <v>10095138.4</v>
      </c>
      <c r="BE183">
        <v>8543860.5</v>
      </c>
      <c r="BF183">
        <v>8298618.9500000002</v>
      </c>
      <c r="BG183">
        <v>9463414.0800000001</v>
      </c>
      <c r="BH183">
        <v>10664496.550000001</v>
      </c>
      <c r="BI183">
        <v>14452648.85</v>
      </c>
      <c r="BJ183">
        <v>11996489.199999999</v>
      </c>
      <c r="BK183">
        <v>12282455.9</v>
      </c>
      <c r="BL183">
        <v>34018921.850000001</v>
      </c>
      <c r="BM183">
        <v>6467715.2000000002</v>
      </c>
      <c r="BN183">
        <v>3131556.65</v>
      </c>
      <c r="BO183">
        <v>7086014.5499999998</v>
      </c>
      <c r="BP183">
        <v>4076009.25</v>
      </c>
      <c r="BQ183">
        <v>4936087.55</v>
      </c>
      <c r="BR183">
        <v>7341165.2000000002</v>
      </c>
      <c r="BS183">
        <v>5918169.0999999996</v>
      </c>
    </row>
    <row r="184" spans="1:71" x14ac:dyDescent="0.25">
      <c r="A184" t="s">
        <v>124</v>
      </c>
      <c r="B184" t="s">
        <v>125</v>
      </c>
      <c r="C184">
        <v>9078193</v>
      </c>
      <c r="D184" t="s">
        <v>245</v>
      </c>
      <c r="E184" t="s">
        <v>244</v>
      </c>
      <c r="F184" t="str">
        <f t="shared" si="6"/>
        <v>FR0010040865MTAH</v>
      </c>
      <c r="G184">
        <f t="shared" si="7"/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</row>
    <row r="185" spans="1:71" x14ac:dyDescent="0.25">
      <c r="A185" t="s">
        <v>126</v>
      </c>
      <c r="B185" t="s">
        <v>127</v>
      </c>
      <c r="C185">
        <v>106484</v>
      </c>
      <c r="D185" t="s">
        <v>6</v>
      </c>
      <c r="E185" t="s">
        <v>232</v>
      </c>
      <c r="F185" t="str">
        <f t="shared" si="6"/>
        <v>FR0010112524XPAR</v>
      </c>
      <c r="G185">
        <f t="shared" si="7"/>
        <v>2353473.5215624999</v>
      </c>
      <c r="H185">
        <v>3369736.42</v>
      </c>
      <c r="I185">
        <v>3421670.14</v>
      </c>
      <c r="J185">
        <v>2299853.2200000002</v>
      </c>
      <c r="K185">
        <v>3090020.01</v>
      </c>
      <c r="L185">
        <v>2100619.91</v>
      </c>
      <c r="M185">
        <v>1533499.1</v>
      </c>
      <c r="N185">
        <v>1864698.65</v>
      </c>
      <c r="O185">
        <v>4226680.8499999996</v>
      </c>
      <c r="P185">
        <v>3121441.48</v>
      </c>
      <c r="Q185">
        <v>2503511.11</v>
      </c>
      <c r="R185">
        <v>2654925.67</v>
      </c>
      <c r="S185">
        <v>2444364.09</v>
      </c>
      <c r="T185">
        <v>1720666.66</v>
      </c>
      <c r="U185">
        <v>1756936.17</v>
      </c>
      <c r="V185">
        <v>1602935.81</v>
      </c>
      <c r="W185">
        <v>2269598.4700000002</v>
      </c>
      <c r="X185">
        <v>9147307.9100000001</v>
      </c>
      <c r="Y185">
        <v>4319223.96</v>
      </c>
      <c r="Z185">
        <v>3714413.52</v>
      </c>
      <c r="AA185">
        <v>4271675.97</v>
      </c>
      <c r="AB185">
        <v>2717735.9</v>
      </c>
      <c r="AC185">
        <v>1581677.91</v>
      </c>
      <c r="AD185">
        <v>2009586.19</v>
      </c>
      <c r="AE185">
        <v>1466782.27</v>
      </c>
      <c r="AF185">
        <v>4022371.53</v>
      </c>
      <c r="AG185">
        <v>2695506.28</v>
      </c>
      <c r="AH185">
        <v>3042670.87</v>
      </c>
      <c r="AI185">
        <v>1483200.32</v>
      </c>
      <c r="AJ185">
        <v>2446872.41</v>
      </c>
      <c r="AK185">
        <v>2216938.25</v>
      </c>
      <c r="AL185">
        <v>1506846.43</v>
      </c>
      <c r="AM185">
        <v>2791779.64</v>
      </c>
      <c r="AN185">
        <v>1881762.75</v>
      </c>
      <c r="AO185">
        <v>1863413.21</v>
      </c>
      <c r="AP185">
        <v>2127853.91</v>
      </c>
      <c r="AQ185">
        <v>1955549.37</v>
      </c>
      <c r="AR185">
        <v>1937539.81</v>
      </c>
      <c r="AS185">
        <v>2419736.71</v>
      </c>
      <c r="AT185">
        <v>1151445.6000000001</v>
      </c>
      <c r="AU185">
        <v>2066165.38</v>
      </c>
      <c r="AV185">
        <v>4297558.59</v>
      </c>
      <c r="AW185">
        <v>1659517.99</v>
      </c>
      <c r="AX185">
        <v>2786700.07</v>
      </c>
      <c r="AY185">
        <v>1766062.87</v>
      </c>
      <c r="AZ185">
        <v>2235833.2400000002</v>
      </c>
      <c r="BA185">
        <v>2354523.41</v>
      </c>
      <c r="BB185">
        <v>2792120.5</v>
      </c>
      <c r="BC185">
        <v>1694622.68</v>
      </c>
      <c r="BD185">
        <v>1287338.8999999999</v>
      </c>
      <c r="BE185">
        <v>1222154.1399999999</v>
      </c>
      <c r="BF185">
        <v>3847147.81</v>
      </c>
      <c r="BG185">
        <v>1754950.11</v>
      </c>
      <c r="BH185">
        <v>1652549.32</v>
      </c>
      <c r="BI185">
        <v>1066816.82</v>
      </c>
      <c r="BJ185">
        <v>1435046.19</v>
      </c>
      <c r="BK185">
        <v>2027655.01</v>
      </c>
      <c r="BL185">
        <v>2949932.49</v>
      </c>
      <c r="BM185">
        <v>1099000.6100000001</v>
      </c>
      <c r="BN185">
        <v>567350.87</v>
      </c>
      <c r="BO185">
        <v>2697831.02</v>
      </c>
      <c r="BP185">
        <v>1311129.46</v>
      </c>
      <c r="BQ185">
        <v>851699</v>
      </c>
      <c r="BR185">
        <v>1039107.91</v>
      </c>
      <c r="BS185">
        <v>1406442.51</v>
      </c>
    </row>
    <row r="186" spans="1:71" x14ac:dyDescent="0.25">
      <c r="A186" t="s">
        <v>126</v>
      </c>
      <c r="B186" t="s">
        <v>127</v>
      </c>
      <c r="C186">
        <v>9078192</v>
      </c>
      <c r="D186" t="s">
        <v>245</v>
      </c>
      <c r="E186" t="s">
        <v>244</v>
      </c>
      <c r="F186" t="str">
        <f t="shared" si="6"/>
        <v>FR0010112524MTAH</v>
      </c>
      <c r="G186">
        <f t="shared" si="7"/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</row>
    <row r="187" spans="1:71" x14ac:dyDescent="0.25">
      <c r="A187" t="s">
        <v>128</v>
      </c>
      <c r="B187" t="s">
        <v>129</v>
      </c>
      <c r="C187">
        <v>4180</v>
      </c>
      <c r="D187" t="s">
        <v>6</v>
      </c>
      <c r="E187" t="s">
        <v>232</v>
      </c>
      <c r="F187" t="str">
        <f t="shared" si="6"/>
        <v>FR0010208488XPAR</v>
      </c>
      <c r="G187">
        <f t="shared" si="7"/>
        <v>77119377.266562492</v>
      </c>
      <c r="H187">
        <v>99461739.599999994</v>
      </c>
      <c r="I187">
        <v>112214971.53</v>
      </c>
      <c r="J187">
        <v>71598254.700000003</v>
      </c>
      <c r="K187">
        <v>58515447.740000002</v>
      </c>
      <c r="L187">
        <v>60783432.789999999</v>
      </c>
      <c r="M187">
        <v>98245999.719999999</v>
      </c>
      <c r="N187">
        <v>82769459.019999996</v>
      </c>
      <c r="O187">
        <v>62577410.990000002</v>
      </c>
      <c r="P187">
        <v>94551410.430000007</v>
      </c>
      <c r="Q187">
        <v>65030819.030000001</v>
      </c>
      <c r="R187">
        <v>68581519.579999998</v>
      </c>
      <c r="S187">
        <v>77353520.25</v>
      </c>
      <c r="T187">
        <v>57938620.960000001</v>
      </c>
      <c r="U187">
        <v>79673450.810000002</v>
      </c>
      <c r="V187">
        <v>73767483.290000007</v>
      </c>
      <c r="W187">
        <v>47556983.390000001</v>
      </c>
      <c r="X187">
        <v>49749738.359999999</v>
      </c>
      <c r="Y187">
        <v>65227118.68</v>
      </c>
      <c r="Z187">
        <v>70273325.379999995</v>
      </c>
      <c r="AA187">
        <v>82723524.109999999</v>
      </c>
      <c r="AB187">
        <v>118909709.18000001</v>
      </c>
      <c r="AC187">
        <v>53750330.609999999</v>
      </c>
      <c r="AD187">
        <v>65114368.729999997</v>
      </c>
      <c r="AE187">
        <v>51080937.450000003</v>
      </c>
      <c r="AF187">
        <v>160436712.38</v>
      </c>
      <c r="AG187">
        <v>114496871.23999999</v>
      </c>
      <c r="AH187">
        <v>68131257.799999997</v>
      </c>
      <c r="AI187">
        <v>73879721.650000006</v>
      </c>
      <c r="AJ187">
        <v>97956594.469999999</v>
      </c>
      <c r="AK187">
        <v>68398317.540000007</v>
      </c>
      <c r="AL187">
        <v>86721453.189999998</v>
      </c>
      <c r="AM187">
        <v>98850879.709999993</v>
      </c>
      <c r="AN187">
        <v>55144714.979999997</v>
      </c>
      <c r="AO187">
        <v>69591706.340000004</v>
      </c>
      <c r="AP187">
        <v>47509768.119999997</v>
      </c>
      <c r="AQ187">
        <v>59165798.32</v>
      </c>
      <c r="AR187">
        <v>75483758.599999994</v>
      </c>
      <c r="AS187">
        <v>126467603.04000001</v>
      </c>
      <c r="AT187">
        <v>81601896.579999998</v>
      </c>
      <c r="AU187">
        <v>92075543.609999999</v>
      </c>
      <c r="AV187">
        <v>85208376.870000005</v>
      </c>
      <c r="AW187">
        <v>73971415.480000004</v>
      </c>
      <c r="AX187">
        <v>128990443.68000001</v>
      </c>
      <c r="AY187">
        <v>79641516.400000006</v>
      </c>
      <c r="AZ187">
        <v>57541840.960000001</v>
      </c>
      <c r="BA187">
        <v>103163621.25</v>
      </c>
      <c r="BB187">
        <v>62990076.869999997</v>
      </c>
      <c r="BC187">
        <v>59230356.890000001</v>
      </c>
      <c r="BD187">
        <v>67067744.969999999</v>
      </c>
      <c r="BE187">
        <v>59821321.880000003</v>
      </c>
      <c r="BF187">
        <v>67881806.120000005</v>
      </c>
      <c r="BG187">
        <v>88869852.629999995</v>
      </c>
      <c r="BH187">
        <v>121969025.16</v>
      </c>
      <c r="BI187">
        <v>78366816.909999996</v>
      </c>
      <c r="BJ187">
        <v>68630007.5</v>
      </c>
      <c r="BK187">
        <v>70557758.340000004</v>
      </c>
      <c r="BL187">
        <v>147210429.91999999</v>
      </c>
      <c r="BM187">
        <v>56428918.530000001</v>
      </c>
      <c r="BN187">
        <v>26452421.370000001</v>
      </c>
      <c r="BO187">
        <v>46280704.43</v>
      </c>
      <c r="BP187">
        <v>43760051.869999997</v>
      </c>
      <c r="BQ187">
        <v>44603818.969999999</v>
      </c>
      <c r="BR187">
        <v>79713286.980000004</v>
      </c>
      <c r="BS187">
        <v>73926357.180000007</v>
      </c>
    </row>
    <row r="188" spans="1:71" x14ac:dyDescent="0.25">
      <c r="A188" t="s">
        <v>128</v>
      </c>
      <c r="B188" t="s">
        <v>129</v>
      </c>
      <c r="C188">
        <v>3052962</v>
      </c>
      <c r="D188" t="s">
        <v>248</v>
      </c>
      <c r="E188" t="s">
        <v>244</v>
      </c>
      <c r="F188" t="str">
        <f t="shared" ref="F188:F251" si="8">A188&amp;D188</f>
        <v>FR0010208488BGEM</v>
      </c>
      <c r="G188">
        <f t="shared" ref="G188:G251" si="9">AVERAGE(H188:BU188)</f>
        <v>32064.9375</v>
      </c>
      <c r="H188">
        <v>12721.6</v>
      </c>
      <c r="I188">
        <v>10728</v>
      </c>
      <c r="J188">
        <v>27021.87</v>
      </c>
      <c r="K188">
        <v>20192.96</v>
      </c>
      <c r="L188">
        <v>201.18</v>
      </c>
      <c r="M188">
        <v>15507</v>
      </c>
      <c r="N188">
        <v>62582.94</v>
      </c>
      <c r="O188">
        <v>41912.050000000003</v>
      </c>
      <c r="P188">
        <v>69158.84</v>
      </c>
      <c r="Q188">
        <v>67022.509999999995</v>
      </c>
      <c r="R188">
        <v>127756.08</v>
      </c>
      <c r="S188">
        <v>97022.54</v>
      </c>
      <c r="T188">
        <v>25567.86</v>
      </c>
      <c r="U188">
        <v>43665.11</v>
      </c>
      <c r="V188">
        <v>37058.5</v>
      </c>
      <c r="W188">
        <v>47481.49</v>
      </c>
      <c r="X188">
        <v>29742.83</v>
      </c>
      <c r="Y188">
        <v>39298</v>
      </c>
      <c r="Z188">
        <v>1098.5999999999999</v>
      </c>
      <c r="AA188">
        <v>158</v>
      </c>
      <c r="AB188">
        <v>20730.8</v>
      </c>
      <c r="AC188">
        <v>16248</v>
      </c>
      <c r="AD188">
        <v>11411.34</v>
      </c>
      <c r="AE188">
        <v>7036.3</v>
      </c>
      <c r="AF188">
        <v>197656.21</v>
      </c>
      <c r="AG188">
        <v>20615.18</v>
      </c>
      <c r="AH188">
        <v>24515.88</v>
      </c>
      <c r="AI188">
        <v>26679.11</v>
      </c>
      <c r="AJ188">
        <v>32149.35</v>
      </c>
      <c r="AK188">
        <v>45817.56</v>
      </c>
      <c r="AL188">
        <v>27142.38</v>
      </c>
      <c r="AM188">
        <v>3090</v>
      </c>
      <c r="AN188">
        <v>30430.5</v>
      </c>
      <c r="AO188">
        <v>60718.32</v>
      </c>
      <c r="AP188">
        <v>94943.83</v>
      </c>
      <c r="AQ188">
        <v>153.69999999999999</v>
      </c>
      <c r="AR188">
        <v>38492.5</v>
      </c>
      <c r="AS188">
        <v>8023.25</v>
      </c>
      <c r="AT188">
        <v>13731.5</v>
      </c>
      <c r="AU188">
        <v>12988.35</v>
      </c>
      <c r="AV188">
        <v>52928.81</v>
      </c>
      <c r="AW188">
        <v>1504</v>
      </c>
      <c r="AX188">
        <v>21010.080000000002</v>
      </c>
      <c r="AY188">
        <v>18740.5</v>
      </c>
      <c r="AZ188">
        <v>21266.86</v>
      </c>
      <c r="BA188">
        <v>35403.71</v>
      </c>
      <c r="BB188">
        <v>168467.92</v>
      </c>
      <c r="BC188">
        <v>15822.78</v>
      </c>
      <c r="BD188">
        <v>0</v>
      </c>
      <c r="BE188">
        <v>11796.47</v>
      </c>
      <c r="BF188">
        <v>13959.6</v>
      </c>
      <c r="BG188">
        <v>13799.9</v>
      </c>
      <c r="BH188">
        <v>499.79</v>
      </c>
      <c r="BI188">
        <v>7854.2</v>
      </c>
      <c r="BJ188">
        <v>53660.29</v>
      </c>
      <c r="BK188">
        <v>9130.89</v>
      </c>
      <c r="BL188">
        <v>17834.91</v>
      </c>
      <c r="BM188">
        <v>5576.98</v>
      </c>
      <c r="BN188">
        <v>0</v>
      </c>
      <c r="BO188">
        <v>13433.5</v>
      </c>
      <c r="BP188">
        <v>30369.8</v>
      </c>
      <c r="BQ188">
        <v>0</v>
      </c>
      <c r="BR188">
        <v>46833.99</v>
      </c>
      <c r="BS188">
        <v>23789</v>
      </c>
    </row>
    <row r="189" spans="1:71" x14ac:dyDescent="0.25">
      <c r="A189" t="s">
        <v>128</v>
      </c>
      <c r="B189" t="s">
        <v>129</v>
      </c>
      <c r="C189">
        <v>3077430</v>
      </c>
      <c r="D189" t="s">
        <v>245</v>
      </c>
      <c r="E189" t="s">
        <v>244</v>
      </c>
      <c r="F189" t="str">
        <f t="shared" si="8"/>
        <v>FR0010208488MTAH</v>
      </c>
      <c r="G189">
        <f t="shared" si="9"/>
        <v>237.73828125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15215.25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</row>
    <row r="190" spans="1:71" x14ac:dyDescent="0.25">
      <c r="A190" t="s">
        <v>128</v>
      </c>
      <c r="B190" t="s">
        <v>129</v>
      </c>
      <c r="C190">
        <v>6060204</v>
      </c>
      <c r="D190" t="s">
        <v>243</v>
      </c>
      <c r="E190" t="s">
        <v>244</v>
      </c>
      <c r="F190" t="str">
        <f t="shared" si="8"/>
        <v>FR0010208488ETLX</v>
      </c>
      <c r="G190">
        <f t="shared" si="9"/>
        <v>973.11765624999998</v>
      </c>
      <c r="H190">
        <v>0</v>
      </c>
      <c r="I190">
        <v>0</v>
      </c>
      <c r="J190">
        <v>15990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1603</v>
      </c>
      <c r="R190">
        <v>0</v>
      </c>
      <c r="S190">
        <v>0</v>
      </c>
      <c r="T190">
        <v>6198</v>
      </c>
      <c r="U190">
        <v>0</v>
      </c>
      <c r="V190">
        <v>0</v>
      </c>
      <c r="W190">
        <v>0</v>
      </c>
      <c r="X190">
        <v>10958.5</v>
      </c>
      <c r="Y190">
        <v>0</v>
      </c>
      <c r="Z190">
        <v>0</v>
      </c>
      <c r="AA190">
        <v>2454.5300000000002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2740.5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7550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14785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</row>
    <row r="191" spans="1:71" x14ac:dyDescent="0.25">
      <c r="A191" t="s">
        <v>130</v>
      </c>
      <c r="B191" t="s">
        <v>131</v>
      </c>
      <c r="C191">
        <v>38371</v>
      </c>
      <c r="D191" t="s">
        <v>6</v>
      </c>
      <c r="E191" t="s">
        <v>232</v>
      </c>
      <c r="F191" t="str">
        <f t="shared" si="8"/>
        <v>FR0010220475XPAR</v>
      </c>
      <c r="G191">
        <f t="shared" si="9"/>
        <v>20371662.115156248</v>
      </c>
      <c r="H191">
        <v>14567679.699999999</v>
      </c>
      <c r="I191">
        <v>33470702.699999999</v>
      </c>
      <c r="J191">
        <v>15332156.630000001</v>
      </c>
      <c r="K191">
        <v>13361066.26</v>
      </c>
      <c r="L191">
        <v>9012743.5999999996</v>
      </c>
      <c r="M191">
        <v>13086802.25</v>
      </c>
      <c r="N191">
        <v>14860011.640000001</v>
      </c>
      <c r="O191">
        <v>10047783.699999999</v>
      </c>
      <c r="P191">
        <v>17436194.559999999</v>
      </c>
      <c r="Q191">
        <v>30076456.489999998</v>
      </c>
      <c r="R191">
        <v>15607648.15</v>
      </c>
      <c r="S191">
        <v>16786018.59</v>
      </c>
      <c r="T191">
        <v>11111808.91</v>
      </c>
      <c r="U191">
        <v>11403412.15</v>
      </c>
      <c r="V191">
        <v>14438159.16</v>
      </c>
      <c r="W191">
        <v>14995336.65</v>
      </c>
      <c r="X191">
        <v>21379397.379999999</v>
      </c>
      <c r="Y191">
        <v>19340914.699999999</v>
      </c>
      <c r="Z191">
        <v>13003343.15</v>
      </c>
      <c r="AA191">
        <v>9939105.1400000006</v>
      </c>
      <c r="AB191">
        <v>13626416.09</v>
      </c>
      <c r="AC191">
        <v>10424940.76</v>
      </c>
      <c r="AD191">
        <v>13505193.92</v>
      </c>
      <c r="AE191">
        <v>12489725.390000001</v>
      </c>
      <c r="AF191">
        <v>18411343.120000001</v>
      </c>
      <c r="AG191">
        <v>17981722.129999999</v>
      </c>
      <c r="AH191">
        <v>21206018.390000001</v>
      </c>
      <c r="AI191">
        <v>15176825.449999999</v>
      </c>
      <c r="AJ191">
        <v>21118161.920000002</v>
      </c>
      <c r="AK191">
        <v>25454932.75</v>
      </c>
      <c r="AL191">
        <v>77479115.959999993</v>
      </c>
      <c r="AM191">
        <v>48726783.600000001</v>
      </c>
      <c r="AN191">
        <v>30058843.890000001</v>
      </c>
      <c r="AO191">
        <v>28756692.280000001</v>
      </c>
      <c r="AP191">
        <v>12433779.34</v>
      </c>
      <c r="AQ191">
        <v>18798991.350000001</v>
      </c>
      <c r="AR191">
        <v>18895362.949999999</v>
      </c>
      <c r="AS191">
        <v>54244412.490000002</v>
      </c>
      <c r="AT191">
        <v>16190915.75</v>
      </c>
      <c r="AU191">
        <v>23185429.510000002</v>
      </c>
      <c r="AV191">
        <v>22656670.09</v>
      </c>
      <c r="AW191">
        <v>20792626.469999999</v>
      </c>
      <c r="AX191">
        <v>37720128.509999998</v>
      </c>
      <c r="AY191">
        <v>27721754.920000002</v>
      </c>
      <c r="AZ191">
        <v>22926544.449999999</v>
      </c>
      <c r="BA191">
        <v>21444420.920000002</v>
      </c>
      <c r="BB191">
        <v>27170088.309999999</v>
      </c>
      <c r="BC191">
        <v>16206804.949999999</v>
      </c>
      <c r="BD191">
        <v>30143850.75</v>
      </c>
      <c r="BE191">
        <v>18359862.280000001</v>
      </c>
      <c r="BF191">
        <v>20389259.32</v>
      </c>
      <c r="BG191">
        <v>17188081.239999998</v>
      </c>
      <c r="BH191">
        <v>23856898.300000001</v>
      </c>
      <c r="BI191">
        <v>23716377.649999999</v>
      </c>
      <c r="BJ191">
        <v>14994367.02</v>
      </c>
      <c r="BK191">
        <v>22870262.800000001</v>
      </c>
      <c r="BL191">
        <v>42053549.329999998</v>
      </c>
      <c r="BM191">
        <v>11060214.84</v>
      </c>
      <c r="BN191">
        <v>6348252.0999999996</v>
      </c>
      <c r="BO191">
        <v>12912263.279999999</v>
      </c>
      <c r="BP191">
        <v>10350369.48</v>
      </c>
      <c r="BQ191">
        <v>7071172.6600000001</v>
      </c>
      <c r="BR191">
        <v>13451656.99</v>
      </c>
      <c r="BS191">
        <v>14958550.16</v>
      </c>
    </row>
    <row r="192" spans="1:71" x14ac:dyDescent="0.25">
      <c r="A192" t="s">
        <v>130</v>
      </c>
      <c r="B192" t="s">
        <v>131</v>
      </c>
      <c r="C192">
        <v>6060203</v>
      </c>
      <c r="D192" t="s">
        <v>243</v>
      </c>
      <c r="E192" t="s">
        <v>244</v>
      </c>
      <c r="F192" t="str">
        <f t="shared" si="8"/>
        <v>FR0010220475ETLX</v>
      </c>
      <c r="G192">
        <f t="shared" si="9"/>
        <v>2212.8973437500003</v>
      </c>
      <c r="H192">
        <v>0</v>
      </c>
      <c r="I192">
        <v>24245.7</v>
      </c>
      <c r="J192">
        <v>0</v>
      </c>
      <c r="K192">
        <v>0</v>
      </c>
      <c r="L192">
        <v>0</v>
      </c>
      <c r="M192">
        <v>0</v>
      </c>
      <c r="N192">
        <v>237.6</v>
      </c>
      <c r="O192">
        <v>0</v>
      </c>
      <c r="P192">
        <v>0</v>
      </c>
      <c r="Q192">
        <v>0</v>
      </c>
      <c r="R192">
        <v>0</v>
      </c>
      <c r="S192">
        <v>1408.98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1775.25</v>
      </c>
      <c r="AD192">
        <v>1012</v>
      </c>
      <c r="AE192">
        <v>0</v>
      </c>
      <c r="AF192">
        <v>0</v>
      </c>
      <c r="AG192">
        <v>9013.5</v>
      </c>
      <c r="AH192">
        <v>0</v>
      </c>
      <c r="AI192">
        <v>10165</v>
      </c>
      <c r="AJ192">
        <v>0</v>
      </c>
      <c r="AK192">
        <v>0</v>
      </c>
      <c r="AL192">
        <v>1596</v>
      </c>
      <c r="AM192">
        <v>340.05</v>
      </c>
      <c r="AN192">
        <v>22020</v>
      </c>
      <c r="AO192">
        <v>193.77</v>
      </c>
      <c r="AP192">
        <v>1082.5</v>
      </c>
      <c r="AQ192">
        <v>12648</v>
      </c>
      <c r="AR192">
        <v>0</v>
      </c>
      <c r="AS192">
        <v>3542.8</v>
      </c>
      <c r="AT192">
        <v>0</v>
      </c>
      <c r="AU192">
        <v>0</v>
      </c>
      <c r="AV192">
        <v>2094</v>
      </c>
      <c r="AW192">
        <v>0</v>
      </c>
      <c r="AX192">
        <v>0</v>
      </c>
      <c r="AY192">
        <v>3021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28958.799999999999</v>
      </c>
      <c r="BH192">
        <v>241.78</v>
      </c>
      <c r="BI192">
        <v>0</v>
      </c>
      <c r="BJ192">
        <v>0</v>
      </c>
      <c r="BK192">
        <v>0</v>
      </c>
      <c r="BL192">
        <v>13688.7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4340</v>
      </c>
      <c r="BS192">
        <v>0</v>
      </c>
    </row>
    <row r="193" spans="1:71" x14ac:dyDescent="0.25">
      <c r="A193" t="s">
        <v>130</v>
      </c>
      <c r="B193" t="s">
        <v>131</v>
      </c>
      <c r="C193">
        <v>9078191</v>
      </c>
      <c r="D193" t="s">
        <v>245</v>
      </c>
      <c r="E193" t="s">
        <v>244</v>
      </c>
      <c r="F193" t="str">
        <f t="shared" si="8"/>
        <v>FR0010220475MTAH</v>
      </c>
      <c r="G193">
        <f t="shared" si="9"/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</row>
    <row r="194" spans="1:71" x14ac:dyDescent="0.25">
      <c r="A194" t="s">
        <v>132</v>
      </c>
      <c r="B194" t="s">
        <v>133</v>
      </c>
      <c r="C194">
        <v>121257</v>
      </c>
      <c r="D194" t="s">
        <v>6</v>
      </c>
      <c r="E194" t="s">
        <v>232</v>
      </c>
      <c r="F194" t="str">
        <f t="shared" si="8"/>
        <v>FR0010241638XPAR</v>
      </c>
      <c r="G194">
        <f t="shared" si="9"/>
        <v>2076914.6821874997</v>
      </c>
      <c r="H194">
        <v>1873602.52</v>
      </c>
      <c r="I194">
        <v>1279078.3500000001</v>
      </c>
      <c r="J194">
        <v>1786304.8</v>
      </c>
      <c r="K194">
        <v>2506599.58</v>
      </c>
      <c r="L194">
        <v>2017348.31</v>
      </c>
      <c r="M194">
        <v>1762334.06</v>
      </c>
      <c r="N194">
        <v>1591034.8</v>
      </c>
      <c r="O194">
        <v>1396254.16</v>
      </c>
      <c r="P194">
        <v>1261752.8</v>
      </c>
      <c r="Q194">
        <v>1092578.17</v>
      </c>
      <c r="R194">
        <v>896493.8</v>
      </c>
      <c r="S194">
        <v>1079371.8799999999</v>
      </c>
      <c r="T194">
        <v>1302994.19</v>
      </c>
      <c r="U194">
        <v>1109325.32</v>
      </c>
      <c r="V194">
        <v>1350591.6</v>
      </c>
      <c r="W194">
        <v>1323109.33</v>
      </c>
      <c r="X194">
        <v>2698232.21</v>
      </c>
      <c r="Y194">
        <v>1571305.17</v>
      </c>
      <c r="Z194">
        <v>1965947.71</v>
      </c>
      <c r="AA194">
        <v>4248501.5</v>
      </c>
      <c r="AB194">
        <v>3393960.37</v>
      </c>
      <c r="AC194">
        <v>3760075.21</v>
      </c>
      <c r="AD194">
        <v>3713643.37</v>
      </c>
      <c r="AE194">
        <v>2500891.8199999998</v>
      </c>
      <c r="AF194">
        <v>2470169.5099999998</v>
      </c>
      <c r="AG194">
        <v>1394492.46</v>
      </c>
      <c r="AH194">
        <v>1459044.51</v>
      </c>
      <c r="AI194">
        <v>2087163.61</v>
      </c>
      <c r="AJ194">
        <v>2189656.62</v>
      </c>
      <c r="AK194">
        <v>2368916.61</v>
      </c>
      <c r="AL194">
        <v>1610360.77</v>
      </c>
      <c r="AM194">
        <v>1929366.97</v>
      </c>
      <c r="AN194">
        <v>2087591.38</v>
      </c>
      <c r="AO194">
        <v>1978554.54</v>
      </c>
      <c r="AP194">
        <v>2719531.06</v>
      </c>
      <c r="AQ194">
        <v>1732606.97</v>
      </c>
      <c r="AR194">
        <v>1682411.54</v>
      </c>
      <c r="AS194">
        <v>5355501.04</v>
      </c>
      <c r="AT194">
        <v>1790928.19</v>
      </c>
      <c r="AU194">
        <v>6684856.1500000004</v>
      </c>
      <c r="AV194">
        <v>1926002.02</v>
      </c>
      <c r="AW194">
        <v>1830787.24</v>
      </c>
      <c r="AX194">
        <v>2805659.64</v>
      </c>
      <c r="AY194">
        <v>2039065.59</v>
      </c>
      <c r="AZ194">
        <v>1387157.26</v>
      </c>
      <c r="BA194">
        <v>2197160.09</v>
      </c>
      <c r="BB194">
        <v>1908494.71</v>
      </c>
      <c r="BC194">
        <v>4141231.88</v>
      </c>
      <c r="BD194">
        <v>2603456.1800000002</v>
      </c>
      <c r="BE194">
        <v>1611268.71</v>
      </c>
      <c r="BF194">
        <v>2372194.3199999998</v>
      </c>
      <c r="BG194">
        <v>1376609.4</v>
      </c>
      <c r="BH194">
        <v>2664321.69</v>
      </c>
      <c r="BI194">
        <v>2345216.2799999998</v>
      </c>
      <c r="BJ194">
        <v>1709777.99</v>
      </c>
      <c r="BK194">
        <v>1981117.05</v>
      </c>
      <c r="BL194">
        <v>3107847.62</v>
      </c>
      <c r="BM194">
        <v>1512154.81</v>
      </c>
      <c r="BN194">
        <v>850449.56</v>
      </c>
      <c r="BO194">
        <v>1529833.85</v>
      </c>
      <c r="BP194">
        <v>1122817.4099999999</v>
      </c>
      <c r="BQ194">
        <v>672573.52</v>
      </c>
      <c r="BR194">
        <v>615499.81000000006</v>
      </c>
      <c r="BS194">
        <v>1589360.07</v>
      </c>
    </row>
    <row r="195" spans="1:71" x14ac:dyDescent="0.25">
      <c r="A195" t="s">
        <v>132</v>
      </c>
      <c r="B195" t="s">
        <v>133</v>
      </c>
      <c r="C195">
        <v>9078189</v>
      </c>
      <c r="D195" t="s">
        <v>245</v>
      </c>
      <c r="E195" t="s">
        <v>244</v>
      </c>
      <c r="F195" t="str">
        <f t="shared" si="8"/>
        <v>FR0010241638MTAH</v>
      </c>
      <c r="G195">
        <f t="shared" si="9"/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</row>
    <row r="196" spans="1:71" x14ac:dyDescent="0.25">
      <c r="A196" t="s">
        <v>134</v>
      </c>
      <c r="B196" t="s">
        <v>135</v>
      </c>
      <c r="C196">
        <v>123867</v>
      </c>
      <c r="D196" t="s">
        <v>6</v>
      </c>
      <c r="E196" t="s">
        <v>232</v>
      </c>
      <c r="F196" t="str">
        <f t="shared" si="8"/>
        <v>FR0010259150XPAR</v>
      </c>
      <c r="G196">
        <f t="shared" si="9"/>
        <v>6540436.8453125013</v>
      </c>
      <c r="H196">
        <v>5089555.7</v>
      </c>
      <c r="I196">
        <v>5130332.5999999996</v>
      </c>
      <c r="J196">
        <v>5603271.5</v>
      </c>
      <c r="K196">
        <v>6314825.2999999998</v>
      </c>
      <c r="L196">
        <v>3882719.7</v>
      </c>
      <c r="M196">
        <v>4428661.4000000004</v>
      </c>
      <c r="N196">
        <v>3498140.3</v>
      </c>
      <c r="O196">
        <v>6436967.5999999996</v>
      </c>
      <c r="P196">
        <v>9606704.4000000004</v>
      </c>
      <c r="Q196">
        <v>4760934.3</v>
      </c>
      <c r="R196">
        <v>5714930.9000000004</v>
      </c>
      <c r="S196">
        <v>4799375.8</v>
      </c>
      <c r="T196">
        <v>4309894</v>
      </c>
      <c r="U196">
        <v>4749516.5</v>
      </c>
      <c r="V196">
        <v>9038480.5</v>
      </c>
      <c r="W196">
        <v>6454857.2999999998</v>
      </c>
      <c r="X196">
        <v>6527091</v>
      </c>
      <c r="Y196">
        <v>6406491.75</v>
      </c>
      <c r="Z196">
        <v>6715276.7999999998</v>
      </c>
      <c r="AA196">
        <v>9060252.8000000007</v>
      </c>
      <c r="AB196">
        <v>9180106.5</v>
      </c>
      <c r="AC196">
        <v>3535238.55</v>
      </c>
      <c r="AD196">
        <v>4905823.7</v>
      </c>
      <c r="AE196">
        <v>4004685.7</v>
      </c>
      <c r="AF196">
        <v>11267160</v>
      </c>
      <c r="AG196">
        <v>6520443.4000000004</v>
      </c>
      <c r="AH196">
        <v>7228603</v>
      </c>
      <c r="AI196">
        <v>4534997.3</v>
      </c>
      <c r="AJ196">
        <v>9539904.5999999996</v>
      </c>
      <c r="AK196">
        <v>6282476.4000000004</v>
      </c>
      <c r="AL196">
        <v>6503661.5999999996</v>
      </c>
      <c r="AM196">
        <v>6522730.9000000004</v>
      </c>
      <c r="AN196">
        <v>4598459.5</v>
      </c>
      <c r="AO196">
        <v>6017395.0999999996</v>
      </c>
      <c r="AP196">
        <v>4498486.5999999996</v>
      </c>
      <c r="AQ196">
        <v>5010330.0999999996</v>
      </c>
      <c r="AR196">
        <v>5836271.7999999998</v>
      </c>
      <c r="AS196">
        <v>22229551.899999999</v>
      </c>
      <c r="AT196">
        <v>5610089.5999999996</v>
      </c>
      <c r="AU196">
        <v>4658192</v>
      </c>
      <c r="AV196">
        <v>2741474.7</v>
      </c>
      <c r="AW196">
        <v>4652835.3</v>
      </c>
      <c r="AX196">
        <v>8965315.8000000007</v>
      </c>
      <c r="AY196">
        <v>7218872.3499999996</v>
      </c>
      <c r="AZ196">
        <v>9741349.75</v>
      </c>
      <c r="BA196">
        <v>8367069.75</v>
      </c>
      <c r="BB196">
        <v>9760566.4499999993</v>
      </c>
      <c r="BC196">
        <v>8246521.5</v>
      </c>
      <c r="BD196">
        <v>5105710.3</v>
      </c>
      <c r="BE196">
        <v>7902692.5</v>
      </c>
      <c r="BF196">
        <v>5520504.4000000004</v>
      </c>
      <c r="BG196">
        <v>11128433.4</v>
      </c>
      <c r="BH196">
        <v>6817055.5999999996</v>
      </c>
      <c r="BI196">
        <v>7171490.5999999996</v>
      </c>
      <c r="BJ196">
        <v>5975012</v>
      </c>
      <c r="BK196">
        <v>6707783</v>
      </c>
      <c r="BL196">
        <v>19247825.5</v>
      </c>
      <c r="BM196">
        <v>4560285.8</v>
      </c>
      <c r="BN196">
        <v>2169249.25</v>
      </c>
      <c r="BO196">
        <v>3985453.3</v>
      </c>
      <c r="BP196">
        <v>2547628.2999999998</v>
      </c>
      <c r="BQ196">
        <v>2519499.1</v>
      </c>
      <c r="BR196">
        <v>5344885.3</v>
      </c>
      <c r="BS196">
        <v>5177555.75</v>
      </c>
    </row>
    <row r="197" spans="1:71" x14ac:dyDescent="0.25">
      <c r="A197" t="s">
        <v>134</v>
      </c>
      <c r="B197" t="s">
        <v>135</v>
      </c>
      <c r="C197">
        <v>9078188</v>
      </c>
      <c r="D197" t="s">
        <v>245</v>
      </c>
      <c r="E197" t="s">
        <v>244</v>
      </c>
      <c r="F197" t="str">
        <f t="shared" si="8"/>
        <v>FR0010259150MTAH</v>
      </c>
      <c r="G197">
        <f t="shared" si="9"/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</row>
    <row r="198" spans="1:71" x14ac:dyDescent="0.25">
      <c r="A198" t="s">
        <v>136</v>
      </c>
      <c r="B198" t="s">
        <v>263</v>
      </c>
      <c r="C198">
        <v>127687</v>
      </c>
      <c r="D198" t="s">
        <v>6</v>
      </c>
      <c r="E198" t="s">
        <v>232</v>
      </c>
      <c r="F198" t="str">
        <f t="shared" si="8"/>
        <v>FR0010282822XPAR</v>
      </c>
      <c r="G198">
        <f t="shared" si="9"/>
        <v>3301229.9531250009</v>
      </c>
      <c r="H198">
        <v>1644436.2</v>
      </c>
      <c r="I198">
        <v>2905122.8</v>
      </c>
      <c r="J198">
        <v>2854233.2</v>
      </c>
      <c r="K198">
        <v>2007739.7</v>
      </c>
      <c r="L198">
        <v>1121919</v>
      </c>
      <c r="M198">
        <v>1473072.8</v>
      </c>
      <c r="N198">
        <v>1929234.2</v>
      </c>
      <c r="O198">
        <v>1854288.7</v>
      </c>
      <c r="P198">
        <v>2007508.7</v>
      </c>
      <c r="Q198">
        <v>2272252.1</v>
      </c>
      <c r="R198">
        <v>2872629.9</v>
      </c>
      <c r="S198">
        <v>1131448.1000000001</v>
      </c>
      <c r="T198">
        <v>1737813.4</v>
      </c>
      <c r="U198">
        <v>1481221.5</v>
      </c>
      <c r="V198">
        <v>1791884.7</v>
      </c>
      <c r="W198">
        <v>2242585.5</v>
      </c>
      <c r="X198">
        <v>1439917.5</v>
      </c>
      <c r="Y198">
        <v>4048950.6</v>
      </c>
      <c r="Z198">
        <v>7793019.4000000004</v>
      </c>
      <c r="AA198">
        <v>4208404.8</v>
      </c>
      <c r="AB198">
        <v>3103100.6</v>
      </c>
      <c r="AC198">
        <v>2178339.5</v>
      </c>
      <c r="AD198">
        <v>2124763.7000000002</v>
      </c>
      <c r="AE198">
        <v>1913555.6</v>
      </c>
      <c r="AF198">
        <v>2212119.6</v>
      </c>
      <c r="AG198">
        <v>1921584.2</v>
      </c>
      <c r="AH198">
        <v>3131827</v>
      </c>
      <c r="AI198">
        <v>2095491.8</v>
      </c>
      <c r="AJ198">
        <v>9110434.3000000007</v>
      </c>
      <c r="AK198">
        <v>3617263.4</v>
      </c>
      <c r="AL198">
        <v>4518412.9000000004</v>
      </c>
      <c r="AM198">
        <v>1503575.5</v>
      </c>
      <c r="AN198">
        <v>3282083.4</v>
      </c>
      <c r="AO198">
        <v>2219198.2999999998</v>
      </c>
      <c r="AP198">
        <v>4236748.5999999996</v>
      </c>
      <c r="AQ198">
        <v>1788385.2</v>
      </c>
      <c r="AR198">
        <v>1407182.3</v>
      </c>
      <c r="AS198">
        <v>6294951.5999999996</v>
      </c>
      <c r="AT198">
        <v>2050535.9</v>
      </c>
      <c r="AU198">
        <v>2441699</v>
      </c>
      <c r="AV198">
        <v>2495352.2000000002</v>
      </c>
      <c r="AW198">
        <v>1091551</v>
      </c>
      <c r="AX198">
        <v>2149202.65</v>
      </c>
      <c r="AY198">
        <v>1459703.7</v>
      </c>
      <c r="AZ198">
        <v>3997278.8</v>
      </c>
      <c r="BA198">
        <v>2151854.7000000002</v>
      </c>
      <c r="BB198">
        <v>1260655</v>
      </c>
      <c r="BC198">
        <v>1471938.4</v>
      </c>
      <c r="BD198">
        <v>2272116.2000000002</v>
      </c>
      <c r="BE198">
        <v>1471145.2</v>
      </c>
      <c r="BF198">
        <v>1941177.3</v>
      </c>
      <c r="BG198">
        <v>1379329.7</v>
      </c>
      <c r="BH198">
        <v>1147994</v>
      </c>
      <c r="BI198">
        <v>1244502.7</v>
      </c>
      <c r="BJ198">
        <v>11896039.300000001</v>
      </c>
      <c r="BK198">
        <v>6490446.2999999998</v>
      </c>
      <c r="BL198">
        <v>6303638.2000000002</v>
      </c>
      <c r="BM198">
        <v>25740373.050000001</v>
      </c>
      <c r="BN198">
        <v>4332333.5</v>
      </c>
      <c r="BO198">
        <v>3525903.8</v>
      </c>
      <c r="BP198">
        <v>2817060.8</v>
      </c>
      <c r="BQ198">
        <v>2746229.6</v>
      </c>
      <c r="BR198">
        <v>9100491</v>
      </c>
      <c r="BS198">
        <v>2823464.7</v>
      </c>
    </row>
    <row r="199" spans="1:71" x14ac:dyDescent="0.25">
      <c r="A199" t="s">
        <v>136</v>
      </c>
      <c r="B199" t="s">
        <v>263</v>
      </c>
      <c r="C199">
        <v>9078187</v>
      </c>
      <c r="D199" t="s">
        <v>245</v>
      </c>
      <c r="E199" t="s">
        <v>244</v>
      </c>
      <c r="F199" t="str">
        <f t="shared" si="8"/>
        <v>FR0010282822MTAH</v>
      </c>
      <c r="G199">
        <f t="shared" si="9"/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</row>
    <row r="200" spans="1:71" x14ac:dyDescent="0.25">
      <c r="A200" t="s">
        <v>137</v>
      </c>
      <c r="B200" t="s">
        <v>138</v>
      </c>
      <c r="C200">
        <v>131440</v>
      </c>
      <c r="D200" t="s">
        <v>6</v>
      </c>
      <c r="E200" t="s">
        <v>232</v>
      </c>
      <c r="F200" t="str">
        <f t="shared" si="8"/>
        <v>FR0010307819XPAR</v>
      </c>
      <c r="G200">
        <f t="shared" si="9"/>
        <v>50372260.662812501</v>
      </c>
      <c r="H200">
        <v>35306454.799999997</v>
      </c>
      <c r="I200">
        <v>45485243.149999999</v>
      </c>
      <c r="J200">
        <v>39874849.799999997</v>
      </c>
      <c r="K200">
        <v>56533957.409999996</v>
      </c>
      <c r="L200">
        <v>39943984.799999997</v>
      </c>
      <c r="M200">
        <v>37566581.549999997</v>
      </c>
      <c r="N200">
        <v>32075207.899999999</v>
      </c>
      <c r="O200">
        <v>26066792.210000001</v>
      </c>
      <c r="P200">
        <v>47293018.960000001</v>
      </c>
      <c r="Q200">
        <v>65875747.979999997</v>
      </c>
      <c r="R200">
        <v>56479745.130000003</v>
      </c>
      <c r="S200">
        <v>66840317.039999999</v>
      </c>
      <c r="T200">
        <v>43844843.5</v>
      </c>
      <c r="U200">
        <v>34824288.100000001</v>
      </c>
      <c r="V200">
        <v>48270106</v>
      </c>
      <c r="W200">
        <v>34576167.399999999</v>
      </c>
      <c r="X200">
        <v>27416281.149999999</v>
      </c>
      <c r="Y200">
        <v>30117803.449999999</v>
      </c>
      <c r="Z200">
        <v>46452179.479999997</v>
      </c>
      <c r="AA200">
        <v>44805176.549999997</v>
      </c>
      <c r="AB200">
        <v>63305067.75</v>
      </c>
      <c r="AC200">
        <v>39322896.25</v>
      </c>
      <c r="AD200">
        <v>61560204.25</v>
      </c>
      <c r="AE200">
        <v>33088189.809999999</v>
      </c>
      <c r="AF200">
        <v>67608330.599999994</v>
      </c>
      <c r="AG200">
        <v>148434133.99000001</v>
      </c>
      <c r="AH200">
        <v>67364643.849999994</v>
      </c>
      <c r="AI200">
        <v>50817776.82</v>
      </c>
      <c r="AJ200">
        <v>56242722.579999998</v>
      </c>
      <c r="AK200">
        <v>57174411.759999998</v>
      </c>
      <c r="AL200">
        <v>85926584.079999998</v>
      </c>
      <c r="AM200">
        <v>54483802.880000003</v>
      </c>
      <c r="AN200">
        <v>35895078.859999999</v>
      </c>
      <c r="AO200">
        <v>59724869.960000001</v>
      </c>
      <c r="AP200">
        <v>33291675.579999998</v>
      </c>
      <c r="AQ200">
        <v>34373950.159999996</v>
      </c>
      <c r="AR200">
        <v>51653854.420000002</v>
      </c>
      <c r="AS200">
        <v>103987222.7</v>
      </c>
      <c r="AT200">
        <v>51206763.920000002</v>
      </c>
      <c r="AU200">
        <v>92612335.260000005</v>
      </c>
      <c r="AV200">
        <v>38964548.479999997</v>
      </c>
      <c r="AW200">
        <v>73053246.209999993</v>
      </c>
      <c r="AX200">
        <v>78489782.260000005</v>
      </c>
      <c r="AY200">
        <v>51711040.229999997</v>
      </c>
      <c r="AZ200">
        <v>48519183.990000002</v>
      </c>
      <c r="BA200">
        <v>73427850.609999999</v>
      </c>
      <c r="BB200">
        <v>107551040.16</v>
      </c>
      <c r="BC200">
        <v>63453858.380000003</v>
      </c>
      <c r="BD200">
        <v>37545784.649999999</v>
      </c>
      <c r="BE200">
        <v>37859993.810000002</v>
      </c>
      <c r="BF200">
        <v>47423424.399999999</v>
      </c>
      <c r="BG200">
        <v>32269411.77</v>
      </c>
      <c r="BH200">
        <v>41314077.939999998</v>
      </c>
      <c r="BI200">
        <v>39409432.479999997</v>
      </c>
      <c r="BJ200">
        <v>56264935.420000002</v>
      </c>
      <c r="BK200">
        <v>53902998.170000002</v>
      </c>
      <c r="BL200">
        <v>90638592.680000007</v>
      </c>
      <c r="BM200">
        <v>23583514.039999999</v>
      </c>
      <c r="BN200">
        <v>5959909.7800000003</v>
      </c>
      <c r="BO200">
        <v>19863692.699999999</v>
      </c>
      <c r="BP200">
        <v>22256586.18</v>
      </c>
      <c r="BQ200">
        <v>10987483.939999999</v>
      </c>
      <c r="BR200">
        <v>23442156.359999999</v>
      </c>
      <c r="BS200">
        <v>38208875.939999998</v>
      </c>
    </row>
    <row r="201" spans="1:71" x14ac:dyDescent="0.25">
      <c r="A201" t="s">
        <v>137</v>
      </c>
      <c r="B201" t="s">
        <v>138</v>
      </c>
      <c r="C201">
        <v>9078186</v>
      </c>
      <c r="D201" t="s">
        <v>245</v>
      </c>
      <c r="E201" t="s">
        <v>244</v>
      </c>
      <c r="F201" t="str">
        <f t="shared" si="8"/>
        <v>FR0010307819MTAH</v>
      </c>
      <c r="G201">
        <f t="shared" si="9"/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</row>
    <row r="202" spans="1:71" x14ac:dyDescent="0.25">
      <c r="A202" t="s">
        <v>139</v>
      </c>
      <c r="B202" t="s">
        <v>140</v>
      </c>
      <c r="C202">
        <v>133357</v>
      </c>
      <c r="D202" t="s">
        <v>6</v>
      </c>
      <c r="E202" t="s">
        <v>232</v>
      </c>
      <c r="F202" t="str">
        <f t="shared" si="8"/>
        <v>FR0010313833XPAR</v>
      </c>
      <c r="G202">
        <f t="shared" si="9"/>
        <v>13793242.716718752</v>
      </c>
      <c r="H202">
        <v>9462797.2300000004</v>
      </c>
      <c r="I202">
        <v>11309385.65</v>
      </c>
      <c r="J202">
        <v>12386361.25</v>
      </c>
      <c r="K202">
        <v>11705845.199999999</v>
      </c>
      <c r="L202">
        <v>8497676.3000000007</v>
      </c>
      <c r="M202">
        <v>11928949.15</v>
      </c>
      <c r="N202">
        <v>6156863.9500000002</v>
      </c>
      <c r="O202">
        <v>13632738.5</v>
      </c>
      <c r="P202">
        <v>13201407.300000001</v>
      </c>
      <c r="Q202">
        <v>14594340.75</v>
      </c>
      <c r="R202">
        <v>9122203.1999999993</v>
      </c>
      <c r="S202">
        <v>14351719.85</v>
      </c>
      <c r="T202">
        <v>15907294.75</v>
      </c>
      <c r="U202">
        <v>8840477.3499999996</v>
      </c>
      <c r="V202">
        <v>11067562.550000001</v>
      </c>
      <c r="W202">
        <v>16032478.800000001</v>
      </c>
      <c r="X202">
        <v>7793535.2999999998</v>
      </c>
      <c r="Y202">
        <v>9470004.0500000007</v>
      </c>
      <c r="Z202">
        <v>14227409.15</v>
      </c>
      <c r="AA202">
        <v>24268346.850000001</v>
      </c>
      <c r="AB202">
        <v>14539212.300000001</v>
      </c>
      <c r="AC202">
        <v>12329453.65</v>
      </c>
      <c r="AD202">
        <v>13695928.050000001</v>
      </c>
      <c r="AE202">
        <v>13416961.6</v>
      </c>
      <c r="AF202">
        <v>26701810.850000001</v>
      </c>
      <c r="AG202">
        <v>30835359.399999999</v>
      </c>
      <c r="AH202">
        <v>23707467.859999999</v>
      </c>
      <c r="AI202">
        <v>13210633.65</v>
      </c>
      <c r="AJ202">
        <v>20813645.329999998</v>
      </c>
      <c r="AK202">
        <v>12248149.25</v>
      </c>
      <c r="AL202">
        <v>13385181.300000001</v>
      </c>
      <c r="AM202">
        <v>18595198.199999999</v>
      </c>
      <c r="AN202">
        <v>11306927.15</v>
      </c>
      <c r="AO202">
        <v>13088522.800000001</v>
      </c>
      <c r="AP202">
        <v>14924857.6</v>
      </c>
      <c r="AQ202">
        <v>10094789.949999999</v>
      </c>
      <c r="AR202">
        <v>14801530.1</v>
      </c>
      <c r="AS202">
        <v>26902339.449999999</v>
      </c>
      <c r="AT202">
        <v>19958442.449999999</v>
      </c>
      <c r="AU202">
        <v>13711940.35</v>
      </c>
      <c r="AV202">
        <v>7456833.9000000004</v>
      </c>
      <c r="AW202">
        <v>11399069.550000001</v>
      </c>
      <c r="AX202">
        <v>25794362.75</v>
      </c>
      <c r="AY202">
        <v>23747262.399999999</v>
      </c>
      <c r="AZ202">
        <v>12813543</v>
      </c>
      <c r="BA202">
        <v>14673786.949999999</v>
      </c>
      <c r="BB202">
        <v>9356617.9000000004</v>
      </c>
      <c r="BC202">
        <v>18166439.449999999</v>
      </c>
      <c r="BD202">
        <v>11533523.5</v>
      </c>
      <c r="BE202">
        <v>9905885.5</v>
      </c>
      <c r="BF202">
        <v>11100197.1</v>
      </c>
      <c r="BG202">
        <v>16638495.25</v>
      </c>
      <c r="BH202">
        <v>14856176.75</v>
      </c>
      <c r="BI202">
        <v>14748275.949999999</v>
      </c>
      <c r="BJ202">
        <v>14737345.25</v>
      </c>
      <c r="BK202">
        <v>13393733.449999999</v>
      </c>
      <c r="BL202">
        <v>23604095.300000001</v>
      </c>
      <c r="BM202">
        <v>6881868.1500000004</v>
      </c>
      <c r="BN202">
        <v>3752654.3</v>
      </c>
      <c r="BO202">
        <v>7212549.0499999998</v>
      </c>
      <c r="BP202">
        <v>5950362.9500000002</v>
      </c>
      <c r="BQ202">
        <v>4485442.1500000004</v>
      </c>
      <c r="BR202">
        <v>11650859.550000001</v>
      </c>
      <c r="BS202">
        <v>6682405.3499999996</v>
      </c>
    </row>
    <row r="203" spans="1:71" x14ac:dyDescent="0.25">
      <c r="A203" t="s">
        <v>139</v>
      </c>
      <c r="B203" t="s">
        <v>140</v>
      </c>
      <c r="C203">
        <v>6060202</v>
      </c>
      <c r="D203" t="s">
        <v>243</v>
      </c>
      <c r="E203" t="s">
        <v>244</v>
      </c>
      <c r="F203" t="str">
        <f t="shared" si="8"/>
        <v>FR0010313833ETLX</v>
      </c>
      <c r="G203">
        <f t="shared" si="9"/>
        <v>46.481250000000003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2974.8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</row>
    <row r="204" spans="1:71" x14ac:dyDescent="0.25">
      <c r="A204" t="s">
        <v>139</v>
      </c>
      <c r="B204" t="s">
        <v>140</v>
      </c>
      <c r="C204">
        <v>9078185</v>
      </c>
      <c r="D204" t="s">
        <v>245</v>
      </c>
      <c r="E204" t="s">
        <v>244</v>
      </c>
      <c r="F204" t="str">
        <f t="shared" si="8"/>
        <v>FR0010313833MTAH</v>
      </c>
      <c r="G204">
        <f t="shared" si="9"/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</row>
    <row r="205" spans="1:71" x14ac:dyDescent="0.25">
      <c r="A205" t="s">
        <v>141</v>
      </c>
      <c r="B205" t="s">
        <v>142</v>
      </c>
      <c r="C205">
        <v>135073</v>
      </c>
      <c r="D205" t="s">
        <v>6</v>
      </c>
      <c r="E205" t="s">
        <v>232</v>
      </c>
      <c r="F205" t="str">
        <f t="shared" si="8"/>
        <v>FR0010340141XPAR</v>
      </c>
      <c r="G205">
        <f t="shared" si="9"/>
        <v>10073514.561718751</v>
      </c>
      <c r="H205">
        <v>12228670.85</v>
      </c>
      <c r="I205">
        <v>15253394</v>
      </c>
      <c r="J205">
        <v>9686850.3000000007</v>
      </c>
      <c r="K205">
        <v>6836789.0499999998</v>
      </c>
      <c r="L205">
        <v>7165184.0999999996</v>
      </c>
      <c r="M205">
        <v>5073303</v>
      </c>
      <c r="N205">
        <v>13649963.800000001</v>
      </c>
      <c r="O205">
        <v>8063372.7999999998</v>
      </c>
      <c r="P205">
        <v>10843017.300000001</v>
      </c>
      <c r="Q205">
        <v>15758224.699999999</v>
      </c>
      <c r="R205">
        <v>9128879.8000000007</v>
      </c>
      <c r="S205">
        <v>7536104.9500000002</v>
      </c>
      <c r="T205">
        <v>8053962.7999999998</v>
      </c>
      <c r="U205">
        <v>10196657.4</v>
      </c>
      <c r="V205">
        <v>13790960.449999999</v>
      </c>
      <c r="W205">
        <v>17595227.149999999</v>
      </c>
      <c r="X205">
        <v>21583602.5</v>
      </c>
      <c r="Y205">
        <v>12020571.5</v>
      </c>
      <c r="Z205">
        <v>9023818.5</v>
      </c>
      <c r="AA205">
        <v>10467535.300000001</v>
      </c>
      <c r="AB205">
        <v>10587230.800000001</v>
      </c>
      <c r="AC205">
        <v>8195142</v>
      </c>
      <c r="AD205">
        <v>6757069.7999999998</v>
      </c>
      <c r="AE205">
        <v>9857799.25</v>
      </c>
      <c r="AF205">
        <v>9388651.4000000004</v>
      </c>
      <c r="AG205">
        <v>5593986.7000000002</v>
      </c>
      <c r="AH205">
        <v>7584496</v>
      </c>
      <c r="AI205">
        <v>8533087.0500000007</v>
      </c>
      <c r="AJ205">
        <v>9610949.0999999996</v>
      </c>
      <c r="AK205">
        <v>7620301.4000000004</v>
      </c>
      <c r="AL205">
        <v>5053671.4000000004</v>
      </c>
      <c r="AM205">
        <v>5861624.0999999996</v>
      </c>
      <c r="AN205">
        <v>6117956.0999999996</v>
      </c>
      <c r="AO205">
        <v>14568499.699999999</v>
      </c>
      <c r="AP205">
        <v>7133931.9000000004</v>
      </c>
      <c r="AQ205">
        <v>8684270.5999999996</v>
      </c>
      <c r="AR205">
        <v>5552989.5999999996</v>
      </c>
      <c r="AS205">
        <v>34284072.100000001</v>
      </c>
      <c r="AT205">
        <v>10976240.1</v>
      </c>
      <c r="AU205">
        <v>12966545.300000001</v>
      </c>
      <c r="AV205">
        <v>9909272.8000000007</v>
      </c>
      <c r="AW205">
        <v>11363603.85</v>
      </c>
      <c r="AX205">
        <v>10907169.550000001</v>
      </c>
      <c r="AY205">
        <v>8056558.7999999998</v>
      </c>
      <c r="AZ205">
        <v>11628119.949999999</v>
      </c>
      <c r="BA205">
        <v>29289218.399999999</v>
      </c>
      <c r="BB205">
        <v>6439331.7999999998</v>
      </c>
      <c r="BC205">
        <v>10226539.800000001</v>
      </c>
      <c r="BD205">
        <v>10575589.550000001</v>
      </c>
      <c r="BE205">
        <v>8401567.0999999996</v>
      </c>
      <c r="BF205">
        <v>9220552.3000000007</v>
      </c>
      <c r="BG205">
        <v>9608247.9000000004</v>
      </c>
      <c r="BH205">
        <v>7676274.7999999998</v>
      </c>
      <c r="BI205">
        <v>12213712.550000001</v>
      </c>
      <c r="BJ205">
        <v>9699079.1500000004</v>
      </c>
      <c r="BK205">
        <v>11485998.199999999</v>
      </c>
      <c r="BL205">
        <v>14767860.1</v>
      </c>
      <c r="BM205">
        <v>5329762.8</v>
      </c>
      <c r="BN205">
        <v>1744991.3</v>
      </c>
      <c r="BO205">
        <v>5603467</v>
      </c>
      <c r="BP205">
        <v>5821102.2000000002</v>
      </c>
      <c r="BQ205">
        <v>3533243.4</v>
      </c>
      <c r="BR205">
        <v>5293540.7</v>
      </c>
      <c r="BS205">
        <v>7025523.2999999998</v>
      </c>
    </row>
    <row r="206" spans="1:71" x14ac:dyDescent="0.25">
      <c r="A206" t="s">
        <v>141</v>
      </c>
      <c r="B206" t="s">
        <v>142</v>
      </c>
      <c r="C206">
        <v>9078184</v>
      </c>
      <c r="D206" t="s">
        <v>245</v>
      </c>
      <c r="E206" t="s">
        <v>244</v>
      </c>
      <c r="F206" t="str">
        <f t="shared" si="8"/>
        <v>FR0010340141MTAH</v>
      </c>
      <c r="G206">
        <f t="shared" si="9"/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</row>
    <row r="207" spans="1:71" x14ac:dyDescent="0.25">
      <c r="A207" t="s">
        <v>143</v>
      </c>
      <c r="B207" t="s">
        <v>222</v>
      </c>
      <c r="C207">
        <v>143443</v>
      </c>
      <c r="D207" t="s">
        <v>6</v>
      </c>
      <c r="E207" t="s">
        <v>232</v>
      </c>
      <c r="F207" t="str">
        <f t="shared" si="8"/>
        <v>FR0010386334XPAR</v>
      </c>
      <c r="G207">
        <f t="shared" si="9"/>
        <v>1451377.2778125003</v>
      </c>
      <c r="H207">
        <v>538688.28</v>
      </c>
      <c r="I207">
        <v>854828.58</v>
      </c>
      <c r="J207">
        <v>634833.21</v>
      </c>
      <c r="K207">
        <v>445569.61</v>
      </c>
      <c r="L207">
        <v>487429.36</v>
      </c>
      <c r="M207">
        <v>574170.16</v>
      </c>
      <c r="N207">
        <v>1312299.1200000001</v>
      </c>
      <c r="O207">
        <v>681231.96</v>
      </c>
      <c r="P207">
        <v>604242.07999999996</v>
      </c>
      <c r="Q207">
        <v>764351.95</v>
      </c>
      <c r="R207">
        <v>1674566.93</v>
      </c>
      <c r="S207">
        <v>847523.39</v>
      </c>
      <c r="T207">
        <v>744912.99</v>
      </c>
      <c r="U207">
        <v>394564.59</v>
      </c>
      <c r="V207">
        <v>453130.34</v>
      </c>
      <c r="W207">
        <v>924390.38</v>
      </c>
      <c r="X207">
        <v>4810982.32</v>
      </c>
      <c r="Y207">
        <v>7990655.71</v>
      </c>
      <c r="Z207">
        <v>3696114.38</v>
      </c>
      <c r="AA207">
        <v>2051571.95</v>
      </c>
      <c r="AB207">
        <v>1919180.9</v>
      </c>
      <c r="AC207">
        <v>977838.78</v>
      </c>
      <c r="AD207">
        <v>5624525.5999999996</v>
      </c>
      <c r="AE207">
        <v>1687254.94</v>
      </c>
      <c r="AF207">
        <v>1998335.87</v>
      </c>
      <c r="AG207">
        <v>1373592.26</v>
      </c>
      <c r="AH207">
        <v>685135.87</v>
      </c>
      <c r="AI207">
        <v>969405.24</v>
      </c>
      <c r="AJ207">
        <v>1102950.8600000001</v>
      </c>
      <c r="AK207">
        <v>699616.17</v>
      </c>
      <c r="AL207">
        <v>693429.81</v>
      </c>
      <c r="AM207">
        <v>495899.43</v>
      </c>
      <c r="AN207">
        <v>1254577.99</v>
      </c>
      <c r="AO207">
        <v>922644.4</v>
      </c>
      <c r="AP207">
        <v>811806.95</v>
      </c>
      <c r="AQ207">
        <v>1219883.7</v>
      </c>
      <c r="AR207">
        <v>674381.66</v>
      </c>
      <c r="AS207">
        <v>1659359.18</v>
      </c>
      <c r="AT207">
        <v>1024247.22</v>
      </c>
      <c r="AU207">
        <v>912297.99</v>
      </c>
      <c r="AV207">
        <v>1707258.05</v>
      </c>
      <c r="AW207">
        <v>624896.64</v>
      </c>
      <c r="AX207">
        <v>819499.24</v>
      </c>
      <c r="AY207">
        <v>1243487.94</v>
      </c>
      <c r="AZ207">
        <v>1220566.3</v>
      </c>
      <c r="BA207">
        <v>791910.15</v>
      </c>
      <c r="BB207">
        <v>919576.9</v>
      </c>
      <c r="BC207">
        <v>1672632.36</v>
      </c>
      <c r="BD207">
        <v>937150.02</v>
      </c>
      <c r="BE207">
        <v>406303.84</v>
      </c>
      <c r="BF207">
        <v>1396972.18</v>
      </c>
      <c r="BG207">
        <v>1514505.23</v>
      </c>
      <c r="BH207">
        <v>1970264.13</v>
      </c>
      <c r="BI207">
        <v>3280216.62</v>
      </c>
      <c r="BJ207">
        <v>2382958.06</v>
      </c>
      <c r="BK207">
        <v>1876639.78</v>
      </c>
      <c r="BL207">
        <v>2325869.48</v>
      </c>
      <c r="BM207">
        <v>1421270.03</v>
      </c>
      <c r="BN207">
        <v>337137.07</v>
      </c>
      <c r="BO207">
        <v>3366421.06</v>
      </c>
      <c r="BP207">
        <v>831658.95</v>
      </c>
      <c r="BQ207">
        <v>747057.01</v>
      </c>
      <c r="BR207">
        <v>2554985.2799999998</v>
      </c>
      <c r="BS207">
        <v>1346487.35</v>
      </c>
    </row>
    <row r="208" spans="1:71" x14ac:dyDescent="0.25">
      <c r="A208" t="s">
        <v>143</v>
      </c>
      <c r="B208" t="s">
        <v>222</v>
      </c>
      <c r="C208">
        <v>9078183</v>
      </c>
      <c r="D208" t="s">
        <v>245</v>
      </c>
      <c r="E208" t="s">
        <v>244</v>
      </c>
      <c r="F208" t="str">
        <f t="shared" si="8"/>
        <v>FR0010386334MTAH</v>
      </c>
      <c r="G208">
        <f t="shared" si="9"/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</row>
    <row r="209" spans="1:71" x14ac:dyDescent="0.25">
      <c r="A209" t="s">
        <v>144</v>
      </c>
      <c r="B209" t="s">
        <v>264</v>
      </c>
      <c r="C209">
        <v>6060201</v>
      </c>
      <c r="D209" t="s">
        <v>243</v>
      </c>
      <c r="E209" t="s">
        <v>244</v>
      </c>
      <c r="F209" t="str">
        <f t="shared" si="8"/>
        <v>FR0010411983ETLX</v>
      </c>
      <c r="G209">
        <f t="shared" si="9"/>
        <v>88.653125000000003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4958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715.8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</row>
    <row r="210" spans="1:71" x14ac:dyDescent="0.25">
      <c r="A210" t="s">
        <v>144</v>
      </c>
      <c r="B210" t="s">
        <v>145</v>
      </c>
      <c r="C210">
        <v>638</v>
      </c>
      <c r="D210" t="s">
        <v>6</v>
      </c>
      <c r="E210" t="s">
        <v>232</v>
      </c>
      <c r="F210" t="str">
        <f t="shared" si="8"/>
        <v>FR0010411983XPAR</v>
      </c>
      <c r="G210">
        <f t="shared" si="9"/>
        <v>11767466.061562499</v>
      </c>
      <c r="H210">
        <v>8467141.3599999994</v>
      </c>
      <c r="I210">
        <v>21944907.449999999</v>
      </c>
      <c r="J210">
        <v>19739586.760000002</v>
      </c>
      <c r="K210">
        <v>14733306.300000001</v>
      </c>
      <c r="L210">
        <v>10331691.960000001</v>
      </c>
      <c r="M210">
        <v>17422410.879999999</v>
      </c>
      <c r="N210">
        <v>14047617.18</v>
      </c>
      <c r="O210">
        <v>13579890.48</v>
      </c>
      <c r="P210">
        <v>11585790.76</v>
      </c>
      <c r="Q210">
        <v>5938085.7000000002</v>
      </c>
      <c r="R210">
        <v>7580590.9400000004</v>
      </c>
      <c r="S210">
        <v>7417351.3399999999</v>
      </c>
      <c r="T210">
        <v>10493322.880000001</v>
      </c>
      <c r="U210">
        <v>10517177.16</v>
      </c>
      <c r="V210">
        <v>9072594.1799999997</v>
      </c>
      <c r="W210">
        <v>4265315.5599999996</v>
      </c>
      <c r="X210">
        <v>5725943.1699999999</v>
      </c>
      <c r="Y210">
        <v>5595203.0999999996</v>
      </c>
      <c r="Z210">
        <v>7297004.7599999998</v>
      </c>
      <c r="AA210">
        <v>10599255.58</v>
      </c>
      <c r="AB210">
        <v>7226232.0800000001</v>
      </c>
      <c r="AC210">
        <v>4573987.7300000004</v>
      </c>
      <c r="AD210">
        <v>5251065.79</v>
      </c>
      <c r="AE210">
        <v>4074626.74</v>
      </c>
      <c r="AF210">
        <v>7923228.2599999998</v>
      </c>
      <c r="AG210">
        <v>9485181.1600000001</v>
      </c>
      <c r="AH210">
        <v>7040794.9299999997</v>
      </c>
      <c r="AI210">
        <v>8467908.1400000006</v>
      </c>
      <c r="AJ210">
        <v>8987068.9700000007</v>
      </c>
      <c r="AK210">
        <v>18713905.440000001</v>
      </c>
      <c r="AL210">
        <v>45099890.729999997</v>
      </c>
      <c r="AM210">
        <v>35461400.100000001</v>
      </c>
      <c r="AN210">
        <v>28426804.09</v>
      </c>
      <c r="AO210">
        <v>17343946.140000001</v>
      </c>
      <c r="AP210">
        <v>13538560</v>
      </c>
      <c r="AQ210">
        <v>11683822.26</v>
      </c>
      <c r="AR210">
        <v>12064220.34</v>
      </c>
      <c r="AS210">
        <v>11776032.800000001</v>
      </c>
      <c r="AT210">
        <v>7422397.0800000001</v>
      </c>
      <c r="AU210">
        <v>11245880.119999999</v>
      </c>
      <c r="AV210">
        <v>5006668.96</v>
      </c>
      <c r="AW210">
        <v>6360812.2599999998</v>
      </c>
      <c r="AX210">
        <v>7654715.4299999997</v>
      </c>
      <c r="AY210">
        <v>9850343.4399999995</v>
      </c>
      <c r="AZ210">
        <v>14136307.84</v>
      </c>
      <c r="BA210">
        <v>16390566.1</v>
      </c>
      <c r="BB210">
        <v>18044895.98</v>
      </c>
      <c r="BC210">
        <v>9923508.5399999991</v>
      </c>
      <c r="BD210">
        <v>11224310.84</v>
      </c>
      <c r="BE210">
        <v>7830416.96</v>
      </c>
      <c r="BF210">
        <v>17086495.59</v>
      </c>
      <c r="BG210">
        <v>10961653.02</v>
      </c>
      <c r="BH210">
        <v>11037084.52</v>
      </c>
      <c r="BI210">
        <v>11136776.539999999</v>
      </c>
      <c r="BJ210">
        <v>11599591.560000001</v>
      </c>
      <c r="BK210">
        <v>11566995.24</v>
      </c>
      <c r="BL210">
        <v>36417181.380000003</v>
      </c>
      <c r="BM210">
        <v>7398874.1500000004</v>
      </c>
      <c r="BN210">
        <v>2752845.82</v>
      </c>
      <c r="BO210">
        <v>5678329.4800000004</v>
      </c>
      <c r="BP210">
        <v>7319773.8600000003</v>
      </c>
      <c r="BQ210">
        <v>3940050.42</v>
      </c>
      <c r="BR210">
        <v>8382302.29</v>
      </c>
      <c r="BS210">
        <v>9256187.3200000003</v>
      </c>
    </row>
    <row r="211" spans="1:71" x14ac:dyDescent="0.25">
      <c r="A211" t="s">
        <v>144</v>
      </c>
      <c r="B211" t="s">
        <v>145</v>
      </c>
      <c r="C211">
        <v>9078182</v>
      </c>
      <c r="D211" t="s">
        <v>245</v>
      </c>
      <c r="E211" t="s">
        <v>244</v>
      </c>
      <c r="F211" t="str">
        <f t="shared" si="8"/>
        <v>FR0010411983MTAH</v>
      </c>
      <c r="G211">
        <f t="shared" si="9"/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</row>
    <row r="212" spans="1:71" x14ac:dyDescent="0.25">
      <c r="A212" t="s">
        <v>146</v>
      </c>
      <c r="B212" t="s">
        <v>147</v>
      </c>
      <c r="C212">
        <v>153295</v>
      </c>
      <c r="D212" t="s">
        <v>6</v>
      </c>
      <c r="E212" t="s">
        <v>232</v>
      </c>
      <c r="F212" t="str">
        <f t="shared" si="8"/>
        <v>FR0010451203XPAR</v>
      </c>
      <c r="G212">
        <f t="shared" si="9"/>
        <v>15198819.167968754</v>
      </c>
      <c r="H212">
        <v>17000158.5</v>
      </c>
      <c r="I212">
        <v>11940883.48</v>
      </c>
      <c r="J212">
        <v>16223365.199999999</v>
      </c>
      <c r="K212">
        <v>14244861.869999999</v>
      </c>
      <c r="L212">
        <v>7724265.1100000003</v>
      </c>
      <c r="M212">
        <v>10836227.65</v>
      </c>
      <c r="N212">
        <v>18594253.370000001</v>
      </c>
      <c r="O212">
        <v>10785217.949999999</v>
      </c>
      <c r="P212">
        <v>19299902.75</v>
      </c>
      <c r="Q212">
        <v>39238584.619999997</v>
      </c>
      <c r="R212">
        <v>16568171.52</v>
      </c>
      <c r="S212">
        <v>16107075.529999999</v>
      </c>
      <c r="T212">
        <v>16049500.73</v>
      </c>
      <c r="U212">
        <v>12206518.59</v>
      </c>
      <c r="V212">
        <v>13064738.310000001</v>
      </c>
      <c r="W212">
        <v>11981277.66</v>
      </c>
      <c r="X212">
        <v>14220355.460000001</v>
      </c>
      <c r="Y212">
        <v>15207538.289999999</v>
      </c>
      <c r="Z212">
        <v>11587969.640000001</v>
      </c>
      <c r="AA212">
        <v>15059175.48</v>
      </c>
      <c r="AB212">
        <v>19317252.609999999</v>
      </c>
      <c r="AC212">
        <v>12942307.689999999</v>
      </c>
      <c r="AD212">
        <v>22624489.41</v>
      </c>
      <c r="AE212">
        <v>14467429.720000001</v>
      </c>
      <c r="AF212">
        <v>28217297.969999999</v>
      </c>
      <c r="AG212">
        <v>18962897.370000001</v>
      </c>
      <c r="AH212">
        <v>18387545.600000001</v>
      </c>
      <c r="AI212">
        <v>10886350.33</v>
      </c>
      <c r="AJ212">
        <v>22054878.739999998</v>
      </c>
      <c r="AK212">
        <v>16338099.82</v>
      </c>
      <c r="AL212">
        <v>18674759.91</v>
      </c>
      <c r="AM212">
        <v>14979685.17</v>
      </c>
      <c r="AN212">
        <v>11461454.82</v>
      </c>
      <c r="AO212">
        <v>23368857.390000001</v>
      </c>
      <c r="AP212">
        <v>16147985.960000001</v>
      </c>
      <c r="AQ212">
        <v>17579256.210000001</v>
      </c>
      <c r="AR212">
        <v>17009839.420000002</v>
      </c>
      <c r="AS212">
        <v>39267520.619999997</v>
      </c>
      <c r="AT212">
        <v>10211984.960000001</v>
      </c>
      <c r="AU212">
        <v>15401063.970000001</v>
      </c>
      <c r="AV212">
        <v>6900653.7199999997</v>
      </c>
      <c r="AW212">
        <v>17137728.579999998</v>
      </c>
      <c r="AX212">
        <v>19489527.809999999</v>
      </c>
      <c r="AY212">
        <v>13003831.25</v>
      </c>
      <c r="AZ212">
        <v>15364151.92</v>
      </c>
      <c r="BA212">
        <v>13646906.49</v>
      </c>
      <c r="BB212">
        <v>13845949.720000001</v>
      </c>
      <c r="BC212">
        <v>14844296.52</v>
      </c>
      <c r="BD212">
        <v>12514927.26</v>
      </c>
      <c r="BE212">
        <v>13914971.92</v>
      </c>
      <c r="BF212">
        <v>11084571.310000001</v>
      </c>
      <c r="BG212">
        <v>17238639.109999999</v>
      </c>
      <c r="BH212">
        <v>14387064.41</v>
      </c>
      <c r="BI212">
        <v>9666107.7300000004</v>
      </c>
      <c r="BJ212">
        <v>12330173.58</v>
      </c>
      <c r="BK212">
        <v>12229408.48</v>
      </c>
      <c r="BL212">
        <v>31755894.920000002</v>
      </c>
      <c r="BM212">
        <v>9513540.3800000008</v>
      </c>
      <c r="BN212">
        <v>3119918.93</v>
      </c>
      <c r="BO212">
        <v>8094949.2000000002</v>
      </c>
      <c r="BP212">
        <v>10775646.460000001</v>
      </c>
      <c r="BQ212">
        <v>3120399.25</v>
      </c>
      <c r="BR212">
        <v>7303180.5599999996</v>
      </c>
      <c r="BS212">
        <v>5200987.84</v>
      </c>
    </row>
    <row r="213" spans="1:71" x14ac:dyDescent="0.25">
      <c r="A213" t="s">
        <v>146</v>
      </c>
      <c r="B213" t="s">
        <v>147</v>
      </c>
      <c r="C213">
        <v>9078181</v>
      </c>
      <c r="D213" t="s">
        <v>245</v>
      </c>
      <c r="E213" t="s">
        <v>244</v>
      </c>
      <c r="F213" t="str">
        <f t="shared" si="8"/>
        <v>FR0010451203MTAH</v>
      </c>
      <c r="G213">
        <f t="shared" si="9"/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</row>
    <row r="214" spans="1:71" x14ac:dyDescent="0.25">
      <c r="A214" t="s">
        <v>216</v>
      </c>
      <c r="B214" t="s">
        <v>221</v>
      </c>
      <c r="C214">
        <v>159316</v>
      </c>
      <c r="D214" t="s">
        <v>6</v>
      </c>
      <c r="E214" t="s">
        <v>232</v>
      </c>
      <c r="F214" t="str">
        <f t="shared" si="8"/>
        <v>FR0010481960XPAR</v>
      </c>
      <c r="G214">
        <f t="shared" si="9"/>
        <v>751222.05546875007</v>
      </c>
      <c r="H214">
        <v>769779.1</v>
      </c>
      <c r="I214">
        <v>730343.4</v>
      </c>
      <c r="J214">
        <v>604881</v>
      </c>
      <c r="K214">
        <v>1309337.8999999999</v>
      </c>
      <c r="L214">
        <v>557459.1</v>
      </c>
      <c r="M214">
        <v>841372.7</v>
      </c>
      <c r="N214">
        <v>1066776.2</v>
      </c>
      <c r="O214">
        <v>382220.1</v>
      </c>
      <c r="P214">
        <v>483233</v>
      </c>
      <c r="Q214">
        <v>296228</v>
      </c>
      <c r="R214">
        <v>652297.30000000005</v>
      </c>
      <c r="S214">
        <v>548579.4</v>
      </c>
      <c r="T214">
        <v>516424.2</v>
      </c>
      <c r="U214">
        <v>453428.9</v>
      </c>
      <c r="V214">
        <v>568699.69999999995</v>
      </c>
      <c r="W214">
        <v>480665.15</v>
      </c>
      <c r="X214">
        <v>763342</v>
      </c>
      <c r="Y214">
        <v>547633.69999999995</v>
      </c>
      <c r="Z214">
        <v>466339.5</v>
      </c>
      <c r="AA214">
        <v>835825.7</v>
      </c>
      <c r="AB214">
        <v>1161421</v>
      </c>
      <c r="AC214">
        <v>730301.2</v>
      </c>
      <c r="AD214">
        <v>764461.1</v>
      </c>
      <c r="AE214">
        <v>480026.8</v>
      </c>
      <c r="AF214">
        <v>630596.1</v>
      </c>
      <c r="AG214">
        <v>493400.3</v>
      </c>
      <c r="AH214">
        <v>507005.9</v>
      </c>
      <c r="AI214">
        <v>608007.80000000005</v>
      </c>
      <c r="AJ214">
        <v>901204.3</v>
      </c>
      <c r="AK214">
        <v>881634.5</v>
      </c>
      <c r="AL214">
        <v>380660.1</v>
      </c>
      <c r="AM214">
        <v>471196.8</v>
      </c>
      <c r="AN214">
        <v>436372.6</v>
      </c>
      <c r="AO214">
        <v>570519.6</v>
      </c>
      <c r="AP214">
        <v>464056.7</v>
      </c>
      <c r="AQ214">
        <v>632122.6</v>
      </c>
      <c r="AR214">
        <v>716284.3</v>
      </c>
      <c r="AS214">
        <v>684609.6</v>
      </c>
      <c r="AT214">
        <v>418028.6</v>
      </c>
      <c r="AU214">
        <v>686496.7</v>
      </c>
      <c r="AV214">
        <v>223542.5</v>
      </c>
      <c r="AW214">
        <v>783498.6</v>
      </c>
      <c r="AX214">
        <v>809099.6</v>
      </c>
      <c r="AY214">
        <v>1180755.3999999999</v>
      </c>
      <c r="AZ214">
        <v>400874.2</v>
      </c>
      <c r="BA214">
        <v>655597.1</v>
      </c>
      <c r="BB214">
        <v>1730611.9</v>
      </c>
      <c r="BC214">
        <v>966856.3</v>
      </c>
      <c r="BD214">
        <v>675191.2</v>
      </c>
      <c r="BE214">
        <v>742513.8</v>
      </c>
      <c r="BF214">
        <v>665801.4</v>
      </c>
      <c r="BG214">
        <v>461987</v>
      </c>
      <c r="BH214">
        <v>2979533.8</v>
      </c>
      <c r="BI214">
        <v>721985.1</v>
      </c>
      <c r="BJ214">
        <v>721176.6</v>
      </c>
      <c r="BK214">
        <v>822842.4</v>
      </c>
      <c r="BL214">
        <v>2458961</v>
      </c>
      <c r="BM214">
        <v>676350.9</v>
      </c>
      <c r="BN214">
        <v>642787.9</v>
      </c>
      <c r="BO214">
        <v>1523605.1</v>
      </c>
      <c r="BP214">
        <v>552606.19999999995</v>
      </c>
      <c r="BQ214">
        <v>378449.8</v>
      </c>
      <c r="BR214">
        <v>1224404.3999999999</v>
      </c>
      <c r="BS214">
        <v>585906.69999999995</v>
      </c>
    </row>
    <row r="215" spans="1:71" x14ac:dyDescent="0.25">
      <c r="A215" t="s">
        <v>148</v>
      </c>
      <c r="B215" t="s">
        <v>149</v>
      </c>
      <c r="C215">
        <v>160621</v>
      </c>
      <c r="D215" t="s">
        <v>6</v>
      </c>
      <c r="E215" t="s">
        <v>232</v>
      </c>
      <c r="F215" t="str">
        <f t="shared" si="8"/>
        <v>FR0010533075XPAR</v>
      </c>
      <c r="G215">
        <f t="shared" si="9"/>
        <v>10248290.868437503</v>
      </c>
      <c r="H215">
        <v>14829147.91</v>
      </c>
      <c r="I215">
        <v>11298225.380000001</v>
      </c>
      <c r="J215">
        <v>11850524.92</v>
      </c>
      <c r="K215">
        <v>7578477.3399999999</v>
      </c>
      <c r="L215">
        <v>10652132.5</v>
      </c>
      <c r="M215">
        <v>11237765.41</v>
      </c>
      <c r="N215">
        <v>8527752.5299999993</v>
      </c>
      <c r="O215">
        <v>10140354.65</v>
      </c>
      <c r="P215">
        <v>9437057.9399999995</v>
      </c>
      <c r="Q215">
        <v>10680623.9</v>
      </c>
      <c r="R215">
        <v>17623821.010000002</v>
      </c>
      <c r="S215">
        <v>10419487.59</v>
      </c>
      <c r="T215">
        <v>7870596.3600000003</v>
      </c>
      <c r="U215">
        <v>9674804.2200000007</v>
      </c>
      <c r="V215">
        <v>6849874.0199999996</v>
      </c>
      <c r="W215">
        <v>5985140.5999999996</v>
      </c>
      <c r="X215">
        <v>6713967.75</v>
      </c>
      <c r="Y215">
        <v>6451674.4699999997</v>
      </c>
      <c r="Z215">
        <v>7396787.8399999999</v>
      </c>
      <c r="AA215">
        <v>9444778.2300000004</v>
      </c>
      <c r="AB215">
        <v>12234480.869999999</v>
      </c>
      <c r="AC215">
        <v>9643284.8699999992</v>
      </c>
      <c r="AD215">
        <v>7536622.4400000004</v>
      </c>
      <c r="AE215">
        <v>8635669.2799999993</v>
      </c>
      <c r="AF215">
        <v>10430141.800000001</v>
      </c>
      <c r="AG215">
        <v>6091673.5899999999</v>
      </c>
      <c r="AH215">
        <v>11118973.539999999</v>
      </c>
      <c r="AI215">
        <v>11130913.359999999</v>
      </c>
      <c r="AJ215">
        <v>12640264.01</v>
      </c>
      <c r="AK215">
        <v>8108423</v>
      </c>
      <c r="AL215">
        <v>8092705.7999999998</v>
      </c>
      <c r="AM215">
        <v>6214084.4299999997</v>
      </c>
      <c r="AN215">
        <v>6027455.9100000001</v>
      </c>
      <c r="AO215">
        <v>6103944.1900000004</v>
      </c>
      <c r="AP215">
        <v>5128474.24</v>
      </c>
      <c r="AQ215">
        <v>8127091.2699999996</v>
      </c>
      <c r="AR215">
        <v>10484791.810000001</v>
      </c>
      <c r="AS215">
        <v>32288757.850000001</v>
      </c>
      <c r="AT215">
        <v>12174695.07</v>
      </c>
      <c r="AU215">
        <v>18017596.530000001</v>
      </c>
      <c r="AV215">
        <v>10551370.24</v>
      </c>
      <c r="AW215">
        <v>10542019.029999999</v>
      </c>
      <c r="AX215">
        <v>14138976.199999999</v>
      </c>
      <c r="AY215">
        <v>10026893.619999999</v>
      </c>
      <c r="AZ215">
        <v>11372382.310000001</v>
      </c>
      <c r="BA215">
        <v>22642615.420000002</v>
      </c>
      <c r="BB215">
        <v>15795447.560000001</v>
      </c>
      <c r="BC215">
        <v>10067019.17</v>
      </c>
      <c r="BD215">
        <v>6439746.0199999996</v>
      </c>
      <c r="BE215">
        <v>9784727.0199999996</v>
      </c>
      <c r="BF215">
        <v>6793598.1799999997</v>
      </c>
      <c r="BG215">
        <v>8860634.0700000003</v>
      </c>
      <c r="BH215">
        <v>11361876.369999999</v>
      </c>
      <c r="BI215">
        <v>11793496.449999999</v>
      </c>
      <c r="BJ215">
        <v>10627564.949999999</v>
      </c>
      <c r="BK215">
        <v>11850887.17</v>
      </c>
      <c r="BL215">
        <v>30482818.93</v>
      </c>
      <c r="BM215">
        <v>7324274.0099999998</v>
      </c>
      <c r="BN215">
        <v>1910008.87</v>
      </c>
      <c r="BO215">
        <v>5326664.1900000004</v>
      </c>
      <c r="BP215">
        <v>7972988.3399999999</v>
      </c>
      <c r="BQ215">
        <v>4342444.51</v>
      </c>
      <c r="BR215">
        <v>5610177.9800000004</v>
      </c>
      <c r="BS215">
        <v>5378946.54</v>
      </c>
    </row>
    <row r="216" spans="1:71" x14ac:dyDescent="0.25">
      <c r="A216" t="s">
        <v>148</v>
      </c>
      <c r="B216" t="s">
        <v>149</v>
      </c>
      <c r="C216">
        <v>9078180</v>
      </c>
      <c r="D216" t="s">
        <v>245</v>
      </c>
      <c r="E216" t="s">
        <v>244</v>
      </c>
      <c r="F216" t="str">
        <f t="shared" si="8"/>
        <v>FR0010533075MTAH</v>
      </c>
      <c r="G216">
        <f t="shared" si="9"/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</row>
    <row r="217" spans="1:71" x14ac:dyDescent="0.25">
      <c r="A217" t="s">
        <v>150</v>
      </c>
      <c r="B217" t="s">
        <v>151</v>
      </c>
      <c r="C217">
        <v>579405</v>
      </c>
      <c r="D217" t="s">
        <v>6</v>
      </c>
      <c r="E217" t="s">
        <v>232</v>
      </c>
      <c r="F217" t="str">
        <f t="shared" si="8"/>
        <v>FR0010667147XPAR</v>
      </c>
      <c r="G217">
        <f t="shared" si="9"/>
        <v>1893446.5081249999</v>
      </c>
      <c r="H217">
        <v>1752880.46</v>
      </c>
      <c r="I217">
        <v>1870767.65</v>
      </c>
      <c r="J217">
        <v>1928679.98</v>
      </c>
      <c r="K217">
        <v>1264434.76</v>
      </c>
      <c r="L217">
        <v>1066951.8999999999</v>
      </c>
      <c r="M217">
        <v>873191.99</v>
      </c>
      <c r="N217">
        <v>1784300.05</v>
      </c>
      <c r="O217">
        <v>1796525.75</v>
      </c>
      <c r="P217">
        <v>1852977.38</v>
      </c>
      <c r="Q217">
        <v>1858981.36</v>
      </c>
      <c r="R217">
        <v>2223794.56</v>
      </c>
      <c r="S217">
        <v>1396464.75</v>
      </c>
      <c r="T217">
        <v>1611604.86</v>
      </c>
      <c r="U217">
        <v>1349158.06</v>
      </c>
      <c r="V217">
        <v>1126864.6499999999</v>
      </c>
      <c r="W217">
        <v>803221.19</v>
      </c>
      <c r="X217">
        <v>1730093.54</v>
      </c>
      <c r="Y217">
        <v>1824485.19</v>
      </c>
      <c r="Z217">
        <v>1588126.16</v>
      </c>
      <c r="AA217">
        <v>2412098.59</v>
      </c>
      <c r="AB217">
        <v>1947871.76</v>
      </c>
      <c r="AC217">
        <v>1584636.25</v>
      </c>
      <c r="AD217">
        <v>1327134.1200000001</v>
      </c>
      <c r="AE217">
        <v>1608811.26</v>
      </c>
      <c r="AF217">
        <v>2875771.24</v>
      </c>
      <c r="AG217">
        <v>4187532.85</v>
      </c>
      <c r="AH217">
        <v>1774513.44</v>
      </c>
      <c r="AI217">
        <v>1978137.23</v>
      </c>
      <c r="AJ217">
        <v>3206043.69</v>
      </c>
      <c r="AK217">
        <v>2605319.06</v>
      </c>
      <c r="AL217">
        <v>2057400.19</v>
      </c>
      <c r="AM217">
        <v>1632153.3</v>
      </c>
      <c r="AN217">
        <v>2058177.79</v>
      </c>
      <c r="AO217">
        <v>1772479.34</v>
      </c>
      <c r="AP217">
        <v>1919902.65</v>
      </c>
      <c r="AQ217">
        <v>1221181.8600000001</v>
      </c>
      <c r="AR217">
        <v>1115340.6000000001</v>
      </c>
      <c r="AS217">
        <v>2106187.58</v>
      </c>
      <c r="AT217">
        <v>4206927.05</v>
      </c>
      <c r="AU217">
        <v>3097241.6000000001</v>
      </c>
      <c r="AV217">
        <v>1445909</v>
      </c>
      <c r="AW217">
        <v>1452945.54</v>
      </c>
      <c r="AX217">
        <v>2458055.7000000002</v>
      </c>
      <c r="AY217">
        <v>1553500.09</v>
      </c>
      <c r="AZ217">
        <v>1673926.93</v>
      </c>
      <c r="BA217">
        <v>5922775.4400000004</v>
      </c>
      <c r="BB217">
        <v>1982296.11</v>
      </c>
      <c r="BC217">
        <v>2363001.88</v>
      </c>
      <c r="BD217">
        <v>2390446.4900000002</v>
      </c>
      <c r="BE217">
        <v>1714546.56</v>
      </c>
      <c r="BF217">
        <v>1219382.8999999999</v>
      </c>
      <c r="BG217">
        <v>1693761.61</v>
      </c>
      <c r="BH217">
        <v>1937372.96</v>
      </c>
      <c r="BI217">
        <v>1661665.49</v>
      </c>
      <c r="BJ217">
        <v>1399314.85</v>
      </c>
      <c r="BK217">
        <v>3061034.51</v>
      </c>
      <c r="BL217">
        <v>2895999.26</v>
      </c>
      <c r="BM217">
        <v>1107302.54</v>
      </c>
      <c r="BN217">
        <v>514255.15</v>
      </c>
      <c r="BO217">
        <v>1442486.58</v>
      </c>
      <c r="BP217">
        <v>895695.75</v>
      </c>
      <c r="BQ217">
        <v>303548.46999999997</v>
      </c>
      <c r="BR217">
        <v>1906208.94</v>
      </c>
      <c r="BS217">
        <v>1786778.08</v>
      </c>
    </row>
    <row r="218" spans="1:71" x14ac:dyDescent="0.25">
      <c r="A218" t="s">
        <v>150</v>
      </c>
      <c r="B218" t="s">
        <v>151</v>
      </c>
      <c r="C218">
        <v>9078218</v>
      </c>
      <c r="D218" t="s">
        <v>245</v>
      </c>
      <c r="E218" t="s">
        <v>244</v>
      </c>
      <c r="F218" t="str">
        <f t="shared" si="8"/>
        <v>FR0010667147MTAH</v>
      </c>
      <c r="G218">
        <f t="shared" si="9"/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</row>
    <row r="219" spans="1:71" x14ac:dyDescent="0.25">
      <c r="A219" t="s">
        <v>152</v>
      </c>
      <c r="B219" t="s">
        <v>153</v>
      </c>
      <c r="C219">
        <v>44539</v>
      </c>
      <c r="D219" t="s">
        <v>6</v>
      </c>
      <c r="E219" t="s">
        <v>232</v>
      </c>
      <c r="F219" t="str">
        <f t="shared" si="8"/>
        <v>FR0010828137XPAR</v>
      </c>
      <c r="G219">
        <f t="shared" si="9"/>
        <v>1252331.5178125002</v>
      </c>
      <c r="H219">
        <v>1902657</v>
      </c>
      <c r="I219">
        <v>728493.26</v>
      </c>
      <c r="J219">
        <v>729584.04</v>
      </c>
      <c r="K219">
        <v>1472215.54</v>
      </c>
      <c r="L219">
        <v>492294</v>
      </c>
      <c r="M219">
        <v>14715365.4</v>
      </c>
      <c r="N219">
        <v>657899.54</v>
      </c>
      <c r="O219">
        <v>730215.82</v>
      </c>
      <c r="P219">
        <v>1178257.8600000001</v>
      </c>
      <c r="Q219">
        <v>3172185.28</v>
      </c>
      <c r="R219">
        <v>1445245.38</v>
      </c>
      <c r="S219">
        <v>1257613.26</v>
      </c>
      <c r="T219">
        <v>1036585.42</v>
      </c>
      <c r="U219">
        <v>738060.56</v>
      </c>
      <c r="V219">
        <v>834948.96</v>
      </c>
      <c r="W219">
        <v>581186.04</v>
      </c>
      <c r="X219">
        <v>766321.6</v>
      </c>
      <c r="Y219">
        <v>614022.66</v>
      </c>
      <c r="Z219">
        <v>1159578.6200000001</v>
      </c>
      <c r="AA219">
        <v>1085438.3600000001</v>
      </c>
      <c r="AB219">
        <v>1287378.48</v>
      </c>
      <c r="AC219">
        <v>527811.34</v>
      </c>
      <c r="AD219">
        <v>1189552.46</v>
      </c>
      <c r="AE219">
        <v>761205</v>
      </c>
      <c r="AF219">
        <v>2036843.94</v>
      </c>
      <c r="AG219">
        <v>1129902.44</v>
      </c>
      <c r="AH219">
        <v>978895.62</v>
      </c>
      <c r="AI219">
        <v>819123.14</v>
      </c>
      <c r="AJ219">
        <v>864336.3</v>
      </c>
      <c r="AK219">
        <v>901227.74</v>
      </c>
      <c r="AL219">
        <v>778364.38</v>
      </c>
      <c r="AM219">
        <v>667834.52</v>
      </c>
      <c r="AN219">
        <v>877950.82</v>
      </c>
      <c r="AO219">
        <v>898719.24</v>
      </c>
      <c r="AP219">
        <v>1291079.02</v>
      </c>
      <c r="AQ219">
        <v>773344.76</v>
      </c>
      <c r="AR219">
        <v>1641134.84</v>
      </c>
      <c r="AS219">
        <v>2770265.9</v>
      </c>
      <c r="AT219">
        <v>891722.9</v>
      </c>
      <c r="AU219">
        <v>2118639.7000000002</v>
      </c>
      <c r="AV219">
        <v>505489.46</v>
      </c>
      <c r="AW219">
        <v>857457.92</v>
      </c>
      <c r="AX219">
        <v>1078899.8400000001</v>
      </c>
      <c r="AY219">
        <v>1622441.52</v>
      </c>
      <c r="AZ219">
        <v>1733714.5</v>
      </c>
      <c r="BA219">
        <v>719007.52</v>
      </c>
      <c r="BB219">
        <v>1423122.9</v>
      </c>
      <c r="BC219">
        <v>938788.14</v>
      </c>
      <c r="BD219">
        <v>1132648.08</v>
      </c>
      <c r="BE219">
        <v>475387.94</v>
      </c>
      <c r="BF219">
        <v>930771.78</v>
      </c>
      <c r="BG219">
        <v>553242.81999999995</v>
      </c>
      <c r="BH219">
        <v>1207117.1200000001</v>
      </c>
      <c r="BI219">
        <v>1517669.84</v>
      </c>
      <c r="BJ219">
        <v>996519.22</v>
      </c>
      <c r="BK219">
        <v>1004291.76</v>
      </c>
      <c r="BL219">
        <v>1476533.86</v>
      </c>
      <c r="BM219">
        <v>506651.48</v>
      </c>
      <c r="BN219">
        <v>206656.66</v>
      </c>
      <c r="BO219">
        <v>770462.42</v>
      </c>
      <c r="BP219">
        <v>384899.7</v>
      </c>
      <c r="BQ219">
        <v>378714.02</v>
      </c>
      <c r="BR219">
        <v>281784.68</v>
      </c>
      <c r="BS219">
        <v>943442.82</v>
      </c>
    </row>
    <row r="220" spans="1:71" x14ac:dyDescent="0.25">
      <c r="A220" t="s">
        <v>152</v>
      </c>
      <c r="B220" t="s">
        <v>153</v>
      </c>
      <c r="C220">
        <v>9078217</v>
      </c>
      <c r="D220" t="s">
        <v>245</v>
      </c>
      <c r="E220" t="s">
        <v>244</v>
      </c>
      <c r="F220" t="str">
        <f t="shared" si="8"/>
        <v>FR0010828137MTAH</v>
      </c>
      <c r="G220">
        <f t="shared" si="9"/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</row>
    <row r="221" spans="1:71" x14ac:dyDescent="0.25">
      <c r="A221" t="s">
        <v>154</v>
      </c>
      <c r="B221" t="s">
        <v>155</v>
      </c>
      <c r="C221">
        <v>278728</v>
      </c>
      <c r="D221" t="s">
        <v>6</v>
      </c>
      <c r="E221" t="s">
        <v>232</v>
      </c>
      <c r="F221" t="str">
        <f t="shared" si="8"/>
        <v>FR0010908533XPAR</v>
      </c>
      <c r="G221">
        <f t="shared" si="9"/>
        <v>24479770.467656262</v>
      </c>
      <c r="H221">
        <v>22358789.620000001</v>
      </c>
      <c r="I221">
        <v>18425341.329999998</v>
      </c>
      <c r="J221">
        <v>23456536.329999998</v>
      </c>
      <c r="K221">
        <v>16596922.640000001</v>
      </c>
      <c r="L221">
        <v>24467918.620000001</v>
      </c>
      <c r="M221">
        <v>27472384.329999998</v>
      </c>
      <c r="N221">
        <v>22715484.23</v>
      </c>
      <c r="O221">
        <v>22963480.859999999</v>
      </c>
      <c r="P221">
        <v>25733862.960000001</v>
      </c>
      <c r="Q221">
        <v>29539944.949999999</v>
      </c>
      <c r="R221">
        <v>28543792.350000001</v>
      </c>
      <c r="S221">
        <v>15438684.43</v>
      </c>
      <c r="T221">
        <v>18611319.510000002</v>
      </c>
      <c r="U221">
        <v>28611296.41</v>
      </c>
      <c r="V221">
        <v>18030414.109999999</v>
      </c>
      <c r="W221">
        <v>89110429.890000001</v>
      </c>
      <c r="X221">
        <v>35778947.57</v>
      </c>
      <c r="Y221">
        <v>28133266.359999999</v>
      </c>
      <c r="Z221">
        <v>25026212.66</v>
      </c>
      <c r="AA221">
        <v>34740624.159999996</v>
      </c>
      <c r="AB221">
        <v>28299544.850000001</v>
      </c>
      <c r="AC221">
        <v>22345469.34</v>
      </c>
      <c r="AD221">
        <v>19496545.399999999</v>
      </c>
      <c r="AE221">
        <v>11655146.960000001</v>
      </c>
      <c r="AF221">
        <v>25435333.02</v>
      </c>
      <c r="AG221">
        <v>18958520.41</v>
      </c>
      <c r="AH221">
        <v>17040526.739999998</v>
      </c>
      <c r="AI221">
        <v>19231439.539999999</v>
      </c>
      <c r="AJ221">
        <v>23153495.370000001</v>
      </c>
      <c r="AK221">
        <v>30911764.43</v>
      </c>
      <c r="AL221">
        <v>25391733.829999998</v>
      </c>
      <c r="AM221">
        <v>19963309.920000002</v>
      </c>
      <c r="AN221">
        <v>22298850.199999999</v>
      </c>
      <c r="AO221">
        <v>17346519.190000001</v>
      </c>
      <c r="AP221">
        <v>28338539.57</v>
      </c>
      <c r="AQ221">
        <v>23324675.850000001</v>
      </c>
      <c r="AR221">
        <v>22200811.609999999</v>
      </c>
      <c r="AS221">
        <v>45506550.549999997</v>
      </c>
      <c r="AT221">
        <v>21002748.109999999</v>
      </c>
      <c r="AU221">
        <v>16924576.850000001</v>
      </c>
      <c r="AV221">
        <v>19610132.030000001</v>
      </c>
      <c r="AW221">
        <v>33330757.489999998</v>
      </c>
      <c r="AX221">
        <v>30305660.149999999</v>
      </c>
      <c r="AY221">
        <v>41992985.310000002</v>
      </c>
      <c r="AZ221">
        <v>36682766.390000001</v>
      </c>
      <c r="BA221">
        <v>25888705.91</v>
      </c>
      <c r="BB221">
        <v>24632880.719999999</v>
      </c>
      <c r="BC221">
        <v>21768767.379999999</v>
      </c>
      <c r="BD221">
        <v>18954719.899999999</v>
      </c>
      <c r="BE221">
        <v>18214540.760000002</v>
      </c>
      <c r="BF221">
        <v>26708986.780000001</v>
      </c>
      <c r="BG221">
        <v>17682958.710000001</v>
      </c>
      <c r="BH221">
        <v>19145094.850000001</v>
      </c>
      <c r="BI221">
        <v>27333801.850000001</v>
      </c>
      <c r="BJ221">
        <v>20121310.949999999</v>
      </c>
      <c r="BK221">
        <v>18676407.5</v>
      </c>
      <c r="BL221">
        <v>55656967.420000002</v>
      </c>
      <c r="BM221">
        <v>20694686.629999999</v>
      </c>
      <c r="BN221">
        <v>15455683.359999999</v>
      </c>
      <c r="BO221">
        <v>17192643.940000001</v>
      </c>
      <c r="BP221">
        <v>14105456.949999999</v>
      </c>
      <c r="BQ221">
        <v>5160644.1900000004</v>
      </c>
      <c r="BR221">
        <v>12878654.630000001</v>
      </c>
      <c r="BS221">
        <v>9928341.0700000003</v>
      </c>
    </row>
    <row r="222" spans="1:71" x14ac:dyDescent="0.25">
      <c r="A222" t="s">
        <v>154</v>
      </c>
      <c r="B222" t="s">
        <v>155</v>
      </c>
      <c r="C222">
        <v>9078216</v>
      </c>
      <c r="D222" t="s">
        <v>245</v>
      </c>
      <c r="E222" t="s">
        <v>244</v>
      </c>
      <c r="F222" t="str">
        <f t="shared" si="8"/>
        <v>FR0010908533MTAH</v>
      </c>
      <c r="G222">
        <f t="shared" si="9"/>
        <v>1.6129687500000001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103.23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</row>
    <row r="223" spans="1:71" x14ac:dyDescent="0.25">
      <c r="A223" t="s">
        <v>218</v>
      </c>
      <c r="B223" t="s">
        <v>220</v>
      </c>
      <c r="C223">
        <v>384614</v>
      </c>
      <c r="D223" t="s">
        <v>6</v>
      </c>
      <c r="E223" t="s">
        <v>232</v>
      </c>
      <c r="F223" t="str">
        <f t="shared" si="8"/>
        <v>FR0010929125XPAR</v>
      </c>
      <c r="G223">
        <f t="shared" si="9"/>
        <v>1915602.3359375</v>
      </c>
      <c r="H223">
        <v>1288107</v>
      </c>
      <c r="I223">
        <v>1178738</v>
      </c>
      <c r="J223">
        <v>1592101.5</v>
      </c>
      <c r="K223">
        <v>1314985</v>
      </c>
      <c r="L223">
        <v>2013258.5</v>
      </c>
      <c r="M223">
        <v>1264992</v>
      </c>
      <c r="N223">
        <v>841172.5</v>
      </c>
      <c r="O223">
        <v>1409777</v>
      </c>
      <c r="P223">
        <v>1384554</v>
      </c>
      <c r="Q223">
        <v>842122.5</v>
      </c>
      <c r="R223">
        <v>728587.5</v>
      </c>
      <c r="S223">
        <v>2058048.5</v>
      </c>
      <c r="T223">
        <v>972743</v>
      </c>
      <c r="U223">
        <v>1538802</v>
      </c>
      <c r="V223">
        <v>11475737</v>
      </c>
      <c r="W223">
        <v>1639156.5</v>
      </c>
      <c r="X223">
        <v>3684088</v>
      </c>
      <c r="Y223">
        <v>1051031</v>
      </c>
      <c r="Z223">
        <v>1501564.5</v>
      </c>
      <c r="AA223">
        <v>1334704.5</v>
      </c>
      <c r="AB223">
        <v>1645878.5</v>
      </c>
      <c r="AC223">
        <v>1609107</v>
      </c>
      <c r="AD223">
        <v>1152971.5</v>
      </c>
      <c r="AE223">
        <v>890771.5</v>
      </c>
      <c r="AF223">
        <v>1301803</v>
      </c>
      <c r="AG223">
        <v>1744776.5</v>
      </c>
      <c r="AH223">
        <v>1144301</v>
      </c>
      <c r="AI223">
        <v>1487510.5</v>
      </c>
      <c r="AJ223">
        <v>2059155</v>
      </c>
      <c r="AK223">
        <v>2433670.5</v>
      </c>
      <c r="AL223">
        <v>1997553.5</v>
      </c>
      <c r="AM223">
        <v>1782427.5</v>
      </c>
      <c r="AN223">
        <v>1481209</v>
      </c>
      <c r="AO223">
        <v>2329006.5</v>
      </c>
      <c r="AP223">
        <v>2676511</v>
      </c>
      <c r="AQ223">
        <v>3088284</v>
      </c>
      <c r="AR223">
        <v>1782274</v>
      </c>
      <c r="AS223">
        <v>9138607</v>
      </c>
      <c r="AT223">
        <v>1671910.5</v>
      </c>
      <c r="AU223">
        <v>1319307.5</v>
      </c>
      <c r="AV223">
        <v>1222390.5</v>
      </c>
      <c r="AW223">
        <v>2165324</v>
      </c>
      <c r="AX223">
        <v>1836022.5</v>
      </c>
      <c r="AY223">
        <v>1856024.5</v>
      </c>
      <c r="AZ223">
        <v>1161619.5</v>
      </c>
      <c r="BA223">
        <v>1536600.5</v>
      </c>
      <c r="BB223">
        <v>1437583</v>
      </c>
      <c r="BC223">
        <v>1580146.5</v>
      </c>
      <c r="BD223">
        <v>1644154.5</v>
      </c>
      <c r="BE223">
        <v>1859332.5</v>
      </c>
      <c r="BF223">
        <v>1222079</v>
      </c>
      <c r="BG223">
        <v>1541431.5</v>
      </c>
      <c r="BH223">
        <v>1046742</v>
      </c>
      <c r="BI223">
        <v>1717032.5</v>
      </c>
      <c r="BJ223">
        <v>1759374.5</v>
      </c>
      <c r="BK223">
        <v>1666446.5</v>
      </c>
      <c r="BL223">
        <v>5855817</v>
      </c>
      <c r="BM223">
        <v>2950460.5</v>
      </c>
      <c r="BN223">
        <v>1553780.5</v>
      </c>
      <c r="BO223">
        <v>1459034.5</v>
      </c>
      <c r="BP223">
        <v>1155384.5</v>
      </c>
      <c r="BQ223">
        <v>839519</v>
      </c>
      <c r="BR223">
        <v>752311</v>
      </c>
      <c r="BS223">
        <v>928632.5</v>
      </c>
    </row>
    <row r="224" spans="1:71" x14ac:dyDescent="0.25">
      <c r="A224" t="s">
        <v>156</v>
      </c>
      <c r="B224" t="s">
        <v>157</v>
      </c>
      <c r="C224">
        <v>1328939</v>
      </c>
      <c r="D224" t="s">
        <v>6</v>
      </c>
      <c r="E224" t="s">
        <v>232</v>
      </c>
      <c r="F224" t="str">
        <f t="shared" si="8"/>
        <v>FR0011675362XPAR</v>
      </c>
      <c r="G224">
        <f t="shared" si="9"/>
        <v>71642743.536562502</v>
      </c>
      <c r="H224">
        <v>3414931.24</v>
      </c>
      <c r="I224">
        <v>4145747.91</v>
      </c>
      <c r="J224">
        <v>8217236.3200000003</v>
      </c>
      <c r="K224">
        <v>6463407.4900000002</v>
      </c>
      <c r="L224">
        <v>5354591.22</v>
      </c>
      <c r="M224">
        <v>4004170.45</v>
      </c>
      <c r="N224">
        <v>3282097.55</v>
      </c>
      <c r="O224">
        <v>6966223.04</v>
      </c>
      <c r="P224">
        <v>6207011.1299999999</v>
      </c>
      <c r="Q224">
        <v>6840670.8200000003</v>
      </c>
      <c r="R224">
        <v>5670715.8600000003</v>
      </c>
      <c r="S224">
        <v>16829619.260000002</v>
      </c>
      <c r="T224">
        <v>3170038.99</v>
      </c>
      <c r="U224">
        <v>7733322.8499999996</v>
      </c>
      <c r="V224">
        <v>1442717.38</v>
      </c>
      <c r="W224">
        <v>2189546.21</v>
      </c>
      <c r="X224">
        <v>2039750.91</v>
      </c>
      <c r="Y224">
        <v>2804493.46</v>
      </c>
      <c r="Z224">
        <v>4739676.95</v>
      </c>
      <c r="AA224">
        <v>6716970.2599999998</v>
      </c>
      <c r="AB224">
        <v>6450104.1900000004</v>
      </c>
      <c r="AC224">
        <v>2088758.77</v>
      </c>
      <c r="AD224">
        <v>5752956.2699999996</v>
      </c>
      <c r="AE224">
        <v>4483075.8099999996</v>
      </c>
      <c r="AF224">
        <v>18180801.149999999</v>
      </c>
      <c r="AG224">
        <v>7114695.9400000004</v>
      </c>
      <c r="AH224">
        <v>3580033.32</v>
      </c>
      <c r="AI224">
        <v>5995398.7599999998</v>
      </c>
      <c r="AJ224">
        <v>16951232.789999999</v>
      </c>
      <c r="AK224">
        <v>10963874.27</v>
      </c>
      <c r="AL224">
        <v>6810539.7400000002</v>
      </c>
      <c r="AM224">
        <v>7095065.7400000002</v>
      </c>
      <c r="AN224">
        <v>4507345.54</v>
      </c>
      <c r="AO224">
        <v>14030150.92</v>
      </c>
      <c r="AP224">
        <v>9442290.5299999993</v>
      </c>
      <c r="AQ224">
        <v>7624656.6600000001</v>
      </c>
      <c r="AR224">
        <v>11806724.66</v>
      </c>
      <c r="AS224">
        <v>9095960.3599999994</v>
      </c>
      <c r="AT224">
        <v>6651971.8899999997</v>
      </c>
      <c r="AU224">
        <v>17594053.77</v>
      </c>
      <c r="AV224">
        <v>7576857.2300000004</v>
      </c>
      <c r="AW224">
        <v>15137445.42</v>
      </c>
      <c r="AX224">
        <v>15470218.609999999</v>
      </c>
      <c r="AY224">
        <v>7718141.6699999999</v>
      </c>
      <c r="AZ224">
        <v>15172446.92</v>
      </c>
      <c r="BA224">
        <v>9765078.9000000004</v>
      </c>
      <c r="BB224">
        <v>8214174.8300000001</v>
      </c>
      <c r="BC224">
        <v>9883019.0299999993</v>
      </c>
      <c r="BD224">
        <v>5651280.3600000003</v>
      </c>
      <c r="BE224">
        <v>6491637.3300000001</v>
      </c>
      <c r="BF224">
        <v>3338536.12</v>
      </c>
      <c r="BG224">
        <v>3827039.82</v>
      </c>
      <c r="BH224">
        <v>5038887.71</v>
      </c>
      <c r="BI224">
        <v>7970523.6399999997</v>
      </c>
      <c r="BJ224">
        <v>3838545.4</v>
      </c>
      <c r="BK224">
        <v>4923542.12</v>
      </c>
      <c r="BL224">
        <v>21240962.379999999</v>
      </c>
      <c r="BM224">
        <v>5421552.4299999997</v>
      </c>
      <c r="BN224">
        <v>2348334.7400000002</v>
      </c>
      <c r="BO224">
        <v>3244500414.73</v>
      </c>
      <c r="BP224">
        <v>8270235.79</v>
      </c>
      <c r="BQ224">
        <v>4989358.45</v>
      </c>
      <c r="BR224">
        <v>16685912.09</v>
      </c>
      <c r="BS224">
        <v>867208810.24000001</v>
      </c>
    </row>
    <row r="225" spans="1:71" x14ac:dyDescent="0.25">
      <c r="A225" t="s">
        <v>156</v>
      </c>
      <c r="B225" t="s">
        <v>157</v>
      </c>
      <c r="C225">
        <v>9078214</v>
      </c>
      <c r="D225" t="s">
        <v>245</v>
      </c>
      <c r="E225" t="s">
        <v>244</v>
      </c>
      <c r="F225" t="str">
        <f t="shared" si="8"/>
        <v>FR0011675362MTAH</v>
      </c>
      <c r="G225">
        <f t="shared" si="9"/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</row>
    <row r="226" spans="1:71" x14ac:dyDescent="0.25">
      <c r="A226" t="s">
        <v>158</v>
      </c>
      <c r="B226" t="s">
        <v>159</v>
      </c>
      <c r="C226">
        <v>532298</v>
      </c>
      <c r="D226" t="s">
        <v>6</v>
      </c>
      <c r="E226" t="s">
        <v>232</v>
      </c>
      <c r="F226" t="str">
        <f t="shared" si="8"/>
        <v>FR0011726835XPAR</v>
      </c>
      <c r="G226">
        <f t="shared" si="9"/>
        <v>11936327.121874999</v>
      </c>
      <c r="H226">
        <v>11853416.65</v>
      </c>
      <c r="I226">
        <v>13113234.800000001</v>
      </c>
      <c r="J226">
        <v>16919287.899999999</v>
      </c>
      <c r="K226">
        <v>9152669.9000000004</v>
      </c>
      <c r="L226">
        <v>23675711</v>
      </c>
      <c r="M226">
        <v>12586205.699999999</v>
      </c>
      <c r="N226">
        <v>8978611.75</v>
      </c>
      <c r="O226">
        <v>10597524.5</v>
      </c>
      <c r="P226">
        <v>15172239.699999999</v>
      </c>
      <c r="Q226">
        <v>10653875.800000001</v>
      </c>
      <c r="R226">
        <v>13409167.800000001</v>
      </c>
      <c r="S226">
        <v>15795990.85</v>
      </c>
      <c r="T226">
        <v>9957878.3000000007</v>
      </c>
      <c r="U226">
        <v>16749684.9</v>
      </c>
      <c r="V226">
        <v>10108244.800000001</v>
      </c>
      <c r="W226">
        <v>7973640</v>
      </c>
      <c r="X226">
        <v>8371645.7999999998</v>
      </c>
      <c r="Y226">
        <v>20858103.5</v>
      </c>
      <c r="Z226">
        <v>10745793.300000001</v>
      </c>
      <c r="AA226">
        <v>13327784.4</v>
      </c>
      <c r="AB226">
        <v>10675715.6</v>
      </c>
      <c r="AC226">
        <v>5761398.7000000002</v>
      </c>
      <c r="AD226">
        <v>10813540.1</v>
      </c>
      <c r="AE226">
        <v>5992979.7999999998</v>
      </c>
      <c r="AF226">
        <v>11814432.4</v>
      </c>
      <c r="AG226">
        <v>15007672.6</v>
      </c>
      <c r="AH226">
        <v>16263936.199999999</v>
      </c>
      <c r="AI226">
        <v>11289578.300000001</v>
      </c>
      <c r="AJ226">
        <v>11103035.6</v>
      </c>
      <c r="AK226">
        <v>8213312.7000000002</v>
      </c>
      <c r="AL226">
        <v>15950211.6</v>
      </c>
      <c r="AM226">
        <v>9528183.9000000004</v>
      </c>
      <c r="AN226">
        <v>11383607.5</v>
      </c>
      <c r="AO226">
        <v>17970141.399999999</v>
      </c>
      <c r="AP226">
        <v>20723725.100000001</v>
      </c>
      <c r="AQ226">
        <v>13442600.9</v>
      </c>
      <c r="AR226">
        <v>7366179.0999999996</v>
      </c>
      <c r="AS226">
        <v>14235707.4</v>
      </c>
      <c r="AT226">
        <v>7440243.2000000002</v>
      </c>
      <c r="AU226">
        <v>9652650.1999999993</v>
      </c>
      <c r="AV226">
        <v>12556835.1</v>
      </c>
      <c r="AW226">
        <v>8905474.3000000007</v>
      </c>
      <c r="AX226">
        <v>18869091.949999999</v>
      </c>
      <c r="AY226">
        <v>13407742</v>
      </c>
      <c r="AZ226">
        <v>9079240.0500000007</v>
      </c>
      <c r="BA226">
        <v>15297676.35</v>
      </c>
      <c r="BB226">
        <v>10330599.1</v>
      </c>
      <c r="BC226">
        <v>16048843.050000001</v>
      </c>
      <c r="BD226">
        <v>13272369.800000001</v>
      </c>
      <c r="BE226">
        <v>10089229.6</v>
      </c>
      <c r="BF226">
        <v>8395661.6999999993</v>
      </c>
      <c r="BG226">
        <v>15328289.300000001</v>
      </c>
      <c r="BH226">
        <v>7931931.9000000004</v>
      </c>
      <c r="BI226">
        <v>18108245.399999999</v>
      </c>
      <c r="BJ226">
        <v>8383730.2000000002</v>
      </c>
      <c r="BK226">
        <v>14203973.6</v>
      </c>
      <c r="BL226">
        <v>16586066.9</v>
      </c>
      <c r="BM226">
        <v>7024088.1500000004</v>
      </c>
      <c r="BN226">
        <v>2933930.2</v>
      </c>
      <c r="BO226">
        <v>5234597.7</v>
      </c>
      <c r="BP226">
        <v>4764202</v>
      </c>
      <c r="BQ226">
        <v>4154877.9</v>
      </c>
      <c r="BR226">
        <v>9756986.4000000004</v>
      </c>
      <c r="BS226">
        <v>18631689.5</v>
      </c>
    </row>
    <row r="227" spans="1:71" x14ac:dyDescent="0.25">
      <c r="A227" t="s">
        <v>158</v>
      </c>
      <c r="B227" t="s">
        <v>159</v>
      </c>
      <c r="C227">
        <v>9078213</v>
      </c>
      <c r="D227" t="s">
        <v>245</v>
      </c>
      <c r="E227" t="s">
        <v>244</v>
      </c>
      <c r="F227" t="str">
        <f t="shared" si="8"/>
        <v>FR0011726835MTAH</v>
      </c>
      <c r="G227">
        <f t="shared" si="9"/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</row>
    <row r="228" spans="1:71" x14ac:dyDescent="0.25">
      <c r="A228" t="s">
        <v>160</v>
      </c>
      <c r="B228" t="s">
        <v>161</v>
      </c>
      <c r="C228">
        <v>572962</v>
      </c>
      <c r="D228" t="s">
        <v>6</v>
      </c>
      <c r="E228" t="s">
        <v>232</v>
      </c>
      <c r="F228" t="str">
        <f t="shared" si="8"/>
        <v>FR0011950732XPAR</v>
      </c>
      <c r="G228">
        <f t="shared" si="9"/>
        <v>3411234.8776562498</v>
      </c>
      <c r="H228">
        <v>1428658.72</v>
      </c>
      <c r="I228">
        <v>970822.62</v>
      </c>
      <c r="J228">
        <v>621742.92000000004</v>
      </c>
      <c r="K228">
        <v>816453.86</v>
      </c>
      <c r="L228">
        <v>830389.72</v>
      </c>
      <c r="M228">
        <v>2400279.83</v>
      </c>
      <c r="N228">
        <v>1272834.3999999999</v>
      </c>
      <c r="O228">
        <v>1443358.67</v>
      </c>
      <c r="P228">
        <v>3656671.22</v>
      </c>
      <c r="Q228">
        <v>2811915.04</v>
      </c>
      <c r="R228">
        <v>4180650.79</v>
      </c>
      <c r="S228">
        <v>5883954.9000000004</v>
      </c>
      <c r="T228">
        <v>6638014.7000000002</v>
      </c>
      <c r="U228">
        <v>4610307.84</v>
      </c>
      <c r="V228">
        <v>2274886.52</v>
      </c>
      <c r="W228">
        <v>3491519.23</v>
      </c>
      <c r="X228">
        <v>2659477</v>
      </c>
      <c r="Y228">
        <v>2392054.75</v>
      </c>
      <c r="Z228">
        <v>4739997.47</v>
      </c>
      <c r="AA228">
        <v>2221394.8199999998</v>
      </c>
      <c r="AB228">
        <v>2686848.77</v>
      </c>
      <c r="AC228">
        <v>1494715.73</v>
      </c>
      <c r="AD228">
        <v>1044535.21</v>
      </c>
      <c r="AE228">
        <v>1515547.84</v>
      </c>
      <c r="AF228">
        <v>1430269.21</v>
      </c>
      <c r="AG228">
        <v>1242748.8600000001</v>
      </c>
      <c r="AH228">
        <v>1147269.26</v>
      </c>
      <c r="AI228">
        <v>2056157.65</v>
      </c>
      <c r="AJ228">
        <v>1995352.39</v>
      </c>
      <c r="AK228">
        <v>1924432.62</v>
      </c>
      <c r="AL228">
        <v>1215540.81</v>
      </c>
      <c r="AM228">
        <v>1373306.86</v>
      </c>
      <c r="AN228">
        <v>2569853.38</v>
      </c>
      <c r="AO228">
        <v>2637410.5699999998</v>
      </c>
      <c r="AP228">
        <v>27941805.98</v>
      </c>
      <c r="AQ228">
        <v>13682241.82</v>
      </c>
      <c r="AR228">
        <v>7162770.4800000004</v>
      </c>
      <c r="AS228">
        <v>10769825.75</v>
      </c>
      <c r="AT228">
        <v>4921930.16</v>
      </c>
      <c r="AU228">
        <v>6163572.8700000001</v>
      </c>
      <c r="AV228">
        <v>4214880.82</v>
      </c>
      <c r="AW228">
        <v>8167382.4199999999</v>
      </c>
      <c r="AX228">
        <v>4037955.24</v>
      </c>
      <c r="AY228">
        <v>3667455.38</v>
      </c>
      <c r="AZ228">
        <v>2502654.84</v>
      </c>
      <c r="BA228">
        <v>4820015.0999999996</v>
      </c>
      <c r="BB228">
        <v>3734340.01</v>
      </c>
      <c r="BC228">
        <v>2121187.37</v>
      </c>
      <c r="BD228">
        <v>2129217.15</v>
      </c>
      <c r="BE228">
        <v>2989488.61</v>
      </c>
      <c r="BF228">
        <v>3411642.86</v>
      </c>
      <c r="BG228">
        <v>2357956.13</v>
      </c>
      <c r="BH228">
        <v>2067040.59</v>
      </c>
      <c r="BI228">
        <v>1897645.36</v>
      </c>
      <c r="BJ228">
        <v>1765541.29</v>
      </c>
      <c r="BK228">
        <v>2741800.35</v>
      </c>
      <c r="BL228">
        <v>3388494.32</v>
      </c>
      <c r="BM228">
        <v>1191010.97</v>
      </c>
      <c r="BN228">
        <v>965466.61</v>
      </c>
      <c r="BO228">
        <v>1346965.99</v>
      </c>
      <c r="BP228">
        <v>2204917.63</v>
      </c>
      <c r="BQ228">
        <v>1799161.66</v>
      </c>
      <c r="BR228">
        <v>1730714.03</v>
      </c>
      <c r="BS228">
        <v>2744576.2</v>
      </c>
    </row>
    <row r="229" spans="1:71" x14ac:dyDescent="0.25">
      <c r="A229" t="s">
        <v>160</v>
      </c>
      <c r="B229" t="s">
        <v>161</v>
      </c>
      <c r="C229">
        <v>9078212</v>
      </c>
      <c r="D229" t="s">
        <v>245</v>
      </c>
      <c r="E229" t="s">
        <v>244</v>
      </c>
      <c r="F229" t="str">
        <f t="shared" si="8"/>
        <v>FR0011950732MTAH</v>
      </c>
      <c r="G229">
        <f t="shared" si="9"/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</row>
    <row r="230" spans="1:71" x14ac:dyDescent="0.25">
      <c r="A230" t="s">
        <v>162</v>
      </c>
      <c r="B230" t="s">
        <v>163</v>
      </c>
      <c r="C230">
        <v>579360</v>
      </c>
      <c r="D230" t="s">
        <v>6</v>
      </c>
      <c r="E230" t="s">
        <v>232</v>
      </c>
      <c r="F230" t="str">
        <f t="shared" si="8"/>
        <v>FR0011981968XPAR</v>
      </c>
      <c r="G230">
        <f t="shared" si="9"/>
        <v>9042625.6028124988</v>
      </c>
      <c r="H230">
        <v>7924201.4900000002</v>
      </c>
      <c r="I230">
        <v>6467788.3499999996</v>
      </c>
      <c r="J230">
        <v>6723940.6600000001</v>
      </c>
      <c r="K230">
        <v>5996329.4100000001</v>
      </c>
      <c r="L230">
        <v>5258621.55</v>
      </c>
      <c r="M230">
        <v>5330461.03</v>
      </c>
      <c r="N230">
        <v>5211669.55</v>
      </c>
      <c r="O230">
        <v>4849705.54</v>
      </c>
      <c r="P230">
        <v>8552087.7799999993</v>
      </c>
      <c r="Q230">
        <v>8750202.5099999998</v>
      </c>
      <c r="R230">
        <v>7187298.6699999999</v>
      </c>
      <c r="S230">
        <v>8152019.5199999996</v>
      </c>
      <c r="T230">
        <v>8623615.8100000005</v>
      </c>
      <c r="U230">
        <v>8018497.3099999996</v>
      </c>
      <c r="V230">
        <v>5718135.2300000004</v>
      </c>
      <c r="W230">
        <v>6020977.8899999997</v>
      </c>
      <c r="X230">
        <v>4921571.3499999996</v>
      </c>
      <c r="Y230">
        <v>5390817.4900000002</v>
      </c>
      <c r="Z230">
        <v>8178795.0499999998</v>
      </c>
      <c r="AA230">
        <v>5116700.93</v>
      </c>
      <c r="AB230">
        <v>17960450.5</v>
      </c>
      <c r="AC230">
        <v>4904158.09</v>
      </c>
      <c r="AD230">
        <v>6664346.7599999998</v>
      </c>
      <c r="AE230">
        <v>4214880.1500000004</v>
      </c>
      <c r="AF230">
        <v>9000258.5800000001</v>
      </c>
      <c r="AG230">
        <v>7150158.8899999997</v>
      </c>
      <c r="AH230">
        <v>4959971.49</v>
      </c>
      <c r="AI230">
        <v>4683513.0199999996</v>
      </c>
      <c r="AJ230">
        <v>8086819.46</v>
      </c>
      <c r="AK230">
        <v>8972576.1199999992</v>
      </c>
      <c r="AL230">
        <v>5954889.5</v>
      </c>
      <c r="AM230">
        <v>8385879.6200000001</v>
      </c>
      <c r="AN230">
        <v>6819636</v>
      </c>
      <c r="AO230">
        <v>7504597.4900000002</v>
      </c>
      <c r="AP230">
        <v>17757649.620000001</v>
      </c>
      <c r="AQ230">
        <v>11293617.32</v>
      </c>
      <c r="AR230">
        <v>11082307.390000001</v>
      </c>
      <c r="AS230">
        <v>14309369.92</v>
      </c>
      <c r="AT230">
        <v>12977973.880000001</v>
      </c>
      <c r="AU230">
        <v>8902093.0700000003</v>
      </c>
      <c r="AV230">
        <v>5656060.21</v>
      </c>
      <c r="AW230">
        <v>5759366.3899999997</v>
      </c>
      <c r="AX230">
        <v>32079514.449999999</v>
      </c>
      <c r="AY230">
        <v>22570460.699999999</v>
      </c>
      <c r="AZ230">
        <v>8459209.4000000004</v>
      </c>
      <c r="BA230">
        <v>10178728.060000001</v>
      </c>
      <c r="BB230">
        <v>7414761.8799999999</v>
      </c>
      <c r="BC230">
        <v>6197992.7000000002</v>
      </c>
      <c r="BD230">
        <v>11240026.449999999</v>
      </c>
      <c r="BE230">
        <v>14091339.720000001</v>
      </c>
      <c r="BF230">
        <v>12560326.939999999</v>
      </c>
      <c r="BG230">
        <v>10692903.57</v>
      </c>
      <c r="BH230">
        <v>16171501.130000001</v>
      </c>
      <c r="BI230">
        <v>18335686.82</v>
      </c>
      <c r="BJ230">
        <v>12509613.93</v>
      </c>
      <c r="BK230">
        <v>7089967.9000000004</v>
      </c>
      <c r="BL230">
        <v>33062776.82</v>
      </c>
      <c r="BM230">
        <v>5234361.29</v>
      </c>
      <c r="BN230">
        <v>3050895.34</v>
      </c>
      <c r="BO230">
        <v>5645102.6100000003</v>
      </c>
      <c r="BP230">
        <v>5377233.0700000003</v>
      </c>
      <c r="BQ230">
        <v>1898694.3</v>
      </c>
      <c r="BR230">
        <v>5987780.29</v>
      </c>
      <c r="BS230">
        <v>3485150.62</v>
      </c>
    </row>
    <row r="231" spans="1:71" x14ac:dyDescent="0.25">
      <c r="A231" t="s">
        <v>162</v>
      </c>
      <c r="B231" t="s">
        <v>163</v>
      </c>
      <c r="C231">
        <v>9078211</v>
      </c>
      <c r="D231" t="s">
        <v>245</v>
      </c>
      <c r="E231" t="s">
        <v>244</v>
      </c>
      <c r="F231" t="str">
        <f t="shared" si="8"/>
        <v>FR0011981968MTAH</v>
      </c>
      <c r="G231">
        <f t="shared" si="9"/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</row>
    <row r="232" spans="1:71" x14ac:dyDescent="0.25">
      <c r="A232" t="s">
        <v>164</v>
      </c>
      <c r="B232" t="s">
        <v>165</v>
      </c>
      <c r="C232">
        <v>694706</v>
      </c>
      <c r="D232" t="s">
        <v>6</v>
      </c>
      <c r="E232" t="s">
        <v>232</v>
      </c>
      <c r="F232" t="str">
        <f t="shared" si="8"/>
        <v>FR0012435121XPAR</v>
      </c>
      <c r="G232">
        <f t="shared" si="9"/>
        <v>7955652.0492187496</v>
      </c>
      <c r="H232">
        <v>6542966.46</v>
      </c>
      <c r="I232">
        <v>43854629.090000004</v>
      </c>
      <c r="J232">
        <v>12380929.960000001</v>
      </c>
      <c r="K232">
        <v>8108854.7699999996</v>
      </c>
      <c r="L232">
        <v>8262115.1799999997</v>
      </c>
      <c r="M232">
        <v>6542126.0999999996</v>
      </c>
      <c r="N232">
        <v>7329931.9199999999</v>
      </c>
      <c r="O232">
        <v>11693225.52</v>
      </c>
      <c r="P232">
        <v>10686022.08</v>
      </c>
      <c r="Q232">
        <v>6528574.2800000003</v>
      </c>
      <c r="R232">
        <v>6113617.0999999996</v>
      </c>
      <c r="S232">
        <v>13880635.279999999</v>
      </c>
      <c r="T232">
        <v>4424458.58</v>
      </c>
      <c r="U232">
        <v>4325855.88</v>
      </c>
      <c r="V232">
        <v>3462829.02</v>
      </c>
      <c r="W232">
        <v>6502288.3200000003</v>
      </c>
      <c r="X232">
        <v>4100242.12</v>
      </c>
      <c r="Y232">
        <v>5088512.5599999996</v>
      </c>
      <c r="Z232">
        <v>7602809.6600000001</v>
      </c>
      <c r="AA232">
        <v>8325012.7800000003</v>
      </c>
      <c r="AB232">
        <v>13884366.32</v>
      </c>
      <c r="AC232">
        <v>4997938.5999999996</v>
      </c>
      <c r="AD232">
        <v>11860489.300000001</v>
      </c>
      <c r="AE232">
        <v>15721546.880000001</v>
      </c>
      <c r="AF232">
        <v>8707921.3399999999</v>
      </c>
      <c r="AG232">
        <v>10647191.24</v>
      </c>
      <c r="AH232">
        <v>11235642.18</v>
      </c>
      <c r="AI232">
        <v>4105916.04</v>
      </c>
      <c r="AJ232">
        <v>7422105.7199999997</v>
      </c>
      <c r="AK232">
        <v>6758418.8600000003</v>
      </c>
      <c r="AL232">
        <v>6243065.6399999997</v>
      </c>
      <c r="AM232">
        <v>6013875.5199999996</v>
      </c>
      <c r="AN232">
        <v>4069573.08</v>
      </c>
      <c r="AO232">
        <v>12019790.57</v>
      </c>
      <c r="AP232">
        <v>3981574.88</v>
      </c>
      <c r="AQ232">
        <v>7105075.3200000003</v>
      </c>
      <c r="AR232">
        <v>7977760.6600000001</v>
      </c>
      <c r="AS232">
        <v>10012875.59</v>
      </c>
      <c r="AT232">
        <v>6438409.5499999998</v>
      </c>
      <c r="AU232">
        <v>10042002.67</v>
      </c>
      <c r="AV232">
        <v>6195987.5</v>
      </c>
      <c r="AW232">
        <v>5643525.1900000004</v>
      </c>
      <c r="AX232">
        <v>9108203.6500000004</v>
      </c>
      <c r="AY232">
        <v>10714451.359999999</v>
      </c>
      <c r="AZ232">
        <v>6189051.1399999997</v>
      </c>
      <c r="BA232">
        <v>19973187.75</v>
      </c>
      <c r="BB232">
        <v>7326459.8200000003</v>
      </c>
      <c r="BC232">
        <v>4060142.67</v>
      </c>
      <c r="BD232">
        <v>6353950.75</v>
      </c>
      <c r="BE232">
        <v>8990140.9299999997</v>
      </c>
      <c r="BF232">
        <v>7584199.6299999999</v>
      </c>
      <c r="BG232">
        <v>8388351.5899999999</v>
      </c>
      <c r="BH232">
        <v>6016003.8399999999</v>
      </c>
      <c r="BI232">
        <v>5350155.18</v>
      </c>
      <c r="BJ232">
        <v>3133758.79</v>
      </c>
      <c r="BK232">
        <v>5849569.3200000003</v>
      </c>
      <c r="BL232">
        <v>14649216.689999999</v>
      </c>
      <c r="BM232">
        <v>2505134.14</v>
      </c>
      <c r="BN232">
        <v>1196469.08</v>
      </c>
      <c r="BO232">
        <v>2600554.42</v>
      </c>
      <c r="BP232">
        <v>3392019.83</v>
      </c>
      <c r="BQ232">
        <v>991605.87</v>
      </c>
      <c r="BR232">
        <v>3070632.72</v>
      </c>
      <c r="BS232">
        <v>4877782.67</v>
      </c>
    </row>
    <row r="233" spans="1:71" x14ac:dyDescent="0.25">
      <c r="A233" t="s">
        <v>164</v>
      </c>
      <c r="B233" t="s">
        <v>165</v>
      </c>
      <c r="C233">
        <v>9078209</v>
      </c>
      <c r="D233" t="s">
        <v>245</v>
      </c>
      <c r="E233" t="s">
        <v>244</v>
      </c>
      <c r="F233" t="str">
        <f t="shared" si="8"/>
        <v>FR0012435121MTAH</v>
      </c>
      <c r="G233">
        <f t="shared" si="9"/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</row>
    <row r="234" spans="1:71" x14ac:dyDescent="0.25">
      <c r="A234" t="s">
        <v>166</v>
      </c>
      <c r="B234" t="s">
        <v>167</v>
      </c>
      <c r="C234">
        <v>755397</v>
      </c>
      <c r="D234" t="s">
        <v>6</v>
      </c>
      <c r="E234" t="s">
        <v>232</v>
      </c>
      <c r="F234" t="str">
        <f t="shared" si="8"/>
        <v>FR0012757854XPAR</v>
      </c>
      <c r="G234">
        <f t="shared" si="9"/>
        <v>7835205.1962499982</v>
      </c>
      <c r="H234">
        <v>6848146.2199999997</v>
      </c>
      <c r="I234">
        <v>8164299.6799999997</v>
      </c>
      <c r="J234">
        <v>6940593.2199999997</v>
      </c>
      <c r="K234">
        <v>4812141.04</v>
      </c>
      <c r="L234">
        <v>5246298.32</v>
      </c>
      <c r="M234">
        <v>6383973.2999999998</v>
      </c>
      <c r="N234">
        <v>5283316.6399999997</v>
      </c>
      <c r="O234">
        <v>4529639.58</v>
      </c>
      <c r="P234">
        <v>7519166.8200000003</v>
      </c>
      <c r="Q234">
        <v>7289098</v>
      </c>
      <c r="R234">
        <v>4651728.22</v>
      </c>
      <c r="S234">
        <v>5696407.5199999996</v>
      </c>
      <c r="T234">
        <v>4395033.82</v>
      </c>
      <c r="U234">
        <v>4935968.08</v>
      </c>
      <c r="V234">
        <v>2670711.52</v>
      </c>
      <c r="W234">
        <v>6266493.9199999999</v>
      </c>
      <c r="X234">
        <v>6385402.4800000004</v>
      </c>
      <c r="Y234">
        <v>9983564.7400000002</v>
      </c>
      <c r="Z234">
        <v>7967235.7999999998</v>
      </c>
      <c r="AA234">
        <v>7434356.4800000004</v>
      </c>
      <c r="AB234">
        <v>27425530.420000002</v>
      </c>
      <c r="AC234">
        <v>4646184.54</v>
      </c>
      <c r="AD234">
        <v>3856857.76</v>
      </c>
      <c r="AE234">
        <v>3354615.98</v>
      </c>
      <c r="AF234">
        <v>5078543.3600000003</v>
      </c>
      <c r="AG234">
        <v>3976925.7</v>
      </c>
      <c r="AH234">
        <v>4539218.88</v>
      </c>
      <c r="AI234">
        <v>8474520.5399999991</v>
      </c>
      <c r="AJ234">
        <v>13037409.1</v>
      </c>
      <c r="AK234">
        <v>9410079.7200000007</v>
      </c>
      <c r="AL234">
        <v>8851724.0999999996</v>
      </c>
      <c r="AM234">
        <v>4167033</v>
      </c>
      <c r="AN234">
        <v>4111872.78</v>
      </c>
      <c r="AO234">
        <v>16405957.98</v>
      </c>
      <c r="AP234">
        <v>8351572.3200000003</v>
      </c>
      <c r="AQ234">
        <v>8563431.8599999994</v>
      </c>
      <c r="AR234">
        <v>8589612.3200000003</v>
      </c>
      <c r="AS234">
        <v>12143274.619999999</v>
      </c>
      <c r="AT234">
        <v>8353802.5800000001</v>
      </c>
      <c r="AU234">
        <v>12607751.880000001</v>
      </c>
      <c r="AV234">
        <v>7585739.8600000003</v>
      </c>
      <c r="AW234">
        <v>14069261.98</v>
      </c>
      <c r="AX234">
        <v>11579665.01</v>
      </c>
      <c r="AY234">
        <v>14456400.08</v>
      </c>
      <c r="AZ234">
        <v>9613310.0099999998</v>
      </c>
      <c r="BA234">
        <v>10130171.26</v>
      </c>
      <c r="BB234">
        <v>6948172.6299999999</v>
      </c>
      <c r="BC234">
        <v>8353025.2999999998</v>
      </c>
      <c r="BD234">
        <v>7790849</v>
      </c>
      <c r="BE234">
        <v>9228019.1400000006</v>
      </c>
      <c r="BF234">
        <v>9439698.6400000006</v>
      </c>
      <c r="BG234">
        <v>5125491.4400000004</v>
      </c>
      <c r="BH234">
        <v>6617272.7300000004</v>
      </c>
      <c r="BI234">
        <v>8475941.2200000007</v>
      </c>
      <c r="BJ234">
        <v>9130611.0199999996</v>
      </c>
      <c r="BK234">
        <v>10182230.51</v>
      </c>
      <c r="BL234">
        <v>26450752.52</v>
      </c>
      <c r="BM234">
        <v>4876689.9800000004</v>
      </c>
      <c r="BN234">
        <v>951617.12</v>
      </c>
      <c r="BO234">
        <v>3761122.09</v>
      </c>
      <c r="BP234">
        <v>4053682.44</v>
      </c>
      <c r="BQ234">
        <v>3265520.62</v>
      </c>
      <c r="BR234">
        <v>4769062.1399999997</v>
      </c>
      <c r="BS234">
        <v>5249330.9800000004</v>
      </c>
    </row>
    <row r="235" spans="1:71" x14ac:dyDescent="0.25">
      <c r="A235" t="s">
        <v>166</v>
      </c>
      <c r="B235" t="s">
        <v>167</v>
      </c>
      <c r="C235">
        <v>9078208</v>
      </c>
      <c r="D235" t="s">
        <v>245</v>
      </c>
      <c r="E235" t="s">
        <v>244</v>
      </c>
      <c r="F235" t="str">
        <f t="shared" si="8"/>
        <v>FR0012757854MTAH</v>
      </c>
      <c r="G235">
        <f t="shared" si="9"/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</row>
    <row r="236" spans="1:71" x14ac:dyDescent="0.25">
      <c r="A236" t="s">
        <v>168</v>
      </c>
      <c r="B236" t="s">
        <v>169</v>
      </c>
      <c r="C236">
        <v>29326</v>
      </c>
      <c r="D236" t="s">
        <v>6</v>
      </c>
      <c r="E236" t="s">
        <v>232</v>
      </c>
      <c r="F236" t="str">
        <f t="shared" si="8"/>
        <v>FR0013154002XPAR</v>
      </c>
      <c r="G236">
        <f t="shared" si="9"/>
        <v>11546266.445000002</v>
      </c>
      <c r="H236">
        <v>11739743.33</v>
      </c>
      <c r="I236">
        <v>8527026.3900000006</v>
      </c>
      <c r="J236">
        <v>7003862.25</v>
      </c>
      <c r="K236">
        <v>9728395.4499999993</v>
      </c>
      <c r="L236">
        <v>10138016.699999999</v>
      </c>
      <c r="M236">
        <v>12757126.550000001</v>
      </c>
      <c r="N236">
        <v>10613050.800000001</v>
      </c>
      <c r="O236">
        <v>9101260.3499999996</v>
      </c>
      <c r="P236">
        <v>19683264.800000001</v>
      </c>
      <c r="Q236">
        <v>29716381.280000001</v>
      </c>
      <c r="R236">
        <v>36914024.850000001</v>
      </c>
      <c r="S236">
        <v>25101990.25</v>
      </c>
      <c r="T236">
        <v>14395698.6</v>
      </c>
      <c r="U236">
        <v>17208776.5</v>
      </c>
      <c r="V236">
        <v>12289583.35</v>
      </c>
      <c r="W236">
        <v>10876690.75</v>
      </c>
      <c r="X236">
        <v>10673851.6</v>
      </c>
      <c r="Y236">
        <v>17344287.699999999</v>
      </c>
      <c r="Z236">
        <v>11617768.35</v>
      </c>
      <c r="AA236">
        <v>13510452.58</v>
      </c>
      <c r="AB236">
        <v>16746567.5</v>
      </c>
      <c r="AC236">
        <v>13558836.050000001</v>
      </c>
      <c r="AD236">
        <v>7234943</v>
      </c>
      <c r="AE236">
        <v>8166807.6799999997</v>
      </c>
      <c r="AF236">
        <v>10532415.300000001</v>
      </c>
      <c r="AG236">
        <v>9734290.0500000007</v>
      </c>
      <c r="AH236">
        <v>9619734.9000000004</v>
      </c>
      <c r="AI236">
        <v>4739563.0999999996</v>
      </c>
      <c r="AJ236">
        <v>15799992.539999999</v>
      </c>
      <c r="AK236">
        <v>12045766.15</v>
      </c>
      <c r="AL236">
        <v>10297792.630000001</v>
      </c>
      <c r="AM236">
        <v>16902281.640000001</v>
      </c>
      <c r="AN236">
        <v>10039990.75</v>
      </c>
      <c r="AO236">
        <v>10933407.9</v>
      </c>
      <c r="AP236">
        <v>12005259</v>
      </c>
      <c r="AQ236">
        <v>11534034</v>
      </c>
      <c r="AR236">
        <v>10953515.25</v>
      </c>
      <c r="AS236">
        <v>16296928.1</v>
      </c>
      <c r="AT236">
        <v>9636803.9000000004</v>
      </c>
      <c r="AU236">
        <v>8703188.5999999996</v>
      </c>
      <c r="AV236">
        <v>7169775.4500000002</v>
      </c>
      <c r="AW236">
        <v>7781506.8499999996</v>
      </c>
      <c r="AX236">
        <v>7676478.04</v>
      </c>
      <c r="AY236">
        <v>10542954.710000001</v>
      </c>
      <c r="AZ236">
        <v>8100456.2800000003</v>
      </c>
      <c r="BA236">
        <v>11629649.449999999</v>
      </c>
      <c r="BB236">
        <v>6756054.7999999998</v>
      </c>
      <c r="BC236">
        <v>11389578.449999999</v>
      </c>
      <c r="BD236">
        <v>14524393.48</v>
      </c>
      <c r="BE236">
        <v>9465580.25</v>
      </c>
      <c r="BF236">
        <v>9604665.5</v>
      </c>
      <c r="BG236">
        <v>7905823.7000000002</v>
      </c>
      <c r="BH236">
        <v>8898436.5500000007</v>
      </c>
      <c r="BI236">
        <v>12352031.85</v>
      </c>
      <c r="BJ236">
        <v>10898447.449999999</v>
      </c>
      <c r="BK236">
        <v>12032757.699999999</v>
      </c>
      <c r="BL236">
        <v>20937180.899999999</v>
      </c>
      <c r="BM236">
        <v>5106670.75</v>
      </c>
      <c r="BN236">
        <v>2501651.1</v>
      </c>
      <c r="BO236">
        <v>8384954.7000000002</v>
      </c>
      <c r="BP236">
        <v>4744607.9000000004</v>
      </c>
      <c r="BQ236">
        <v>2935678.2</v>
      </c>
      <c r="BR236">
        <v>6311989.1500000004</v>
      </c>
      <c r="BS236">
        <v>6886358.7999999998</v>
      </c>
    </row>
    <row r="237" spans="1:71" x14ac:dyDescent="0.25">
      <c r="A237" t="s">
        <v>168</v>
      </c>
      <c r="B237" t="s">
        <v>169</v>
      </c>
      <c r="C237">
        <v>9078207</v>
      </c>
      <c r="D237" t="s">
        <v>245</v>
      </c>
      <c r="E237" t="s">
        <v>244</v>
      </c>
      <c r="F237" t="str">
        <f t="shared" si="8"/>
        <v>FR0013154002MTAH</v>
      </c>
      <c r="G237">
        <f t="shared" si="9"/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</row>
    <row r="238" spans="1:71" x14ac:dyDescent="0.25">
      <c r="A238" t="s">
        <v>168</v>
      </c>
      <c r="B238" t="s">
        <v>265</v>
      </c>
      <c r="C238">
        <v>6060200</v>
      </c>
      <c r="D238" t="s">
        <v>243</v>
      </c>
      <c r="E238" t="s">
        <v>244</v>
      </c>
      <c r="F238" t="str">
        <f t="shared" si="8"/>
        <v>FR0013154002ETLX</v>
      </c>
      <c r="G238">
        <f t="shared" si="9"/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</row>
    <row r="239" spans="1:71" x14ac:dyDescent="0.25">
      <c r="A239" t="s">
        <v>170</v>
      </c>
      <c r="B239" t="s">
        <v>171</v>
      </c>
      <c r="C239">
        <v>4455</v>
      </c>
      <c r="D239" t="s">
        <v>6</v>
      </c>
      <c r="E239" t="s">
        <v>232</v>
      </c>
      <c r="F239" t="str">
        <f t="shared" si="8"/>
        <v>FR0013176526XPAR</v>
      </c>
      <c r="G239">
        <f t="shared" si="9"/>
        <v>11324830.417499999</v>
      </c>
      <c r="H239">
        <v>9752450.25</v>
      </c>
      <c r="I239">
        <v>12666353.24</v>
      </c>
      <c r="J239">
        <v>13800217.6</v>
      </c>
      <c r="K239">
        <v>15008963.49</v>
      </c>
      <c r="L239">
        <v>9977895.6600000001</v>
      </c>
      <c r="M239">
        <v>8360161.1699999999</v>
      </c>
      <c r="N239">
        <v>7802028.4500000002</v>
      </c>
      <c r="O239">
        <v>8458499.8699999992</v>
      </c>
      <c r="P239">
        <v>10845424.869999999</v>
      </c>
      <c r="Q239">
        <v>8581273.0399999991</v>
      </c>
      <c r="R239">
        <v>5896014.0700000003</v>
      </c>
      <c r="S239">
        <v>15301147.859999999</v>
      </c>
      <c r="T239">
        <v>8861284.4600000009</v>
      </c>
      <c r="U239">
        <v>8288961.3499999996</v>
      </c>
      <c r="V239">
        <v>8856319.1500000004</v>
      </c>
      <c r="W239">
        <v>10745386.359999999</v>
      </c>
      <c r="X239">
        <v>32294020.969999999</v>
      </c>
      <c r="Y239">
        <v>17331357.379999999</v>
      </c>
      <c r="Z239">
        <v>16613235.58</v>
      </c>
      <c r="AA239">
        <v>8553534</v>
      </c>
      <c r="AB239">
        <v>11479375.380000001</v>
      </c>
      <c r="AC239">
        <v>7638804.7400000002</v>
      </c>
      <c r="AD239">
        <v>6265007.6200000001</v>
      </c>
      <c r="AE239">
        <v>6041993.2300000004</v>
      </c>
      <c r="AF239">
        <v>18900899.609999999</v>
      </c>
      <c r="AG239">
        <v>17349025.870000001</v>
      </c>
      <c r="AH239">
        <v>11943139.77</v>
      </c>
      <c r="AI239">
        <v>11605491.560000001</v>
      </c>
      <c r="AJ239">
        <v>12257939.23</v>
      </c>
      <c r="AK239">
        <v>9353605.7300000004</v>
      </c>
      <c r="AL239">
        <v>14642404.68</v>
      </c>
      <c r="AM239">
        <v>12705081.529999999</v>
      </c>
      <c r="AN239">
        <v>7757474.8799999999</v>
      </c>
      <c r="AO239">
        <v>19853255.34</v>
      </c>
      <c r="AP239">
        <v>15546060.880000001</v>
      </c>
      <c r="AQ239">
        <v>12303654.67</v>
      </c>
      <c r="AR239">
        <v>9939106.4399999995</v>
      </c>
      <c r="AS239">
        <v>13964175.029999999</v>
      </c>
      <c r="AT239">
        <v>10637857.550000001</v>
      </c>
      <c r="AU239">
        <v>15926773.23</v>
      </c>
      <c r="AV239">
        <v>11428192.67</v>
      </c>
      <c r="AW239">
        <v>7667487.3099999996</v>
      </c>
      <c r="AX239">
        <v>10868125.6</v>
      </c>
      <c r="AY239">
        <v>12253359.380000001</v>
      </c>
      <c r="AZ239">
        <v>10924480.359999999</v>
      </c>
      <c r="BA239">
        <v>13865915.210000001</v>
      </c>
      <c r="BB239">
        <v>17599489.960000001</v>
      </c>
      <c r="BC239">
        <v>17942236.420000002</v>
      </c>
      <c r="BD239">
        <v>12923065.6</v>
      </c>
      <c r="BE239">
        <v>9126606.8499999996</v>
      </c>
      <c r="BF239">
        <v>7770158.3700000001</v>
      </c>
      <c r="BG239">
        <v>7265272.79</v>
      </c>
      <c r="BH239">
        <v>8041504.8499999996</v>
      </c>
      <c r="BI239">
        <v>7430850.6600000001</v>
      </c>
      <c r="BJ239">
        <v>8883346.0099999998</v>
      </c>
      <c r="BK239">
        <v>11210643.51</v>
      </c>
      <c r="BL239">
        <v>19636742.48</v>
      </c>
      <c r="BM239">
        <v>5223541.18</v>
      </c>
      <c r="BN239">
        <v>2594239.12</v>
      </c>
      <c r="BO239">
        <v>7599922.6299999999</v>
      </c>
      <c r="BP239">
        <v>6379141.7599999998</v>
      </c>
      <c r="BQ239">
        <v>3500711.67</v>
      </c>
      <c r="BR239">
        <v>10203561.66</v>
      </c>
      <c r="BS239">
        <v>10344894.880000001</v>
      </c>
    </row>
    <row r="240" spans="1:71" x14ac:dyDescent="0.25">
      <c r="A240" t="s">
        <v>170</v>
      </c>
      <c r="B240" t="s">
        <v>171</v>
      </c>
      <c r="C240">
        <v>6060199</v>
      </c>
      <c r="D240" t="s">
        <v>243</v>
      </c>
      <c r="E240" t="s">
        <v>244</v>
      </c>
      <c r="F240" t="str">
        <f t="shared" si="8"/>
        <v>FR0013176526ETLX</v>
      </c>
      <c r="G240">
        <f t="shared" si="9"/>
        <v>44.928125000000001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1064.4000000000001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923</v>
      </c>
      <c r="AK240">
        <v>0</v>
      </c>
      <c r="AL240">
        <v>888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</row>
    <row r="241" spans="1:71" x14ac:dyDescent="0.25">
      <c r="A241" t="s">
        <v>170</v>
      </c>
      <c r="B241" t="s">
        <v>171</v>
      </c>
      <c r="C241">
        <v>9079503</v>
      </c>
      <c r="D241" t="s">
        <v>245</v>
      </c>
      <c r="E241" t="s">
        <v>244</v>
      </c>
      <c r="F241" t="str">
        <f t="shared" si="8"/>
        <v>FR0013176526MTAH</v>
      </c>
      <c r="G241">
        <f t="shared" si="9"/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</row>
    <row r="242" spans="1:71" x14ac:dyDescent="0.25">
      <c r="A242" t="s">
        <v>172</v>
      </c>
      <c r="B242" t="s">
        <v>173</v>
      </c>
      <c r="C242">
        <v>40171</v>
      </c>
      <c r="D242" t="s">
        <v>6</v>
      </c>
      <c r="E242" t="s">
        <v>232</v>
      </c>
      <c r="F242" t="str">
        <f t="shared" si="8"/>
        <v>FR0013227113XPAR</v>
      </c>
      <c r="G242">
        <f t="shared" si="9"/>
        <v>9736846.2425000016</v>
      </c>
      <c r="H242">
        <v>8988351.0999999996</v>
      </c>
      <c r="I242">
        <v>6835150.25</v>
      </c>
      <c r="J242">
        <v>6345532.9500000002</v>
      </c>
      <c r="K242">
        <v>7593684</v>
      </c>
      <c r="L242">
        <v>7235505.4000000004</v>
      </c>
      <c r="M242">
        <v>13574467.4</v>
      </c>
      <c r="N242">
        <v>11512209.75</v>
      </c>
      <c r="O242">
        <v>10315743.300000001</v>
      </c>
      <c r="P242">
        <v>16891752.449999999</v>
      </c>
      <c r="Q242">
        <v>9934285.9000000004</v>
      </c>
      <c r="R242">
        <v>9398760.2300000004</v>
      </c>
      <c r="S242">
        <v>11474311.5</v>
      </c>
      <c r="T242">
        <v>5948062.0499999998</v>
      </c>
      <c r="U242">
        <v>4594708.4000000004</v>
      </c>
      <c r="V242">
        <v>6111830.7999999998</v>
      </c>
      <c r="W242">
        <v>6916909.0499999998</v>
      </c>
      <c r="X242">
        <v>4838235.0999999996</v>
      </c>
      <c r="Y242">
        <v>4053278.83</v>
      </c>
      <c r="Z242">
        <v>2868974.45</v>
      </c>
      <c r="AA242">
        <v>10978859.35</v>
      </c>
      <c r="AB242">
        <v>6035487.5499999998</v>
      </c>
      <c r="AC242">
        <v>3240485.45</v>
      </c>
      <c r="AD242">
        <v>4979280.9000000004</v>
      </c>
      <c r="AE242">
        <v>5471856.6500000004</v>
      </c>
      <c r="AF242">
        <v>5834405.25</v>
      </c>
      <c r="AG242">
        <v>5476727</v>
      </c>
      <c r="AH242">
        <v>4048816.55</v>
      </c>
      <c r="AI242">
        <v>3576826.7</v>
      </c>
      <c r="AJ242">
        <v>5445693.8300000001</v>
      </c>
      <c r="AK242">
        <v>4943745.7</v>
      </c>
      <c r="AL242">
        <v>12148714.050000001</v>
      </c>
      <c r="AM242">
        <v>4989334.78</v>
      </c>
      <c r="AN242">
        <v>8371974.5300000003</v>
      </c>
      <c r="AO242">
        <v>5786661.5999999996</v>
      </c>
      <c r="AP242">
        <v>8379405.7000000002</v>
      </c>
      <c r="AQ242">
        <v>29190451.600000001</v>
      </c>
      <c r="AR242">
        <v>18486712.600000001</v>
      </c>
      <c r="AS242">
        <v>39446505.149999999</v>
      </c>
      <c r="AT242">
        <v>21552278.949999999</v>
      </c>
      <c r="AU242">
        <v>10693347.9</v>
      </c>
      <c r="AV242">
        <v>6097389.1799999997</v>
      </c>
      <c r="AW242">
        <v>4992977.5999999996</v>
      </c>
      <c r="AX242">
        <v>6036473.7999999998</v>
      </c>
      <c r="AY242">
        <v>5979367.4500000002</v>
      </c>
      <c r="AZ242">
        <v>5391118.5300000003</v>
      </c>
      <c r="BA242">
        <v>18584710.800000001</v>
      </c>
      <c r="BB242">
        <v>18843541.129999999</v>
      </c>
      <c r="BC242">
        <v>11039609.75</v>
      </c>
      <c r="BD242">
        <v>8230985.25</v>
      </c>
      <c r="BE242">
        <v>13186906.68</v>
      </c>
      <c r="BF242">
        <v>10291400.6</v>
      </c>
      <c r="BG242">
        <v>17564746.850000001</v>
      </c>
      <c r="BH242">
        <v>21097915.149999999</v>
      </c>
      <c r="BI242">
        <v>10087417.949999999</v>
      </c>
      <c r="BJ242">
        <v>11616567.4</v>
      </c>
      <c r="BK242">
        <v>13344639.699999999</v>
      </c>
      <c r="BL242">
        <v>20722145.600000001</v>
      </c>
      <c r="BM242">
        <v>7901839</v>
      </c>
      <c r="BN242">
        <v>2185561.1</v>
      </c>
      <c r="BO242">
        <v>6518886.2999999998</v>
      </c>
      <c r="BP242">
        <v>5942565.7000000002</v>
      </c>
      <c r="BQ242">
        <v>2325995.2999999998</v>
      </c>
      <c r="BR242">
        <v>9753004</v>
      </c>
      <c r="BS242">
        <v>10913070</v>
      </c>
    </row>
    <row r="243" spans="1:71" x14ac:dyDescent="0.25">
      <c r="A243" t="s">
        <v>172</v>
      </c>
      <c r="B243" t="s">
        <v>173</v>
      </c>
      <c r="C243">
        <v>9078205</v>
      </c>
      <c r="D243" t="s">
        <v>245</v>
      </c>
      <c r="E243" t="s">
        <v>244</v>
      </c>
      <c r="F243" t="str">
        <f t="shared" si="8"/>
        <v>FR0013227113MTAH</v>
      </c>
      <c r="G243">
        <f t="shared" si="9"/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</row>
    <row r="244" spans="1:71" x14ac:dyDescent="0.25">
      <c r="A244" t="s">
        <v>174</v>
      </c>
      <c r="B244" t="s">
        <v>266</v>
      </c>
      <c r="C244">
        <v>1099659</v>
      </c>
      <c r="D244" t="s">
        <v>6</v>
      </c>
      <c r="E244" t="s">
        <v>232</v>
      </c>
      <c r="F244" t="str">
        <f t="shared" si="8"/>
        <v>FR0013258662XPAR</v>
      </c>
      <c r="G244">
        <f t="shared" si="9"/>
        <v>2826121.9314062502</v>
      </c>
      <c r="H244">
        <v>4088773.86</v>
      </c>
      <c r="I244">
        <v>4373823.78</v>
      </c>
      <c r="J244">
        <v>1747105.19</v>
      </c>
      <c r="K244">
        <v>1131725.74</v>
      </c>
      <c r="L244">
        <v>1700768</v>
      </c>
      <c r="M244">
        <v>1283622.45</v>
      </c>
      <c r="N244">
        <v>1655618.07</v>
      </c>
      <c r="O244">
        <v>1780706.55</v>
      </c>
      <c r="P244">
        <v>1363859.39</v>
      </c>
      <c r="Q244">
        <v>1554453.54</v>
      </c>
      <c r="R244">
        <v>1461469.17</v>
      </c>
      <c r="S244">
        <v>2570359</v>
      </c>
      <c r="T244">
        <v>1565230.84</v>
      </c>
      <c r="U244">
        <v>896468.8</v>
      </c>
      <c r="V244">
        <v>2142253.12</v>
      </c>
      <c r="W244">
        <v>1951010.96</v>
      </c>
      <c r="X244">
        <v>1977694.76</v>
      </c>
      <c r="Y244">
        <v>2205275.04</v>
      </c>
      <c r="Z244">
        <v>1772286.89</v>
      </c>
      <c r="AA244">
        <v>1914519.21</v>
      </c>
      <c r="AB244">
        <v>6527942.5999999996</v>
      </c>
      <c r="AC244">
        <v>5431668.6799999997</v>
      </c>
      <c r="AD244">
        <v>2510971.0499999998</v>
      </c>
      <c r="AE244">
        <v>3127448.74</v>
      </c>
      <c r="AF244">
        <v>9675045.6699999999</v>
      </c>
      <c r="AG244">
        <v>15261980.83</v>
      </c>
      <c r="AH244">
        <v>13000983.779999999</v>
      </c>
      <c r="AI244">
        <v>8475486.6699999999</v>
      </c>
      <c r="AJ244">
        <v>9499469.1600000001</v>
      </c>
      <c r="AK244">
        <v>3324595.81</v>
      </c>
      <c r="AL244">
        <v>2185088.0499999998</v>
      </c>
      <c r="AM244">
        <v>2619907.35</v>
      </c>
      <c r="AN244">
        <v>2941180.14</v>
      </c>
      <c r="AO244">
        <v>1780324.1</v>
      </c>
      <c r="AP244">
        <v>1184783.1000000001</v>
      </c>
      <c r="AQ244">
        <v>1782108.54</v>
      </c>
      <c r="AR244">
        <v>1614004.86</v>
      </c>
      <c r="AS244">
        <v>1908832.74</v>
      </c>
      <c r="AT244">
        <v>1624653.29</v>
      </c>
      <c r="AU244">
        <v>2353102.44</v>
      </c>
      <c r="AV244">
        <v>1773041.2</v>
      </c>
      <c r="AW244">
        <v>1041986.77</v>
      </c>
      <c r="AX244">
        <v>2850563.29</v>
      </c>
      <c r="AY244">
        <v>2525266.7999999998</v>
      </c>
      <c r="AZ244">
        <v>1894720.38</v>
      </c>
      <c r="BA244">
        <v>2140868.11</v>
      </c>
      <c r="BB244">
        <v>2639721.38</v>
      </c>
      <c r="BC244">
        <v>1960192.62</v>
      </c>
      <c r="BD244">
        <v>1641815.48</v>
      </c>
      <c r="BE244">
        <v>1961257.61</v>
      </c>
      <c r="BF244">
        <v>2085255.37</v>
      </c>
      <c r="BG244">
        <v>1697056.31</v>
      </c>
      <c r="BH244">
        <v>2508699.79</v>
      </c>
      <c r="BI244">
        <v>1762106.05</v>
      </c>
      <c r="BJ244">
        <v>1537295.04</v>
      </c>
      <c r="BK244">
        <v>1027144.9</v>
      </c>
      <c r="BL244">
        <v>4178904.9</v>
      </c>
      <c r="BM244">
        <v>1840786.45</v>
      </c>
      <c r="BN244">
        <v>1356381.32</v>
      </c>
      <c r="BO244">
        <v>1942934.95</v>
      </c>
      <c r="BP244">
        <v>1341880.3400000001</v>
      </c>
      <c r="BQ244">
        <v>535238.82999999996</v>
      </c>
      <c r="BR244">
        <v>1683330.07</v>
      </c>
      <c r="BS244">
        <v>978753.69</v>
      </c>
    </row>
    <row r="245" spans="1:71" x14ac:dyDescent="0.25">
      <c r="A245" t="s">
        <v>174</v>
      </c>
      <c r="B245" t="s">
        <v>266</v>
      </c>
      <c r="C245">
        <v>9078204</v>
      </c>
      <c r="D245" t="s">
        <v>245</v>
      </c>
      <c r="E245" t="s">
        <v>244</v>
      </c>
      <c r="F245" t="str">
        <f t="shared" si="8"/>
        <v>FR0013258662MTAH</v>
      </c>
      <c r="G245">
        <f t="shared" si="9"/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</row>
    <row r="246" spans="1:71" x14ac:dyDescent="0.25">
      <c r="A246" t="s">
        <v>175</v>
      </c>
      <c r="B246" t="s">
        <v>176</v>
      </c>
      <c r="C246">
        <v>4233</v>
      </c>
      <c r="D246" t="s">
        <v>6</v>
      </c>
      <c r="E246" t="s">
        <v>232</v>
      </c>
      <c r="F246" t="str">
        <f t="shared" si="8"/>
        <v>FR0013269123XPAR</v>
      </c>
      <c r="G246">
        <f t="shared" si="9"/>
        <v>4516063.5734374989</v>
      </c>
      <c r="H246">
        <v>3463800</v>
      </c>
      <c r="I246">
        <v>5274033.72</v>
      </c>
      <c r="J246">
        <v>7455917.5199999996</v>
      </c>
      <c r="K246">
        <v>5871738.5800000001</v>
      </c>
      <c r="L246">
        <v>4070497.08</v>
      </c>
      <c r="M246">
        <v>4035389.48</v>
      </c>
      <c r="N246">
        <v>3504735.84</v>
      </c>
      <c r="O246">
        <v>4267863.74</v>
      </c>
      <c r="P246">
        <v>4542369.24</v>
      </c>
      <c r="Q246">
        <v>3820891.34</v>
      </c>
      <c r="R246">
        <v>3667912.36</v>
      </c>
      <c r="S246">
        <v>5314595.5599999996</v>
      </c>
      <c r="T246">
        <v>4342862.8</v>
      </c>
      <c r="U246">
        <v>3839027.98</v>
      </c>
      <c r="V246">
        <v>4142888.26</v>
      </c>
      <c r="W246">
        <v>2762751.3</v>
      </c>
      <c r="X246">
        <v>3369408.52</v>
      </c>
      <c r="Y246">
        <v>2855083.48</v>
      </c>
      <c r="Z246">
        <v>3049282.96</v>
      </c>
      <c r="AA246">
        <v>13623728.300000001</v>
      </c>
      <c r="AB246">
        <v>17747326.739999998</v>
      </c>
      <c r="AC246">
        <v>6239991.2000000002</v>
      </c>
      <c r="AD246">
        <v>4462053.82</v>
      </c>
      <c r="AE246">
        <v>3740565.84</v>
      </c>
      <c r="AF246">
        <v>8355015.7599999998</v>
      </c>
      <c r="AG246">
        <v>4712544.32</v>
      </c>
      <c r="AH246">
        <v>4339841.12</v>
      </c>
      <c r="AI246">
        <v>5800659.9800000004</v>
      </c>
      <c r="AJ246">
        <v>7154275.8799999999</v>
      </c>
      <c r="AK246">
        <v>4176067.3</v>
      </c>
      <c r="AL246">
        <v>3407645.76</v>
      </c>
      <c r="AM246">
        <v>5760892.0599999996</v>
      </c>
      <c r="AN246">
        <v>3802029.14</v>
      </c>
      <c r="AO246">
        <v>6051549.9000000004</v>
      </c>
      <c r="AP246">
        <v>11797727.34</v>
      </c>
      <c r="AQ246">
        <v>6148938.5</v>
      </c>
      <c r="AR246">
        <v>4995589.04</v>
      </c>
      <c r="AS246">
        <v>6188612.54</v>
      </c>
      <c r="AT246">
        <v>5139954.9400000004</v>
      </c>
      <c r="AU246">
        <v>3430576.12</v>
      </c>
      <c r="AV246">
        <v>2185889.6</v>
      </c>
      <c r="AW246">
        <v>2962177.32</v>
      </c>
      <c r="AX246">
        <v>3424497.41</v>
      </c>
      <c r="AY246">
        <v>4714947.04</v>
      </c>
      <c r="AZ246">
        <v>3792855.06</v>
      </c>
      <c r="BA246">
        <v>3683032.72</v>
      </c>
      <c r="BB246">
        <v>3546628.16</v>
      </c>
      <c r="BC246">
        <v>2983328.2</v>
      </c>
      <c r="BD246">
        <v>3048338.6</v>
      </c>
      <c r="BE246">
        <v>1546639.8</v>
      </c>
      <c r="BF246">
        <v>3250255.62</v>
      </c>
      <c r="BG246">
        <v>2265044.8199999998</v>
      </c>
      <c r="BH246">
        <v>2451583.14</v>
      </c>
      <c r="BI246">
        <v>3218287.4</v>
      </c>
      <c r="BJ246">
        <v>2747977.35</v>
      </c>
      <c r="BK246">
        <v>3081683.34</v>
      </c>
      <c r="BL246">
        <v>7995192.6600000001</v>
      </c>
      <c r="BM246">
        <v>2040430.19</v>
      </c>
      <c r="BN246">
        <v>2079610.06</v>
      </c>
      <c r="BO246">
        <v>2970179.11</v>
      </c>
      <c r="BP246">
        <v>2953408.42</v>
      </c>
      <c r="BQ246">
        <v>1107072.52</v>
      </c>
      <c r="BR246">
        <v>2356713.7799999998</v>
      </c>
      <c r="BS246">
        <v>1895661.02</v>
      </c>
    </row>
    <row r="247" spans="1:71" x14ac:dyDescent="0.25">
      <c r="A247" t="s">
        <v>175</v>
      </c>
      <c r="B247" t="s">
        <v>176</v>
      </c>
      <c r="C247">
        <v>9078203</v>
      </c>
      <c r="D247" t="s">
        <v>245</v>
      </c>
      <c r="E247" t="s">
        <v>244</v>
      </c>
      <c r="F247" t="str">
        <f t="shared" si="8"/>
        <v>FR0013269123MTAH</v>
      </c>
      <c r="G247">
        <f t="shared" si="9"/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</row>
    <row r="248" spans="1:71" x14ac:dyDescent="0.25">
      <c r="A248" t="s">
        <v>177</v>
      </c>
      <c r="B248" t="s">
        <v>178</v>
      </c>
      <c r="C248">
        <v>102048</v>
      </c>
      <c r="D248" t="s">
        <v>6</v>
      </c>
      <c r="E248" t="s">
        <v>232</v>
      </c>
      <c r="F248" t="str">
        <f t="shared" si="8"/>
        <v>FR0013280286XPAR</v>
      </c>
      <c r="G248">
        <f t="shared" si="9"/>
        <v>10266857.47625</v>
      </c>
      <c r="H248">
        <v>6520498.4000000004</v>
      </c>
      <c r="I248">
        <v>9106237.0999999996</v>
      </c>
      <c r="J248">
        <v>13074356.9</v>
      </c>
      <c r="K248">
        <v>11278851.4</v>
      </c>
      <c r="L248">
        <v>7486691</v>
      </c>
      <c r="M248">
        <v>9981526.0999999996</v>
      </c>
      <c r="N248">
        <v>14737509.300000001</v>
      </c>
      <c r="O248">
        <v>13568912.5</v>
      </c>
      <c r="P248">
        <v>10604592.699999999</v>
      </c>
      <c r="Q248">
        <v>8617552.5999999996</v>
      </c>
      <c r="R248">
        <v>8734554.6999999993</v>
      </c>
      <c r="S248">
        <v>11320319.6</v>
      </c>
      <c r="T248">
        <v>7203523.7999999998</v>
      </c>
      <c r="U248">
        <v>6630229.2999999998</v>
      </c>
      <c r="V248">
        <v>8717951.8499999996</v>
      </c>
      <c r="W248">
        <v>7718258.5</v>
      </c>
      <c r="X248">
        <v>12004314.9</v>
      </c>
      <c r="Y248">
        <v>10010006.050000001</v>
      </c>
      <c r="Z248">
        <v>11623397.5</v>
      </c>
      <c r="AA248">
        <v>28712650.899999999</v>
      </c>
      <c r="AB248">
        <v>18576103.600000001</v>
      </c>
      <c r="AC248">
        <v>8637996.0999999996</v>
      </c>
      <c r="AD248">
        <v>4666835.9000000004</v>
      </c>
      <c r="AE248">
        <v>7222459.7000000002</v>
      </c>
      <c r="AF248">
        <v>11351568.85</v>
      </c>
      <c r="AG248">
        <v>19370838.75</v>
      </c>
      <c r="AH248">
        <v>17136948</v>
      </c>
      <c r="AI248">
        <v>11413406.550000001</v>
      </c>
      <c r="AJ248">
        <v>12166586</v>
      </c>
      <c r="AK248">
        <v>10637379.5</v>
      </c>
      <c r="AL248">
        <v>17202162.300000001</v>
      </c>
      <c r="AM248">
        <v>14528618.9</v>
      </c>
      <c r="AN248">
        <v>12114582.35</v>
      </c>
      <c r="AO248">
        <v>13009576.65</v>
      </c>
      <c r="AP248">
        <v>7012893.2000000002</v>
      </c>
      <c r="AQ248">
        <v>9616475.5999999996</v>
      </c>
      <c r="AR248">
        <v>5874453.0800000001</v>
      </c>
      <c r="AS248">
        <v>22437030.600000001</v>
      </c>
      <c r="AT248">
        <v>7666737.2000000002</v>
      </c>
      <c r="AU248">
        <v>7626867.5499999998</v>
      </c>
      <c r="AV248">
        <v>3656255.95</v>
      </c>
      <c r="AW248">
        <v>5998330.9000000004</v>
      </c>
      <c r="AX248">
        <v>7942998.9400000004</v>
      </c>
      <c r="AY248">
        <v>8071081.9800000004</v>
      </c>
      <c r="AZ248">
        <v>6458136.6100000003</v>
      </c>
      <c r="BA248">
        <v>5803244.3300000001</v>
      </c>
      <c r="BB248">
        <v>6179078.4900000002</v>
      </c>
      <c r="BC248">
        <v>5309817.9000000004</v>
      </c>
      <c r="BD248">
        <v>13816255</v>
      </c>
      <c r="BE248">
        <v>13200602.9</v>
      </c>
      <c r="BF248">
        <v>14300334.699999999</v>
      </c>
      <c r="BG248">
        <v>14575746.1</v>
      </c>
      <c r="BH248">
        <v>6918910.2000000002</v>
      </c>
      <c r="BI248">
        <v>8634021.5</v>
      </c>
      <c r="BJ248">
        <v>8494823.6999999993</v>
      </c>
      <c r="BK248">
        <v>10621117.300000001</v>
      </c>
      <c r="BL248">
        <v>26677394.699999999</v>
      </c>
      <c r="BM248">
        <v>5729934.2000000002</v>
      </c>
      <c r="BN248">
        <v>2054310.8</v>
      </c>
      <c r="BO248">
        <v>5246764.9000000004</v>
      </c>
      <c r="BP248">
        <v>7220282</v>
      </c>
      <c r="BQ248">
        <v>2828025.6</v>
      </c>
      <c r="BR248">
        <v>6659835.4000000004</v>
      </c>
      <c r="BS248">
        <v>4760118.9000000004</v>
      </c>
    </row>
    <row r="249" spans="1:71" x14ac:dyDescent="0.25">
      <c r="A249" t="s">
        <v>177</v>
      </c>
      <c r="B249" t="s">
        <v>178</v>
      </c>
      <c r="C249">
        <v>9078202</v>
      </c>
      <c r="D249" t="s">
        <v>245</v>
      </c>
      <c r="E249" t="s">
        <v>244</v>
      </c>
      <c r="F249" t="str">
        <f t="shared" si="8"/>
        <v>FR0013280286MTAH</v>
      </c>
      <c r="G249">
        <f t="shared" si="9"/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</row>
    <row r="250" spans="1:71" x14ac:dyDescent="0.25">
      <c r="A250" t="s">
        <v>179</v>
      </c>
      <c r="B250" t="s">
        <v>180</v>
      </c>
      <c r="C250">
        <v>1254568</v>
      </c>
      <c r="D250" t="s">
        <v>6</v>
      </c>
      <c r="E250" t="s">
        <v>232</v>
      </c>
      <c r="F250" t="str">
        <f t="shared" si="8"/>
        <v>FR0013326246XPAR</v>
      </c>
      <c r="G250">
        <f t="shared" si="9"/>
        <v>20274854.153593753</v>
      </c>
      <c r="H250">
        <v>18047765.68</v>
      </c>
      <c r="I250">
        <v>21532524.370000001</v>
      </c>
      <c r="J250">
        <v>17867893.82</v>
      </c>
      <c r="K250">
        <v>18245491.780000001</v>
      </c>
      <c r="L250">
        <v>15765206.92</v>
      </c>
      <c r="M250">
        <v>17476485.620000001</v>
      </c>
      <c r="N250">
        <v>24983117.620000001</v>
      </c>
      <c r="O250">
        <v>15945814.029999999</v>
      </c>
      <c r="P250">
        <v>19855350.280000001</v>
      </c>
      <c r="Q250">
        <v>13875002.300000001</v>
      </c>
      <c r="R250">
        <v>10740320.5</v>
      </c>
      <c r="S250">
        <v>14139092.939999999</v>
      </c>
      <c r="T250">
        <v>16188141.439999999</v>
      </c>
      <c r="U250">
        <v>18306629.48</v>
      </c>
      <c r="V250">
        <v>10940834.42</v>
      </c>
      <c r="W250">
        <v>21788605.719999999</v>
      </c>
      <c r="X250">
        <v>11485569.119999999</v>
      </c>
      <c r="Y250">
        <v>15100073.119999999</v>
      </c>
      <c r="Z250">
        <v>16667370.68</v>
      </c>
      <c r="AA250">
        <v>18461513.280000001</v>
      </c>
      <c r="AB250">
        <v>24327889.620000001</v>
      </c>
      <c r="AC250">
        <v>16109616.26</v>
      </c>
      <c r="AD250">
        <v>13330627.9</v>
      </c>
      <c r="AE250">
        <v>14221120.42</v>
      </c>
      <c r="AF250">
        <v>30117816</v>
      </c>
      <c r="AG250">
        <v>26403109.899999999</v>
      </c>
      <c r="AH250">
        <v>20998718.140000001</v>
      </c>
      <c r="AI250">
        <v>20511064.32</v>
      </c>
      <c r="AJ250">
        <v>23850942.699999999</v>
      </c>
      <c r="AK250">
        <v>16543843.779999999</v>
      </c>
      <c r="AL250">
        <v>21073071.079999998</v>
      </c>
      <c r="AM250">
        <v>14459747.880000001</v>
      </c>
      <c r="AN250">
        <v>19229275.48</v>
      </c>
      <c r="AO250">
        <v>21146944.32</v>
      </c>
      <c r="AP250">
        <v>18990236.440000001</v>
      </c>
      <c r="AQ250">
        <v>22639158.539999999</v>
      </c>
      <c r="AR250">
        <v>29361353.379999999</v>
      </c>
      <c r="AS250">
        <v>89004698.739999995</v>
      </c>
      <c r="AT250">
        <v>13747153.34</v>
      </c>
      <c r="AU250">
        <v>19955173.079999998</v>
      </c>
      <c r="AV250">
        <v>19646148.620000001</v>
      </c>
      <c r="AW250">
        <v>20505540.52</v>
      </c>
      <c r="AX250">
        <v>30206368.859999999</v>
      </c>
      <c r="AY250">
        <v>17524336.699999999</v>
      </c>
      <c r="AZ250">
        <v>16290239.859999999</v>
      </c>
      <c r="BA250">
        <v>24837000.170000002</v>
      </c>
      <c r="BB250">
        <v>19077094.920000002</v>
      </c>
      <c r="BC250">
        <v>13801406.34</v>
      </c>
      <c r="BD250">
        <v>37852060.280000001</v>
      </c>
      <c r="BE250">
        <v>13594412.279999999</v>
      </c>
      <c r="BF250">
        <v>18290038.16</v>
      </c>
      <c r="BG250">
        <v>16260339.619999999</v>
      </c>
      <c r="BH250">
        <v>20324332.640000001</v>
      </c>
      <c r="BI250">
        <v>24064742.379999999</v>
      </c>
      <c r="BJ250">
        <v>14556693.960000001</v>
      </c>
      <c r="BK250">
        <v>41671643.340000004</v>
      </c>
      <c r="BL250">
        <v>39674693.82</v>
      </c>
      <c r="BM250">
        <v>15988941.32</v>
      </c>
      <c r="BN250">
        <v>6980745.7000000002</v>
      </c>
      <c r="BO250">
        <v>13757685.220000001</v>
      </c>
      <c r="BP250">
        <v>16530317.16</v>
      </c>
      <c r="BQ250">
        <v>9422671.5600000005</v>
      </c>
      <c r="BR250">
        <v>17875507.260000002</v>
      </c>
      <c r="BS250">
        <v>15423340.699999999</v>
      </c>
    </row>
    <row r="251" spans="1:71" x14ac:dyDescent="0.25">
      <c r="A251" t="s">
        <v>179</v>
      </c>
      <c r="B251" t="s">
        <v>180</v>
      </c>
      <c r="C251">
        <v>9078201</v>
      </c>
      <c r="D251" t="s">
        <v>245</v>
      </c>
      <c r="E251" t="s">
        <v>244</v>
      </c>
      <c r="F251" t="str">
        <f t="shared" si="8"/>
        <v>FR0013326246MTAH</v>
      </c>
      <c r="G251">
        <f t="shared" si="9"/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</row>
    <row r="252" spans="1:71" x14ac:dyDescent="0.25">
      <c r="A252" t="s">
        <v>179</v>
      </c>
      <c r="B252" t="s">
        <v>267</v>
      </c>
      <c r="C252">
        <v>6060198</v>
      </c>
      <c r="D252" t="s">
        <v>243</v>
      </c>
      <c r="E252" t="s">
        <v>244</v>
      </c>
      <c r="F252" t="str">
        <f t="shared" ref="F252:F297" si="10">A252&amp;D252</f>
        <v>FR0013326246ETLX</v>
      </c>
      <c r="G252">
        <f t="shared" ref="G252:G297" si="11">AVERAGE(H252:BU252)</f>
        <v>226.72718749999999</v>
      </c>
      <c r="H252">
        <v>0</v>
      </c>
      <c r="I252">
        <v>151.56</v>
      </c>
      <c r="J252">
        <v>0</v>
      </c>
      <c r="K252">
        <v>0</v>
      </c>
      <c r="L252">
        <v>0</v>
      </c>
      <c r="M252">
        <v>0</v>
      </c>
      <c r="N252">
        <v>3794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10564.98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</row>
    <row r="253" spans="1:71" x14ac:dyDescent="0.25">
      <c r="A253" t="s">
        <v>182</v>
      </c>
      <c r="B253" t="s">
        <v>183</v>
      </c>
      <c r="C253">
        <v>1593849</v>
      </c>
      <c r="D253" t="s">
        <v>6</v>
      </c>
      <c r="E253" t="s">
        <v>232</v>
      </c>
      <c r="F253" t="str">
        <f t="shared" si="10"/>
        <v>FR0013447729XPAR</v>
      </c>
      <c r="G253">
        <f t="shared" si="11"/>
        <v>4658869.1989062522</v>
      </c>
      <c r="H253">
        <v>4002293.46</v>
      </c>
      <c r="I253">
        <v>6496619.7599999998</v>
      </c>
      <c r="J253">
        <v>4077233.94</v>
      </c>
      <c r="K253">
        <v>5278905.05</v>
      </c>
      <c r="L253">
        <v>2984435.84</v>
      </c>
      <c r="M253">
        <v>3590826.2</v>
      </c>
      <c r="N253">
        <v>3814041.54</v>
      </c>
      <c r="O253">
        <v>7905540.3300000001</v>
      </c>
      <c r="P253">
        <v>5406260.9199999999</v>
      </c>
      <c r="Q253">
        <v>6293771.7000000002</v>
      </c>
      <c r="R253">
        <v>5228713.16</v>
      </c>
      <c r="S253">
        <v>5992253.6799999997</v>
      </c>
      <c r="T253">
        <v>4156082.56</v>
      </c>
      <c r="U253">
        <v>5349984.5</v>
      </c>
      <c r="V253">
        <v>17497800.460000001</v>
      </c>
      <c r="W253">
        <v>9458924.6999999993</v>
      </c>
      <c r="X253">
        <v>6393024.1799999997</v>
      </c>
      <c r="Y253">
        <v>4858057.68</v>
      </c>
      <c r="Z253">
        <v>4074563.68</v>
      </c>
      <c r="AA253">
        <v>16116742.199999999</v>
      </c>
      <c r="AB253">
        <v>7656957.4400000004</v>
      </c>
      <c r="AC253">
        <v>5446672.7999999998</v>
      </c>
      <c r="AD253">
        <v>4712613.24</v>
      </c>
      <c r="AE253">
        <v>3611724.45</v>
      </c>
      <c r="AF253">
        <v>6088547.9900000002</v>
      </c>
      <c r="AG253">
        <v>4657799.5999999996</v>
      </c>
      <c r="AH253">
        <v>8694056.0399999991</v>
      </c>
      <c r="AI253">
        <v>3252342.76</v>
      </c>
      <c r="AJ253">
        <v>4384491.2</v>
      </c>
      <c r="AK253">
        <v>3299869.74</v>
      </c>
      <c r="AL253">
        <v>2940300.18</v>
      </c>
      <c r="AM253">
        <v>2269757.02</v>
      </c>
      <c r="AN253">
        <v>4877953.5599999996</v>
      </c>
      <c r="AO253">
        <v>3937349.32</v>
      </c>
      <c r="AP253">
        <v>3055964.3</v>
      </c>
      <c r="AQ253">
        <v>4306072.5999999996</v>
      </c>
      <c r="AR253">
        <v>2630112.8199999998</v>
      </c>
      <c r="AS253">
        <v>4573358.96</v>
      </c>
      <c r="AT253">
        <v>4302510.3600000003</v>
      </c>
      <c r="AU253">
        <v>2982419.16</v>
      </c>
      <c r="AV253">
        <v>1237591.76</v>
      </c>
      <c r="AW253">
        <v>3206497.74</v>
      </c>
      <c r="AX253">
        <v>3659634.2</v>
      </c>
      <c r="AY253">
        <v>5210441.71</v>
      </c>
      <c r="AZ253">
        <v>4200398.95</v>
      </c>
      <c r="BA253">
        <v>4468854.82</v>
      </c>
      <c r="BB253">
        <v>3080789.04</v>
      </c>
      <c r="BC253">
        <v>3986652.28</v>
      </c>
      <c r="BD253">
        <v>3179187.68</v>
      </c>
      <c r="BE253">
        <v>5447538.96</v>
      </c>
      <c r="BF253">
        <v>3438685.1</v>
      </c>
      <c r="BG253">
        <v>2819371.74</v>
      </c>
      <c r="BH253">
        <v>2082438.12</v>
      </c>
      <c r="BI253">
        <v>3134823.89</v>
      </c>
      <c r="BJ253">
        <v>2363162.84</v>
      </c>
      <c r="BK253">
        <v>5204491.9400000004</v>
      </c>
      <c r="BL253">
        <v>9702032.9199999999</v>
      </c>
      <c r="BM253">
        <v>2664358.6</v>
      </c>
      <c r="BN253">
        <v>780489.04</v>
      </c>
      <c r="BO253">
        <v>2475812.92</v>
      </c>
      <c r="BP253">
        <v>2372742.7599999998</v>
      </c>
      <c r="BQ253">
        <v>912360.66</v>
      </c>
      <c r="BR253">
        <v>3211063.4</v>
      </c>
      <c r="BS253">
        <v>2671258.58</v>
      </c>
    </row>
    <row r="254" spans="1:71" x14ac:dyDescent="0.25">
      <c r="A254" t="s">
        <v>182</v>
      </c>
      <c r="B254" t="s">
        <v>183</v>
      </c>
      <c r="C254">
        <v>9078199</v>
      </c>
      <c r="D254" t="s">
        <v>245</v>
      </c>
      <c r="E254" t="s">
        <v>244</v>
      </c>
      <c r="F254" t="str">
        <f t="shared" si="10"/>
        <v>FR0013447729MTAH</v>
      </c>
      <c r="G254">
        <f t="shared" si="11"/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</row>
    <row r="255" spans="1:71" x14ac:dyDescent="0.25">
      <c r="A255" t="s">
        <v>184</v>
      </c>
      <c r="B255" t="s">
        <v>185</v>
      </c>
      <c r="C255">
        <v>1629400</v>
      </c>
      <c r="D255" t="s">
        <v>6</v>
      </c>
      <c r="E255" t="s">
        <v>232</v>
      </c>
      <c r="F255" t="str">
        <f t="shared" si="10"/>
        <v>FR0013451333XPAR</v>
      </c>
      <c r="G255">
        <f t="shared" si="11"/>
        <v>8208768.1195312478</v>
      </c>
      <c r="H255">
        <v>24899573.969999999</v>
      </c>
      <c r="I255">
        <v>6862798.6399999997</v>
      </c>
      <c r="J255">
        <v>6615690.7000000002</v>
      </c>
      <c r="K255">
        <v>8502200.9399999995</v>
      </c>
      <c r="L255">
        <v>7077033.2999999998</v>
      </c>
      <c r="M255">
        <v>4814876.3</v>
      </c>
      <c r="N255">
        <v>9956109.3699999992</v>
      </c>
      <c r="O255">
        <v>3931973.2</v>
      </c>
      <c r="P255">
        <v>6916388.4400000004</v>
      </c>
      <c r="Q255">
        <v>5270567.24</v>
      </c>
      <c r="R255">
        <v>5188385.9800000004</v>
      </c>
      <c r="S255">
        <v>6590206.9199999999</v>
      </c>
      <c r="T255">
        <v>4668035.7</v>
      </c>
      <c r="U255">
        <v>6477978.0199999996</v>
      </c>
      <c r="V255">
        <v>7045907.8399999999</v>
      </c>
      <c r="W255">
        <v>8876929.1400000006</v>
      </c>
      <c r="X255">
        <v>5877797.04</v>
      </c>
      <c r="Y255">
        <v>6133250.8399999999</v>
      </c>
      <c r="Z255">
        <v>4804905.24</v>
      </c>
      <c r="AA255">
        <v>10142784.779999999</v>
      </c>
      <c r="AB255">
        <v>32799010.510000002</v>
      </c>
      <c r="AC255">
        <v>10068832.060000001</v>
      </c>
      <c r="AD255">
        <v>7820818.3300000001</v>
      </c>
      <c r="AE255">
        <v>7776106</v>
      </c>
      <c r="AF255">
        <v>6480805.1699999999</v>
      </c>
      <c r="AG255">
        <v>6623091.54</v>
      </c>
      <c r="AH255">
        <v>8615640.9600000009</v>
      </c>
      <c r="AI255">
        <v>3875949.42</v>
      </c>
      <c r="AJ255">
        <v>5557274.8799999999</v>
      </c>
      <c r="AK255">
        <v>5542473.8200000003</v>
      </c>
      <c r="AL255">
        <v>5585282.5199999996</v>
      </c>
      <c r="AM255">
        <v>6062423.1399999997</v>
      </c>
      <c r="AN255">
        <v>5312560.34</v>
      </c>
      <c r="AO255">
        <v>4653177.3</v>
      </c>
      <c r="AP255">
        <v>20300546.140000001</v>
      </c>
      <c r="AQ255">
        <v>9039324.2200000007</v>
      </c>
      <c r="AR255">
        <v>8270061.7999999998</v>
      </c>
      <c r="AS255">
        <v>25597844.859999999</v>
      </c>
      <c r="AT255">
        <v>8763883.4000000004</v>
      </c>
      <c r="AU255">
        <v>11239147.4</v>
      </c>
      <c r="AV255">
        <v>6364366.3399999999</v>
      </c>
      <c r="AW255">
        <v>8915013.9499999993</v>
      </c>
      <c r="AX255">
        <v>12476863.25</v>
      </c>
      <c r="AY255">
        <v>7618847.6399999997</v>
      </c>
      <c r="AZ255">
        <v>9907828.8300000001</v>
      </c>
      <c r="BA255">
        <v>6621544.6399999997</v>
      </c>
      <c r="BB255">
        <v>4415846.28</v>
      </c>
      <c r="BC255">
        <v>3942014.78</v>
      </c>
      <c r="BD255">
        <v>7552125.9800000004</v>
      </c>
      <c r="BE255">
        <v>5759775.6200000001</v>
      </c>
      <c r="BF255">
        <v>6765570.96</v>
      </c>
      <c r="BG255">
        <v>6608196.9400000004</v>
      </c>
      <c r="BH255">
        <v>7395613.5800000001</v>
      </c>
      <c r="BI255">
        <v>9135957.4600000009</v>
      </c>
      <c r="BJ255">
        <v>7300478.3799999999</v>
      </c>
      <c r="BK255">
        <v>9385846.6999999993</v>
      </c>
      <c r="BL255">
        <v>24178855.739999998</v>
      </c>
      <c r="BM255">
        <v>6940252.5599999996</v>
      </c>
      <c r="BN255">
        <v>1345625.74</v>
      </c>
      <c r="BO255">
        <v>4959786.07</v>
      </c>
      <c r="BP255">
        <v>4754616.2</v>
      </c>
      <c r="BQ255">
        <v>3126257.22</v>
      </c>
      <c r="BR255">
        <v>5577432.0800000001</v>
      </c>
      <c r="BS255">
        <v>3674795.3</v>
      </c>
    </row>
    <row r="256" spans="1:71" x14ac:dyDescent="0.25">
      <c r="A256" t="s">
        <v>184</v>
      </c>
      <c r="B256" t="s">
        <v>185</v>
      </c>
      <c r="C256">
        <v>9078198</v>
      </c>
      <c r="D256" t="s">
        <v>245</v>
      </c>
      <c r="E256" t="s">
        <v>244</v>
      </c>
      <c r="F256" t="str">
        <f t="shared" si="10"/>
        <v>FR0013451333MTAH</v>
      </c>
      <c r="G256">
        <f t="shared" si="11"/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</row>
    <row r="257" spans="1:71" x14ac:dyDescent="0.25">
      <c r="A257" t="s">
        <v>186</v>
      </c>
      <c r="B257" t="s">
        <v>187</v>
      </c>
      <c r="C257">
        <v>4168</v>
      </c>
      <c r="D257" t="s">
        <v>6</v>
      </c>
      <c r="E257" t="s">
        <v>232</v>
      </c>
      <c r="F257" t="str">
        <f t="shared" si="10"/>
        <v>FR0013506730XPAR</v>
      </c>
      <c r="G257">
        <f t="shared" si="11"/>
        <v>7826935.9390624994</v>
      </c>
      <c r="H257">
        <v>4881272.13</v>
      </c>
      <c r="I257">
        <v>7371360.4900000002</v>
      </c>
      <c r="J257">
        <v>4906430.68</v>
      </c>
      <c r="K257">
        <v>7374364.6500000004</v>
      </c>
      <c r="L257">
        <v>4374369.8</v>
      </c>
      <c r="M257">
        <v>5503954.7999999998</v>
      </c>
      <c r="N257">
        <v>2968031.66</v>
      </c>
      <c r="O257">
        <v>4070615.82</v>
      </c>
      <c r="P257">
        <v>5760555.3899999997</v>
      </c>
      <c r="Q257">
        <v>4221400.2</v>
      </c>
      <c r="R257">
        <v>5244370.17</v>
      </c>
      <c r="S257">
        <v>4260497.4400000004</v>
      </c>
      <c r="T257">
        <v>3909297.53</v>
      </c>
      <c r="U257">
        <v>6138655.6399999997</v>
      </c>
      <c r="V257">
        <v>4228221.95</v>
      </c>
      <c r="W257">
        <v>3702044.75</v>
      </c>
      <c r="X257">
        <v>4677831.41</v>
      </c>
      <c r="Y257">
        <v>3627748.1</v>
      </c>
      <c r="Z257">
        <v>9114962.6199999992</v>
      </c>
      <c r="AA257">
        <v>6089831.7000000002</v>
      </c>
      <c r="AB257">
        <v>13880871.83</v>
      </c>
      <c r="AC257">
        <v>6680058.1799999997</v>
      </c>
      <c r="AD257">
        <v>4635105.91</v>
      </c>
      <c r="AE257">
        <v>7212409.7599999998</v>
      </c>
      <c r="AF257">
        <v>21880789.289999999</v>
      </c>
      <c r="AG257">
        <v>12590249.67</v>
      </c>
      <c r="AH257">
        <v>7989739.2699999996</v>
      </c>
      <c r="AI257">
        <v>7860861.1500000004</v>
      </c>
      <c r="AJ257">
        <v>9395092.4100000001</v>
      </c>
      <c r="AK257">
        <v>6821868.5300000003</v>
      </c>
      <c r="AL257">
        <v>6884786.7999999998</v>
      </c>
      <c r="AM257">
        <v>23627353.699999999</v>
      </c>
      <c r="AN257">
        <v>20266418.949999999</v>
      </c>
      <c r="AO257">
        <v>11841512.77</v>
      </c>
      <c r="AP257">
        <v>9766726.8300000001</v>
      </c>
      <c r="AQ257">
        <v>10196847.83</v>
      </c>
      <c r="AR257">
        <v>5543388.8600000003</v>
      </c>
      <c r="AS257">
        <v>10498551.01</v>
      </c>
      <c r="AT257">
        <v>7745616.4900000002</v>
      </c>
      <c r="AU257">
        <v>10865926.359999999</v>
      </c>
      <c r="AV257">
        <v>5907439.7699999996</v>
      </c>
      <c r="AW257">
        <v>6551534.7400000002</v>
      </c>
      <c r="AX257">
        <v>6921420.2800000003</v>
      </c>
      <c r="AY257">
        <v>7622556.3399999999</v>
      </c>
      <c r="AZ257">
        <v>9533311.2400000002</v>
      </c>
      <c r="BA257">
        <v>13257931.42</v>
      </c>
      <c r="BB257">
        <v>7199432.5199999996</v>
      </c>
      <c r="BC257">
        <v>8357494.0599999996</v>
      </c>
      <c r="BD257">
        <v>9232440.3599999994</v>
      </c>
      <c r="BE257">
        <v>7927689.5199999996</v>
      </c>
      <c r="BF257">
        <v>8270179.8300000001</v>
      </c>
      <c r="BG257">
        <v>6118819.4400000004</v>
      </c>
      <c r="BH257">
        <v>6952204.6699999999</v>
      </c>
      <c r="BI257">
        <v>10607024.73</v>
      </c>
      <c r="BJ257">
        <v>9998342.4399999995</v>
      </c>
      <c r="BK257">
        <v>8018597.25</v>
      </c>
      <c r="BL257">
        <v>18836107.219999999</v>
      </c>
      <c r="BM257">
        <v>7245388.2800000003</v>
      </c>
      <c r="BN257">
        <v>1532764.35</v>
      </c>
      <c r="BO257">
        <v>4128975.16</v>
      </c>
      <c r="BP257">
        <v>5691469.6100000003</v>
      </c>
      <c r="BQ257">
        <v>1623107.24</v>
      </c>
      <c r="BR257">
        <v>6083081.0999999996</v>
      </c>
      <c r="BS257">
        <v>4696596</v>
      </c>
    </row>
    <row r="258" spans="1:71" x14ac:dyDescent="0.25">
      <c r="A258" t="s">
        <v>186</v>
      </c>
      <c r="B258" t="s">
        <v>187</v>
      </c>
      <c r="C258">
        <v>9078197</v>
      </c>
      <c r="D258" t="s">
        <v>245</v>
      </c>
      <c r="E258" t="s">
        <v>244</v>
      </c>
      <c r="F258" t="str">
        <f t="shared" si="10"/>
        <v>FR0013506730MTAH</v>
      </c>
      <c r="G258">
        <f t="shared" si="11"/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</row>
    <row r="259" spans="1:71" x14ac:dyDescent="0.25">
      <c r="A259" t="s">
        <v>188</v>
      </c>
      <c r="B259" t="s">
        <v>268</v>
      </c>
      <c r="C259">
        <v>6060197</v>
      </c>
      <c r="D259" t="s">
        <v>243</v>
      </c>
      <c r="E259" t="s">
        <v>244</v>
      </c>
      <c r="F259" t="str">
        <f t="shared" si="10"/>
        <v>FR0014000MR3ETLX</v>
      </c>
      <c r="G259">
        <f t="shared" si="11"/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</row>
    <row r="260" spans="1:71" x14ac:dyDescent="0.25">
      <c r="A260" t="s">
        <v>188</v>
      </c>
      <c r="B260" t="s">
        <v>189</v>
      </c>
      <c r="C260">
        <v>36138</v>
      </c>
      <c r="D260" t="s">
        <v>6</v>
      </c>
      <c r="E260" t="s">
        <v>232</v>
      </c>
      <c r="F260" t="str">
        <f t="shared" si="10"/>
        <v>FR0014000MR3XPAR</v>
      </c>
      <c r="G260">
        <f t="shared" si="11"/>
        <v>18660533.152968753</v>
      </c>
      <c r="H260">
        <v>15499652.779999999</v>
      </c>
      <c r="I260">
        <v>20415924.100000001</v>
      </c>
      <c r="J260">
        <v>47322523.859999999</v>
      </c>
      <c r="K260">
        <v>19178102.780000001</v>
      </c>
      <c r="L260">
        <v>18011433.800000001</v>
      </c>
      <c r="M260">
        <v>9478788.3399999999</v>
      </c>
      <c r="N260">
        <v>10958942.52</v>
      </c>
      <c r="O260">
        <v>10092353.199999999</v>
      </c>
      <c r="P260">
        <v>16667564.380000001</v>
      </c>
      <c r="Q260">
        <v>16252465.98</v>
      </c>
      <c r="R260">
        <v>23137352.489999998</v>
      </c>
      <c r="S260">
        <v>14714989.66</v>
      </c>
      <c r="T260">
        <v>17337216.420000002</v>
      </c>
      <c r="U260">
        <v>69095962.030000001</v>
      </c>
      <c r="V260">
        <v>34516297.640000001</v>
      </c>
      <c r="W260">
        <v>18851905.59</v>
      </c>
      <c r="X260">
        <v>19941689.960000001</v>
      </c>
      <c r="Y260">
        <v>17975227.989999998</v>
      </c>
      <c r="Z260">
        <v>16589541.59</v>
      </c>
      <c r="AA260">
        <v>24647247.719999999</v>
      </c>
      <c r="AB260">
        <v>23871976.140000001</v>
      </c>
      <c r="AC260">
        <v>15876389.550000001</v>
      </c>
      <c r="AD260">
        <v>13868157.289999999</v>
      </c>
      <c r="AE260">
        <v>14213561.609999999</v>
      </c>
      <c r="AF260">
        <v>25682438.600000001</v>
      </c>
      <c r="AG260">
        <v>15410453.34</v>
      </c>
      <c r="AH260">
        <v>16018817.16</v>
      </c>
      <c r="AI260">
        <v>15570762.199999999</v>
      </c>
      <c r="AJ260">
        <v>20496211.199999999</v>
      </c>
      <c r="AK260">
        <v>17282969.010000002</v>
      </c>
      <c r="AL260">
        <v>20069964.079999998</v>
      </c>
      <c r="AM260">
        <v>27413318.48</v>
      </c>
      <c r="AN260">
        <v>19686492.66</v>
      </c>
      <c r="AO260">
        <v>15437929.119999999</v>
      </c>
      <c r="AP260">
        <v>21874337.48</v>
      </c>
      <c r="AQ260">
        <v>19451999.75</v>
      </c>
      <c r="AR260">
        <v>20623159.039999999</v>
      </c>
      <c r="AS260">
        <v>28695876.5</v>
      </c>
      <c r="AT260">
        <v>16059810.57</v>
      </c>
      <c r="AU260">
        <v>19539070.829999998</v>
      </c>
      <c r="AV260">
        <v>12090410.380000001</v>
      </c>
      <c r="AW260">
        <v>15169609.52</v>
      </c>
      <c r="AX260">
        <v>14165595.35</v>
      </c>
      <c r="AY260">
        <v>15534556.16</v>
      </c>
      <c r="AZ260">
        <v>18128707.109999999</v>
      </c>
      <c r="BA260">
        <v>17336188.260000002</v>
      </c>
      <c r="BB260">
        <v>19580652.199999999</v>
      </c>
      <c r="BC260">
        <v>15025664.85</v>
      </c>
      <c r="BD260">
        <v>15263843.720000001</v>
      </c>
      <c r="BE260">
        <v>13778817.01</v>
      </c>
      <c r="BF260">
        <v>13864917.369999999</v>
      </c>
      <c r="BG260">
        <v>12489426.289999999</v>
      </c>
      <c r="BH260">
        <v>13011203.68</v>
      </c>
      <c r="BI260">
        <v>15605332.82</v>
      </c>
      <c r="BJ260">
        <v>17890846.460000001</v>
      </c>
      <c r="BK260">
        <v>15278544.029999999</v>
      </c>
      <c r="BL260">
        <v>35635058.909999996</v>
      </c>
      <c r="BM260">
        <v>13352137.369999999</v>
      </c>
      <c r="BN260">
        <v>7884458</v>
      </c>
      <c r="BO260">
        <v>11824995.960000001</v>
      </c>
      <c r="BP260">
        <v>11800969.27</v>
      </c>
      <c r="BQ260">
        <v>10795698.779999999</v>
      </c>
      <c r="BR260">
        <v>13280838.960000001</v>
      </c>
      <c r="BS260">
        <v>17656771.890000001</v>
      </c>
    </row>
    <row r="261" spans="1:71" x14ac:dyDescent="0.25">
      <c r="A261" t="s">
        <v>188</v>
      </c>
      <c r="B261" t="s">
        <v>189</v>
      </c>
      <c r="C261">
        <v>9078196</v>
      </c>
      <c r="D261" t="s">
        <v>245</v>
      </c>
      <c r="E261" t="s">
        <v>244</v>
      </c>
      <c r="F261" t="str">
        <f t="shared" si="10"/>
        <v>FR0014000MR3MTAH</v>
      </c>
      <c r="G261">
        <f t="shared" si="11"/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</row>
    <row r="262" spans="1:71" x14ac:dyDescent="0.25">
      <c r="A262" t="s">
        <v>190</v>
      </c>
      <c r="B262" t="s">
        <v>191</v>
      </c>
      <c r="C262">
        <v>32921</v>
      </c>
      <c r="D262" t="s">
        <v>6</v>
      </c>
      <c r="E262" t="s">
        <v>232</v>
      </c>
      <c r="F262" t="str">
        <f t="shared" si="10"/>
        <v>FR0014003TT8XPAR</v>
      </c>
      <c r="G262">
        <f t="shared" si="11"/>
        <v>49806007.11578124</v>
      </c>
      <c r="H262">
        <v>40419489.899999999</v>
      </c>
      <c r="I262">
        <v>38248651.979999997</v>
      </c>
      <c r="J262">
        <v>27453345.920000002</v>
      </c>
      <c r="K262">
        <v>48600735.060000002</v>
      </c>
      <c r="L262">
        <v>64542823.810000002</v>
      </c>
      <c r="M262">
        <v>28457379.73</v>
      </c>
      <c r="N262">
        <v>31881179.649999999</v>
      </c>
      <c r="O262">
        <v>29418608.91</v>
      </c>
      <c r="P262">
        <v>63878437.780000001</v>
      </c>
      <c r="Q262">
        <v>68065292.650000006</v>
      </c>
      <c r="R262">
        <v>58832234.990000002</v>
      </c>
      <c r="S262">
        <v>41713170.539999999</v>
      </c>
      <c r="T262">
        <v>38181782.770000003</v>
      </c>
      <c r="U262">
        <v>44177427.390000001</v>
      </c>
      <c r="V262">
        <v>45570325.359999999</v>
      </c>
      <c r="W262">
        <v>86681593.420000002</v>
      </c>
      <c r="X262">
        <v>51601995.210000001</v>
      </c>
      <c r="Y262">
        <v>40764364.969999999</v>
      </c>
      <c r="Z262">
        <v>60453890.399999999</v>
      </c>
      <c r="AA262">
        <v>50042635.75</v>
      </c>
      <c r="AB262">
        <v>90489307.200000003</v>
      </c>
      <c r="AC262">
        <v>46984327.520000003</v>
      </c>
      <c r="AD262">
        <v>34781422.640000001</v>
      </c>
      <c r="AE262">
        <v>25928697.629999999</v>
      </c>
      <c r="AF262">
        <v>61249918.539999999</v>
      </c>
      <c r="AG262">
        <v>74498374.019999996</v>
      </c>
      <c r="AH262">
        <v>64282124.789999999</v>
      </c>
      <c r="AI262">
        <v>35877811.619999997</v>
      </c>
      <c r="AJ262">
        <v>46693115.409999996</v>
      </c>
      <c r="AK262">
        <v>38563559.590000004</v>
      </c>
      <c r="AL262">
        <v>42865995.740000002</v>
      </c>
      <c r="AM262">
        <v>48239879.060000002</v>
      </c>
      <c r="AN262">
        <v>28370018.43</v>
      </c>
      <c r="AO262">
        <v>30883878.48</v>
      </c>
      <c r="AP262">
        <v>37551338.909999996</v>
      </c>
      <c r="AQ262">
        <v>27159980.829999998</v>
      </c>
      <c r="AR262">
        <v>35645755.049999997</v>
      </c>
      <c r="AS262">
        <v>143827897.75999999</v>
      </c>
      <c r="AT262">
        <v>30072724.399999999</v>
      </c>
      <c r="AU262">
        <v>27424243.120000001</v>
      </c>
      <c r="AV262">
        <v>30839260.559999999</v>
      </c>
      <c r="AW262">
        <v>44358547.609999999</v>
      </c>
      <c r="AX262">
        <v>71160648.469999999</v>
      </c>
      <c r="AY262">
        <v>52190735.520000003</v>
      </c>
      <c r="AZ262">
        <v>58817435.600000001</v>
      </c>
      <c r="BA262">
        <v>54067124.219999999</v>
      </c>
      <c r="BB262">
        <v>73276967.239999995</v>
      </c>
      <c r="BC262">
        <v>73669458.969999999</v>
      </c>
      <c r="BD262">
        <v>62158264.700000003</v>
      </c>
      <c r="BE262">
        <v>57669232.869999997</v>
      </c>
      <c r="BF262">
        <v>62401057.659999996</v>
      </c>
      <c r="BG262">
        <v>69808767.900000006</v>
      </c>
      <c r="BH262">
        <v>65973652.270000003</v>
      </c>
      <c r="BI262">
        <v>62930251.890000001</v>
      </c>
      <c r="BJ262">
        <v>56104081.310000002</v>
      </c>
      <c r="BK262">
        <v>61303057.780000001</v>
      </c>
      <c r="BL262">
        <v>124890952.73</v>
      </c>
      <c r="BM262">
        <v>37899313.670000002</v>
      </c>
      <c r="BN262">
        <v>10462492.689999999</v>
      </c>
      <c r="BO262">
        <v>22233200.109999999</v>
      </c>
      <c r="BP262">
        <v>27635094.23</v>
      </c>
      <c r="BQ262">
        <v>15913230.76</v>
      </c>
      <c r="BR262">
        <v>29706251.809999999</v>
      </c>
      <c r="BS262">
        <v>31739637.91</v>
      </c>
    </row>
    <row r="263" spans="1:71" x14ac:dyDescent="0.25">
      <c r="A263" t="s">
        <v>190</v>
      </c>
      <c r="B263" t="s">
        <v>191</v>
      </c>
      <c r="C263">
        <v>6060196</v>
      </c>
      <c r="D263" t="s">
        <v>243</v>
      </c>
      <c r="E263" t="s">
        <v>244</v>
      </c>
      <c r="F263" t="str">
        <f t="shared" si="10"/>
        <v>FR0014003TT8ETLX</v>
      </c>
      <c r="G263">
        <f t="shared" si="11"/>
        <v>494.27499999999998</v>
      </c>
      <c r="H263">
        <v>0</v>
      </c>
      <c r="I263">
        <v>2828.8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5511.3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6556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4881</v>
      </c>
      <c r="AS263">
        <v>4876.5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6980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</row>
    <row r="264" spans="1:71" x14ac:dyDescent="0.25">
      <c r="A264" t="s">
        <v>190</v>
      </c>
      <c r="B264" t="s">
        <v>191</v>
      </c>
      <c r="C264">
        <v>9078195</v>
      </c>
      <c r="D264" t="s">
        <v>245</v>
      </c>
      <c r="E264" t="s">
        <v>244</v>
      </c>
      <c r="F264" t="str">
        <f t="shared" si="10"/>
        <v>FR0014003TT8MTAH</v>
      </c>
      <c r="G264">
        <f t="shared" si="11"/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</row>
    <row r="265" spans="1:71" x14ac:dyDescent="0.25">
      <c r="A265" t="s">
        <v>192</v>
      </c>
      <c r="B265" t="s">
        <v>193</v>
      </c>
      <c r="C265">
        <v>4269</v>
      </c>
      <c r="D265" t="s">
        <v>6</v>
      </c>
      <c r="E265" t="s">
        <v>232</v>
      </c>
      <c r="F265" t="str">
        <f t="shared" si="10"/>
        <v>FR0014004L86XPAR</v>
      </c>
      <c r="G265">
        <f t="shared" si="11"/>
        <v>6567780.6593750026</v>
      </c>
      <c r="H265">
        <v>4428037.9000000004</v>
      </c>
      <c r="I265">
        <v>5765340.5999999996</v>
      </c>
      <c r="J265">
        <v>4779346.7</v>
      </c>
      <c r="K265">
        <v>3828710.6</v>
      </c>
      <c r="L265">
        <v>7115981.5999999996</v>
      </c>
      <c r="M265">
        <v>8332561.6500000004</v>
      </c>
      <c r="N265">
        <v>6110747</v>
      </c>
      <c r="O265">
        <v>3547666.4</v>
      </c>
      <c r="P265">
        <v>9179105.3000000007</v>
      </c>
      <c r="Q265">
        <v>6968610.7999999998</v>
      </c>
      <c r="R265">
        <v>4933908.3</v>
      </c>
      <c r="S265">
        <v>4857528.3</v>
      </c>
      <c r="T265">
        <v>6094722.5999999996</v>
      </c>
      <c r="U265">
        <v>6336280.4000000004</v>
      </c>
      <c r="V265">
        <v>7300207.4000000004</v>
      </c>
      <c r="W265">
        <v>6685856</v>
      </c>
      <c r="X265">
        <v>7016551</v>
      </c>
      <c r="Y265">
        <v>6050736.2000000002</v>
      </c>
      <c r="Z265">
        <v>6052816.5</v>
      </c>
      <c r="AA265">
        <v>7223653.5</v>
      </c>
      <c r="AB265">
        <v>9490847.1999999993</v>
      </c>
      <c r="AC265">
        <v>4114041.45</v>
      </c>
      <c r="AD265">
        <v>7201413.9000000004</v>
      </c>
      <c r="AE265">
        <v>15039691.1</v>
      </c>
      <c r="AF265">
        <v>10049711.699999999</v>
      </c>
      <c r="AG265">
        <v>10969743.9</v>
      </c>
      <c r="AH265">
        <v>6075362.4000000004</v>
      </c>
      <c r="AI265">
        <v>5467427.7999999998</v>
      </c>
      <c r="AJ265">
        <v>7289472.5999999996</v>
      </c>
      <c r="AK265">
        <v>7077386.9500000002</v>
      </c>
      <c r="AL265">
        <v>6043186.2000000002</v>
      </c>
      <c r="AM265">
        <v>6152849</v>
      </c>
      <c r="AN265">
        <v>3580022.7</v>
      </c>
      <c r="AO265">
        <v>12233578.300000001</v>
      </c>
      <c r="AP265">
        <v>5136225.3</v>
      </c>
      <c r="AQ265">
        <v>5761479.4000000004</v>
      </c>
      <c r="AR265">
        <v>9908524.1999999993</v>
      </c>
      <c r="AS265">
        <v>17235149.699999999</v>
      </c>
      <c r="AT265">
        <v>4435450.5</v>
      </c>
      <c r="AU265">
        <v>5152750.8</v>
      </c>
      <c r="AV265">
        <v>3602763.35</v>
      </c>
      <c r="AW265">
        <v>8513301.0500000007</v>
      </c>
      <c r="AX265">
        <v>8300500.8499999996</v>
      </c>
      <c r="AY265">
        <v>8397205</v>
      </c>
      <c r="AZ265">
        <v>6469839.2999999998</v>
      </c>
      <c r="BA265">
        <v>8758899.0999999996</v>
      </c>
      <c r="BB265">
        <v>6035098.4000000004</v>
      </c>
      <c r="BC265">
        <v>6412952.4000000004</v>
      </c>
      <c r="BD265">
        <v>4934999.5999999996</v>
      </c>
      <c r="BE265">
        <v>8914760.6999999993</v>
      </c>
      <c r="BF265">
        <v>5644499.0999999996</v>
      </c>
      <c r="BG265">
        <v>4353952.5999999996</v>
      </c>
      <c r="BH265">
        <v>4579318.0999999996</v>
      </c>
      <c r="BI265">
        <v>7314649.2999999998</v>
      </c>
      <c r="BJ265">
        <v>5191380</v>
      </c>
      <c r="BK265">
        <v>6340370.5999999996</v>
      </c>
      <c r="BL265">
        <v>9613220.4000000004</v>
      </c>
      <c r="BM265">
        <v>3147594.5</v>
      </c>
      <c r="BN265">
        <v>1365962.2</v>
      </c>
      <c r="BO265">
        <v>2883082.6</v>
      </c>
      <c r="BP265">
        <v>6522032.4000000004</v>
      </c>
      <c r="BQ265">
        <v>2152892.7000000002</v>
      </c>
      <c r="BR265">
        <v>4213540.3</v>
      </c>
      <c r="BS265">
        <v>5652463.7999999998</v>
      </c>
    </row>
    <row r="266" spans="1:71" x14ac:dyDescent="0.25">
      <c r="A266" t="s">
        <v>192</v>
      </c>
      <c r="B266" t="s">
        <v>193</v>
      </c>
      <c r="C266">
        <v>9078227</v>
      </c>
      <c r="D266" t="s">
        <v>245</v>
      </c>
      <c r="E266" t="s">
        <v>244</v>
      </c>
      <c r="F266" t="str">
        <f t="shared" si="10"/>
        <v>FR0014004L86MTAH</v>
      </c>
      <c r="G266">
        <f t="shared" si="11"/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</row>
    <row r="267" spans="1:71" x14ac:dyDescent="0.25">
      <c r="A267" t="s">
        <v>194</v>
      </c>
      <c r="B267" t="s">
        <v>195</v>
      </c>
      <c r="C267">
        <v>4234</v>
      </c>
      <c r="D267" t="s">
        <v>6</v>
      </c>
      <c r="E267" t="s">
        <v>232</v>
      </c>
      <c r="F267" t="str">
        <f t="shared" si="10"/>
        <v>FR001400AJ45XPAR</v>
      </c>
      <c r="G267">
        <f t="shared" si="11"/>
        <v>45578152.043437503</v>
      </c>
      <c r="H267">
        <v>64115040.729999997</v>
      </c>
      <c r="I267">
        <v>42283538.740000002</v>
      </c>
      <c r="J267">
        <v>72997389.200000003</v>
      </c>
      <c r="K267">
        <v>49612952.979999997</v>
      </c>
      <c r="L267">
        <v>82595348.480000004</v>
      </c>
      <c r="M267">
        <v>42192125.969999999</v>
      </c>
      <c r="N267">
        <v>46523857.359999999</v>
      </c>
      <c r="O267">
        <v>36480613.520000003</v>
      </c>
      <c r="P267">
        <v>55350065.939999998</v>
      </c>
      <c r="Q267">
        <v>35187363.229999997</v>
      </c>
      <c r="R267">
        <v>35748115.25</v>
      </c>
      <c r="S267">
        <v>45434247.060000002</v>
      </c>
      <c r="T267">
        <v>42386799.210000001</v>
      </c>
      <c r="U267">
        <v>39790354.560000002</v>
      </c>
      <c r="V267">
        <v>39478817.439999998</v>
      </c>
      <c r="W267">
        <v>128972193.55</v>
      </c>
      <c r="X267">
        <v>57971983.5</v>
      </c>
      <c r="Y267">
        <v>35648844.200000003</v>
      </c>
      <c r="Z267">
        <v>39249903.149999999</v>
      </c>
      <c r="AA267">
        <v>37953788.719999999</v>
      </c>
      <c r="AB267">
        <v>43694600.240000002</v>
      </c>
      <c r="AC267">
        <v>23359486.350000001</v>
      </c>
      <c r="AD267">
        <v>35589232.829999998</v>
      </c>
      <c r="AE267">
        <v>32614148.16</v>
      </c>
      <c r="AF267">
        <v>38556495.75</v>
      </c>
      <c r="AG267">
        <v>46920191.640000001</v>
      </c>
      <c r="AH267">
        <v>49904717.079999998</v>
      </c>
      <c r="AI267">
        <v>48046898.670000002</v>
      </c>
      <c r="AJ267">
        <v>42340873.82</v>
      </c>
      <c r="AK267">
        <v>43897388.719999999</v>
      </c>
      <c r="AL267">
        <v>52520967.020000003</v>
      </c>
      <c r="AM267">
        <v>58481613.770000003</v>
      </c>
      <c r="AN267">
        <v>29853919.190000001</v>
      </c>
      <c r="AO267">
        <v>39231859.920000002</v>
      </c>
      <c r="AP267">
        <v>35688846.729999997</v>
      </c>
      <c r="AQ267">
        <v>41199820.259999998</v>
      </c>
      <c r="AR267">
        <v>39647228.079999998</v>
      </c>
      <c r="AS267">
        <v>113191900.78</v>
      </c>
      <c r="AT267">
        <v>37645366.93</v>
      </c>
      <c r="AU267">
        <v>31142305.02</v>
      </c>
      <c r="AV267">
        <v>24719780.59</v>
      </c>
      <c r="AW267">
        <v>37819223.539999999</v>
      </c>
      <c r="AX267">
        <v>51065166.799999997</v>
      </c>
      <c r="AY267">
        <v>36830061.409999996</v>
      </c>
      <c r="AZ267">
        <v>38653101.57</v>
      </c>
      <c r="BA267">
        <v>46652354.950000003</v>
      </c>
      <c r="BB267">
        <v>46382786.049999997</v>
      </c>
      <c r="BC267">
        <v>38500110.280000001</v>
      </c>
      <c r="BD267">
        <v>48047306.340000004</v>
      </c>
      <c r="BE267">
        <v>32227046.57</v>
      </c>
      <c r="BF267">
        <v>43209128.25</v>
      </c>
      <c r="BG267">
        <v>40281465.399999999</v>
      </c>
      <c r="BH267">
        <v>43741761.649999999</v>
      </c>
      <c r="BI267">
        <v>50460188.18</v>
      </c>
      <c r="BJ267">
        <v>59757181.609999999</v>
      </c>
      <c r="BK267">
        <v>54510412.969999999</v>
      </c>
      <c r="BL267">
        <v>99567483.390000001</v>
      </c>
      <c r="BM267">
        <v>28694292.449999999</v>
      </c>
      <c r="BN267">
        <v>10809312.08</v>
      </c>
      <c r="BO267">
        <v>29933078.969999999</v>
      </c>
      <c r="BP267">
        <v>25967747.739999998</v>
      </c>
      <c r="BQ267">
        <v>43927618.609999999</v>
      </c>
      <c r="BR267">
        <v>29140524.329999998</v>
      </c>
      <c r="BS267">
        <v>42603393.299999997</v>
      </c>
    </row>
    <row r="268" spans="1:71" x14ac:dyDescent="0.25">
      <c r="A268" t="s">
        <v>215</v>
      </c>
      <c r="B268" t="s">
        <v>5</v>
      </c>
      <c r="C268">
        <v>272</v>
      </c>
      <c r="D268" t="s">
        <v>6</v>
      </c>
      <c r="E268" t="s">
        <v>232</v>
      </c>
      <c r="F268" t="str">
        <f t="shared" si="10"/>
        <v>FR001400J770XPAR</v>
      </c>
      <c r="G268">
        <f t="shared" si="11"/>
        <v>10977421.250312502</v>
      </c>
      <c r="H268">
        <v>17937641.079999998</v>
      </c>
      <c r="I268">
        <v>15874758.439999999</v>
      </c>
      <c r="J268">
        <v>11329896.68</v>
      </c>
      <c r="K268">
        <v>11423177.91</v>
      </c>
      <c r="L268">
        <v>9640883.0299999993</v>
      </c>
      <c r="M268">
        <v>12275582.560000001</v>
      </c>
      <c r="N268">
        <v>10244126.15</v>
      </c>
      <c r="O268">
        <v>7860790.0099999998</v>
      </c>
      <c r="P268">
        <v>17545764.969999999</v>
      </c>
      <c r="Q268">
        <v>7392702.79</v>
      </c>
      <c r="R268">
        <v>14256685.35</v>
      </c>
      <c r="S268">
        <v>9390405.0500000007</v>
      </c>
      <c r="T268">
        <v>8971065.5500000007</v>
      </c>
      <c r="U268">
        <v>9109801.3300000001</v>
      </c>
      <c r="V268">
        <v>4086988.85</v>
      </c>
      <c r="W268">
        <v>9487021.8599999994</v>
      </c>
      <c r="X268">
        <v>4385165</v>
      </c>
      <c r="Y268">
        <v>20208833.43</v>
      </c>
      <c r="Z268">
        <v>9110791.7599999998</v>
      </c>
      <c r="AA268">
        <v>5857854.46</v>
      </c>
      <c r="AB268">
        <v>7615289.7300000004</v>
      </c>
      <c r="AC268">
        <v>12979439.890000001</v>
      </c>
      <c r="AD268">
        <v>6841569.5599999996</v>
      </c>
      <c r="AE268">
        <v>6776203.9699999997</v>
      </c>
      <c r="AF268">
        <v>11396940.630000001</v>
      </c>
      <c r="AG268">
        <v>43952662.490000002</v>
      </c>
      <c r="AH268">
        <v>21971267.550000001</v>
      </c>
      <c r="AI268">
        <v>9454243.1300000008</v>
      </c>
      <c r="AJ268">
        <v>14115666.560000001</v>
      </c>
      <c r="AK268">
        <v>6828933.2800000003</v>
      </c>
      <c r="AL268">
        <v>9287071.0899999999</v>
      </c>
      <c r="AM268">
        <v>9147458.6099999994</v>
      </c>
      <c r="AN268">
        <v>6292562.9299999997</v>
      </c>
      <c r="AO268">
        <v>13544530.67</v>
      </c>
      <c r="AP268">
        <v>10427479.810000001</v>
      </c>
      <c r="AQ268">
        <v>11319642.77</v>
      </c>
      <c r="AR268">
        <v>6564155.3799999999</v>
      </c>
      <c r="AS268">
        <v>14326049.310000001</v>
      </c>
      <c r="AT268">
        <v>6614400.71</v>
      </c>
      <c r="AU268">
        <v>10187697.119999999</v>
      </c>
      <c r="AV268">
        <v>8441302.1999999993</v>
      </c>
      <c r="AW268">
        <v>3768389.15</v>
      </c>
      <c r="AX268">
        <v>9317373.6699999999</v>
      </c>
      <c r="AY268">
        <v>4903191.33</v>
      </c>
      <c r="AZ268">
        <v>8278667.2199999997</v>
      </c>
      <c r="BA268">
        <v>19060219.52</v>
      </c>
      <c r="BB268">
        <v>16253842.789999999</v>
      </c>
      <c r="BC268">
        <v>9350896.3000000007</v>
      </c>
      <c r="BD268">
        <v>7406711.29</v>
      </c>
      <c r="BE268">
        <v>5773418.2199999997</v>
      </c>
      <c r="BF268">
        <v>15892984.1</v>
      </c>
      <c r="BG268">
        <v>9428152.4700000007</v>
      </c>
      <c r="BH268">
        <v>8985480.3699999992</v>
      </c>
      <c r="BI268">
        <v>9078112.7100000009</v>
      </c>
      <c r="BJ268">
        <v>20533252</v>
      </c>
      <c r="BK268">
        <v>11211641.25</v>
      </c>
      <c r="BL268">
        <v>17729694.829999998</v>
      </c>
      <c r="BM268">
        <v>5424726.8099999996</v>
      </c>
      <c r="BN268">
        <v>2780528.29</v>
      </c>
      <c r="BO268">
        <v>7820789.2999999998</v>
      </c>
      <c r="BP268">
        <v>5567651.0700000003</v>
      </c>
      <c r="BQ268">
        <v>2507394.2599999998</v>
      </c>
      <c r="BR268">
        <v>7766578.6900000004</v>
      </c>
      <c r="BS268">
        <v>29240760.73</v>
      </c>
    </row>
    <row r="269" spans="1:71" x14ac:dyDescent="0.25">
      <c r="A269" t="s">
        <v>215</v>
      </c>
      <c r="B269" t="s">
        <v>269</v>
      </c>
      <c r="C269">
        <v>3062062</v>
      </c>
      <c r="D269" t="s">
        <v>248</v>
      </c>
      <c r="E269" t="s">
        <v>244</v>
      </c>
      <c r="F269" t="str">
        <f t="shared" si="10"/>
        <v>FR001400J770BGEM</v>
      </c>
      <c r="G269">
        <f t="shared" si="11"/>
        <v>108790.34578124995</v>
      </c>
      <c r="H269">
        <v>173684.25</v>
      </c>
      <c r="I269">
        <v>124597.47</v>
      </c>
      <c r="J269">
        <v>5091.9399999999996</v>
      </c>
      <c r="K269">
        <v>99059.96</v>
      </c>
      <c r="L269">
        <v>65946.63</v>
      </c>
      <c r="M269">
        <v>149042.66</v>
      </c>
      <c r="N269">
        <v>25265.360000000001</v>
      </c>
      <c r="O269">
        <v>38336.79</v>
      </c>
      <c r="P269">
        <v>151675.18</v>
      </c>
      <c r="Q269">
        <v>243022.42</v>
      </c>
      <c r="R269">
        <v>144046.32</v>
      </c>
      <c r="S269">
        <v>80022.490000000005</v>
      </c>
      <c r="T269">
        <v>63197.87</v>
      </c>
      <c r="U269">
        <v>29060.27</v>
      </c>
      <c r="V269">
        <v>19125.66</v>
      </c>
      <c r="W269">
        <v>24369.279999999999</v>
      </c>
      <c r="X269">
        <v>140163.34</v>
      </c>
      <c r="Y269">
        <v>584713.38</v>
      </c>
      <c r="Z269">
        <v>76225.039999999994</v>
      </c>
      <c r="AA269">
        <v>14101.54</v>
      </c>
      <c r="AB269">
        <v>9156.82</v>
      </c>
      <c r="AC269">
        <v>39110.550000000003</v>
      </c>
      <c r="AD269">
        <v>11045.74</v>
      </c>
      <c r="AE269">
        <v>34237.07</v>
      </c>
      <c r="AF269">
        <v>32780.86</v>
      </c>
      <c r="AG269">
        <v>587139.35</v>
      </c>
      <c r="AH269">
        <v>407173.82</v>
      </c>
      <c r="AI269">
        <v>82497.09</v>
      </c>
      <c r="AJ269">
        <v>263436.27</v>
      </c>
      <c r="AK269">
        <v>81124.84</v>
      </c>
      <c r="AL269">
        <v>43272.59</v>
      </c>
      <c r="AM269">
        <v>57756.67</v>
      </c>
      <c r="AN269">
        <v>51139</v>
      </c>
      <c r="AO269">
        <v>241880.97</v>
      </c>
      <c r="AP269">
        <v>64395.05</v>
      </c>
      <c r="AQ269">
        <v>58688.41</v>
      </c>
      <c r="AR269">
        <v>40710.35</v>
      </c>
      <c r="AS269">
        <v>39366.94</v>
      </c>
      <c r="AT269">
        <v>47489.22</v>
      </c>
      <c r="AU269">
        <v>74992.570000000007</v>
      </c>
      <c r="AV269">
        <v>26682.3</v>
      </c>
      <c r="AW269">
        <v>34359.199999999997</v>
      </c>
      <c r="AX269">
        <v>183274.04</v>
      </c>
      <c r="AY269">
        <v>76627.33</v>
      </c>
      <c r="AZ269">
        <v>55566.78</v>
      </c>
      <c r="BA269">
        <v>118152.93</v>
      </c>
      <c r="BB269">
        <v>129754.47</v>
      </c>
      <c r="BC269">
        <v>82449.48</v>
      </c>
      <c r="BD269">
        <v>98166.96</v>
      </c>
      <c r="BE269">
        <v>14571.37</v>
      </c>
      <c r="BF269">
        <v>192497.76</v>
      </c>
      <c r="BG269">
        <v>47488.54</v>
      </c>
      <c r="BH269">
        <v>45758.39</v>
      </c>
      <c r="BI269">
        <v>73418.02</v>
      </c>
      <c r="BJ269">
        <v>344181.6</v>
      </c>
      <c r="BK269">
        <v>42575.35</v>
      </c>
      <c r="BL269">
        <v>295762.93</v>
      </c>
      <c r="BM269">
        <v>3336.6</v>
      </c>
      <c r="BN269">
        <v>0</v>
      </c>
      <c r="BO269">
        <v>236514.42</v>
      </c>
      <c r="BP269">
        <v>174131.52</v>
      </c>
      <c r="BQ269">
        <v>0</v>
      </c>
      <c r="BR269">
        <v>20989.33</v>
      </c>
      <c r="BS269">
        <v>148180.78</v>
      </c>
    </row>
    <row r="270" spans="1:71" x14ac:dyDescent="0.25">
      <c r="A270" t="s">
        <v>215</v>
      </c>
      <c r="B270" t="s">
        <v>269</v>
      </c>
      <c r="C270">
        <v>3077388</v>
      </c>
      <c r="D270" t="s">
        <v>245</v>
      </c>
      <c r="E270" t="s">
        <v>244</v>
      </c>
      <c r="F270" t="str">
        <f t="shared" si="10"/>
        <v>FR001400J770MTAH</v>
      </c>
      <c r="G270">
        <f t="shared" si="11"/>
        <v>46.306562499999998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1506.69</v>
      </c>
      <c r="AI270">
        <v>0</v>
      </c>
      <c r="AJ270">
        <v>0</v>
      </c>
      <c r="AK270">
        <v>7.28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1449.65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</row>
    <row r="271" spans="1:71" x14ac:dyDescent="0.25">
      <c r="A271" t="s">
        <v>215</v>
      </c>
      <c r="B271" t="s">
        <v>269</v>
      </c>
      <c r="C271">
        <v>9013976</v>
      </c>
      <c r="D271" t="s">
        <v>243</v>
      </c>
      <c r="E271" t="s">
        <v>244</v>
      </c>
      <c r="F271" t="str">
        <f t="shared" si="10"/>
        <v>FR001400J770ETLX</v>
      </c>
      <c r="G271">
        <f t="shared" si="11"/>
        <v>4007.3912500000001</v>
      </c>
      <c r="H271">
        <v>0</v>
      </c>
      <c r="I271">
        <v>815</v>
      </c>
      <c r="J271">
        <v>0</v>
      </c>
      <c r="K271">
        <v>1222.5</v>
      </c>
      <c r="L271">
        <v>2548.8000000000002</v>
      </c>
      <c r="M271">
        <v>4265</v>
      </c>
      <c r="N271">
        <v>2619.5500000000002</v>
      </c>
      <c r="O271">
        <v>0</v>
      </c>
      <c r="P271">
        <v>4126.38</v>
      </c>
      <c r="Q271">
        <v>4270</v>
      </c>
      <c r="R271">
        <v>13465.6</v>
      </c>
      <c r="S271">
        <v>4723.6000000000004</v>
      </c>
      <c r="T271">
        <v>0</v>
      </c>
      <c r="U271">
        <v>0</v>
      </c>
      <c r="V271">
        <v>10972.16</v>
      </c>
      <c r="W271">
        <v>363.2</v>
      </c>
      <c r="X271">
        <v>364.48</v>
      </c>
      <c r="Y271">
        <v>4815</v>
      </c>
      <c r="Z271">
        <v>2799</v>
      </c>
      <c r="AA271">
        <v>9200</v>
      </c>
      <c r="AB271">
        <v>7838.04</v>
      </c>
      <c r="AC271">
        <v>0</v>
      </c>
      <c r="AD271">
        <v>0</v>
      </c>
      <c r="AE271">
        <v>0</v>
      </c>
      <c r="AF271">
        <v>7398.16</v>
      </c>
      <c r="AG271">
        <v>122131.1</v>
      </c>
      <c r="AH271">
        <v>4981.3</v>
      </c>
      <c r="AI271">
        <v>78.040000000000006</v>
      </c>
      <c r="AJ271">
        <v>6788.17</v>
      </c>
      <c r="AK271">
        <v>0</v>
      </c>
      <c r="AL271">
        <v>754</v>
      </c>
      <c r="AM271">
        <v>0</v>
      </c>
      <c r="AN271">
        <v>464.21</v>
      </c>
      <c r="AO271">
        <v>1104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3460.2</v>
      </c>
      <c r="AV271">
        <v>732</v>
      </c>
      <c r="AW271">
        <v>0</v>
      </c>
      <c r="AX271">
        <v>0</v>
      </c>
      <c r="AY271">
        <v>0</v>
      </c>
      <c r="AZ271">
        <v>917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2371.8000000000002</v>
      </c>
      <c r="BG271">
        <v>119.94</v>
      </c>
      <c r="BH271">
        <v>743.35</v>
      </c>
      <c r="BI271">
        <v>0</v>
      </c>
      <c r="BJ271">
        <v>5760</v>
      </c>
      <c r="BK271">
        <v>18632.099999999999</v>
      </c>
      <c r="BL271">
        <v>0</v>
      </c>
      <c r="BM271">
        <v>0</v>
      </c>
      <c r="BN271">
        <v>0</v>
      </c>
      <c r="BO271">
        <v>975.36</v>
      </c>
      <c r="BP271">
        <v>805</v>
      </c>
      <c r="BQ271">
        <v>0</v>
      </c>
      <c r="BR271">
        <v>0</v>
      </c>
      <c r="BS271">
        <v>3849</v>
      </c>
    </row>
    <row r="272" spans="1:71" x14ac:dyDescent="0.25">
      <c r="A272" t="s">
        <v>234</v>
      </c>
      <c r="B272" t="s">
        <v>270</v>
      </c>
      <c r="C272">
        <v>77042</v>
      </c>
      <c r="D272" t="s">
        <v>6</v>
      </c>
      <c r="E272" t="s">
        <v>232</v>
      </c>
      <c r="F272" t="str">
        <f t="shared" si="10"/>
        <v>FR001400NLM4XPAR</v>
      </c>
      <c r="G272">
        <f t="shared" si="11"/>
        <v>2220250.2748437501</v>
      </c>
      <c r="H272">
        <v>2570977.33</v>
      </c>
      <c r="I272">
        <v>7900417.96</v>
      </c>
      <c r="J272">
        <v>2344034.17</v>
      </c>
      <c r="K272">
        <v>2766446.31</v>
      </c>
      <c r="L272">
        <v>2187004.33</v>
      </c>
      <c r="M272">
        <v>1402545.49</v>
      </c>
      <c r="N272">
        <v>882239.55</v>
      </c>
      <c r="O272">
        <v>1772746.98</v>
      </c>
      <c r="P272">
        <v>1419537.95</v>
      </c>
      <c r="Q272">
        <v>2215125.0299999998</v>
      </c>
      <c r="R272">
        <v>1781906.12</v>
      </c>
      <c r="S272">
        <v>1024093.44</v>
      </c>
      <c r="T272">
        <v>1490416.75</v>
      </c>
      <c r="U272">
        <v>893856.53</v>
      </c>
      <c r="V272">
        <v>1287151.27</v>
      </c>
      <c r="W272">
        <v>1020509.37</v>
      </c>
      <c r="X272">
        <v>2028062.97</v>
      </c>
      <c r="Y272">
        <v>1975658.54</v>
      </c>
      <c r="Z272">
        <v>3847627.02</v>
      </c>
      <c r="AA272">
        <v>6379746</v>
      </c>
      <c r="AB272">
        <v>2673200.84</v>
      </c>
      <c r="AC272">
        <v>1634517.74</v>
      </c>
      <c r="AD272">
        <v>6162658.1299999999</v>
      </c>
      <c r="AE272">
        <v>2097627.9700000002</v>
      </c>
      <c r="AF272">
        <v>2473522.4300000002</v>
      </c>
      <c r="AG272">
        <v>3237006.8</v>
      </c>
      <c r="AH272">
        <v>2177088.85</v>
      </c>
      <c r="AI272">
        <v>1017598.82</v>
      </c>
      <c r="AJ272">
        <v>2052179.82</v>
      </c>
      <c r="AK272">
        <v>881238.97</v>
      </c>
      <c r="AL272">
        <v>2552223.08</v>
      </c>
      <c r="AM272">
        <v>2230796.38</v>
      </c>
      <c r="AN272">
        <v>1494940.86</v>
      </c>
      <c r="AO272">
        <v>1252463.79</v>
      </c>
      <c r="AP272">
        <v>2107794.2200000002</v>
      </c>
      <c r="AQ272">
        <v>2643058.34</v>
      </c>
      <c r="AR272">
        <v>1407858.18</v>
      </c>
      <c r="AS272">
        <v>2693055.54</v>
      </c>
      <c r="AT272">
        <v>1104844.8600000001</v>
      </c>
      <c r="AU272">
        <v>1074698.81</v>
      </c>
      <c r="AV272">
        <v>2193406.8199999998</v>
      </c>
      <c r="AW272">
        <v>1119481.04</v>
      </c>
      <c r="AX272">
        <v>1234079.27</v>
      </c>
      <c r="AY272">
        <v>1035907.52</v>
      </c>
      <c r="AZ272">
        <v>1048581.67</v>
      </c>
      <c r="BA272">
        <v>1676929.07</v>
      </c>
      <c r="BB272">
        <v>992115.37</v>
      </c>
      <c r="BC272">
        <v>2319882.5699999998</v>
      </c>
      <c r="BD272">
        <v>1086000.67</v>
      </c>
      <c r="BE272">
        <v>533495.34</v>
      </c>
      <c r="BF272">
        <v>1849571.97</v>
      </c>
      <c r="BG272">
        <v>2629696.5299999998</v>
      </c>
      <c r="BH272">
        <v>4326486.59</v>
      </c>
      <c r="BI272">
        <v>6162393.0300000003</v>
      </c>
      <c r="BJ272">
        <v>2871782.13</v>
      </c>
      <c r="BK272">
        <v>3185665.42</v>
      </c>
      <c r="BL272">
        <v>3267931.35</v>
      </c>
      <c r="BM272">
        <v>2536730.09</v>
      </c>
      <c r="BN272">
        <v>745184.61</v>
      </c>
      <c r="BO272">
        <v>3895361.57</v>
      </c>
      <c r="BP272">
        <v>1140201.54</v>
      </c>
      <c r="BQ272">
        <v>2078221.09</v>
      </c>
      <c r="BR272">
        <v>2386253.36</v>
      </c>
      <c r="BS272">
        <v>1622181.43</v>
      </c>
    </row>
    <row r="273" spans="1:71" x14ac:dyDescent="0.25">
      <c r="A273" t="s">
        <v>234</v>
      </c>
      <c r="B273" t="s">
        <v>270</v>
      </c>
      <c r="C273">
        <v>9078160</v>
      </c>
      <c r="D273" t="s">
        <v>245</v>
      </c>
      <c r="E273" t="s">
        <v>244</v>
      </c>
      <c r="F273" t="str">
        <f t="shared" si="10"/>
        <v>FR001400NLM4MTAH</v>
      </c>
      <c r="G273">
        <f t="shared" si="11"/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</row>
    <row r="274" spans="1:71" x14ac:dyDescent="0.25">
      <c r="A274" t="s">
        <v>238</v>
      </c>
      <c r="B274" t="s">
        <v>271</v>
      </c>
      <c r="C274">
        <v>9251978</v>
      </c>
      <c r="D274" t="s">
        <v>6</v>
      </c>
      <c r="E274" t="s">
        <v>232</v>
      </c>
      <c r="F274" t="str">
        <f t="shared" si="10"/>
        <v>FR001400PFU4XPAR</v>
      </c>
      <c r="G274">
        <f t="shared" si="11"/>
        <v>951054.87656249991</v>
      </c>
      <c r="H274">
        <v>300399.69</v>
      </c>
      <c r="I274">
        <v>444226.47</v>
      </c>
      <c r="J274">
        <v>726784.6</v>
      </c>
      <c r="K274">
        <v>103112.57</v>
      </c>
      <c r="L274">
        <v>338223.26</v>
      </c>
      <c r="M274">
        <v>1168631.47</v>
      </c>
      <c r="N274">
        <v>432389.04</v>
      </c>
      <c r="O274">
        <v>1554179.31</v>
      </c>
      <c r="P274">
        <v>493046.98</v>
      </c>
      <c r="Q274">
        <v>287570.15000000002</v>
      </c>
      <c r="R274">
        <v>479877.73</v>
      </c>
      <c r="S274">
        <v>333502.59999999998</v>
      </c>
      <c r="T274">
        <v>414731.11</v>
      </c>
      <c r="U274">
        <v>841788.3</v>
      </c>
      <c r="V274">
        <v>3780698.49</v>
      </c>
      <c r="W274">
        <v>678618.39</v>
      </c>
      <c r="X274">
        <v>240557.92</v>
      </c>
      <c r="Y274">
        <v>547555.94999999995</v>
      </c>
      <c r="Z274">
        <v>269176.61</v>
      </c>
      <c r="AA274">
        <v>522002.49</v>
      </c>
      <c r="AB274">
        <v>512025.7</v>
      </c>
      <c r="AC274">
        <v>664655.77</v>
      </c>
      <c r="AD274">
        <v>1008409.43</v>
      </c>
      <c r="AE274">
        <v>319446.78000000003</v>
      </c>
      <c r="AF274">
        <v>388800.45</v>
      </c>
      <c r="AG274">
        <v>603664.35</v>
      </c>
      <c r="AH274">
        <v>479186.11</v>
      </c>
      <c r="AI274">
        <v>294302.18</v>
      </c>
      <c r="AJ274">
        <v>404949.83</v>
      </c>
      <c r="AK274">
        <v>414149.45</v>
      </c>
      <c r="AL274">
        <v>417114.43</v>
      </c>
      <c r="AM274">
        <v>444477.52</v>
      </c>
      <c r="AN274">
        <v>225873.38</v>
      </c>
      <c r="AO274">
        <v>637082.82999999996</v>
      </c>
      <c r="AP274">
        <v>383245.34</v>
      </c>
      <c r="AQ274">
        <v>250988.94</v>
      </c>
      <c r="AR274">
        <v>1066520.6599999999</v>
      </c>
      <c r="AS274">
        <v>2171245.7200000002</v>
      </c>
      <c r="AT274">
        <v>349492.24</v>
      </c>
      <c r="AU274">
        <v>469880.88</v>
      </c>
      <c r="AV274">
        <v>555691.63</v>
      </c>
      <c r="AW274">
        <v>535986.92000000004</v>
      </c>
      <c r="AX274">
        <v>736341.88</v>
      </c>
      <c r="AY274">
        <v>881877.13</v>
      </c>
      <c r="AZ274">
        <v>1164864.72</v>
      </c>
      <c r="BA274">
        <v>1554071.24</v>
      </c>
      <c r="BB274">
        <v>881560.34</v>
      </c>
      <c r="BC274">
        <v>530818.65</v>
      </c>
      <c r="BD274">
        <v>1431345.86</v>
      </c>
      <c r="BE274">
        <v>5137527.79</v>
      </c>
      <c r="BF274">
        <v>1632346.1</v>
      </c>
      <c r="BG274">
        <v>818162.78</v>
      </c>
      <c r="BH274">
        <v>2230160.6</v>
      </c>
      <c r="BI274">
        <v>569481.56000000006</v>
      </c>
      <c r="BJ274">
        <v>319885.02</v>
      </c>
      <c r="BK274">
        <v>384179.23</v>
      </c>
      <c r="BL274">
        <v>12802341.25</v>
      </c>
      <c r="BM274">
        <v>437209.53</v>
      </c>
      <c r="BN274">
        <v>397421.88</v>
      </c>
      <c r="BO274">
        <v>389584.48</v>
      </c>
      <c r="BP274">
        <v>351180.53</v>
      </c>
      <c r="BQ274">
        <v>374512.37</v>
      </c>
      <c r="BR274">
        <v>620974.31000000006</v>
      </c>
      <c r="BS274">
        <v>667401.18000000005</v>
      </c>
    </row>
    <row r="275" spans="1:71" x14ac:dyDescent="0.25">
      <c r="A275" t="s">
        <v>242</v>
      </c>
      <c r="B275" t="s">
        <v>272</v>
      </c>
      <c r="C275">
        <v>4153</v>
      </c>
      <c r="D275" t="s">
        <v>6</v>
      </c>
      <c r="E275" t="s">
        <v>232</v>
      </c>
      <c r="F275" t="str">
        <f t="shared" si="10"/>
        <v>FR001400PVN6XPAR</v>
      </c>
      <c r="G275">
        <f t="shared" si="11"/>
        <v>1792999.0337500006</v>
      </c>
      <c r="H275">
        <v>675240.3</v>
      </c>
      <c r="I275">
        <v>715836.25</v>
      </c>
      <c r="J275">
        <v>498692.97</v>
      </c>
      <c r="K275">
        <v>474680.71</v>
      </c>
      <c r="L275">
        <v>483556.38</v>
      </c>
      <c r="M275">
        <v>440337.71</v>
      </c>
      <c r="N275">
        <v>663754.93999999994</v>
      </c>
      <c r="O275">
        <v>1008169.13</v>
      </c>
      <c r="P275">
        <v>1049581.58</v>
      </c>
      <c r="Q275">
        <v>568685.35</v>
      </c>
      <c r="R275">
        <v>591376.14</v>
      </c>
      <c r="S275">
        <v>783686.63</v>
      </c>
      <c r="T275">
        <v>990379.68</v>
      </c>
      <c r="U275">
        <v>570576.11</v>
      </c>
      <c r="V275">
        <v>944590.83</v>
      </c>
      <c r="W275">
        <v>1228483.94</v>
      </c>
      <c r="X275">
        <v>1033617.94</v>
      </c>
      <c r="Y275">
        <v>1831993.62</v>
      </c>
      <c r="Z275">
        <v>1942177.93</v>
      </c>
      <c r="AA275">
        <v>1699672.26</v>
      </c>
      <c r="AB275">
        <v>1686983.55</v>
      </c>
      <c r="AC275">
        <v>4494858.49</v>
      </c>
      <c r="AD275">
        <v>2051620.61</v>
      </c>
      <c r="AE275">
        <v>1209410.6299999999</v>
      </c>
      <c r="AF275">
        <v>9194479.2899999991</v>
      </c>
      <c r="AG275">
        <v>3496197.43</v>
      </c>
      <c r="AH275">
        <v>3082169.11</v>
      </c>
      <c r="AI275">
        <v>1536004.95</v>
      </c>
      <c r="AJ275">
        <v>1332945.06</v>
      </c>
      <c r="AK275">
        <v>1190781.42</v>
      </c>
      <c r="AL275">
        <v>813171.34</v>
      </c>
      <c r="AM275">
        <v>970383.42</v>
      </c>
      <c r="AN275">
        <v>3927226.49</v>
      </c>
      <c r="AO275">
        <v>1854463.11</v>
      </c>
      <c r="AP275">
        <v>1617313.97</v>
      </c>
      <c r="AQ275">
        <v>1622904.42</v>
      </c>
      <c r="AR275">
        <v>1315358.9099999999</v>
      </c>
      <c r="AS275">
        <v>1676129.31</v>
      </c>
      <c r="AT275">
        <v>1164450.22</v>
      </c>
      <c r="AU275">
        <v>1811425.92</v>
      </c>
      <c r="AV275">
        <v>2086769.04</v>
      </c>
      <c r="AW275">
        <v>1026746.08</v>
      </c>
      <c r="AX275">
        <v>1308444.47</v>
      </c>
      <c r="AY275">
        <v>1505292.29</v>
      </c>
      <c r="AZ275">
        <v>4963888.41</v>
      </c>
      <c r="BA275">
        <v>1323814.9099999999</v>
      </c>
      <c r="BB275">
        <v>1393214.51</v>
      </c>
      <c r="BC275">
        <v>1197360.29</v>
      </c>
      <c r="BD275">
        <v>2014942.07</v>
      </c>
      <c r="BE275">
        <v>1511035.83</v>
      </c>
      <c r="BF275">
        <v>2819744.56</v>
      </c>
      <c r="BG275">
        <v>3154611.65</v>
      </c>
      <c r="BH275">
        <v>2494147.67</v>
      </c>
      <c r="BI275">
        <v>2013207.17</v>
      </c>
      <c r="BJ275">
        <v>1847503.58</v>
      </c>
      <c r="BK275">
        <v>2423333.5</v>
      </c>
      <c r="BL275">
        <v>2077083.25</v>
      </c>
      <c r="BM275">
        <v>1619775.54</v>
      </c>
      <c r="BN275">
        <v>512642.41</v>
      </c>
      <c r="BO275">
        <v>2805307.09</v>
      </c>
      <c r="BP275">
        <v>1222701.0900000001</v>
      </c>
      <c r="BQ275">
        <v>1308167.48</v>
      </c>
      <c r="BR275">
        <v>4985647.8600000003</v>
      </c>
      <c r="BS275">
        <v>2893189.36</v>
      </c>
    </row>
    <row r="276" spans="1:71" x14ac:dyDescent="0.25">
      <c r="A276" t="s">
        <v>242</v>
      </c>
      <c r="B276" t="s">
        <v>272</v>
      </c>
      <c r="C276">
        <v>9078206</v>
      </c>
      <c r="D276" t="s">
        <v>245</v>
      </c>
      <c r="E276" t="s">
        <v>244</v>
      </c>
      <c r="F276" t="str">
        <f t="shared" si="10"/>
        <v>FR001400PVN6MTAH</v>
      </c>
      <c r="G276">
        <f t="shared" si="11"/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</row>
    <row r="277" spans="1:71" x14ac:dyDescent="0.25">
      <c r="A277" t="s">
        <v>196</v>
      </c>
      <c r="B277" t="s">
        <v>197</v>
      </c>
      <c r="C277">
        <v>100221</v>
      </c>
      <c r="D277" t="s">
        <v>6</v>
      </c>
      <c r="E277" t="s">
        <v>232</v>
      </c>
      <c r="F277" t="str">
        <f t="shared" si="10"/>
        <v>LU0088087324XPAR</v>
      </c>
      <c r="G277">
        <f t="shared" si="11"/>
        <v>2263588.7284374996</v>
      </c>
      <c r="H277">
        <v>2242741.7599999998</v>
      </c>
      <c r="I277">
        <v>2076403.71</v>
      </c>
      <c r="J277">
        <v>1474770.59</v>
      </c>
      <c r="K277">
        <v>1703546.85</v>
      </c>
      <c r="L277">
        <v>1008457.66</v>
      </c>
      <c r="M277">
        <v>2089238.21</v>
      </c>
      <c r="N277">
        <v>3856308.46</v>
      </c>
      <c r="O277">
        <v>3173560.35</v>
      </c>
      <c r="P277">
        <v>2522651.13</v>
      </c>
      <c r="Q277">
        <v>3527408.5</v>
      </c>
      <c r="R277">
        <v>1838338.05</v>
      </c>
      <c r="S277">
        <v>2137557.2999999998</v>
      </c>
      <c r="T277">
        <v>1670319.92</v>
      </c>
      <c r="U277">
        <v>2658570.4</v>
      </c>
      <c r="V277">
        <v>2186706.1800000002</v>
      </c>
      <c r="W277">
        <v>1307316.3</v>
      </c>
      <c r="X277">
        <v>1688849.98</v>
      </c>
      <c r="Y277">
        <v>760619.89</v>
      </c>
      <c r="Z277">
        <v>1785305.38</v>
      </c>
      <c r="AA277">
        <v>2198190.29</v>
      </c>
      <c r="AB277">
        <v>1486947.11</v>
      </c>
      <c r="AC277">
        <v>1118463.8</v>
      </c>
      <c r="AD277">
        <v>1009185.45</v>
      </c>
      <c r="AE277">
        <v>1448845.49</v>
      </c>
      <c r="AF277">
        <v>1630090.54</v>
      </c>
      <c r="AG277">
        <v>3419965.92</v>
      </c>
      <c r="AH277">
        <v>2567353.89</v>
      </c>
      <c r="AI277">
        <v>3010393.85</v>
      </c>
      <c r="AJ277">
        <v>2392794.69</v>
      </c>
      <c r="AK277">
        <v>2238533.84</v>
      </c>
      <c r="AL277">
        <v>2228145.2400000002</v>
      </c>
      <c r="AM277">
        <v>1559618.66</v>
      </c>
      <c r="AN277">
        <v>2105809.2799999998</v>
      </c>
      <c r="AO277">
        <v>2631323.42</v>
      </c>
      <c r="AP277">
        <v>1837884.44</v>
      </c>
      <c r="AQ277">
        <v>2082812.66</v>
      </c>
      <c r="AR277">
        <v>1401726.61</v>
      </c>
      <c r="AS277">
        <v>5677870.0300000003</v>
      </c>
      <c r="AT277">
        <v>2040388.35</v>
      </c>
      <c r="AU277">
        <v>2113359.92</v>
      </c>
      <c r="AV277">
        <v>1078582.69</v>
      </c>
      <c r="AW277">
        <v>1987158.97</v>
      </c>
      <c r="AX277">
        <v>2212318.19</v>
      </c>
      <c r="AY277">
        <v>2907480.42</v>
      </c>
      <c r="AZ277">
        <v>2242370.08</v>
      </c>
      <c r="BA277">
        <v>3003470.88</v>
      </c>
      <c r="BB277">
        <v>1884926.84</v>
      </c>
      <c r="BC277">
        <v>2161285.7999999998</v>
      </c>
      <c r="BD277">
        <v>1816676.52</v>
      </c>
      <c r="BE277">
        <v>1815503.45</v>
      </c>
      <c r="BF277">
        <v>1732743.1</v>
      </c>
      <c r="BG277">
        <v>2306298.62</v>
      </c>
      <c r="BH277">
        <v>1733405.14</v>
      </c>
      <c r="BI277">
        <v>3092768.82</v>
      </c>
      <c r="BJ277">
        <v>2630984.69</v>
      </c>
      <c r="BK277">
        <v>2656340.2599999998</v>
      </c>
      <c r="BL277">
        <v>15106887.189999999</v>
      </c>
      <c r="BM277">
        <v>2039798.61</v>
      </c>
      <c r="BN277">
        <v>611744.22</v>
      </c>
      <c r="BO277">
        <v>1581057.05</v>
      </c>
      <c r="BP277">
        <v>1430942.14</v>
      </c>
      <c r="BQ277">
        <v>640040.06999999995</v>
      </c>
      <c r="BR277">
        <v>1059685.55</v>
      </c>
      <c r="BS277">
        <v>1228835.22</v>
      </c>
    </row>
    <row r="278" spans="1:71" x14ac:dyDescent="0.25">
      <c r="A278" t="s">
        <v>198</v>
      </c>
      <c r="B278" t="s">
        <v>199</v>
      </c>
      <c r="C278">
        <v>303600</v>
      </c>
      <c r="D278" t="s">
        <v>181</v>
      </c>
      <c r="E278" t="s">
        <v>233</v>
      </c>
      <c r="F278" t="str">
        <f t="shared" si="10"/>
        <v>LU0569974404XAMS</v>
      </c>
      <c r="G278">
        <f t="shared" si="11"/>
        <v>4628314.4914062507</v>
      </c>
      <c r="H278">
        <v>5482670.8899999997</v>
      </c>
      <c r="I278">
        <v>3152792.24</v>
      </c>
      <c r="J278">
        <v>4432759</v>
      </c>
      <c r="K278">
        <v>7041828.1399999997</v>
      </c>
      <c r="L278">
        <v>7361825.6399999997</v>
      </c>
      <c r="M278">
        <v>4777207.2</v>
      </c>
      <c r="N278">
        <v>4619606.18</v>
      </c>
      <c r="O278">
        <v>2946366.92</v>
      </c>
      <c r="P278">
        <v>3598029.28</v>
      </c>
      <c r="Q278">
        <v>2498693.4</v>
      </c>
      <c r="R278">
        <v>5405941.1399999997</v>
      </c>
      <c r="S278">
        <v>5010469.4400000004</v>
      </c>
      <c r="T278">
        <v>3293900.68</v>
      </c>
      <c r="U278">
        <v>3327983.46</v>
      </c>
      <c r="V278">
        <v>3396134.4</v>
      </c>
      <c r="W278">
        <v>2452447</v>
      </c>
      <c r="X278">
        <v>5320506.2</v>
      </c>
      <c r="Y278">
        <v>3763838.4</v>
      </c>
      <c r="Z278">
        <v>3361408.26</v>
      </c>
      <c r="AA278">
        <v>2687114.38</v>
      </c>
      <c r="AB278">
        <v>2544901.9</v>
      </c>
      <c r="AC278">
        <v>3149530.94</v>
      </c>
      <c r="AD278">
        <v>2760404.22</v>
      </c>
      <c r="AE278">
        <v>3722501.96</v>
      </c>
      <c r="AF278">
        <v>4150694.5</v>
      </c>
      <c r="AG278">
        <v>5740380.8399999999</v>
      </c>
      <c r="AH278">
        <v>12717965.84</v>
      </c>
      <c r="AI278">
        <v>5641809.3600000003</v>
      </c>
      <c r="AJ278">
        <v>7605886.9199999999</v>
      </c>
      <c r="AK278">
        <v>7293780.0199999996</v>
      </c>
      <c r="AL278">
        <v>5605258.4400000004</v>
      </c>
      <c r="AM278">
        <v>6958939.0199999996</v>
      </c>
      <c r="AN278">
        <v>6319158.2999999998</v>
      </c>
      <c r="AO278">
        <v>5172418.68</v>
      </c>
      <c r="AP278">
        <v>4666441.42</v>
      </c>
      <c r="AQ278">
        <v>6430390.7400000002</v>
      </c>
      <c r="AR278">
        <v>6323829.5599999996</v>
      </c>
      <c r="AS278">
        <v>7185945.4400000004</v>
      </c>
      <c r="AT278">
        <v>4626864.5599999996</v>
      </c>
      <c r="AU278">
        <v>4174859.3</v>
      </c>
      <c r="AV278">
        <v>1904688.18</v>
      </c>
      <c r="AW278">
        <v>3039876.42</v>
      </c>
      <c r="AX278">
        <v>3145118.01</v>
      </c>
      <c r="AY278">
        <v>3395141.55</v>
      </c>
      <c r="AZ278">
        <v>4258791.03</v>
      </c>
      <c r="BA278">
        <v>9223046.6799999997</v>
      </c>
      <c r="BB278">
        <v>3881847.36</v>
      </c>
      <c r="BC278">
        <v>4709490.8600000003</v>
      </c>
      <c r="BD278">
        <v>3327081.1</v>
      </c>
      <c r="BE278">
        <v>5568487.4299999997</v>
      </c>
      <c r="BF278">
        <v>3939811.8</v>
      </c>
      <c r="BG278">
        <v>13262696.539999999</v>
      </c>
      <c r="BH278">
        <v>6193748.7599999998</v>
      </c>
      <c r="BI278">
        <v>3404671.34</v>
      </c>
      <c r="BJ278">
        <v>3721416.88</v>
      </c>
      <c r="BK278">
        <v>5963981</v>
      </c>
      <c r="BL278">
        <v>4864245.88</v>
      </c>
      <c r="BM278">
        <v>2413814.4</v>
      </c>
      <c r="BN278">
        <v>850841.46</v>
      </c>
      <c r="BO278">
        <v>1973505.78</v>
      </c>
      <c r="BP278">
        <v>2790913.42</v>
      </c>
      <c r="BQ278">
        <v>749936.66</v>
      </c>
      <c r="BR278">
        <v>2846155.4</v>
      </c>
      <c r="BS278">
        <v>4059335.3</v>
      </c>
    </row>
    <row r="279" spans="1:71" x14ac:dyDescent="0.25">
      <c r="A279" t="s">
        <v>198</v>
      </c>
      <c r="B279" t="s">
        <v>199</v>
      </c>
      <c r="C279">
        <v>9078223</v>
      </c>
      <c r="D279" t="s">
        <v>245</v>
      </c>
      <c r="E279" t="s">
        <v>244</v>
      </c>
      <c r="F279" t="str">
        <f t="shared" si="10"/>
        <v>LU0569974404MTAH</v>
      </c>
      <c r="G279">
        <f t="shared" si="11"/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</row>
    <row r="280" spans="1:71" x14ac:dyDescent="0.25">
      <c r="A280" t="s">
        <v>200</v>
      </c>
      <c r="B280" t="s">
        <v>273</v>
      </c>
      <c r="C280">
        <v>6060243</v>
      </c>
      <c r="D280" t="s">
        <v>243</v>
      </c>
      <c r="E280" t="s">
        <v>244</v>
      </c>
      <c r="F280" t="str">
        <f t="shared" si="10"/>
        <v>LU1598757687ETLX</v>
      </c>
      <c r="G280">
        <f t="shared" si="11"/>
        <v>1007.53578125</v>
      </c>
      <c r="H280">
        <v>11585</v>
      </c>
      <c r="I280">
        <v>0</v>
      </c>
      <c r="J280">
        <v>0</v>
      </c>
      <c r="K280">
        <v>0</v>
      </c>
      <c r="L280">
        <v>6075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2340</v>
      </c>
      <c r="AG280">
        <v>30998.9</v>
      </c>
      <c r="AH280">
        <v>1449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2523.15</v>
      </c>
      <c r="AY280">
        <v>0</v>
      </c>
      <c r="AZ280">
        <v>0</v>
      </c>
      <c r="BA280">
        <v>0</v>
      </c>
      <c r="BB280">
        <v>0</v>
      </c>
      <c r="BC280">
        <v>1923.2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7588.04</v>
      </c>
      <c r="BP280">
        <v>0</v>
      </c>
      <c r="BQ280">
        <v>0</v>
      </c>
      <c r="BR280">
        <v>0</v>
      </c>
      <c r="BS280">
        <v>0</v>
      </c>
    </row>
    <row r="281" spans="1:71" x14ac:dyDescent="0.25">
      <c r="A281" t="s">
        <v>200</v>
      </c>
      <c r="B281" t="s">
        <v>201</v>
      </c>
      <c r="C281">
        <v>66774</v>
      </c>
      <c r="D281" t="s">
        <v>181</v>
      </c>
      <c r="E281" t="s">
        <v>233</v>
      </c>
      <c r="F281" t="str">
        <f t="shared" si="10"/>
        <v>LU1598757687XAMS</v>
      </c>
      <c r="G281">
        <f t="shared" si="11"/>
        <v>49152222.763750009</v>
      </c>
      <c r="H281">
        <v>59864366.68</v>
      </c>
      <c r="I281">
        <v>38203282.840000004</v>
      </c>
      <c r="J281">
        <v>34823816.109999999</v>
      </c>
      <c r="K281">
        <v>61665235.32</v>
      </c>
      <c r="L281">
        <v>31262129.82</v>
      </c>
      <c r="M281">
        <v>41806551.359999999</v>
      </c>
      <c r="N281">
        <v>37344615.420000002</v>
      </c>
      <c r="O281">
        <v>37767525.369999997</v>
      </c>
      <c r="P281">
        <v>63315993.189999998</v>
      </c>
      <c r="Q281">
        <v>39977894.409999996</v>
      </c>
      <c r="R281">
        <v>32690191.469999999</v>
      </c>
      <c r="S281">
        <v>48033266.259999998</v>
      </c>
      <c r="T281">
        <v>33962180.57</v>
      </c>
      <c r="U281">
        <v>32494327.550000001</v>
      </c>
      <c r="V281">
        <v>28673976.5</v>
      </c>
      <c r="W281">
        <v>34846893.310000002</v>
      </c>
      <c r="X281">
        <v>25685283.800000001</v>
      </c>
      <c r="Y281">
        <v>57055524.539999999</v>
      </c>
      <c r="Z281">
        <v>46932982.090000004</v>
      </c>
      <c r="AA281">
        <v>41390082.390000001</v>
      </c>
      <c r="AB281">
        <v>34864104.969999999</v>
      </c>
      <c r="AC281">
        <v>32667057.600000001</v>
      </c>
      <c r="AD281">
        <v>30162208.640000001</v>
      </c>
      <c r="AE281">
        <v>29326736.510000002</v>
      </c>
      <c r="AF281">
        <v>86400561.299999997</v>
      </c>
      <c r="AG281">
        <v>140130428.16</v>
      </c>
      <c r="AH281">
        <v>76340833.659999996</v>
      </c>
      <c r="AI281">
        <v>45103047.369999997</v>
      </c>
      <c r="AJ281">
        <v>80783232.569999993</v>
      </c>
      <c r="AK281">
        <v>42889406.890000001</v>
      </c>
      <c r="AL281">
        <v>71324143.859999999</v>
      </c>
      <c r="AM281">
        <v>72343207.5</v>
      </c>
      <c r="AN281">
        <v>43819240.100000001</v>
      </c>
      <c r="AO281">
        <v>47903206.609999999</v>
      </c>
      <c r="AP281">
        <v>30471364.379999999</v>
      </c>
      <c r="AQ281">
        <v>37957436.109999999</v>
      </c>
      <c r="AR281">
        <v>41191138.670000002</v>
      </c>
      <c r="AS281">
        <v>75742238.239999995</v>
      </c>
      <c r="AT281">
        <v>74567260.510000005</v>
      </c>
      <c r="AU281">
        <v>38727261.829999998</v>
      </c>
      <c r="AV281">
        <v>49259952.240000002</v>
      </c>
      <c r="AW281">
        <v>49145968.399999999</v>
      </c>
      <c r="AX281">
        <v>72900841.180000007</v>
      </c>
      <c r="AY281">
        <v>42704149.770000003</v>
      </c>
      <c r="AZ281">
        <v>46806702.490000002</v>
      </c>
      <c r="BA281">
        <v>52561641.350000001</v>
      </c>
      <c r="BB281">
        <v>40437272.780000001</v>
      </c>
      <c r="BC281">
        <v>96253913.25</v>
      </c>
      <c r="BD281">
        <v>38326280.939999998</v>
      </c>
      <c r="BE281">
        <v>32863123.219999999</v>
      </c>
      <c r="BF281">
        <v>39383099.030000001</v>
      </c>
      <c r="BG281">
        <v>69573686.489999995</v>
      </c>
      <c r="BH281">
        <v>61175372.030000001</v>
      </c>
      <c r="BI281">
        <v>65714528.619999997</v>
      </c>
      <c r="BJ281">
        <v>54015938.390000001</v>
      </c>
      <c r="BK281">
        <v>57037025.609999999</v>
      </c>
      <c r="BL281">
        <v>97613845.939999998</v>
      </c>
      <c r="BM281">
        <v>27647911.530000001</v>
      </c>
      <c r="BN281">
        <v>6860210.1399999997</v>
      </c>
      <c r="BO281">
        <v>31678762.859999999</v>
      </c>
      <c r="BP281">
        <v>25594766.600000001</v>
      </c>
      <c r="BQ281">
        <v>13706282.779999999</v>
      </c>
      <c r="BR281">
        <v>26453782.57</v>
      </c>
      <c r="BS281">
        <v>87516964.189999998</v>
      </c>
    </row>
    <row r="282" spans="1:71" x14ac:dyDescent="0.25">
      <c r="A282" t="s">
        <v>202</v>
      </c>
      <c r="B282" t="s">
        <v>203</v>
      </c>
      <c r="C282">
        <v>29636</v>
      </c>
      <c r="D282" t="s">
        <v>6</v>
      </c>
      <c r="E282" t="s">
        <v>232</v>
      </c>
      <c r="F282" t="str">
        <f t="shared" si="10"/>
        <v>NL0000226223XPAR</v>
      </c>
      <c r="G282">
        <f t="shared" si="11"/>
        <v>57565509.491562493</v>
      </c>
      <c r="H282">
        <v>41502696.289999999</v>
      </c>
      <c r="I282">
        <v>50458601.670000002</v>
      </c>
      <c r="J282">
        <v>52944437.060000002</v>
      </c>
      <c r="K282">
        <v>37485791.82</v>
      </c>
      <c r="L282">
        <v>58731532.079999998</v>
      </c>
      <c r="M282">
        <v>53236229.259999998</v>
      </c>
      <c r="N282">
        <v>36358608.869999997</v>
      </c>
      <c r="O282">
        <v>43025024.740000002</v>
      </c>
      <c r="P282">
        <v>70024545</v>
      </c>
      <c r="Q282">
        <v>63618279.170000002</v>
      </c>
      <c r="R282">
        <v>55063652.560000002</v>
      </c>
      <c r="S282">
        <v>79122394.680000007</v>
      </c>
      <c r="T282">
        <v>67233534.359999999</v>
      </c>
      <c r="U282">
        <v>51001389.759999998</v>
      </c>
      <c r="V282">
        <v>71859050.890000001</v>
      </c>
      <c r="W282">
        <v>57603909.729999997</v>
      </c>
      <c r="X282">
        <v>33725137.130000003</v>
      </c>
      <c r="Y282">
        <v>77202601.939999998</v>
      </c>
      <c r="Z282">
        <v>57436121.609999999</v>
      </c>
      <c r="AA282">
        <v>70153945.200000003</v>
      </c>
      <c r="AB282">
        <v>96540689.310000002</v>
      </c>
      <c r="AC282">
        <v>100513461.25</v>
      </c>
      <c r="AD282">
        <v>62663052.140000001</v>
      </c>
      <c r="AE282">
        <v>52030371.409999996</v>
      </c>
      <c r="AF282">
        <v>62526529.32</v>
      </c>
      <c r="AG282">
        <v>52162745.32</v>
      </c>
      <c r="AH282">
        <v>46472059.82</v>
      </c>
      <c r="AI282">
        <v>52277370.619999997</v>
      </c>
      <c r="AJ282">
        <v>82360435.25</v>
      </c>
      <c r="AK282">
        <v>60442681.409999996</v>
      </c>
      <c r="AL282">
        <v>55175609.210000001</v>
      </c>
      <c r="AM282">
        <v>58806172.049999997</v>
      </c>
      <c r="AN282">
        <v>61650424.57</v>
      </c>
      <c r="AO282">
        <v>59520607.859999999</v>
      </c>
      <c r="AP282">
        <v>60796449.590000004</v>
      </c>
      <c r="AQ282">
        <v>56434272.990000002</v>
      </c>
      <c r="AR282">
        <v>77846634.280000001</v>
      </c>
      <c r="AS282">
        <v>135041191.61000001</v>
      </c>
      <c r="AT282">
        <v>55908509.009999998</v>
      </c>
      <c r="AU282">
        <v>57759665.789999999</v>
      </c>
      <c r="AV282">
        <v>39479024.159999996</v>
      </c>
      <c r="AW282">
        <v>46388509.390000001</v>
      </c>
      <c r="AX282">
        <v>49206946.93</v>
      </c>
      <c r="AY282">
        <v>50143113.710000001</v>
      </c>
      <c r="AZ282">
        <v>46701269.420000002</v>
      </c>
      <c r="BA282">
        <v>47520390.310000002</v>
      </c>
      <c r="BB282">
        <v>63163626.399999999</v>
      </c>
      <c r="BC282">
        <v>69781900.680000007</v>
      </c>
      <c r="BD282">
        <v>69196221.030000001</v>
      </c>
      <c r="BE282">
        <v>48581763.270000003</v>
      </c>
      <c r="BF282">
        <v>41405812.600000001</v>
      </c>
      <c r="BG282">
        <v>37602372.969999999</v>
      </c>
      <c r="BH282">
        <v>51659284.140000001</v>
      </c>
      <c r="BI282">
        <v>69785553.530000001</v>
      </c>
      <c r="BJ282">
        <v>71277508.489999995</v>
      </c>
      <c r="BK282">
        <v>74758947.879999995</v>
      </c>
      <c r="BL282">
        <v>114771373.33</v>
      </c>
      <c r="BM282">
        <v>27635652.079999998</v>
      </c>
      <c r="BN282">
        <v>12968083.92</v>
      </c>
      <c r="BO282">
        <v>28214958.300000001</v>
      </c>
      <c r="BP282">
        <v>30220360.350000001</v>
      </c>
      <c r="BQ282">
        <v>10418813.779999999</v>
      </c>
      <c r="BR282">
        <v>60119367.68</v>
      </c>
      <c r="BS282">
        <v>48475336.479999997</v>
      </c>
    </row>
    <row r="283" spans="1:71" x14ac:dyDescent="0.25">
      <c r="A283" t="s">
        <v>202</v>
      </c>
      <c r="B283" t="s">
        <v>203</v>
      </c>
      <c r="C283">
        <v>3047988</v>
      </c>
      <c r="D283" t="s">
        <v>274</v>
      </c>
      <c r="E283" t="s">
        <v>244</v>
      </c>
      <c r="F283" t="str">
        <f t="shared" si="10"/>
        <v>NL0000226223MTAA</v>
      </c>
      <c r="G283">
        <f t="shared" si="11"/>
        <v>83221783.427812517</v>
      </c>
      <c r="H283">
        <v>59640397.609999999</v>
      </c>
      <c r="I283">
        <v>68757235.879999995</v>
      </c>
      <c r="J283">
        <v>78948572.849999994</v>
      </c>
      <c r="K283">
        <v>67781497.390000001</v>
      </c>
      <c r="L283">
        <v>70895662.420000002</v>
      </c>
      <c r="M283">
        <v>61016449.159999996</v>
      </c>
      <c r="N283">
        <v>65063173.060000002</v>
      </c>
      <c r="O283">
        <v>59516198.899999999</v>
      </c>
      <c r="P283">
        <v>111658561.98999999</v>
      </c>
      <c r="Q283">
        <v>101580016.92</v>
      </c>
      <c r="R283">
        <v>83731455.019999996</v>
      </c>
      <c r="S283">
        <v>94909792.760000005</v>
      </c>
      <c r="T283">
        <v>76742288.170000002</v>
      </c>
      <c r="U283">
        <v>82161400.819999993</v>
      </c>
      <c r="V283">
        <v>130220634.59</v>
      </c>
      <c r="W283">
        <v>93217583.090000004</v>
      </c>
      <c r="X283">
        <v>50757691.079999998</v>
      </c>
      <c r="Y283">
        <v>96827512.180000007</v>
      </c>
      <c r="Z283">
        <v>89880472.870000005</v>
      </c>
      <c r="AA283">
        <v>108286388.64</v>
      </c>
      <c r="AB283">
        <v>199821861.38999999</v>
      </c>
      <c r="AC283">
        <v>110514933.22</v>
      </c>
      <c r="AD283">
        <v>116907662.51000001</v>
      </c>
      <c r="AE283">
        <v>81444780.510000005</v>
      </c>
      <c r="AF283">
        <v>132967543.25</v>
      </c>
      <c r="AG283">
        <v>74320228.480000004</v>
      </c>
      <c r="AH283">
        <v>56234421.009999998</v>
      </c>
      <c r="AI283">
        <v>92508827.810000002</v>
      </c>
      <c r="AJ283">
        <v>142163147.34</v>
      </c>
      <c r="AK283">
        <v>111018560.7</v>
      </c>
      <c r="AL283">
        <v>77174682.040000007</v>
      </c>
      <c r="AM283">
        <v>105472697.26000001</v>
      </c>
      <c r="AN283">
        <v>86522012.659999996</v>
      </c>
      <c r="AO283">
        <v>91320512.870000005</v>
      </c>
      <c r="AP283">
        <v>77277360.609999999</v>
      </c>
      <c r="AQ283">
        <v>76508575.450000003</v>
      </c>
      <c r="AR283">
        <v>81995964.650000006</v>
      </c>
      <c r="AS283">
        <v>124073178.22</v>
      </c>
      <c r="AT283">
        <v>78748110.629999995</v>
      </c>
      <c r="AU283">
        <v>71913065.989999995</v>
      </c>
      <c r="AV283">
        <v>54207080.030000001</v>
      </c>
      <c r="AW283">
        <v>60643284.369999997</v>
      </c>
      <c r="AX283">
        <v>61767711.859999999</v>
      </c>
      <c r="AY283">
        <v>91685745.420000002</v>
      </c>
      <c r="AZ283">
        <v>74848812.560000002</v>
      </c>
      <c r="BA283">
        <v>81109728.760000005</v>
      </c>
      <c r="BB283">
        <v>77370916.959999993</v>
      </c>
      <c r="BC283">
        <v>91517388.060000002</v>
      </c>
      <c r="BD283">
        <v>84649247.560000002</v>
      </c>
      <c r="BE283">
        <v>69424619.219999999</v>
      </c>
      <c r="BF283">
        <v>85211252.109999999</v>
      </c>
      <c r="BG283">
        <v>72297295.290000007</v>
      </c>
      <c r="BH283">
        <v>75748973.549999997</v>
      </c>
      <c r="BI283">
        <v>67260381.5</v>
      </c>
      <c r="BJ283">
        <v>81813375.870000005</v>
      </c>
      <c r="BK283">
        <v>157994118.94</v>
      </c>
      <c r="BL283">
        <v>89829503.469999999</v>
      </c>
      <c r="BM283">
        <v>48970424.460000001</v>
      </c>
      <c r="BN283">
        <v>0</v>
      </c>
      <c r="BO283">
        <v>63089102.380000003</v>
      </c>
      <c r="BP283">
        <v>45327617.159999996</v>
      </c>
      <c r="BQ283">
        <v>0</v>
      </c>
      <c r="BR283">
        <v>84331237.920000002</v>
      </c>
      <c r="BS283">
        <v>66595209.93</v>
      </c>
    </row>
    <row r="284" spans="1:71" x14ac:dyDescent="0.25">
      <c r="A284" t="s">
        <v>202</v>
      </c>
      <c r="B284" t="s">
        <v>203</v>
      </c>
      <c r="C284">
        <v>3078398</v>
      </c>
      <c r="D284" t="s">
        <v>245</v>
      </c>
      <c r="E284" t="s">
        <v>244</v>
      </c>
      <c r="F284" t="str">
        <f t="shared" si="10"/>
        <v>NL0000226223MTAH</v>
      </c>
      <c r="G284">
        <f t="shared" si="11"/>
        <v>1176040.3968750001</v>
      </c>
      <c r="H284">
        <v>721918.77</v>
      </c>
      <c r="I284">
        <v>623606.59</v>
      </c>
      <c r="J284">
        <v>673422.88</v>
      </c>
      <c r="K284">
        <v>553729.96</v>
      </c>
      <c r="L284">
        <v>951370.65</v>
      </c>
      <c r="M284">
        <v>979261.85</v>
      </c>
      <c r="N284">
        <v>417626.34</v>
      </c>
      <c r="O284">
        <v>1226722.1100000001</v>
      </c>
      <c r="P284">
        <v>4391472.05</v>
      </c>
      <c r="Q284">
        <v>1041673.93</v>
      </c>
      <c r="R284">
        <v>2109824.04</v>
      </c>
      <c r="S284">
        <v>1009683.94</v>
      </c>
      <c r="T284">
        <v>858572.63</v>
      </c>
      <c r="U284">
        <v>672723.33</v>
      </c>
      <c r="V284">
        <v>2963418.23</v>
      </c>
      <c r="W284">
        <v>1071173.33</v>
      </c>
      <c r="X284">
        <v>3086042.52</v>
      </c>
      <c r="Y284">
        <v>1029725.49</v>
      </c>
      <c r="Z284">
        <v>1976448.77</v>
      </c>
      <c r="AA284">
        <v>2006417.03</v>
      </c>
      <c r="AB284">
        <v>2138264.2999999998</v>
      </c>
      <c r="AC284">
        <v>0</v>
      </c>
      <c r="AD284">
        <v>1216608.8</v>
      </c>
      <c r="AE284">
        <v>1612973.55</v>
      </c>
      <c r="AF284">
        <v>715541.34</v>
      </c>
      <c r="AG284">
        <v>1027348.68</v>
      </c>
      <c r="AH284">
        <v>517513.76</v>
      </c>
      <c r="AI284">
        <v>948622.46</v>
      </c>
      <c r="AJ284">
        <v>1104415.71</v>
      </c>
      <c r="AK284">
        <v>1488089.98</v>
      </c>
      <c r="AL284">
        <v>2067726.22</v>
      </c>
      <c r="AM284">
        <v>1868467.97</v>
      </c>
      <c r="AN284">
        <v>1118472.02</v>
      </c>
      <c r="AO284">
        <v>684480.06</v>
      </c>
      <c r="AP284">
        <v>557454.25</v>
      </c>
      <c r="AQ284">
        <v>3294494.18</v>
      </c>
      <c r="AR284">
        <v>855285.13</v>
      </c>
      <c r="AS284">
        <v>1041211.5</v>
      </c>
      <c r="AT284">
        <v>1008905.51</v>
      </c>
      <c r="AU284">
        <v>1677332.24</v>
      </c>
      <c r="AV284">
        <v>213893.1</v>
      </c>
      <c r="AW284">
        <v>2150119.4300000002</v>
      </c>
      <c r="AX284">
        <v>1751830.36</v>
      </c>
      <c r="AY284">
        <v>904173.14</v>
      </c>
      <c r="AZ284">
        <v>1312085.08</v>
      </c>
      <c r="BA284">
        <v>1085723.6299999999</v>
      </c>
      <c r="BB284">
        <v>971709.5</v>
      </c>
      <c r="BC284">
        <v>976370.74</v>
      </c>
      <c r="BD284">
        <v>964241.72</v>
      </c>
      <c r="BE284">
        <v>1082768.1399999999</v>
      </c>
      <c r="BF284">
        <v>948209.99</v>
      </c>
      <c r="BG284">
        <v>2081619.15</v>
      </c>
      <c r="BH284">
        <v>579812.88</v>
      </c>
      <c r="BI284">
        <v>1782636.08</v>
      </c>
      <c r="BJ284">
        <v>2084143.57</v>
      </c>
      <c r="BK284">
        <v>1475918.09</v>
      </c>
      <c r="BL284">
        <v>1593288.7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</row>
    <row r="285" spans="1:71" x14ac:dyDescent="0.25">
      <c r="A285" t="s">
        <v>204</v>
      </c>
      <c r="B285" t="s">
        <v>205</v>
      </c>
      <c r="C285">
        <v>49388</v>
      </c>
      <c r="D285" t="s">
        <v>6</v>
      </c>
      <c r="E285" t="s">
        <v>232</v>
      </c>
      <c r="F285" t="str">
        <f t="shared" si="10"/>
        <v>NL0000235190XPAR</v>
      </c>
      <c r="G285">
        <f t="shared" si="11"/>
        <v>174160540.41812497</v>
      </c>
      <c r="H285">
        <v>220424579.28</v>
      </c>
      <c r="I285">
        <v>192282899.24000001</v>
      </c>
      <c r="J285">
        <v>109173002.31999999</v>
      </c>
      <c r="K285">
        <v>140942671.08000001</v>
      </c>
      <c r="L285">
        <v>165833545.78999999</v>
      </c>
      <c r="M285">
        <v>114098490.77</v>
      </c>
      <c r="N285">
        <v>312652833.10000002</v>
      </c>
      <c r="O285">
        <v>134750228.63999999</v>
      </c>
      <c r="P285">
        <v>255186699.78999999</v>
      </c>
      <c r="Q285">
        <v>185811971.18000001</v>
      </c>
      <c r="R285">
        <v>236704935.06</v>
      </c>
      <c r="S285">
        <v>190553355.81</v>
      </c>
      <c r="T285">
        <v>125242137.25</v>
      </c>
      <c r="U285">
        <v>224536530.11000001</v>
      </c>
      <c r="V285">
        <v>134391034.91</v>
      </c>
      <c r="W285">
        <v>123139980.78</v>
      </c>
      <c r="X285">
        <v>100566435.64</v>
      </c>
      <c r="Y285">
        <v>136282585.58000001</v>
      </c>
      <c r="Z285">
        <v>157207968.56999999</v>
      </c>
      <c r="AA285">
        <v>141125181.03</v>
      </c>
      <c r="AB285">
        <v>282701565.74000001</v>
      </c>
      <c r="AC285">
        <v>149778976.41999999</v>
      </c>
      <c r="AD285">
        <v>105841334.3</v>
      </c>
      <c r="AE285">
        <v>115606704.56</v>
      </c>
      <c r="AF285">
        <v>195376473.34999999</v>
      </c>
      <c r="AG285">
        <v>157357679.74000001</v>
      </c>
      <c r="AH285">
        <v>219355900.31</v>
      </c>
      <c r="AI285">
        <v>147248901.00999999</v>
      </c>
      <c r="AJ285">
        <v>205728208.03999999</v>
      </c>
      <c r="AK285">
        <v>191594284.61000001</v>
      </c>
      <c r="AL285">
        <v>149116221.80000001</v>
      </c>
      <c r="AM285">
        <v>159534095.47999999</v>
      </c>
      <c r="AN285">
        <v>109752161.98</v>
      </c>
      <c r="AO285">
        <v>130597234.52</v>
      </c>
      <c r="AP285">
        <v>127013656.44</v>
      </c>
      <c r="AQ285">
        <v>146054778.68000001</v>
      </c>
      <c r="AR285">
        <v>118215776.37</v>
      </c>
      <c r="AS285">
        <v>218313566.63999999</v>
      </c>
      <c r="AT285">
        <v>137681532</v>
      </c>
      <c r="AU285">
        <v>229159392.13</v>
      </c>
      <c r="AV285">
        <v>189445832.63999999</v>
      </c>
      <c r="AW285">
        <v>243778334.69999999</v>
      </c>
      <c r="AX285">
        <v>269087905.35000002</v>
      </c>
      <c r="AY285">
        <v>199297610.21000001</v>
      </c>
      <c r="AZ285">
        <v>208660362.56999999</v>
      </c>
      <c r="BA285">
        <v>167472098.06999999</v>
      </c>
      <c r="BB285">
        <v>191621011.91999999</v>
      </c>
      <c r="BC285">
        <v>170807894.18000001</v>
      </c>
      <c r="BD285">
        <v>220765040.62</v>
      </c>
      <c r="BE285">
        <v>145631927.59999999</v>
      </c>
      <c r="BF285">
        <v>171201085.90000001</v>
      </c>
      <c r="BG285">
        <v>222315363.58000001</v>
      </c>
      <c r="BH285">
        <v>198624830.22999999</v>
      </c>
      <c r="BI285">
        <v>242030852.18000001</v>
      </c>
      <c r="BJ285">
        <v>159810148.19999999</v>
      </c>
      <c r="BK285">
        <v>218023135.80000001</v>
      </c>
      <c r="BL285">
        <v>347807508.13</v>
      </c>
      <c r="BM285">
        <v>149038684.09999999</v>
      </c>
      <c r="BN285">
        <v>28883728.52</v>
      </c>
      <c r="BO285">
        <v>119708443.62</v>
      </c>
      <c r="BP285">
        <v>116603932.15000001</v>
      </c>
      <c r="BQ285">
        <v>43123161.840000004</v>
      </c>
      <c r="BR285">
        <v>260605195.80000001</v>
      </c>
      <c r="BS285">
        <v>164994988.80000001</v>
      </c>
    </row>
    <row r="286" spans="1:71" x14ac:dyDescent="0.25">
      <c r="A286" t="s">
        <v>204</v>
      </c>
      <c r="B286" t="s">
        <v>205</v>
      </c>
      <c r="C286">
        <v>3052961</v>
      </c>
      <c r="D286" t="s">
        <v>248</v>
      </c>
      <c r="E286" t="s">
        <v>244</v>
      </c>
      <c r="F286" t="str">
        <f t="shared" si="10"/>
        <v>NL0000235190BGEM</v>
      </c>
      <c r="G286">
        <f t="shared" si="11"/>
        <v>80842.508437500001</v>
      </c>
      <c r="H286">
        <v>37809.339999999997</v>
      </c>
      <c r="I286">
        <v>79661.759999999995</v>
      </c>
      <c r="J286">
        <v>28174.52</v>
      </c>
      <c r="K286">
        <v>8908.1</v>
      </c>
      <c r="L286">
        <v>8959.14</v>
      </c>
      <c r="M286">
        <v>19915.28</v>
      </c>
      <c r="N286">
        <v>102926.3</v>
      </c>
      <c r="O286">
        <v>205204.28</v>
      </c>
      <c r="P286">
        <v>47751.56</v>
      </c>
      <c r="Q286">
        <v>35465.26</v>
      </c>
      <c r="R286">
        <v>420453.92</v>
      </c>
      <c r="S286">
        <v>163882.28</v>
      </c>
      <c r="T286">
        <v>82919.240000000005</v>
      </c>
      <c r="U286">
        <v>60740.66</v>
      </c>
      <c r="V286">
        <v>10698.6</v>
      </c>
      <c r="W286">
        <v>87463.08</v>
      </c>
      <c r="X286">
        <v>37445.440000000002</v>
      </c>
      <c r="Y286">
        <v>57674.6</v>
      </c>
      <c r="Z286">
        <v>81378.34</v>
      </c>
      <c r="AA286">
        <v>51958.76</v>
      </c>
      <c r="AB286">
        <v>242796.76</v>
      </c>
      <c r="AC286">
        <v>11069.42</v>
      </c>
      <c r="AD286">
        <v>29841.74</v>
      </c>
      <c r="AE286">
        <v>44295.66</v>
      </c>
      <c r="AF286">
        <v>229203.56</v>
      </c>
      <c r="AG286">
        <v>52003.18</v>
      </c>
      <c r="AH286">
        <v>20369.86</v>
      </c>
      <c r="AI286">
        <v>35398.699999999997</v>
      </c>
      <c r="AJ286">
        <v>55468.6</v>
      </c>
      <c r="AK286">
        <v>70992.179999999993</v>
      </c>
      <c r="AL286">
        <v>114472.08</v>
      </c>
      <c r="AM286">
        <v>58879.64</v>
      </c>
      <c r="AN286">
        <v>16368.76</v>
      </c>
      <c r="AO286">
        <v>17831.96</v>
      </c>
      <c r="AP286">
        <v>36804.36</v>
      </c>
      <c r="AQ286">
        <v>22803.040000000001</v>
      </c>
      <c r="AR286">
        <v>79815.100000000006</v>
      </c>
      <c r="AS286">
        <v>53377.36</v>
      </c>
      <c r="AT286">
        <v>58442.14</v>
      </c>
      <c r="AU286">
        <v>159685.18</v>
      </c>
      <c r="AV286">
        <v>184534.52</v>
      </c>
      <c r="AW286">
        <v>172621.1</v>
      </c>
      <c r="AX286">
        <v>158325.24</v>
      </c>
      <c r="AY286">
        <v>64080.480000000003</v>
      </c>
      <c r="AZ286">
        <v>58158.26</v>
      </c>
      <c r="BA286">
        <v>76227.7</v>
      </c>
      <c r="BB286">
        <v>112205.36</v>
      </c>
      <c r="BC286">
        <v>80643.92</v>
      </c>
      <c r="BD286">
        <v>130552.18</v>
      </c>
      <c r="BE286">
        <v>19241.400000000001</v>
      </c>
      <c r="BF286">
        <v>148221.06</v>
      </c>
      <c r="BG286">
        <v>81688.240000000005</v>
      </c>
      <c r="BH286">
        <v>111479.28</v>
      </c>
      <c r="BI286">
        <v>184133.5</v>
      </c>
      <c r="BJ286">
        <v>74614.039999999994</v>
      </c>
      <c r="BK286">
        <v>60395.76</v>
      </c>
      <c r="BL286">
        <v>45591.34</v>
      </c>
      <c r="BM286">
        <v>54590.62</v>
      </c>
      <c r="BN286">
        <v>0</v>
      </c>
      <c r="BO286">
        <v>21873.02</v>
      </c>
      <c r="BP286">
        <v>76000.12</v>
      </c>
      <c r="BQ286">
        <v>0</v>
      </c>
      <c r="BR286">
        <v>167426.29999999999</v>
      </c>
      <c r="BS286">
        <v>52007.360000000001</v>
      </c>
    </row>
    <row r="287" spans="1:71" x14ac:dyDescent="0.25">
      <c r="A287" t="s">
        <v>204</v>
      </c>
      <c r="B287" t="s">
        <v>205</v>
      </c>
      <c r="C287">
        <v>6060238</v>
      </c>
      <c r="D287" t="s">
        <v>243</v>
      </c>
      <c r="E287" t="s">
        <v>244</v>
      </c>
      <c r="F287" t="str">
        <f t="shared" si="10"/>
        <v>NL0000235190ETLX</v>
      </c>
      <c r="G287">
        <f t="shared" si="11"/>
        <v>1253.5606250000001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5454.4</v>
      </c>
      <c r="Q287">
        <v>0</v>
      </c>
      <c r="R287">
        <v>1697.28</v>
      </c>
      <c r="S287">
        <v>0</v>
      </c>
      <c r="T287">
        <v>5572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424.68</v>
      </c>
      <c r="AF287">
        <v>0</v>
      </c>
      <c r="AG287">
        <v>0</v>
      </c>
      <c r="AH287">
        <v>3981.04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3026.8</v>
      </c>
      <c r="AZ287">
        <v>5189.76</v>
      </c>
      <c r="BA287">
        <v>0</v>
      </c>
      <c r="BB287">
        <v>43237.4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474.9</v>
      </c>
      <c r="BK287">
        <v>0</v>
      </c>
      <c r="BL287">
        <v>1854.24</v>
      </c>
      <c r="BM287">
        <v>0</v>
      </c>
      <c r="BN287">
        <v>0</v>
      </c>
      <c r="BO287">
        <v>4626</v>
      </c>
      <c r="BP287">
        <v>2011.88</v>
      </c>
      <c r="BQ287">
        <v>0</v>
      </c>
      <c r="BR287">
        <v>2677.5</v>
      </c>
      <c r="BS287">
        <v>0</v>
      </c>
    </row>
    <row r="288" spans="1:71" x14ac:dyDescent="0.25">
      <c r="A288" t="s">
        <v>204</v>
      </c>
      <c r="B288" t="s">
        <v>205</v>
      </c>
      <c r="C288">
        <v>9078219</v>
      </c>
      <c r="D288" t="s">
        <v>245</v>
      </c>
      <c r="E288" t="s">
        <v>244</v>
      </c>
      <c r="F288" t="str">
        <f t="shared" si="10"/>
        <v>NL0000235190MTAH</v>
      </c>
      <c r="G288">
        <f t="shared" si="11"/>
        <v>88.389375000000001</v>
      </c>
      <c r="H288">
        <v>651.6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722.6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572.70000000000005</v>
      </c>
      <c r="AM288">
        <v>0</v>
      </c>
      <c r="AN288">
        <v>0</v>
      </c>
      <c r="AO288">
        <v>0</v>
      </c>
      <c r="AP288">
        <v>0</v>
      </c>
      <c r="AQ288">
        <v>1005.62</v>
      </c>
      <c r="AR288">
        <v>0</v>
      </c>
      <c r="AS288">
        <v>0</v>
      </c>
      <c r="AT288">
        <v>0</v>
      </c>
      <c r="AU288">
        <v>2704.4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</row>
    <row r="289" spans="1:71" x14ac:dyDescent="0.25">
      <c r="A289" t="s">
        <v>206</v>
      </c>
      <c r="B289" t="s">
        <v>207</v>
      </c>
      <c r="C289">
        <v>576684</v>
      </c>
      <c r="D289" t="s">
        <v>6</v>
      </c>
      <c r="E289" t="s">
        <v>232</v>
      </c>
      <c r="F289" t="str">
        <f t="shared" si="10"/>
        <v>NL0006294274XPAR</v>
      </c>
      <c r="G289">
        <f t="shared" si="11"/>
        <v>17697535.838750012</v>
      </c>
      <c r="H289">
        <v>15129168.75</v>
      </c>
      <c r="I289">
        <v>18868501.100000001</v>
      </c>
      <c r="J289">
        <v>11514489.85</v>
      </c>
      <c r="K289">
        <v>17594511.149999999</v>
      </c>
      <c r="L289">
        <v>9159050.6500000004</v>
      </c>
      <c r="M289">
        <v>12818993.65</v>
      </c>
      <c r="N289">
        <v>12803652.65</v>
      </c>
      <c r="O289">
        <v>11686822.699999999</v>
      </c>
      <c r="P289">
        <v>8724055.3000000007</v>
      </c>
      <c r="Q289">
        <v>9995302.8000000007</v>
      </c>
      <c r="R289">
        <v>6406985.3499999996</v>
      </c>
      <c r="S289">
        <v>11021756</v>
      </c>
      <c r="T289">
        <v>7266643.2000000002</v>
      </c>
      <c r="U289">
        <v>15423192.4</v>
      </c>
      <c r="V289">
        <v>11302127.15</v>
      </c>
      <c r="W289">
        <v>11251443.199999999</v>
      </c>
      <c r="X289">
        <v>7795499.7000000002</v>
      </c>
      <c r="Y289">
        <v>11475196.6</v>
      </c>
      <c r="Z289">
        <v>8585006.4000000004</v>
      </c>
      <c r="AA289">
        <v>11463740.800000001</v>
      </c>
      <c r="AB289">
        <v>17863271.399999999</v>
      </c>
      <c r="AC289">
        <v>18090692.800000001</v>
      </c>
      <c r="AD289">
        <v>16701769.5</v>
      </c>
      <c r="AE289">
        <v>11846944.800000001</v>
      </c>
      <c r="AF289">
        <v>15151946.6</v>
      </c>
      <c r="AG289">
        <v>26290441.199999999</v>
      </c>
      <c r="AH289">
        <v>49299938.18</v>
      </c>
      <c r="AI289">
        <v>31992156.5</v>
      </c>
      <c r="AJ289">
        <v>33026512.199999999</v>
      </c>
      <c r="AK289">
        <v>19005249.649999999</v>
      </c>
      <c r="AL289">
        <v>16074298.550000001</v>
      </c>
      <c r="AM289">
        <v>21199429.600000001</v>
      </c>
      <c r="AN289">
        <v>29452793.199999999</v>
      </c>
      <c r="AO289">
        <v>19304896</v>
      </c>
      <c r="AP289">
        <v>16017160.5</v>
      </c>
      <c r="AQ289">
        <v>13942664.5</v>
      </c>
      <c r="AR289">
        <v>19184751.100000001</v>
      </c>
      <c r="AS289">
        <v>46324044.700000003</v>
      </c>
      <c r="AT289">
        <v>18525922.199999999</v>
      </c>
      <c r="AU289">
        <v>21154713.600000001</v>
      </c>
      <c r="AV289">
        <v>13294782.1</v>
      </c>
      <c r="AW289">
        <v>29038545</v>
      </c>
      <c r="AX289">
        <v>20076539.699999999</v>
      </c>
      <c r="AY289">
        <v>19057772.199999999</v>
      </c>
      <c r="AZ289">
        <v>20182274.75</v>
      </c>
      <c r="BA289">
        <v>23223074</v>
      </c>
      <c r="BB289">
        <v>19830901.399999999</v>
      </c>
      <c r="BC289">
        <v>20280396.199999999</v>
      </c>
      <c r="BD289">
        <v>15495510.35</v>
      </c>
      <c r="BE289">
        <v>19517386.699999999</v>
      </c>
      <c r="BF289">
        <v>17620476.5</v>
      </c>
      <c r="BG289">
        <v>20015344.949999999</v>
      </c>
      <c r="BH289">
        <v>25179704.600000001</v>
      </c>
      <c r="BI289">
        <v>23056681.100000001</v>
      </c>
      <c r="BJ289">
        <v>17415387.300000001</v>
      </c>
      <c r="BK289">
        <v>28579234.100000001</v>
      </c>
      <c r="BL289">
        <v>38569626.600000001</v>
      </c>
      <c r="BM289">
        <v>16230103</v>
      </c>
      <c r="BN289">
        <v>3596570.9</v>
      </c>
      <c r="BO289">
        <v>12566801.25</v>
      </c>
      <c r="BP289">
        <v>9006742.1500000004</v>
      </c>
      <c r="BQ289">
        <v>7187349.2000000002</v>
      </c>
      <c r="BR289">
        <v>11377828.800000001</v>
      </c>
      <c r="BS289">
        <v>11507524.65</v>
      </c>
    </row>
    <row r="290" spans="1:71" x14ac:dyDescent="0.25">
      <c r="A290" t="s">
        <v>206</v>
      </c>
      <c r="B290" t="s">
        <v>207</v>
      </c>
      <c r="C290">
        <v>611039</v>
      </c>
      <c r="D290" t="s">
        <v>275</v>
      </c>
      <c r="E290" t="s">
        <v>276</v>
      </c>
      <c r="F290" t="str">
        <f t="shared" si="10"/>
        <v>NL0006294274XLIS</v>
      </c>
      <c r="G290">
        <f t="shared" si="11"/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</row>
    <row r="291" spans="1:71" x14ac:dyDescent="0.25">
      <c r="A291" t="s">
        <v>206</v>
      </c>
      <c r="B291" t="s">
        <v>207</v>
      </c>
      <c r="C291">
        <v>9078122</v>
      </c>
      <c r="D291" t="s">
        <v>245</v>
      </c>
      <c r="E291" t="s">
        <v>244</v>
      </c>
      <c r="F291" t="str">
        <f t="shared" si="10"/>
        <v>NL0006294274MTAH</v>
      </c>
      <c r="G291">
        <f t="shared" si="11"/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</row>
    <row r="292" spans="1:71" x14ac:dyDescent="0.25">
      <c r="A292" t="s">
        <v>208</v>
      </c>
      <c r="B292" t="s">
        <v>209</v>
      </c>
      <c r="C292">
        <v>2165203</v>
      </c>
      <c r="D292" t="s">
        <v>6</v>
      </c>
      <c r="E292" t="s">
        <v>232</v>
      </c>
      <c r="F292" t="str">
        <f t="shared" si="10"/>
        <v>NL0014559478XPAR</v>
      </c>
      <c r="G292">
        <f t="shared" si="11"/>
        <v>8282644.9818749987</v>
      </c>
      <c r="H292">
        <v>5813706.3600000003</v>
      </c>
      <c r="I292">
        <v>4146697.82</v>
      </c>
      <c r="J292">
        <v>5238852.1399999997</v>
      </c>
      <c r="K292">
        <v>6661129.7599999998</v>
      </c>
      <c r="L292">
        <v>3952945.36</v>
      </c>
      <c r="M292">
        <v>3122214.04</v>
      </c>
      <c r="N292">
        <v>3894057.48</v>
      </c>
      <c r="O292">
        <v>3593669.24</v>
      </c>
      <c r="P292">
        <v>6029870.7599999998</v>
      </c>
      <c r="Q292">
        <v>4186646.72</v>
      </c>
      <c r="R292">
        <v>4395167.59</v>
      </c>
      <c r="S292">
        <v>3907343.94</v>
      </c>
      <c r="T292">
        <v>5003223.3600000003</v>
      </c>
      <c r="U292">
        <v>5742249.1200000001</v>
      </c>
      <c r="V292">
        <v>9597788.0199999996</v>
      </c>
      <c r="W292">
        <v>7107486.8499999996</v>
      </c>
      <c r="X292">
        <v>4193945.47</v>
      </c>
      <c r="Y292">
        <v>4358330.3</v>
      </c>
      <c r="Z292">
        <v>4848064.95</v>
      </c>
      <c r="AA292">
        <v>8205337.0199999996</v>
      </c>
      <c r="AB292">
        <v>21252099.68</v>
      </c>
      <c r="AC292">
        <v>12546820.33</v>
      </c>
      <c r="AD292">
        <v>13809907.460000001</v>
      </c>
      <c r="AE292">
        <v>9401824.0800000001</v>
      </c>
      <c r="AF292">
        <v>13864989.42</v>
      </c>
      <c r="AG292">
        <v>11200348.18</v>
      </c>
      <c r="AH292">
        <v>12114030.039999999</v>
      </c>
      <c r="AI292">
        <v>7135246.5800000001</v>
      </c>
      <c r="AJ292">
        <v>15489469.18</v>
      </c>
      <c r="AK292">
        <v>8862908.5800000001</v>
      </c>
      <c r="AL292">
        <v>8234714</v>
      </c>
      <c r="AM292">
        <v>10727302.140000001</v>
      </c>
      <c r="AN292">
        <v>6974459.2199999997</v>
      </c>
      <c r="AO292">
        <v>6262236.3799999999</v>
      </c>
      <c r="AP292">
        <v>7063883.5999999996</v>
      </c>
      <c r="AQ292">
        <v>14051613.380000001</v>
      </c>
      <c r="AR292">
        <v>29783935.370000001</v>
      </c>
      <c r="AS292">
        <v>16524493.939999999</v>
      </c>
      <c r="AT292">
        <v>8902103.7400000002</v>
      </c>
      <c r="AU292">
        <v>6960105.3799999999</v>
      </c>
      <c r="AV292">
        <v>4749754</v>
      </c>
      <c r="AW292">
        <v>9167092.3399999999</v>
      </c>
      <c r="AX292">
        <v>9236253.9900000002</v>
      </c>
      <c r="AY292">
        <v>6335020.3399999999</v>
      </c>
      <c r="AZ292">
        <v>8818804.8000000007</v>
      </c>
      <c r="BA292">
        <v>10558011.58</v>
      </c>
      <c r="BB292">
        <v>10251851.34</v>
      </c>
      <c r="BC292">
        <v>5748679.6399999997</v>
      </c>
      <c r="BD292">
        <v>8487285.6600000001</v>
      </c>
      <c r="BE292">
        <v>6721045.4400000004</v>
      </c>
      <c r="BF292">
        <v>10040129.779999999</v>
      </c>
      <c r="BG292">
        <v>9579758.1099999994</v>
      </c>
      <c r="BH292">
        <v>10814723.98</v>
      </c>
      <c r="BI292">
        <v>11486687.83</v>
      </c>
      <c r="BJ292">
        <v>7928337.5999999996</v>
      </c>
      <c r="BK292">
        <v>6953676.5099999998</v>
      </c>
      <c r="BL292">
        <v>19137428.559999999</v>
      </c>
      <c r="BM292">
        <v>4676141.32</v>
      </c>
      <c r="BN292">
        <v>1808241.5</v>
      </c>
      <c r="BO292">
        <v>5775724.2000000002</v>
      </c>
      <c r="BP292">
        <v>2963187.9</v>
      </c>
      <c r="BQ292">
        <v>2168336.2599999998</v>
      </c>
      <c r="BR292">
        <v>5035513.58</v>
      </c>
      <c r="BS292">
        <v>6486375.5999999996</v>
      </c>
    </row>
    <row r="293" spans="1:71" x14ac:dyDescent="0.25">
      <c r="A293" t="s">
        <v>208</v>
      </c>
      <c r="B293" t="s">
        <v>209</v>
      </c>
      <c r="C293">
        <v>9078081</v>
      </c>
      <c r="D293" t="s">
        <v>245</v>
      </c>
      <c r="E293" t="s">
        <v>244</v>
      </c>
      <c r="F293" t="str">
        <f t="shared" si="10"/>
        <v>NL0014559478MTAH</v>
      </c>
      <c r="G293">
        <f t="shared" si="11"/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</row>
    <row r="294" spans="1:71" x14ac:dyDescent="0.25">
      <c r="A294" t="s">
        <v>210</v>
      </c>
      <c r="B294" t="s">
        <v>277</v>
      </c>
      <c r="C294">
        <v>3052931</v>
      </c>
      <c r="D294" t="s">
        <v>274</v>
      </c>
      <c r="E294" t="s">
        <v>244</v>
      </c>
      <c r="F294" t="str">
        <f t="shared" si="10"/>
        <v>NL00150001Q9MTAA</v>
      </c>
      <c r="G294">
        <f t="shared" si="11"/>
        <v>190810328.67296872</v>
      </c>
      <c r="H294">
        <v>289581066.81999999</v>
      </c>
      <c r="I294">
        <v>219290901.43000001</v>
      </c>
      <c r="J294">
        <v>131918289.72</v>
      </c>
      <c r="K294">
        <v>132767545.3</v>
      </c>
      <c r="L294">
        <v>133286690.53</v>
      </c>
      <c r="M294">
        <v>125539431.01000001</v>
      </c>
      <c r="N294">
        <v>283328315.97000003</v>
      </c>
      <c r="O294">
        <v>147853872.94999999</v>
      </c>
      <c r="P294">
        <v>158396167.30000001</v>
      </c>
      <c r="Q294">
        <v>141584908.44999999</v>
      </c>
      <c r="R294">
        <v>125728493.3</v>
      </c>
      <c r="S294">
        <v>214767111.02000001</v>
      </c>
      <c r="T294">
        <v>145431686.75</v>
      </c>
      <c r="U294">
        <v>129612746.97</v>
      </c>
      <c r="V294">
        <v>297362820.80000001</v>
      </c>
      <c r="W294">
        <v>277793069.70999998</v>
      </c>
      <c r="X294">
        <v>173449700.13999999</v>
      </c>
      <c r="Y294">
        <v>143698446.16999999</v>
      </c>
      <c r="Z294">
        <v>150844772.53999999</v>
      </c>
      <c r="AA294">
        <v>269450549.98000002</v>
      </c>
      <c r="AB294">
        <v>259513265.25999999</v>
      </c>
      <c r="AC294">
        <v>178208960.38999999</v>
      </c>
      <c r="AD294">
        <v>133885765.45</v>
      </c>
      <c r="AE294">
        <v>130623003.84</v>
      </c>
      <c r="AF294">
        <v>425869362.05000001</v>
      </c>
      <c r="AG294">
        <v>218707793.65000001</v>
      </c>
      <c r="AH294">
        <v>246670553.30000001</v>
      </c>
      <c r="AI294">
        <v>168619295.88999999</v>
      </c>
      <c r="AJ294">
        <v>170418305.16</v>
      </c>
      <c r="AK294">
        <v>124588830.19</v>
      </c>
      <c r="AL294">
        <v>163786710.97999999</v>
      </c>
      <c r="AM294">
        <v>140040135.19999999</v>
      </c>
      <c r="AN294">
        <v>114642237.29000001</v>
      </c>
      <c r="AO294">
        <v>195038302.06</v>
      </c>
      <c r="AP294">
        <v>97667931.290000007</v>
      </c>
      <c r="AQ294">
        <v>122023973.98999999</v>
      </c>
      <c r="AR294">
        <v>175204183.99000001</v>
      </c>
      <c r="AS294">
        <v>439753431.38</v>
      </c>
      <c r="AT294">
        <v>268410438.66</v>
      </c>
      <c r="AU294">
        <v>146116396.44999999</v>
      </c>
      <c r="AV294">
        <v>152094468.46000001</v>
      </c>
      <c r="AW294">
        <v>164826043.40000001</v>
      </c>
      <c r="AX294">
        <v>578667962.87</v>
      </c>
      <c r="AY294">
        <v>249250093.40000001</v>
      </c>
      <c r="AZ294">
        <v>323059715.14999998</v>
      </c>
      <c r="BA294">
        <v>302148194.47000003</v>
      </c>
      <c r="BB294">
        <v>345555796.54000002</v>
      </c>
      <c r="BC294">
        <v>228933416.36000001</v>
      </c>
      <c r="BD294">
        <v>167048080.05000001</v>
      </c>
      <c r="BE294">
        <v>154529101.59999999</v>
      </c>
      <c r="BF294">
        <v>159589661.94</v>
      </c>
      <c r="BG294">
        <v>195950220.94999999</v>
      </c>
      <c r="BH294">
        <v>284060067.93000001</v>
      </c>
      <c r="BI294">
        <v>136700738.34</v>
      </c>
      <c r="BJ294">
        <v>130501335.06</v>
      </c>
      <c r="BK294">
        <v>174272294.41999999</v>
      </c>
      <c r="BL294">
        <v>264616203.41</v>
      </c>
      <c r="BM294">
        <v>86908118.920000002</v>
      </c>
      <c r="BN294">
        <v>0</v>
      </c>
      <c r="BO294">
        <v>111992063.54000001</v>
      </c>
      <c r="BP294">
        <v>97220965.900000006</v>
      </c>
      <c r="BQ294">
        <v>0</v>
      </c>
      <c r="BR294">
        <v>101722537.88</v>
      </c>
      <c r="BS294">
        <v>190738491.15000001</v>
      </c>
    </row>
    <row r="295" spans="1:71" x14ac:dyDescent="0.25">
      <c r="A295" t="s">
        <v>210</v>
      </c>
      <c r="B295" t="s">
        <v>277</v>
      </c>
      <c r="C295">
        <v>3078401</v>
      </c>
      <c r="D295" t="s">
        <v>245</v>
      </c>
      <c r="E295" t="s">
        <v>244</v>
      </c>
      <c r="F295" t="str">
        <f t="shared" si="10"/>
        <v>NL00150001Q9MTAH</v>
      </c>
      <c r="G295">
        <f t="shared" si="11"/>
        <v>1118422.33421875</v>
      </c>
      <c r="H295">
        <v>1102881.1100000001</v>
      </c>
      <c r="I295">
        <v>890417.07</v>
      </c>
      <c r="J295">
        <v>505934.01</v>
      </c>
      <c r="K295">
        <v>934192.72</v>
      </c>
      <c r="L295">
        <v>1699903.87</v>
      </c>
      <c r="M295">
        <v>690463.49</v>
      </c>
      <c r="N295">
        <v>653919.80000000005</v>
      </c>
      <c r="O295">
        <v>1323391.3</v>
      </c>
      <c r="P295">
        <v>755483.49</v>
      </c>
      <c r="Q295">
        <v>1142564.06</v>
      </c>
      <c r="R295">
        <v>1290438.26</v>
      </c>
      <c r="S295">
        <v>1404775.84</v>
      </c>
      <c r="T295">
        <v>794093.79</v>
      </c>
      <c r="U295">
        <v>2347940.2599999998</v>
      </c>
      <c r="V295">
        <v>1071868.8500000001</v>
      </c>
      <c r="W295">
        <v>1203467.3899999999</v>
      </c>
      <c r="X295">
        <v>1029481.73</v>
      </c>
      <c r="Y295">
        <v>527954.81000000006</v>
      </c>
      <c r="Z295">
        <v>735097.52</v>
      </c>
      <c r="AA295">
        <v>990390.02</v>
      </c>
      <c r="AB295">
        <v>905859.01</v>
      </c>
      <c r="AC295">
        <v>0</v>
      </c>
      <c r="AD295">
        <v>654018.74</v>
      </c>
      <c r="AE295">
        <v>706163.43</v>
      </c>
      <c r="AF295">
        <v>2106611.98</v>
      </c>
      <c r="AG295">
        <v>965671.6</v>
      </c>
      <c r="AH295">
        <v>1111315.73</v>
      </c>
      <c r="AI295">
        <v>1464122.87</v>
      </c>
      <c r="AJ295">
        <v>400675.61</v>
      </c>
      <c r="AK295">
        <v>745082.42</v>
      </c>
      <c r="AL295">
        <v>1882775.22</v>
      </c>
      <c r="AM295">
        <v>274511.40999999997</v>
      </c>
      <c r="AN295">
        <v>370666.02</v>
      </c>
      <c r="AO295">
        <v>1317365.8999999999</v>
      </c>
      <c r="AP295">
        <v>716902.13</v>
      </c>
      <c r="AQ295">
        <v>1494018.99</v>
      </c>
      <c r="AR295">
        <v>2918845.22</v>
      </c>
      <c r="AS295">
        <v>700178.6</v>
      </c>
      <c r="AT295">
        <v>2934836.11</v>
      </c>
      <c r="AU295">
        <v>894558.52</v>
      </c>
      <c r="AV295">
        <v>156378.04999999999</v>
      </c>
      <c r="AW295">
        <v>936763.66</v>
      </c>
      <c r="AX295">
        <v>3214125.02</v>
      </c>
      <c r="AY295">
        <v>740586.81</v>
      </c>
      <c r="AZ295">
        <v>1291536.3400000001</v>
      </c>
      <c r="BA295">
        <v>2027403.44</v>
      </c>
      <c r="BB295">
        <v>1613144.83</v>
      </c>
      <c r="BC295">
        <v>2580884.9</v>
      </c>
      <c r="BD295">
        <v>1277213.46</v>
      </c>
      <c r="BE295">
        <v>1024407.09</v>
      </c>
      <c r="BF295">
        <v>2061946.48</v>
      </c>
      <c r="BG295">
        <v>3274284.48</v>
      </c>
      <c r="BH295">
        <v>3221832.63</v>
      </c>
      <c r="BI295">
        <v>1302995.8999999999</v>
      </c>
      <c r="BJ295">
        <v>1367135.88</v>
      </c>
      <c r="BK295">
        <v>592601.03</v>
      </c>
      <c r="BL295">
        <v>1236950.49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</row>
    <row r="296" spans="1:71" x14ac:dyDescent="0.25">
      <c r="A296" t="s">
        <v>210</v>
      </c>
      <c r="B296" t="s">
        <v>211</v>
      </c>
      <c r="C296">
        <v>4252</v>
      </c>
      <c r="D296" t="s">
        <v>6</v>
      </c>
      <c r="E296" t="s">
        <v>232</v>
      </c>
      <c r="F296" t="str">
        <f t="shared" si="10"/>
        <v>NL00150001Q9XPAR</v>
      </c>
      <c r="G296">
        <f t="shared" si="11"/>
        <v>35241914.556093752</v>
      </c>
      <c r="H296">
        <v>47483262.890000001</v>
      </c>
      <c r="I296">
        <v>33834877.350000001</v>
      </c>
      <c r="J296">
        <v>24397528.059999999</v>
      </c>
      <c r="K296">
        <v>22761387.370000001</v>
      </c>
      <c r="L296">
        <v>25015954.57</v>
      </c>
      <c r="M296">
        <v>16779675.489999998</v>
      </c>
      <c r="N296">
        <v>46906934.280000001</v>
      </c>
      <c r="O296">
        <v>29933983.420000002</v>
      </c>
      <c r="P296">
        <v>29346442.309999999</v>
      </c>
      <c r="Q296">
        <v>33647459.840000004</v>
      </c>
      <c r="R296">
        <v>27389159.109999999</v>
      </c>
      <c r="S296">
        <v>26519625.289999999</v>
      </c>
      <c r="T296">
        <v>32063136.66</v>
      </c>
      <c r="U296">
        <v>24395327.66</v>
      </c>
      <c r="V296">
        <v>43738492.240000002</v>
      </c>
      <c r="W296">
        <v>67914008.290000007</v>
      </c>
      <c r="X296">
        <v>23136318.579999998</v>
      </c>
      <c r="Y296">
        <v>21445541.609999999</v>
      </c>
      <c r="Z296">
        <v>31110135.920000002</v>
      </c>
      <c r="AA296">
        <v>60041913.740000002</v>
      </c>
      <c r="AB296">
        <v>58916540.619999997</v>
      </c>
      <c r="AC296">
        <v>29147744.359999999</v>
      </c>
      <c r="AD296">
        <v>23261355.670000002</v>
      </c>
      <c r="AE296">
        <v>21441784.800000001</v>
      </c>
      <c r="AF296">
        <v>67355051.989999995</v>
      </c>
      <c r="AG296">
        <v>33849089.75</v>
      </c>
      <c r="AH296">
        <v>48019548.93</v>
      </c>
      <c r="AI296">
        <v>32685313.190000001</v>
      </c>
      <c r="AJ296">
        <v>29040046.100000001</v>
      </c>
      <c r="AK296">
        <v>32990071.02</v>
      </c>
      <c r="AL296">
        <v>31247031.879999999</v>
      </c>
      <c r="AM296">
        <v>22091557.850000001</v>
      </c>
      <c r="AN296">
        <v>29346740.07</v>
      </c>
      <c r="AO296">
        <v>28122796.789999999</v>
      </c>
      <c r="AP296">
        <v>21545986.379999999</v>
      </c>
      <c r="AQ296">
        <v>27889724.32</v>
      </c>
      <c r="AR296">
        <v>31786496.199999999</v>
      </c>
      <c r="AS296">
        <v>50490592.049999997</v>
      </c>
      <c r="AT296">
        <v>53911267.93</v>
      </c>
      <c r="AU296">
        <v>36203317.789999999</v>
      </c>
      <c r="AV296">
        <v>34782070.549999997</v>
      </c>
      <c r="AW296">
        <v>34082064.049999997</v>
      </c>
      <c r="AX296">
        <v>113942958.2</v>
      </c>
      <c r="AY296">
        <v>35897947.920000002</v>
      </c>
      <c r="AZ296">
        <v>42699631.049999997</v>
      </c>
      <c r="BA296">
        <v>43755614.280000001</v>
      </c>
      <c r="BB296">
        <v>61719247.640000001</v>
      </c>
      <c r="BC296">
        <v>44640600.149999999</v>
      </c>
      <c r="BD296">
        <v>32710624.280000001</v>
      </c>
      <c r="BE296">
        <v>38563298.799999997</v>
      </c>
      <c r="BF296">
        <v>27843243.75</v>
      </c>
      <c r="BG296">
        <v>30064159.329999998</v>
      </c>
      <c r="BH296">
        <v>46533712.460000001</v>
      </c>
      <c r="BI296">
        <v>25828691.510000002</v>
      </c>
      <c r="BJ296">
        <v>23817886.530000001</v>
      </c>
      <c r="BK296">
        <v>44518219.649999999</v>
      </c>
      <c r="BL296">
        <v>42656931.170000002</v>
      </c>
      <c r="BM296">
        <v>16687433.359999999</v>
      </c>
      <c r="BN296">
        <v>8143518.4800000004</v>
      </c>
      <c r="BO296">
        <v>27975311.07</v>
      </c>
      <c r="BP296">
        <v>21950562.899999999</v>
      </c>
      <c r="BQ296">
        <v>11624053.77</v>
      </c>
      <c r="BR296">
        <v>21060571.390000001</v>
      </c>
      <c r="BS296">
        <v>46780956.93</v>
      </c>
    </row>
    <row r="297" spans="1:71" x14ac:dyDescent="0.25">
      <c r="A297" t="s">
        <v>239</v>
      </c>
      <c r="B297" t="s">
        <v>278</v>
      </c>
      <c r="C297">
        <v>9156933</v>
      </c>
      <c r="D297" t="s">
        <v>6</v>
      </c>
      <c r="E297" t="s">
        <v>232</v>
      </c>
      <c r="F297" t="str">
        <f t="shared" si="10"/>
        <v>NL0015001W49XPAR</v>
      </c>
      <c r="G297">
        <f t="shared" si="11"/>
        <v>2839034.8009375012</v>
      </c>
      <c r="H297">
        <v>1539397.79</v>
      </c>
      <c r="I297">
        <v>3115684.41</v>
      </c>
      <c r="J297">
        <v>1426269.43</v>
      </c>
      <c r="K297">
        <v>2114925.65</v>
      </c>
      <c r="L297">
        <v>1696364.85</v>
      </c>
      <c r="M297">
        <v>1132437.56</v>
      </c>
      <c r="N297">
        <v>2726205.86</v>
      </c>
      <c r="O297">
        <v>5501057.7999999998</v>
      </c>
      <c r="P297">
        <v>1914430.4</v>
      </c>
      <c r="Q297">
        <v>3157664.32</v>
      </c>
      <c r="R297">
        <v>3342881.86</v>
      </c>
      <c r="S297">
        <v>1491748.34</v>
      </c>
      <c r="T297">
        <v>2124641.17</v>
      </c>
      <c r="U297">
        <v>1677469.73</v>
      </c>
      <c r="V297">
        <v>1947301.81</v>
      </c>
      <c r="W297">
        <v>8985129.5600000005</v>
      </c>
      <c r="X297">
        <v>6551884.3799999999</v>
      </c>
      <c r="Y297">
        <v>2749709.02</v>
      </c>
      <c r="Z297">
        <v>3763165.19</v>
      </c>
      <c r="AA297">
        <v>3307616.79</v>
      </c>
      <c r="AB297">
        <v>13505245.59</v>
      </c>
      <c r="AC297">
        <v>3967883.96</v>
      </c>
      <c r="AD297">
        <v>3057811.87</v>
      </c>
      <c r="AE297">
        <v>2714069.26</v>
      </c>
      <c r="AF297">
        <v>3461028.47</v>
      </c>
      <c r="AG297">
        <v>2601008.84</v>
      </c>
      <c r="AH297">
        <v>2664531.91</v>
      </c>
      <c r="AI297">
        <v>2299353.29</v>
      </c>
      <c r="AJ297">
        <v>3941054.97</v>
      </c>
      <c r="AK297">
        <v>3219890.7</v>
      </c>
      <c r="AL297">
        <v>2107450.79</v>
      </c>
      <c r="AM297">
        <v>2483390.27</v>
      </c>
      <c r="AN297">
        <v>1776126.36</v>
      </c>
      <c r="AO297">
        <v>3275235.89</v>
      </c>
      <c r="AP297">
        <v>3729206.44</v>
      </c>
      <c r="AQ297">
        <v>3873759.24</v>
      </c>
      <c r="AR297">
        <v>3957291.55</v>
      </c>
      <c r="AS297">
        <v>4113277.87</v>
      </c>
      <c r="AT297">
        <v>2061561.59</v>
      </c>
      <c r="AU297">
        <v>1986368.72</v>
      </c>
      <c r="AV297">
        <v>869023.67</v>
      </c>
      <c r="AW297">
        <v>2233625.69</v>
      </c>
      <c r="AX297">
        <v>4250995.91</v>
      </c>
      <c r="AY297">
        <v>2745527.34</v>
      </c>
      <c r="AZ297">
        <v>1658864.31</v>
      </c>
      <c r="BA297">
        <v>1492653.16</v>
      </c>
      <c r="BB297">
        <v>2033369.81</v>
      </c>
      <c r="BC297">
        <v>2607575.23</v>
      </c>
      <c r="BD297">
        <v>3369490.1</v>
      </c>
      <c r="BE297">
        <v>2300319.59</v>
      </c>
      <c r="BF297">
        <v>3675484.72</v>
      </c>
      <c r="BG297">
        <v>3460519.46</v>
      </c>
      <c r="BH297">
        <v>3289435.86</v>
      </c>
      <c r="BI297">
        <v>2414234.91</v>
      </c>
      <c r="BJ297">
        <v>1907830.05</v>
      </c>
      <c r="BK297">
        <v>1567868.52</v>
      </c>
      <c r="BL297">
        <v>3375786.33</v>
      </c>
      <c r="BM297">
        <v>1527839.44</v>
      </c>
      <c r="BN297">
        <v>471837.78</v>
      </c>
      <c r="BO297">
        <v>1322481.5900000001</v>
      </c>
      <c r="BP297">
        <v>1046316.06</v>
      </c>
      <c r="BQ297">
        <v>518225.55</v>
      </c>
      <c r="BR297">
        <v>1088692.58</v>
      </c>
      <c r="BS297">
        <v>1408696.1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Ken Wan</cp:lastModifiedBy>
  <dcterms:created xsi:type="dcterms:W3CDTF">2023-01-10T09:01:08Z</dcterms:created>
  <dcterms:modified xsi:type="dcterms:W3CDTF">2025-01-07T16:15:50Z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2023-01-10T09:19:36Z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953f30ba-9355-4fb0-b520-2f8b62491934</vt:lpwstr>
  </property>
  <property fmtid="{D5CDD505-2E9C-101B-9397-08002B2CF9AE}" pid="8" name="MSIP_Label_ac0b9ce6-6e99-42a1-af95-429494370cbc_ContentBits">
    <vt:lpwstr>2</vt:lpwstr>
  </property>
</Properties>
</file>