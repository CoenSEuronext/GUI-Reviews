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036" documentId="8_{E116395F-23B1-4781-867C-818128799F0D}" xr6:coauthVersionLast="47" xr6:coauthVersionMax="47" xr10:uidLastSave="{46A20536-66C4-472B-B368-4AB94879AB8E}"/>
  <bookViews>
    <workbookView xWindow="-315" yWindow="-16320" windowWidth="29040" windowHeight="15840" xr2:uid="{3C919C28-BF99-4E39-9BAE-CA645782308C}"/>
  </bookViews>
  <sheets>
    <sheet name="To automate" sheetId="5" r:id="rId1"/>
    <sheet name="Full sheet Francesco" sheetId="6" r:id="rId2"/>
    <sheet name="AUM" sheetId="3" r:id="rId3"/>
    <sheet name="Index 14-01" sheetId="2" r:id="rId4"/>
    <sheet name="Old Sheet" sheetId="1" r:id="rId5"/>
  </sheets>
  <externalReferences>
    <externalReference r:id="rId6"/>
  </externalReferences>
  <definedNames>
    <definedName name="_xlnm._FilterDatabase" localSheetId="3" hidden="1">'Index 14-01'!$A$1:$AF$1248</definedName>
    <definedName name="_xlnm._FilterDatabase" localSheetId="4" hidden="1">'Old Sheet'!$A$1:$G$305</definedName>
    <definedName name="_xlnm._FilterDatabase" localSheetId="0" hidden="1">'To automate'!$A$7:$K$194</definedName>
  </definedNames>
  <calcPr calcId="191029"/>
  <pivotCaches>
    <pivotCache cacheId="3" r:id="rId7"/>
    <pivotCache cacheId="4" r:id="rId8"/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<sst xmlns="http://schemas.openxmlformats.org/spreadsheetml/2006/main" count="22057" uniqueCount="5159">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</sst>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1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40"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4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48">
      <pivotArea dataOnly="0" labelOnly="1" outline="0" axis="axisValues" fieldPosition="0"/>
    </format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dataOnly="0" labelOnly="1" outline="0" axis="axisValues" fieldPosition="0"/>
    </format>
    <format dxfId="44">
      <pivotArea grandRow="1" outline="0" fieldPosition="0"/>
    </format>
    <format dxfId="43">
      <pivotArea dataOnly="0" labelOnly="1" grandRow="1" outline="0" fieldPosition="0"/>
    </format>
    <format dxfId="42">
      <pivotArea grandRow="1" outline="0" fieldPosition="0"/>
    </format>
    <format dxfId="41">
      <pivotArea dataOnly="0" labelOnly="1" grandRow="1" outline="0" fieldPosition="0"/>
    </format>
    <format dxfId="40">
      <pivotArea dataOnly="0" labelOnly="1" grandRow="1" outline="0" fieldPosition="0"/>
    </format>
    <format dxfId="39">
      <pivotArea grandRow="1" outline="0" fieldPosition="0"/>
    </format>
    <format dxfId="38">
      <pivotArea dataOnly="0" labelOnly="1" grandRow="1" outline="0" fieldPosition="0"/>
    </format>
    <format dxfId="37">
      <pivotArea outline="0" fieldPosition="0"/>
    </format>
    <format dxfId="36">
      <pivotArea dataOnly="0" labelOnly="1" grandRow="1" outline="0" fieldPosition="0"/>
    </format>
    <format dxfId="35">
      <pivotArea dataOnly="0" labelOnly="1" outline="0" axis="axisValues" fieldPosition="0"/>
    </format>
    <format dxfId="34">
      <pivotArea dataOnly="0" labelOnly="1" outline="0" axis="axisValues" fieldPosition="0"/>
    </format>
    <format dxfId="33">
      <pivotArea field="1" type="button" dataOnly="0" labelOnly="1" outline="0" axis="axisRow" fieldPosition="0"/>
    </format>
    <format dxfId="32">
      <pivotArea outline="0" fieldPosition="0"/>
    </format>
    <format dxfId="31">
      <pivotArea grandRow="1" outline="0" fieldPosition="0"/>
    </format>
    <format dxfId="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5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dataOnly="0" labelOnly="1" outline="0" axis="axisValues" fieldPosition="0"/>
    </format>
    <format dxfId="70">
      <pivotArea dataOnly="0" labelOnly="1" outline="0" axis="axisValues" fieldPosition="0"/>
    </format>
    <format dxfId="69">
      <pivotArea grandRow="1" outline="0" fieldPosition="0"/>
    </format>
    <format dxfId="68">
      <pivotArea dataOnly="0" labelOnly="1" grandRow="1" outline="0" fieldPosition="0"/>
    </format>
    <format dxfId="67">
      <pivotArea grandRow="1" outline="0" fieldPosition="0"/>
    </format>
    <format dxfId="66">
      <pivotArea dataOnly="0" labelOnly="1" grandRow="1" outline="0" fieldPosition="0"/>
    </format>
    <format dxfId="65">
      <pivotArea dataOnly="0" labelOnly="1" grandRow="1" outline="0" fieldPosition="0"/>
    </format>
    <format dxfId="64">
      <pivotArea grandRow="1" outline="0" fieldPosition="0"/>
    </format>
    <format dxfId="63">
      <pivotArea dataOnly="0" labelOnly="1" grandRow="1" outline="0" fieldPosition="0"/>
    </format>
    <format dxfId="62">
      <pivotArea outline="0" fieldPosition="0"/>
    </format>
    <format dxfId="61">
      <pivotArea dataOnly="0" labelOnly="1" grandRow="1" outline="0" fieldPosition="0"/>
    </format>
    <format dxfId="60">
      <pivotArea dataOnly="0" labelOnly="1" outline="0" axis="axisValues" fieldPosition="0"/>
    </format>
    <format dxfId="59">
      <pivotArea dataOnly="0" labelOnly="1" outline="0" axis="axisValues" fieldPosition="0"/>
    </format>
    <format dxfId="58">
      <pivotArea field="1" type="button" dataOnly="0" labelOnly="1" outline="0"/>
    </format>
    <format dxfId="57">
      <pivotArea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field="0" type="button" dataOnly="0" labelOnly="1" outline="0" axis="axisRow" fieldPosition="0"/>
    </format>
    <format dxfId="53">
      <pivotArea field="0" type="button" dataOnly="0" labelOnly="1" outline="0" axis="axisRow" fieldPosition="0"/>
    </format>
    <format dxfId="52">
      <pivotArea collapsedLevelsAreSubtotals="1" fieldPosition="0">
        <references count="1">
          <reference field="0" count="1">
            <x v="1073"/>
          </reference>
        </references>
      </pivotArea>
    </format>
    <format dxfId="51">
      <pivotArea grandRow="1" outline="0" collapsedLevelsAreSubtotals="1" fieldPosition="0"/>
    </format>
    <format dxfId="50">
      <pivotArea dataOnly="0" labelOnly="1" fieldPosition="0">
        <references count="1">
          <reference field="0" count="1">
            <x v="1073"/>
          </reference>
        </references>
      </pivotArea>
    </format>
    <format dxfId="49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5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93">
      <pivotArea dataOnly="0" labelOnly="1" outline="0" axis="axisValues" fieldPosition="0"/>
    </format>
    <format dxfId="92">
      <pivotArea dataOnly="0" labelOnly="1" outline="0" axis="axisValues" fieldPosition="0"/>
    </format>
    <format dxfId="91">
      <pivotArea dataOnly="0" labelOnly="1" outline="0" axis="axisValues" fieldPosition="0"/>
    </format>
    <format dxfId="90">
      <pivotArea dataOnly="0" labelOnly="1" outline="0" axis="axisValues" fieldPosition="0"/>
    </format>
    <format dxfId="89">
      <pivotArea grandRow="1" outline="0" fieldPosition="0"/>
    </format>
    <format dxfId="88">
      <pivotArea dataOnly="0" labelOnly="1" grandRow="1" outline="0" fieldPosition="0"/>
    </format>
    <format dxfId="87">
      <pivotArea grandRow="1" outline="0" fieldPosition="0"/>
    </format>
    <format dxfId="86">
      <pivotArea dataOnly="0" labelOnly="1" grandRow="1" outline="0" fieldPosition="0"/>
    </format>
    <format dxfId="85">
      <pivotArea dataOnly="0" labelOnly="1" grandRow="1" outline="0" fieldPosition="0"/>
    </format>
    <format dxfId="84">
      <pivotArea grandRow="1" outline="0" fieldPosition="0"/>
    </format>
    <format dxfId="83">
      <pivotArea dataOnly="0" labelOnly="1" grandRow="1" outline="0" fieldPosition="0"/>
    </format>
    <format dxfId="82">
      <pivotArea outline="0" fieldPosition="0"/>
    </format>
    <format dxfId="81">
      <pivotArea dataOnly="0" labelOnly="1" grandRow="1" outline="0" fieldPosition="0"/>
    </format>
    <format dxfId="80">
      <pivotArea dataOnly="0" labelOnly="1" outline="0" axis="axisValues" fieldPosition="0"/>
    </format>
    <format dxfId="79">
      <pivotArea dataOnly="0" labelOnly="1" outline="0" axis="axisValues" fieldPosition="0"/>
    </format>
    <format dxfId="78">
      <pivotArea field="1" type="button" dataOnly="0" labelOnly="1" outline="0" axis="axisRow" fieldPosition="0"/>
    </format>
    <format dxfId="77">
      <pivotArea outline="0" fieldPosition="0"/>
    </format>
    <format dxfId="76">
      <pivotArea grandRow="1" outline="0" fieldPosition="0"/>
    </format>
    <format dxfId="75">
      <pivotArea dataOnly="0" labelOnly="1" grandRow="1" outline="0" fieldPosition="0"/>
    </format>
    <format dxfId="74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4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12">
      <pivotArea dataOnly="0" labelOnly="1" outline="0" axis="axisValues" fieldPosition="0"/>
    </format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grandRow="1" outline="0" fieldPosition="0"/>
    </format>
    <format dxfId="107">
      <pivotArea dataOnly="0" labelOnly="1"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outline="0" fieldPosition="0"/>
    </format>
    <format dxfId="102">
      <pivotArea dataOnly="0" labelOnly="1" grandRow="1" outline="0" fieldPosition="0"/>
    </format>
    <format dxfId="101">
      <pivotArea grandRow="1" outline="0" fieldPosition="0"/>
    </format>
    <format dxfId="100">
      <pivotArea dataOnly="0" labelOnly="1" grandRow="1" outline="0" fieldPosition="0"/>
    </format>
    <format dxfId="99">
      <pivotArea dataOnly="0" labelOnly="1" outline="0" axis="axisValues" fieldPosition="0"/>
    </format>
    <format dxfId="98">
      <pivotArea field="0" type="button" dataOnly="0" labelOnly="1" outline="0" axis="axisRow" fieldPosition="0"/>
    </format>
    <format dxfId="97">
      <pivotArea field="0" type="button" dataOnly="0" labelOnly="1" outline="0" axis="axisRow" fieldPosition="0"/>
    </format>
    <format dxfId="96">
      <pivotArea field="0" type="button" dataOnly="0" labelOnly="1" outline="0" axis="axisRow" fieldPosition="0"/>
    </format>
    <format dxfId="95">
      <pivotArea dataOnly="0" labelOnly="1" outline="0" axis="axisValues" fieldPosition="0"/>
    </format>
    <format dxfId="94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19">
      <pivotArea outline="0" collapsedLevelsAreSubtotals="1" fieldPosition="0"/>
    </format>
    <format dxfId="118">
      <pivotArea field="3" type="button" dataOnly="0" labelOnly="1" outline="0" axis="axisRow" fieldPosition="0"/>
    </format>
    <format dxfId="117">
      <pivotArea dataOnly="0" labelOnly="1" outline="0" axis="axisValues" fieldPosition="0"/>
    </format>
    <format dxfId="116">
      <pivotArea dataOnly="0" labelOnly="1" fieldPosition="0">
        <references count="1">
          <reference field="3" count="0"/>
        </references>
      </pivotArea>
    </format>
    <format dxfId="115">
      <pivotArea dataOnly="0" labelOnly="1" grandRow="1" outline="0" fieldPosition="0"/>
    </format>
    <format dxfId="114">
      <pivotArea collapsedLevelsAreSubtotals="1" fieldPosition="0">
        <references count="1">
          <reference field="3" count="1">
            <x v="2"/>
          </reference>
        </references>
      </pivotArea>
    </format>
    <format dxfId="113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26">
      <pivotArea outline="0" collapsedLevelsAreSubtotals="1" fieldPosition="0"/>
    </format>
    <format dxfId="125">
      <pivotArea dataOnly="0" labelOnly="1" fieldPosition="0">
        <references count="1">
          <reference field="5" count="0"/>
        </references>
      </pivotArea>
    </format>
    <format dxfId="124">
      <pivotArea dataOnly="0" labelOnly="1" grandRow="1" outline="0" fieldPosition="0"/>
    </format>
    <format dxfId="123">
      <pivotArea collapsedLevelsAreSubtotals="1" fieldPosition="0">
        <references count="1">
          <reference field="5" count="0"/>
        </references>
      </pivotArea>
    </format>
    <format dxfId="122">
      <pivotArea grandRow="1" outline="0" collapsedLevelsAreSubtotals="1" fieldPosition="0"/>
    </format>
    <format dxfId="121">
      <pivotArea field="5" type="button" dataOnly="0" labelOnly="1" outline="0" axis="axisRow" fieldPosition="0"/>
    </format>
    <format dxfId="1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39">
      <pivotArea collapsedLevelsAreSubtotals="1" fieldPosition="0">
        <references count="1">
          <reference field="7" count="0"/>
        </references>
      </pivotArea>
    </format>
    <format dxfId="138">
      <pivotArea dataOnly="0" labelOnly="1" fieldPosition="0">
        <references count="1">
          <reference field="7" count="0"/>
        </references>
      </pivotArea>
    </format>
    <format dxfId="137">
      <pivotArea collapsedLevelsAreSubtotals="1" fieldPosition="0">
        <references count="1">
          <reference field="7" count="1">
            <x v="6"/>
          </reference>
        </references>
      </pivotArea>
    </format>
    <format dxfId="136">
      <pivotArea dataOnly="0" labelOnly="1" fieldPosition="0">
        <references count="1">
          <reference field="7" count="1">
            <x v="6"/>
          </reference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33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32">
      <pivotArea field="7" type="button" dataOnly="0" labelOnly="1" outline="0" axis="axisRow" fieldPosition="0"/>
    </format>
    <format dxfId="131">
      <pivotArea dataOnly="0" labelOnly="1" outline="0" axis="axisValues" fieldPosition="0"/>
    </format>
    <format dxfId="130">
      <pivotArea grandRow="1" outline="0" collapsedLevelsAreSubtotals="1" fieldPosition="0"/>
    </format>
    <format dxfId="129">
      <pivotArea dataOnly="0" labelOnly="1" grandRow="1" outline="0" fieldPosition="0"/>
    </format>
    <format dxfId="128">
      <pivotArea grandRow="1" outline="0" collapsedLevelsAreSubtotals="1" fieldPosition="0"/>
    </format>
    <format dxfId="1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N194"/>
  <sheetViews>
    <sheetView tabSelected="1" workbookViewId="0">
      <selection activeCell="C7" sqref="C7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3" max="13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32</v>
      </c>
    </row>
    <row r="3" spans="1:14" x14ac:dyDescent="0.2">
      <c r="F3" s="72" t="s">
        <v>4726</v>
      </c>
      <c r="G3" s="73">
        <f>COUNTIF($F$8:$F$194,"")</f>
        <v>94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/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H8" t="b">
        <f>ISNUMBER(MATCH(B8,'Old Sheet'!$B$2:$B$305,0))</f>
        <v>1</v>
      </c>
      <c r="I8" s="43" t="s">
        <v>4798</v>
      </c>
      <c r="J8" s="43" t="s">
        <v>5023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H9" t="b">
        <f>ISNUMBER(MATCH(B9,'Old Sheet'!$B$2:$B$305,0))</f>
        <v>1</v>
      </c>
      <c r="I9" s="43" t="s">
        <v>4798</v>
      </c>
      <c r="J9" s="43" t="s">
        <v>5023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H10" t="b">
        <f>ISNUMBER(MATCH(B10,'Old Sheet'!$B$2:$B$305,0))</f>
        <v>1</v>
      </c>
      <c r="I10" s="43" t="s">
        <v>4798</v>
      </c>
      <c r="J10" s="43" t="s">
        <v>5023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H12" t="b">
        <f>ISNUMBER(MATCH(B12,'Old Sheet'!$B$2:$B$305,0))</f>
        <v>1</v>
      </c>
      <c r="I12" s="43" t="s">
        <v>4798</v>
      </c>
      <c r="J12" s="43" t="s">
        <v>5023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H13" t="b">
        <f>ISNUMBER(MATCH(B13,'Old Sheet'!$B$2:$B$305,0))</f>
        <v>1</v>
      </c>
      <c r="I13" s="43" t="s">
        <v>4798</v>
      </c>
      <c r="J13" s="43" t="s">
        <v>5023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 t="s">
        <v>5152</v>
      </c>
      <c r="G14" s="43"/>
      <c r="H14" t="b">
        <f>ISNUMBER(MATCH(B14,'Old Sheet'!$B$2:$B$305,0))</f>
        <v>1</v>
      </c>
      <c r="I14" s="43" t="s">
        <v>4798</v>
      </c>
      <c r="J14" s="43" t="s">
        <v>5023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M16"/>
      <c r="N16" s="69"/>
    </row>
    <row r="17" spans="1:14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M17"/>
      <c r="N17" s="69"/>
    </row>
    <row r="18" spans="1:14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M18"/>
      <c r="N18" s="69"/>
    </row>
    <row r="19" spans="1:14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M19"/>
      <c r="N19" s="69"/>
    </row>
    <row r="20" spans="1:14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M20"/>
      <c r="N20" s="69"/>
    </row>
    <row r="21" spans="1:14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M21"/>
      <c r="N21" s="69"/>
    </row>
    <row r="22" spans="1:14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M22"/>
      <c r="N22" s="69"/>
    </row>
    <row r="23" spans="1:14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M23"/>
      <c r="N23" s="69"/>
    </row>
    <row r="24" spans="1:14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M24"/>
      <c r="N24" s="69"/>
    </row>
    <row r="25" spans="1:14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M25"/>
      <c r="N25" s="69"/>
    </row>
    <row r="26" spans="1:14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M26"/>
      <c r="N26" s="69"/>
    </row>
    <row r="27" spans="1:14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M27"/>
      <c r="N27" s="69"/>
    </row>
    <row r="28" spans="1:14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M28"/>
      <c r="N28" s="69"/>
    </row>
    <row r="29" spans="1:14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M29"/>
      <c r="N29" s="69"/>
    </row>
    <row r="30" spans="1:14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M30"/>
      <c r="N30" s="69"/>
    </row>
    <row r="31" spans="1:14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M31"/>
      <c r="N31" s="69"/>
    </row>
    <row r="32" spans="1:14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M64"/>
      <c r="N64" s="68"/>
    </row>
    <row r="65" spans="1:14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M65"/>
      <c r="N65" s="68"/>
    </row>
    <row r="66" spans="1:14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M66"/>
      <c r="N66" s="68"/>
    </row>
    <row r="67" spans="1:14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M67"/>
      <c r="N67" s="68"/>
    </row>
    <row r="68" spans="1:14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M68"/>
      <c r="N68" s="68"/>
    </row>
    <row r="69" spans="1:14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M69"/>
      <c r="N69" s="68"/>
    </row>
    <row r="70" spans="1:14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M70"/>
      <c r="N70" s="68"/>
    </row>
    <row r="71" spans="1:14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M71"/>
      <c r="N71" s="68"/>
    </row>
    <row r="72" spans="1:14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M72"/>
      <c r="N72" s="68"/>
    </row>
    <row r="73" spans="1:14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M73"/>
      <c r="N73" s="68"/>
    </row>
    <row r="74" spans="1:14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M74"/>
      <c r="N74" s="68"/>
    </row>
    <row r="75" spans="1:14" x14ac:dyDescent="0.2">
      <c r="A75">
        <v>122</v>
      </c>
      <c r="B75" t="s">
        <v>2367</v>
      </c>
      <c r="C75" s="43" t="s">
        <v>2366</v>
      </c>
      <c r="D75" s="43" t="s">
        <v>2368</v>
      </c>
      <c r="E75" s="43" t="s">
        <v>2368</v>
      </c>
      <c r="H75" t="b">
        <f>ISNUMBER(MATCH(B75,'Old Sheet'!$B$2:$B$305,0))</f>
        <v>0</v>
      </c>
      <c r="I75" s="43" t="s">
        <v>4798</v>
      </c>
      <c r="J75" s="43" t="s">
        <v>5023</v>
      </c>
      <c r="M75"/>
      <c r="N75" s="68"/>
    </row>
    <row r="76" spans="1:14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M76"/>
      <c r="N76" s="68"/>
    </row>
    <row r="77" spans="1:14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M77"/>
      <c r="N77" s="68"/>
    </row>
    <row r="78" spans="1:14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M78"/>
      <c r="N78" s="68"/>
    </row>
    <row r="79" spans="1:14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M79"/>
      <c r="N79" s="68"/>
    </row>
    <row r="80" spans="1:14" x14ac:dyDescent="0.2">
      <c r="A80">
        <v>126</v>
      </c>
      <c r="B80" t="s">
        <v>2329</v>
      </c>
      <c r="C80" s="43" t="s">
        <v>2321</v>
      </c>
      <c r="D80" s="43" t="s">
        <v>2330</v>
      </c>
      <c r="E80" s="43" t="s">
        <v>2330</v>
      </c>
      <c r="H80" t="b">
        <f>ISNUMBER(MATCH(B80,'Old Sheet'!$B$2:$B$305,0))</f>
        <v>0</v>
      </c>
      <c r="I80" s="43" t="s">
        <v>4798</v>
      </c>
      <c r="J80" s="43" t="s">
        <v>5023</v>
      </c>
      <c r="M80"/>
      <c r="N80" s="68"/>
    </row>
    <row r="81" spans="1:14" x14ac:dyDescent="0.2">
      <c r="A81">
        <v>127</v>
      </c>
      <c r="B81" t="s">
        <v>2331</v>
      </c>
      <c r="C81" s="43" t="s">
        <v>2325</v>
      </c>
      <c r="D81" s="43" t="s">
        <v>2332</v>
      </c>
      <c r="E81" s="43" t="s">
        <v>2332</v>
      </c>
      <c r="H81" t="b">
        <f>ISNUMBER(MATCH(B81,'Old Sheet'!$B$2:$B$305,0))</f>
        <v>0</v>
      </c>
      <c r="I81" s="43" t="s">
        <v>4798</v>
      </c>
      <c r="J81" s="43" t="s">
        <v>5023</v>
      </c>
      <c r="M81"/>
      <c r="N81" s="68"/>
    </row>
    <row r="82" spans="1:14" x14ac:dyDescent="0.2">
      <c r="A82">
        <v>128</v>
      </c>
      <c r="B82" t="s">
        <v>2352</v>
      </c>
      <c r="C82" s="43" t="s">
        <v>2339</v>
      </c>
      <c r="D82" s="43" t="s">
        <v>4776</v>
      </c>
      <c r="E82" s="43" t="s">
        <v>4776</v>
      </c>
      <c r="H82" t="b">
        <f>ISNUMBER(MATCH(B82,'Old Sheet'!$B$2:$B$305,0))</f>
        <v>0</v>
      </c>
      <c r="I82" s="43" t="s">
        <v>4798</v>
      </c>
      <c r="J82" s="43" t="s">
        <v>5023</v>
      </c>
      <c r="M82"/>
      <c r="N82" s="68"/>
    </row>
    <row r="83" spans="1:14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M83"/>
      <c r="N83" s="68"/>
    </row>
    <row r="84" spans="1:14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M84"/>
      <c r="N84" s="68"/>
    </row>
    <row r="85" spans="1:14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M85"/>
      <c r="N85" s="68"/>
    </row>
    <row r="86" spans="1:14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M86"/>
      <c r="N86" s="68"/>
    </row>
    <row r="87" spans="1:14" x14ac:dyDescent="0.2">
      <c r="A87">
        <v>134</v>
      </c>
      <c r="B87" t="s">
        <v>3670</v>
      </c>
      <c r="C87" s="43" t="s">
        <v>3666</v>
      </c>
      <c r="D87" s="43" t="s">
        <v>3671</v>
      </c>
      <c r="E87" s="43" t="s">
        <v>3671</v>
      </c>
      <c r="H87" t="b">
        <f>ISNUMBER(MATCH(B87,'Old Sheet'!$B$2:$B$305,0))</f>
        <v>0</v>
      </c>
      <c r="I87" s="43" t="s">
        <v>4798</v>
      </c>
      <c r="J87" s="43" t="s">
        <v>5023</v>
      </c>
      <c r="M87"/>
      <c r="N87" s="68"/>
    </row>
    <row r="88" spans="1:14" x14ac:dyDescent="0.2">
      <c r="A88">
        <v>135</v>
      </c>
      <c r="B88" t="s">
        <v>3679</v>
      </c>
      <c r="C88" s="43" t="s">
        <v>3675</v>
      </c>
      <c r="D88" s="43" t="s">
        <v>3680</v>
      </c>
      <c r="E88" s="43" t="s">
        <v>3680</v>
      </c>
      <c r="H88" t="b">
        <f>ISNUMBER(MATCH(B88,'Old Sheet'!$B$2:$B$305,0))</f>
        <v>0</v>
      </c>
      <c r="I88" s="43" t="s">
        <v>4798</v>
      </c>
      <c r="J88" s="43" t="s">
        <v>5023</v>
      </c>
      <c r="M88"/>
      <c r="N88" s="68"/>
    </row>
    <row r="89" spans="1:14" x14ac:dyDescent="0.2">
      <c r="A89">
        <v>136</v>
      </c>
      <c r="B89" t="s">
        <v>3652</v>
      </c>
      <c r="C89" s="43" t="s">
        <v>3648</v>
      </c>
      <c r="D89" s="43" t="s">
        <v>3653</v>
      </c>
      <c r="E89" s="43" t="s">
        <v>3653</v>
      </c>
      <c r="H89" t="b">
        <f>ISNUMBER(MATCH(B89,'Old Sheet'!$B$2:$B$305,0))</f>
        <v>0</v>
      </c>
      <c r="I89" s="43" t="s">
        <v>4798</v>
      </c>
      <c r="J89" s="43" t="s">
        <v>5023</v>
      </c>
      <c r="M89"/>
      <c r="N89" s="68"/>
    </row>
    <row r="90" spans="1:14" x14ac:dyDescent="0.2">
      <c r="A90">
        <v>137</v>
      </c>
      <c r="B90" t="s">
        <v>3661</v>
      </c>
      <c r="C90" s="43" t="s">
        <v>3657</v>
      </c>
      <c r="D90" s="43" t="s">
        <v>3662</v>
      </c>
      <c r="E90" s="43" t="s">
        <v>3662</v>
      </c>
      <c r="H90" t="b">
        <f>ISNUMBER(MATCH(B90,'Old Sheet'!$B$2:$B$305,0))</f>
        <v>0</v>
      </c>
      <c r="I90" s="43" t="s">
        <v>4798</v>
      </c>
      <c r="J90" s="43" t="s">
        <v>5023</v>
      </c>
      <c r="M90"/>
      <c r="N90" s="68"/>
    </row>
    <row r="91" spans="1:14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M91"/>
      <c r="N91" s="68"/>
    </row>
    <row r="92" spans="1:14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M92"/>
      <c r="N92" s="68"/>
    </row>
    <row r="93" spans="1:14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M93"/>
      <c r="N93" s="68"/>
    </row>
    <row r="94" spans="1:14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M94"/>
      <c r="N94" s="68"/>
    </row>
    <row r="95" spans="1:14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M95"/>
      <c r="N95" s="68"/>
    </row>
    <row r="96" spans="1:14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M96"/>
      <c r="N96" s="68"/>
    </row>
    <row r="97" spans="1:14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M97"/>
      <c r="N97" s="68"/>
    </row>
    <row r="98" spans="1:14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M98"/>
      <c r="N98" s="68"/>
    </row>
    <row r="99" spans="1:14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M99"/>
      <c r="N99" s="68"/>
    </row>
    <row r="100" spans="1:14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M100"/>
      <c r="N100" s="68"/>
    </row>
    <row r="101" spans="1:14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M101"/>
      <c r="N101" s="68"/>
    </row>
    <row r="102" spans="1:14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M102"/>
      <c r="N102" s="68"/>
    </row>
    <row r="103" spans="1:14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M103"/>
      <c r="N103" s="68"/>
    </row>
    <row r="104" spans="1:14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M104"/>
      <c r="N104" s="68"/>
    </row>
    <row r="105" spans="1:14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M105"/>
      <c r="N105" s="68"/>
    </row>
    <row r="106" spans="1:14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M106"/>
      <c r="N106" s="68"/>
    </row>
    <row r="107" spans="1:14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M107"/>
      <c r="N107" s="68"/>
    </row>
    <row r="108" spans="1:14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M108"/>
      <c r="N108" s="68"/>
    </row>
    <row r="109" spans="1:14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M109"/>
      <c r="N109" s="68"/>
    </row>
    <row r="110" spans="1:14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M110"/>
      <c r="N110" s="68"/>
    </row>
    <row r="111" spans="1:14" x14ac:dyDescent="0.2">
      <c r="A111">
        <v>175</v>
      </c>
      <c r="B111" t="s">
        <v>3341</v>
      </c>
      <c r="C111" s="43" t="s">
        <v>3338</v>
      </c>
      <c r="D111" s="43" t="s">
        <v>3973</v>
      </c>
      <c r="E111" s="43" t="s">
        <v>4868</v>
      </c>
      <c r="H111" t="b">
        <f>ISNUMBER(MATCH(B111,'Old Sheet'!$B$2:$B$305,0))</f>
        <v>0</v>
      </c>
      <c r="I111" s="43" t="s">
        <v>4798</v>
      </c>
      <c r="J111" s="43" t="s">
        <v>5023</v>
      </c>
      <c r="M111"/>
      <c r="N111" s="68"/>
    </row>
    <row r="112" spans="1:14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M128"/>
      <c r="N128" s="68"/>
    </row>
    <row r="129" spans="1:14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M129"/>
      <c r="N129" s="68"/>
    </row>
    <row r="130" spans="1:14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M130"/>
      <c r="N130" s="68"/>
    </row>
    <row r="131" spans="1:14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M131"/>
      <c r="N131" s="68"/>
    </row>
    <row r="132" spans="1:14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M132"/>
      <c r="N132" s="68"/>
    </row>
    <row r="133" spans="1:14" x14ac:dyDescent="0.2">
      <c r="A133">
        <v>198</v>
      </c>
      <c r="B133" t="s">
        <v>2894</v>
      </c>
      <c r="C133" s="43" t="s">
        <v>2891</v>
      </c>
      <c r="D133" s="43" t="s">
        <v>2895</v>
      </c>
      <c r="E133" s="43" t="s">
        <v>2895</v>
      </c>
      <c r="H133" t="b">
        <f>ISNUMBER(MATCH(B133,'Old Sheet'!$B$2:$B$305,0))</f>
        <v>1</v>
      </c>
      <c r="I133" s="43" t="s">
        <v>4798</v>
      </c>
      <c r="J133" s="43" t="s">
        <v>5023</v>
      </c>
      <c r="M133"/>
      <c r="N133" s="68"/>
    </row>
    <row r="134" spans="1:14" x14ac:dyDescent="0.2">
      <c r="A134">
        <v>199</v>
      </c>
      <c r="B134" t="s">
        <v>2870</v>
      </c>
      <c r="C134" s="43" t="s">
        <v>2867</v>
      </c>
      <c r="D134" s="43" t="s">
        <v>2871</v>
      </c>
      <c r="E134" s="43" t="s">
        <v>2871</v>
      </c>
      <c r="H134" t="b">
        <f>ISNUMBER(MATCH(B134,'Old Sheet'!$B$2:$B$305,0))</f>
        <v>1</v>
      </c>
      <c r="I134" s="43" t="s">
        <v>4798</v>
      </c>
      <c r="J134" s="43" t="s">
        <v>5023</v>
      </c>
      <c r="M134"/>
      <c r="N134" s="68"/>
    </row>
    <row r="135" spans="1:14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M135"/>
      <c r="N135" s="68"/>
    </row>
    <row r="136" spans="1:14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M136"/>
      <c r="N136" s="68"/>
    </row>
    <row r="137" spans="1:14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M137"/>
      <c r="N137" s="68"/>
    </row>
    <row r="138" spans="1:14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M138"/>
      <c r="N138" s="68"/>
    </row>
    <row r="139" spans="1:14" x14ac:dyDescent="0.2">
      <c r="A139">
        <v>204</v>
      </c>
      <c r="B139" t="s">
        <v>2843</v>
      </c>
      <c r="C139" s="43" t="s">
        <v>2840</v>
      </c>
      <c r="D139" s="43" t="s">
        <v>2844</v>
      </c>
      <c r="E139" s="43" t="s">
        <v>2844</v>
      </c>
      <c r="F139" t="s">
        <v>5151</v>
      </c>
      <c r="H139" t="b">
        <f>ISNUMBER(MATCH(B139,'Old Sheet'!$B$2:$B$305,0))</f>
        <v>1</v>
      </c>
      <c r="I139" s="43" t="s">
        <v>4798</v>
      </c>
      <c r="J139" s="43" t="s">
        <v>5023</v>
      </c>
      <c r="M139"/>
      <c r="N139" s="68"/>
    </row>
    <row r="140" spans="1:14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M140"/>
      <c r="N140" s="68"/>
    </row>
    <row r="141" spans="1:14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M141"/>
      <c r="N141" s="68"/>
    </row>
    <row r="142" spans="1:14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M142"/>
      <c r="N142" s="68"/>
    </row>
    <row r="143" spans="1:14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M143"/>
      <c r="N143" s="68"/>
    </row>
    <row r="144" spans="1:14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M160"/>
      <c r="N160" s="68"/>
    </row>
    <row r="161" spans="1:14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M161"/>
      <c r="N161" s="68"/>
    </row>
    <row r="162" spans="1:14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M162"/>
      <c r="N162" s="68"/>
    </row>
    <row r="163" spans="1:14" x14ac:dyDescent="0.2">
      <c r="A163">
        <v>219</v>
      </c>
      <c r="B163" t="s">
        <v>2792</v>
      </c>
      <c r="C163" s="43" t="s">
        <v>2789</v>
      </c>
      <c r="D163" s="43" t="s">
        <v>2793</v>
      </c>
      <c r="E163" s="43" t="s">
        <v>2793</v>
      </c>
      <c r="F163" t="s">
        <v>5151</v>
      </c>
      <c r="H163" t="b">
        <f>ISNUMBER(MATCH(B163,'Old Sheet'!$B$2:$B$305,0))</f>
        <v>1</v>
      </c>
      <c r="I163" s="43" t="s">
        <v>4798</v>
      </c>
      <c r="J163" s="43" t="s">
        <v>5023</v>
      </c>
      <c r="M163"/>
      <c r="N163" s="68"/>
    </row>
    <row r="164" spans="1:14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M164"/>
      <c r="N164" s="68"/>
    </row>
    <row r="165" spans="1:14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M165"/>
      <c r="N165" s="68"/>
    </row>
    <row r="166" spans="1:14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M166"/>
      <c r="N166" s="68"/>
    </row>
    <row r="167" spans="1:14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M167"/>
      <c r="N167" s="68"/>
    </row>
    <row r="168" spans="1:14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M168"/>
      <c r="N168" s="68"/>
    </row>
    <row r="169" spans="1:14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M169"/>
      <c r="N169" s="68"/>
    </row>
    <row r="170" spans="1:14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M170"/>
      <c r="N170" s="68"/>
    </row>
    <row r="171" spans="1:14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M171"/>
      <c r="N171" s="68"/>
    </row>
    <row r="172" spans="1:14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M172"/>
      <c r="N172" s="68"/>
    </row>
    <row r="173" spans="1:14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M173"/>
      <c r="N173" s="68"/>
    </row>
    <row r="174" spans="1:14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M174"/>
      <c r="N174" s="68"/>
    </row>
    <row r="175" spans="1:14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M175"/>
      <c r="N175" s="68"/>
    </row>
    <row r="176" spans="1:14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M192"/>
      <c r="N192" s="68"/>
    </row>
    <row r="193" spans="1:14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M193"/>
      <c r="N193" s="68"/>
    </row>
    <row r="194" spans="1:14" s="68" customFormat="1" x14ac:dyDescent="0.2">
      <c r="A194" s="68">
        <v>229</v>
      </c>
      <c r="B194" s="68" t="s">
        <v>4739</v>
      </c>
      <c r="C194" s="68" t="s">
        <v>4795</v>
      </c>
      <c r="D194" s="68" t="s">
        <v>4796</v>
      </c>
      <c r="E194" s="68" t="s">
        <v>4796</v>
      </c>
      <c r="F194" s="68" t="s">
        <v>5151</v>
      </c>
      <c r="H194" s="68" t="b">
        <f>ISNUMBER(MATCH(B194,'Old Sheet'!$B$2:$B$305,0))</f>
        <v>1</v>
      </c>
      <c r="I194" s="68" t="s">
        <v>4798</v>
      </c>
      <c r="J194" s="68" t="s">
        <v>5023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8:E194 F14:H14 F16:H16 F21:H27 F30:H30 F35:H35 F42:H44 F46:H52 F58:H61 F64:H68 F71:H74 F79:H79 F83:H83 F98:H99 F114:H114">
    <cfRule type="expression" dxfId="29" priority="71">
      <formula>ISEVEN($B8)</formula>
    </cfRule>
  </conditionalFormatting>
  <conditionalFormatting sqref="C8:E19 F14:H14 F16:H16 F21:H27 F30:H30 F35:H35 F42:H44 F46:H52 F58:H61 F64:H68 F71:H74 F79:H79 F83:H83 F98:H99 F114:H114">
    <cfRule type="expression" dxfId="28" priority="70">
      <formula>$L8&lt;&gt;""</formula>
    </cfRule>
  </conditionalFormatting>
  <conditionalFormatting sqref="C20:E25 C27:E27 C29:E40 C42:E49 C51:E96 C99:E193">
    <cfRule type="expression" dxfId="27" priority="80">
      <formula>$L21&lt;&gt;""</formula>
    </cfRule>
  </conditionalFormatting>
  <conditionalFormatting sqref="C26:E26 C28:E28 C41:E41 C50:E50 C97:E98">
    <cfRule type="expression" dxfId="26" priority="85">
      <formula>#REF!&lt;&gt;""</formula>
    </cfRule>
  </conditionalFormatting>
  <conditionalFormatting sqref="I8:J194">
    <cfRule type="expression" dxfId="25" priority="67">
      <formula>ISEVEN($B8)</formula>
    </cfRule>
  </conditionalFormatting>
  <conditionalFormatting sqref="I8:J194">
    <cfRule type="expression" dxfId="24" priority="65">
      <formula>$L8&lt;&gt;""</formula>
    </cfRule>
  </conditionalFormatting>
  <conditionalFormatting sqref="C194:E194">
    <cfRule type="expression" dxfId="1" priority="94">
      <formula>$K195&lt;&gt;""</formula>
    </cfRule>
  </conditionalFormatting>
  <conditionalFormatting sqref="I8:J194">
    <cfRule type="expression" dxfId="0" priority="96">
      <formula>AND($F8="Yes",$L8="",I8="")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23" priority="22">
      <formula>ISEVEN($B4)</formula>
    </cfRule>
  </conditionalFormatting>
  <conditionalFormatting sqref="H4:I204 K4:L204">
    <cfRule type="expression" dxfId="22" priority="21">
      <formula>AND($F4="Yes",$J4="",H4="")</formula>
    </cfRule>
  </conditionalFormatting>
  <conditionalFormatting sqref="B4:U204">
    <cfRule type="expression" dxfId="21" priority="20">
      <formula>$J4&lt;&gt;""</formula>
    </cfRule>
  </conditionalFormatting>
  <conditionalFormatting sqref="U4:U204">
    <cfRule type="expression" dxfId="20" priority="19">
      <formula>AND(B4="Yes",U4="")</formula>
    </cfRule>
  </conditionalFormatting>
  <conditionalFormatting sqref="T4:T204">
    <cfRule type="expression" dxfId="19" priority="18">
      <formula>AND(B4="Yes",T4="")</formula>
    </cfRule>
  </conditionalFormatting>
  <conditionalFormatting sqref="S4:S204">
    <cfRule type="expression" dxfId="18" priority="17">
      <formula>AND(B4="Yes",S4="")</formula>
    </cfRule>
  </conditionalFormatting>
  <conditionalFormatting sqref="R4:R204">
    <cfRule type="expression" dxfId="17" priority="16">
      <formula>AND(B4="Yes",R4="")</formula>
    </cfRule>
  </conditionalFormatting>
  <conditionalFormatting sqref="U75">
    <cfRule type="expression" dxfId="16" priority="15">
      <formula>AND(E75="Yes",U75="")</formula>
    </cfRule>
  </conditionalFormatting>
  <conditionalFormatting sqref="U76">
    <cfRule type="expression" dxfId="15" priority="14">
      <formula>AND(E76="Yes",U76="")</formula>
    </cfRule>
  </conditionalFormatting>
  <conditionalFormatting sqref="U77">
    <cfRule type="expression" dxfId="14" priority="13">
      <formula>AND(E77="Yes",U77="")</formula>
    </cfRule>
  </conditionalFormatting>
  <conditionalFormatting sqref="U78">
    <cfRule type="expression" dxfId="13" priority="12">
      <formula>AND(E78="Yes",U78="")</formula>
    </cfRule>
  </conditionalFormatting>
  <conditionalFormatting sqref="U79">
    <cfRule type="expression" dxfId="12" priority="11">
      <formula>AND(E79="Yes",U79="")</formula>
    </cfRule>
  </conditionalFormatting>
  <conditionalFormatting sqref="U88">
    <cfRule type="expression" dxfId="11" priority="10">
      <formula>AND(E88="Yes",U88="")</formula>
    </cfRule>
  </conditionalFormatting>
  <conditionalFormatting sqref="U89">
    <cfRule type="expression" dxfId="10" priority="9">
      <formula>AND(E89="Yes",U89="")</formula>
    </cfRule>
  </conditionalFormatting>
  <conditionalFormatting sqref="U90">
    <cfRule type="expression" dxfId="9" priority="8">
      <formula>AND(E90="Yes",U90="")</formula>
    </cfRule>
  </conditionalFormatting>
  <conditionalFormatting sqref="U91">
    <cfRule type="expression" dxfId="8" priority="7">
      <formula>AND(E91="Yes",U91="")</formula>
    </cfRule>
  </conditionalFormatting>
  <conditionalFormatting sqref="U92">
    <cfRule type="expression" dxfId="7" priority="6">
      <formula>AND(E92="Yes",U92="")</formula>
    </cfRule>
  </conditionalFormatting>
  <conditionalFormatting sqref="U92:U93">
    <cfRule type="expression" dxfId="6" priority="5">
      <formula>AND(E92="Yes",U92="")</formula>
    </cfRule>
  </conditionalFormatting>
  <conditionalFormatting sqref="U92:U94">
    <cfRule type="expression" dxfId="5" priority="4">
      <formula>AND(E92="Yes",U92="")</formula>
    </cfRule>
  </conditionalFormatting>
  <conditionalFormatting sqref="U97">
    <cfRule type="expression" dxfId="4" priority="3">
      <formula>AND(E97="Yes",U97="")</formula>
    </cfRule>
  </conditionalFormatting>
  <conditionalFormatting sqref="U102">
    <cfRule type="expression" dxfId="3" priority="2">
      <formula>AND(E102="Yes",U102="")</formula>
    </cfRule>
  </conditionalFormatting>
  <conditionalFormatting sqref="U103">
    <cfRule type="expression" dxfId="2" priority="1">
      <formula>AND(E103="Yes",U103="")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60" workbookViewId="0">
      <selection activeCell="C144" sqref="C144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topLeftCell="A129" workbookViewId="0">
      <selection activeCell="J2" sqref="J2:J52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2025-02-04T14:06:22Z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