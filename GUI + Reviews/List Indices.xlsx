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338" documentId="8_{E116395F-23B1-4781-867C-818128799F0D}" xr6:coauthVersionLast="47" xr6:coauthVersionMax="47" xr10:uidLastSave="{B57136E5-02A4-4143-99B3-E99351041275}"/>
  <bookViews>
    <workbookView xWindow="-29115" yWindow="-16005" windowWidth="29040" windowHeight="1572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Sheet1!$A$4:$I$31</definedName>
    <definedName name="_xlnm._FilterDatabase" localSheetId="1" hidden="1">'To automate'!$R$8:$T$313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<sst xmlns="http://schemas.openxmlformats.org/spreadsheetml/2006/main" count="22251" uniqueCount="5186">
  <si>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</si>
  <si>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</si>
  <si>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</si>
  <si>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</si>
  <si>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</si>
  <si>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</si>
  <si>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</si>
  <si>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</si>
  <si>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</si>
  <si>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</si>
  <si>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</si>
  <si>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</si>
  <si>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</si>
  <si>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</si>
  <si>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</si>
  <si>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</si>
  <si>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</si>
  <si>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</si>
  <si>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</si>
  <si>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</si>
  <si>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</si>
  <si>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</si>
  <si>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</si>
  <si>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</si>
  <si>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</si>
  <si>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</si>
  <si>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</si>
  <si>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</si>
  <si>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</si>
  <si>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</si>
  <si>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</si>
  <si>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</si>
  <si>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</si>
  <si>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</si>
  <si>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</si>
  <si>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</si>
  <si>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</si>
  <si>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</si>
  <si>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</si>
  <si>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</si>
  <si>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</si>
  <si>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</si>
  <si>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</si>
  <si>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</si>
  <si>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</si>
  <si>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</si>
  <si>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</si>
  <si>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</si>
  <si>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</si>
  <si>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</si>
  <si>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</si>
  <si>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</si>
  <si>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</si>
  <si>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</si>
  <si>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</si>
  <si>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</si>
  <si>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</si>
  <si>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</si>
  <si>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</si>
  <si>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</si>
  <si>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</si>
  <si>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</si>
  <si>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</si>
  <si>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</si>
  <si>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</si>
  <si>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</si>
  <si>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</si>
  <si>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</si>
  <si>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</si>
  <si>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</si>
  <si>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</si>
  <si>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</si>
  <si>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</si>
  <si>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</si>
  <si>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</si>
  <si>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</si>
  <si>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</si>
  <si>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</si>
  <si>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</si>
  <si>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</si>
  <si>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</si>
  <si>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</si>
  <si>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</si>
  <si>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</si>
  <si>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</si>
  <si>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</si>
  <si>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</si>
  <si>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</si>
  <si>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</si>
  <si>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</si>
  <si>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</si>
  <si>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</si>
  <si>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</si>
  <si>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</si>
  <si>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</si>
  <si>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</si>
  <si>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</si>
  <si>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</si>
  <si>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</si>
  <si>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</si>
  <si>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</si>
  <si>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</si>
  <si>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</si>
  <si>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</si>
  <si>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</si>
  <si>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</si>
  <si>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</si>
  <si>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</si>
  <si>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</si>
  <si>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</si>
  <si>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</si>
  <si>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</si>
  <si>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</si>
  <si>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</si>
  <si>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</si>
  <si>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</si>
  <si>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</si>
  <si>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</si>
  <si>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</si>
  <si>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</si>
  <si>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</si>
  <si>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</si>
  <si>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</si>
  <si>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</si>
  <si>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</si>
  <si>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</si>
  <si>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</si>
  <si>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</si>
  <si>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</si>
  <si>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</si>
  <si>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</si>
  <si>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</si>
  <si>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</si>
  <si>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</si>
  <si>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</si>
  <si>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</si>
  <si>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</si>
  <si>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</si>
  <si>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</si>
  <si>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</si>
  <si>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</si>
  <si>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</si>
  <si>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</si>
  <si>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</si>
  <si>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</si>
  <si>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</si>
  <si>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</si>
  <si>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</si>
  <si>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</si>
  <si>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</si>
  <si>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</si>
  <si>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</si>
  <si>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</si>
  <si>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</si>
  <si>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</si>
  <si>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</si>
  <si>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</si>
  <si>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</si>
  <si>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</si>
  <si>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</si>
  <si>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</si>
  <si>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</si>
  <si>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</si>
  <si>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</si>
  <si>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</si>
  <si>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</si>
  <si>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</si>
  <si>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</si>
  <si>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</si>
  <si>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</si>
  <si>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</si>
  <si>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</si>
  <si>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</si>
  <si>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</si>
  <si>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</si>
  <si>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</si>
  <si>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</si>
  <si>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</si>
  <si>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</si>
  <si>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</si>
  <si>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</si>
  <si>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</si>
  <si>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</si>
  <si>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</si>
  <si>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</si>
  <si>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</si>
  <si>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</si>
  <si>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</si>
  <si>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</si>
  <si>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</si>
  <si>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</si>
  <si>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</si>
  <si>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</si>
  <si>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</si>
  <si>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</si>
  <si>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</si>
  <si>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</si>
  <si>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</si>
  <si>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</si>
  <si>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</si>
  <si>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</si>
  <si>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</si>
  <si>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</si>
  <si>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</si>
  <si>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</si>
  <si>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</si>
  <si>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</si>
  <si>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</si>
  <si>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</si>
  <si>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</si>
  <si>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</si>
  <si>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</si>
  <si>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</si>
  <si>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</si>
  <si>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</si>
  <si>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</si>
  <si>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</si>
  <si>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</si>
  <si>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</si>
  <si>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</si>
  <si>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</si>
  <si>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</si>
  <si>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</si>
  <si>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</si>
  <si>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</si>
  <si>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</si>
  <si>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</si>
  <si>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</si>
  <si>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</si>
  <si>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</si>
  <si>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</si>
  <si>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</si>
  <si>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</si>
  <si>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</si>
  <si>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</si>
  <si>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</si>
  <si>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</si>
  <si>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</si>
  <si>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</si>
  <si>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</si>
  <si>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</si>
  <si>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</si>
  <si>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</si>
  <si>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</si>
  <si>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</si>
  <si>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</si>
  <si>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</si>
  <si>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</si>
  <si>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</si>
  <si>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</si>
  <si>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</si>
  <si>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</si>
  <si>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</si>
  <si>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</si>
  <si>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</si>
  <si>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</si>
  <si>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</si>
  <si>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</si>
  <si>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</si>
  <si>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</si>
  <si>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</si>
  <si>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</si>
  <si>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</si>
  <si>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</si>
  <si>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</si>
  <si>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</si>
  <si>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</si>
  <si>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</si>
  <si>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</si>
  <si>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</si>
  <si>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</si>
  <si>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</si>
  <si>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</si>
  <si>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</si>
  <si>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</si>
  <si>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</si>
  <si>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</si>
  <si>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</si>
  <si>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</si>
  <si>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</si>
  <si>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</si>
  <si>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</si>
  <si>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</si>
  <si>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</si>
  <si>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</si>
  <si>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</si>
  <si>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</si>
  <si>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</si>
  <si>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</si>
  <si>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</si>
  <si>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</si>
  <si>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</si>
  <si>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</si>
  <si>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</si>
  <si>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</si>
  <si>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</si>
  <si>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</si>
  <si>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</si>
  <si>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</si>
  <si>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</si>
  <si>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</si>
  <si>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</si>
  <si>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</si>
  <si>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</si>
  <si>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</si>
  <si>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</si>
  <si>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</si>
  <si>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</si>
  <si>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</si>
  <si>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</si>
  <si>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</si>
  <si>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</si>
  <si>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</si>
  <si>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</si>
  <si>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</si>
  <si>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</si>
  <si>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</si>
  <si>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</si>
  <si>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</si>
  <si>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</si>
  <si>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</si>
  <si>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</si>
  <si>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</si>
  <si>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</si>
  <si>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</si>
  <si>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</si>
  <si>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</si>
  <si>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</si>
  <si>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</si>
  <si>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</si>
  <si>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</si>
  <si>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</si>
  <si>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</si>
  <si>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</si>
  <si>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</si>
  <si>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</si>
  <si>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</si>
  <si>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</si>
  <si>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</si>
  <si>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</si>
  <si>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</si>
  <si>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</si>
  <si>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</si>
  <si>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</si>
  <si>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</si>
  <si>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</si>
  <si>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</si>
  <si>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</si>
  <si>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</si>
  <si>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</si>
  <si>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</si>
  <si>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</si>
  <si>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</si>
  <si>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</si>
  <si>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</si>
  <si>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</si>
  <si>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</si>
  <si>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</si>
  <si>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</si>
  <si>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</si>
  <si>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</si>
  <si>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</si>
  <si>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</si>
  <si>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</si>
  <si>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</si>
  <si>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</si>
  <si>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</si>
  <si>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</si>
  <si>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</si>
  <si>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</si>
  <si>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</si>
  <si>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</si>
  <si>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</si>
  <si>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</si>
  <si>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</si>
  <si>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</si>
  <si>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</si>
  <si>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</si>
  <si>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</si>
  <si>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</si>
  <si>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</si>
  <si>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</si>
  <si>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</si>
  <si>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</si>
  <si>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</si>
  <si>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</si>
  <si>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</si>
  <si>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</si>
  <si>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</si>
  <si>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</si>
  <si>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</si>
  <si>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</si>
  <si>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</si>
  <si>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</si>
  <si>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</si>
  <si>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</si>
  <si>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</si>
  <si>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</si>
  <si>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</si>
  <si>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</si>
  <si>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</si>
  <si>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</si>
  <si>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</si>
  <si>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</si>
  <si>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</si>
  <si>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</si>
  <si>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</si>
  <si>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</si>
  <si>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</si>
  <si>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</si>
  <si>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</si>
  <si>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</si>
  <si>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</si>
  <si>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</si>
  <si>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</si>
  <si>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</si>
  <si>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</si>
  <si>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</si>
  <si>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</si>
  <si>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</si>
  <si>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</si>
  <si>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</si>
  <si>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</si>
  <si>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</si>
  <si>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</si>
  <si>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</si>
  <si>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</si>
  <si>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</si>
  <si>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</si>
  <si>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</si>
  <si>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</si>
  <si>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</si>
  <si>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</si>
  <si>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</si>
  <si>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</si>
  <si>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</si>
  <si>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</si>
  <si>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</si>
  <si>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</si>
  <si>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</si>
  <si>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</si>
  <si>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</si>
  <si>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</si>
  <si>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</si>
  <si>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</si>
  <si>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</si>
  <si>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</si>
  <si>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</si>
  <si>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</si>
  <si>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</si>
  <si>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</si>
  <si>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</si>
  <si>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</si>
  <si>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</si>
  <si>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</si>
  <si>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</si>
  <si>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</si>
  <si>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</si>
  <si>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</si>
  <si>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</si>
  <si>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</si>
  <si>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</si>
  <si>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</si>
  <si>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</si>
  <si>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</si>
  <si>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</si>
  <si>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</si>
  <si>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</si>
  <si>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</si>
  <si>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</si>
  <si>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</si>
  <si>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</si>
  <si>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</si>
  <si>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</si>
  <si>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</si>
  <si>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</si>
  <si>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</si>
  <si>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</si>
  <si>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</si>
  <si>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</si>
  <si>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</si>
  <si>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</si>
  <si>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</si>
  <si>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</si>
  <si>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</si>
  <si>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</si>
  <si>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</si>
  <si>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</si>
  <si>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</si>
  <si>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</si>
  <si>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</si>
  <si>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</si>
  <si>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</si>
  <si>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</si>
  <si>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</si>
  <si>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</si>
  <si>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</si>
  <si>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</si>
  <si>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</si>
  <si>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</si>
  <si>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</si>
  <si>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</si>
  <si>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</si>
  <si>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</si>
  <si>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</si>
  <si>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</si>
  <si>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</si>
  <si>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</si>
  <si>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</si>
  <si>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</si>
  <si>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</si>
  <si>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</si>
  <si>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</si>
  <si>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</si>
  <si>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</si>
  <si>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</si>
  <si>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</si>
  <si>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</si>
  <si>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</si>
  <si>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</si>
  <si>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</si>
  <si>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</si>
  <si>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</si>
  <si>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</si>
  <si>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</si>
  <si>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</si>
  <si>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</si>
  <si>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</si>
  <si>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</si>
  <si>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</si>
  <si>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</si>
  <si>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</si>
  <si>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</si>
  <si>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</si>
  <si>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</si>
  <si>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</si>
  <si>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</si>
  <si>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</si>
  <si>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</si>
  <si>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</si>
  <si>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</si>
  <si>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</si>
  <si>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</si>
  <si>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</si>
  <si>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</si>
  <si>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</si>
  <si>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</si>
  <si>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</si>
  <si>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</si>
  <si>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</si>
  <si>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</si>
  <si>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</si>
  <si>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</si>
  <si>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</si>
  <si>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</si>
  <si>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</si>
  <si>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</si>
  <si>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</si>
  <si>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</si>
  <si>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</si>
  <si>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</si>
  <si>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</si>
  <si>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</si>
  <si>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</si>
  <si>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</si>
  <si>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</si>
  <si>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</si>
  <si>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</si>
  <si>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</si>
  <si>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</si>
  <si>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</si>
  <si>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</si>
  <si>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</si>
  <si>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</si>
  <si>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</si>
  <si>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</si>
  <si>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</si>
  <si>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</si>
  <si>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</si>
  <si>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</si>
  <si>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</si>
  <si>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</si>
  <si>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</si>
  <si>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</si>
  <si>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</si>
  <si>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</si>
  <si>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</si>
  <si>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</si>
  <si>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</si>
  <si>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</si>
  <si>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</si>
  <si>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</si>
  <si>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</si>
  <si>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</si>
  <si>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</si>
  <si>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</si>
  <si>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</si>
  <si>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</si>
  <si>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</si>
  <si>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</si>
  <si>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</si>
  <si>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</si>
  <si>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</si>
  <si>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</si>
  <si>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</si>
  <si>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</si>
  <si>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</si>
  <si>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</si>
  <si>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</si>
  <si>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</si>
  <si>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</si>
  <si>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</si>
  <si>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</si>
  <si>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</si>
  <si>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</si>
  <si>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</si>
  <si>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</si>
  <si>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</si>
  <si>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</si>
  <si>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</si>
  <si>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</si>
  <si>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</si>
  <si>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</si>
  <si>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</si>
  <si>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</si>
  <si>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</si>
  <si>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</si>
  <si>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</si>
  <si>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</si>
  <si>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</si>
  <si>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</si>
  <si>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</si>
  <si>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</si>
  <si>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</si>
  <si>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</si>
  <si>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</si>
  <si>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</si>
  <si>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</si>
  <si>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</si>
  <si>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</si>
  <si>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</si>
  <si>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</si>
  <si>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</si>
  <si>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</si>
  <si>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</si>
  <si>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</si>
  <si>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</si>
  <si>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</si>
  <si>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</si>
  <si>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</si>
  <si>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</si>
  <si>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</si>
  <si>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</si>
  <si>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</si>
  <si>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</si>
  <si>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</si>
  <si>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</si>
  <si>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</si>
  <si>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</si>
  <si>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</si>
  <si>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</si>
  <si>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</si>
  <si>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</si>
  <si>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</si>
  <si>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</si>
  <si>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</si>
  <si>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</si>
  <si>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</si>
  <si>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</si>
  <si>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</si>
  <si>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</si>
  <si>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</si>
  <si>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</si>
  <si>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</si>
  <si>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</si>
  <si>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</si>
  <si>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</si>
  <si>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</si>
  <si>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</si>
  <si>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</si>
  <si>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</si>
  <si>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</si>
  <si>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</si>
  <si>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</si>
  <si>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</si>
  <si>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</si>
  <si>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</si>
  <si>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</si>
  <si>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</si>
  <si>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</si>
  <si>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</si>
  <si>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</si>
  <si>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</si>
  <si>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</si>
  <si>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</si>
  <si>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</si>
  <si>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</si>
  <si>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</si>
  <si>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</si>
  <si>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</si>
  <si>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</si>
  <si>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</si>
  <si>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</si>
  <si>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</si>
  <si>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</si>
  <si>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</si>
  <si>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</si>
  <si>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</si>
  <si>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</si>
  <si>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</si>
  <si>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</si>
  <si>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</si>
  <si>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</si>
  <si>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</si>
  <si>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</si>
  <si>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</si>
  <si>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</si>
  <si>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</si>
  <si>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</si>
  <si>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</si>
  <si>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</si>
  <si>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</si>
  <si>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</si>
  <si>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</si>
  <si>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</si>
  <si>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</si>
  <si>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</si>
  <si>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</si>
  <si>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</si>
  <si>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</si>
  <si>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</si>
  <si>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</si>
  <si>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</si>
  <si>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</si>
  <si>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</si>
  <si>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</si>
  <si>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</si>
  <si>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</si>
  <si>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</si>
  <si>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</si>
  <si>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</si>
  <si>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</si>
  <si>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</si>
  <si>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</si>
  <si>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</si>
  <si>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</si>
  <si>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</si>
  <si>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</si>
  <si>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</si>
  <si>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</si>
  <si>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</si>
  <si>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</si>
  <si>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</si>
  <si>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</si>
  <si>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</si>
  <si>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</si>
  <si>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</si>
  <si>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</si>
  <si>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</si>
  <si>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</si>
  <si>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</si>
  <si>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</si>
  <si>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</si>
  <si>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</si>
  <si>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</si>
  <si>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</si>
  <si>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</si>
  <si>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</si>
  <si>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</si>
  <si>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</si>
  <si>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</si>
  <si>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</si>
  <si>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</si>
  <si>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</si>
  <si>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</si>
  <si>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</si>
  <si>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</si>
  <si>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</si>
  <si>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</si>
  <si>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</si>
  <si>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</si>
  <si>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</si>
  <si>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</si>
  <si>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</si>
  <si>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</si>
  <si>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</si>
  <si>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</si>
  <si>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</si>
  <si>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</si>
  <si>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</si>
  <si>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</si>
  <si>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</si>
  <si>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</si>
  <si>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</si>
  <si>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</si>
  <si>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</si>
  <si>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</si>
  <si>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</si>
  <si>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</si>
  <si>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</si>
  <si>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</si>
  <si>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</si>
  <si>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</si>
  <si>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</si>
  <si>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</si>
  <si>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</si>
  <si>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</si>
  <si>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</si>
  <si>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</si>
  <si>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</si>
  <si>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</si>
  <si>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</si>
  <si>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</si>
  <si>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</si>
  <si>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</si>
  <si>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</si>
  <si>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</si>
  <si>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</si>
  <si>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</si>
  <si>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</si>
  <si>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</si>
  <si>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</si>
  <si>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</si>
  <si>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</si>
  <si>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</si>
  <si>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</si>
  <si>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</si>
  <si>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</si>
  <si>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</si>
  <si>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</si>
  <si>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</si>
  <si>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</si>
  <si>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</si>
  <si>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</si>
  <si>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</si>
  <si>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</si>
  <si>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</si>
  <si>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</si>
  <si>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</si>
  <si>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</si>
  <si>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</si>
  <si>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</si>
  <si>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</si>
  <si>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</si>
  <si>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</si>
  <si>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</si>
  <si>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</si>
  <si>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</si>
  <si>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</si>
  <si>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</si>
  <si>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</si>
  <si>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</si>
  <si>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</si>
  <si>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</si>
  <si>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</si>
  <si>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</si>
  <si>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</si>
  <si>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</si>
  <si>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</si>
  <si>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</si>
  <si>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</si>
  <si>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</si>
  <si>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</si>
  <si>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</si>
  <si>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</si>
  <si>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</si>
  <si>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</si>
  <si>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</si>
  <si>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</si>
  <si>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</si>
  <si>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</si>
  <si>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</si>
  <si>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</si>
  <si>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</si>
  <si>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</si>
  <si>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</si>
  <si>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</si>
  <si>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</si>
  <si>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</si>
  <si>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</si>
  <si>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</si>
  <si>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</si>
  <si>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</si>
  <si>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</si>
  <si>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</si>
  <si>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</si>
  <si>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</si>
  <si>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</si>
  <si>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</si>
  <si>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</si>
  <si>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</si>
  <si>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</si>
  <si>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</si>
  <si>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</si>
  <si>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</si>
  <si>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</si>
  <si>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</si>
  <si>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</si>
  <si>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</si>
  <si>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</si>
  <si>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</si>
  <si>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</si>
  <si>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</si>
  <si>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</si>
  <si>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</si>
  <si>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</si>
  <si>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</si>
  <si>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</si>
  <si>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</si>
  <si>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</si>
  <si>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</si>
  <si>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</si>
  <si>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</si>
  <si>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</si>
  <si>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</si>
  <si>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</si>
  <si>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</si>
  <si>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</si>
  <si>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</si>
  <si>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</si>
  <si>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</si>
  <si>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</si>
  <si>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</si>
  <si>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</si>
  <si>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</si>
  <si>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</si>
  <si>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</si>
  <si>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</si>
  <si>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</si>
  <si>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</si>
  <si>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</si>
  <si>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</si>
  <si>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</si>
  <si>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</si>
  <si>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</si>
  <si>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</si>
  <si>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</si>
  <si>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</si>
  <si>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</si>
  <si>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</si>
  <si>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</si>
  <si>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</si>
  <si>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</si>
  <si>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</si>
  <si>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</si>
  <si>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</si>
  <si>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</si>
  <si>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</si>
  <si>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</si>
  <si>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</si>
  <si>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</si>
  <si>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</si>
  <si>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</si>
  <si>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</si>
  <si>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</si>
  <si>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</si>
  <si>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</si>
  <si>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</si>
  <si>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</si>
  <si>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</si>
  <si>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</si>
  <si>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</si>
  <si>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</si>
  <si>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</si>
  <si>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</si>
  <si>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</si>
  <si>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</si>
  <si>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</si>
  <si>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</si>
  <si>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</si>
  <si>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</si>
  <si>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</si>
  <si>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</si>
  <si>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</si>
  <si>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</si>
  <si>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</si>
  <si>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</si>
  <si>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</si>
  <si>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</si>
  <si>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</si>
  <si>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</si>
  <si>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</si>
  <si>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</si>
  <si>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</si>
  <si>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</si>
  <si>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</si>
  <si>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</si>
  <si>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</si>
  <si>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</si>
  <si>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</si>
  <si>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</si>
  <si>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</si>
  <si>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</si>
  <si>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</si>
  <si>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</si>
  <si>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</si>
  <si>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</si>
  <si>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</si>
  <si>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</si>
  <si>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</si>
  <si>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</si>
  <si>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</si>
  <si>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</si>
  <si>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</si>
  <si>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</si>
  <si>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</si>
  <si>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</si>
  <si>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</si>
  <si>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</si>
  <si>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</si>
  <si>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</si>
  <si>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</si>
  <si>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</si>
  <si>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</si>
  <si>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</si>
  <si>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</si>
  <si>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</si>
  <si>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</si>
  <si>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</si>
  <si>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</si>
  <si>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</si>
  <si>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</si>
  <si>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</si>
  <si>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</si>
  <si>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</si>
  <si>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</si>
  <si>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</si>
  <si>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</si>
  <si>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</si>
  <si>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</si>
  <si>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</si>
  <si>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</si>
  <si>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</si>
  <si>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</si>
  <si>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</si>
  <si>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</si>
  <si>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</si>
  <si>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</si>
  <si>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</si>
  <si>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</si>
  <si>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</si>
  <si>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</si>
  <si>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</si>
  <si>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</si>
  <si>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</si>
  <si>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</si>
  <si>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</si>
  <si>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</si>
  <si>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</si>
  <si>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</si>
  <si>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</si>
  <si>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</si>
  <si>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</si>
  <si>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</si>
  <si>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</si>
  <si>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</si>
  <si>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</si>
  <si>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</si>
  <si>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</si>
  <si>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</si>
  <si>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</si>
  <si>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</si>
  <si>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</si>
  <si>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</si>
  <si>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</si>
  <si>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</si>
  <si>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</si>
  <si>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</si>
  <si>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</si>
  <si>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</si>
  <si>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</si>
  <si>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</si>
  <si>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</si>
  <si>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</si>
  <si>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</si>
  <si>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</si>
  <si>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</si>
  <si>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</si>
  <si>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</si>
  <si>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</si>
  <si>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</si>
  <si>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</si>
  <si>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</si>
  <si>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</si>
  <si>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</si>
  <si>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</si>
  <si>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</si>
  <si>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</si>
  <si>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</si>
  <si>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</si>
  <si>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</si>
  <si>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</si>
  <si>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</si>
  <si>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</si>
  <si>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</si>
  <si>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</si>
  <si>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</si>
  <si>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</si>
  <si>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</si>
  <si>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</si>
  <si>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</si>
  <si>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</si>
  <si>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</si>
  <si>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</si>
  <si>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</si>
  <si>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</si>
  <si>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</si>
  <si>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</si>
  <si>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</si>
  <si>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</si>
  <si>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</si>
  <si>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</si>
  <si>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</si>
  <si>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</si>
  <si>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</si>
  <si>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</si>
  <si>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</si>
  <si>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</si>
  <si>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</si>
  <si>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</si>
  <si>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</si>
  <si>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</si>
  <si>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</si>
  <si>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</si>
  <si>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</si>
  <si>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</si>
  <si>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</si>
  <si>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</si>
  <si>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</si>
  <si>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</si>
  <si>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</si>
  <si>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</si>
  <si>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</si>
  <si>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</si>
  <si>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</si>
  <si>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</si>
  <si>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</si>
  <si>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</si>
  <si>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</si>
  <si>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</si>
  <si>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</si>
  <si>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</si>
  <si>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</si>
  <si>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</si>
  <si>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</si>
  <si>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</si>
  <si>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</si>
  <si>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</si>
  <si>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</si>
  <si>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</si>
  <si>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</si>
  <si>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</si>
  <si>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</si>
  <si>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</si>
  <si>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</si>
  <si>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</si>
  <si>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</si>
  <si>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</si>
  <si>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</si>
  <si>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</si>
  <si>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</si>
  <si>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</si>
  <si>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</si>
  <si>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</si>
  <si>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</si>
  <si>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</si>
  <si>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</si>
  <si>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</si>
  <si>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</si>
  <si>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</si>
  <si>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</si>
  <si>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</si>
  <si>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</si>
  <si>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</si>
  <si>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</si>
  <si>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</si>
  <si>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</si>
  <si>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</si>
  <si>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</si>
  <si>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</si>
  <si>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</si>
  <si>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</si>
  <si>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</si>
  <si>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</si>
  <si>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</si>
  <si>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</si>
  <si>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</si>
  <si>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</si>
  <si>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</si>
  <si>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</si>
  <si>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</si>
  <si>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</si>
  <si>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</si>
  <si>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</si>
  <si>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</si>
  <si>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</si>
  <si>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</si>
  <si>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</si>
  <si>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</si>
  <si>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</si>
  <si>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</si>
  <si>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</si>
  <si>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</si>
  <si>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</si>
  <si>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</si>
  <si>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</si>
  <si>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</si>
  <si>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</si>
  <si>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</si>
  <si>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</si>
  <si>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</si>
  <si>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</si>
  <si>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</si>
  <si>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</si>
  <si>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</si>
  <si>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</si>
  <si>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</si>
  <si>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</si>
  <si>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</si>
  <si>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</si>
  <si>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</si>
  <si>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</si>
  <si>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</si>
  <si>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</si>
  <si>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</si>
  <si>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</si>
  <si>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</si>
  <si>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</si>
  <si>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</si>
  <si>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</si>
  <si>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</si>
  <si>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</si>
  <si>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</si>
  <si>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</si>
  <si>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</si>
  <si>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</si>
  <si>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</si>
  <si>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</si>
  <si>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</si>
  <si>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</si>
  <si>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</si>
  <si>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</si>
  <si>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</si>
  <si>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</si>
  <si>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</si>
  <si>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</si>
  <si>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</si>
  <si>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</si>
  <si>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</si>
  <si>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</si>
  <si>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</si>
  <si>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</si>
  <si>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</si>
  <si>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</si>
  <si>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</si>
  <si>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</si>
  <si>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</si>
  <si>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</si>
  <si>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</si>
  <si>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</si>
  <si>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</si>
  <si>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</si>
  <si>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</si>
  <si>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</si>
  <si>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</si>
  <si>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</si>
  <si>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</si>
  <si>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</si>
  <si>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</si>
  <si>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</si>
  <si>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</si>
  <si>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</si>
  <si>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</si>
  <si>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</si>
  <si>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</si>
  <si>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</si>
  <si>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</si>
  <si>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</si>
  <si>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</si>
  <si>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</si>
  <si>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</si>
  <si>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</si>
  <si>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</si>
  <si>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</si>
  <si>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</si>
  <si>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</si>
  <si>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</si>
  <si>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</si>
  <si>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</si>
  <si>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</si>
  <si>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</si>
  <si>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</si>
  <si>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</si>
  <si>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</si>
  <si>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</si>
  <si>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</si>
  <si>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</si>
  <si>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</si>
  <si>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</si>
  <si>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</si>
  <si>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</si>
  <si>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</si>
  <si>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</si>
  <si>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</si>
  <si>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</si>
  <si>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</si>
  <si>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</si>
  <si>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</si>
  <si>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</si>
  <si>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</si>
  <si>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</si>
  <si>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</si>
  <si>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</si>
  <si>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</si>
  <si>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</si>
  <si>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</si>
  <si>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</si>
  <si>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</si>
  <si>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</si>
  <si>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</si>
  <si>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</si>
  <si>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</si>
  <si>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</si>
  <si>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</si>
  <si>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</si>
  <si>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</si>
  <si>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</si>
  <si>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</si>
  <si>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</si>
  <si>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</si>
  <si>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</si>
  <si>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</si>
  <si>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</si>
  <si>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</si>
  <si>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</si>
  <si>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</si>
  <si>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</si>
  <si>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</si>
  <si>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</si>
  <si>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</si>
  <si>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</si>
  <si>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</si>
  <si>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</si>
  <si>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</si>
  <si>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</si>
  <si>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</si>
  <si>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</si>
  <si>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</si>
  <si>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</si>
  <si>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</si>
  <si>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</si>
  <si>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</si>
  <si>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</si>
  <si>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</si>
  <si>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</si>
  <si>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</si>
  <si>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</si>
  <si>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</si>
  <si>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</si>
  <si>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</si>
  <si>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</si>
  <si>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</si>
  <si>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</si>
  <si>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</si>
  <si>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</si>
  <si>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</si>
  <si>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</si>
  <si>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</si>
  <si>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</si>
  <si>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</si>
  <si>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</si>
  <si>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</si>
  <si>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</si>
  <si>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</si>
  <si>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</si>
  <si>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</si>
  <si>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</si>
  <si>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</si>
  <si>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</si>
  <si>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</si>
  <si>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</si>
  <si>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</si>
  <si>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</si>
  <si>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</si>
  <si>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</si>
  <si>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</si>
  <si>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</si>
  <si>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</si>
  <si>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</si>
  <si>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</si>
  <si>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</si>
  <si>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</si>
  <si>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</si>
  <si>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</si>
  <si>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</si>
  <si>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</si>
  <si>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</si>
  <si>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</si>
  <si>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</si>
  <si>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</si>
  <si>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</si>
  <si>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</si>
  <si>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</si>
  <si>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</si>
  <si>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</si>
  <si>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</si>
  <si>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</si>
  <si>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</si>
  <si>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</si>
  <si>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</si>
  <si>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</si>
  <si>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</si>
  <si>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</si>
  <si>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</si>
  <si>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</si>
  <si>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</si>
  <si>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</si>
  <si>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</si>
  <si>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</si>
  <si>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</si>
  <si>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</si>
  <si>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</si>
  <si>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</si>
  <si>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</si>
  <si>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</si>
  <si>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</si>
  <si>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</si>
  <si>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</si>
  <si>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</si>
  <si>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</si>
  <si>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</si>
  <si>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</si>
  <si>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</si>
  <si>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</si>
  <si>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</si>
  <si>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</si>
  <si>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</si>
  <si>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</si>
  <si>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</si>
  <si>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</si>
  <si>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</si>
  <si>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</si>
  <si>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</si>
  <si>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</si>
  <si>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</si>
  <si>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</si>
  <si>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</si>
  <si>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</si>
  <si>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</si>
  <si>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</si>
  <si>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</si>
  <si>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</si>
  <si>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</si>
  <si>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</si>
  <si>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</si>
  <si>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</si>
  <si>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</si>
  <si>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</si>
  <si>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</si>
  <si>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</si>
  <si>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</si>
  <si>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</si>
  <si>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</si>
  <si>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</si>
  <si>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</si>
  <si>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</si>
  <si>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</si>
  <si>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</si>
  <si>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</si>
  <si>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</si>
  <si>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</si>
  <si>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</si>
  <si>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</si>
  <si>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</si>
  <si>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</si>
  <si>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</si>
  <si>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</si>
  <si>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</si>
  <si>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</si>
  <si>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</si>
  <si>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</si>
  <si>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</si>
  <si>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</si>
  <si>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</si>
  <si>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</si>
  <si>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</si>
  <si>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</si>
  <si>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</si>
  <si>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</si>
  <si>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</si>
  <si>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</si>
  <si>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</si>
  <si>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</si>
  <si>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</si>
  <si>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</si>
  <si>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</si>
  <si>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</si>
  <si>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</si>
  <si>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</si>
  <si>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</si>
  <si>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</si>
  <si>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</si>
  <si>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</si>
  <si>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</si>
  <si>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</si>
  <si>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</si>
  <si>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</si>
  <si>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</si>
  <si>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</si>
  <si>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</si>
  <si>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</si>
  <si>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</si>
  <si>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</si>
  <si>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</si>
  <si>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</si>
  <si>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</si>
  <si>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</si>
  <si>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</si>
  <si>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</si>
  <si>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</si>
  <si>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</si>
  <si>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</si>
  <si>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</si>
  <si>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</si>
  <si>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</si>
  <si>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</si>
  <si>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</si>
  <si>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</si>
  <si>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</si>
  <si>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</si>
  <si>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</si>
  <si>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</si>
  <si>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</si>
  <si>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</si>
  <si>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</si>
  <si>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</si>
  <si>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</si>
  <si>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</si>
  <si>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</si>
  <si>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</si>
  <si>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</si>
  <si>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</si>
  <si>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</si>
  <si>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</si>
  <si>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</si>
  <si>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</si>
  <si>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</si>
  <si>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</si>
  <si>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</si>
  <si>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</si>
  <si>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</si>
  <si>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</si>
  <si>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</si>
  <si>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</si>
  <si>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</si>
  <si>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</si>
  <si>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</si>
  <si>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</si>
  <si>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</si>
  <si>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</si>
  <si>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</si>
  <si>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</si>
  <si>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</si>
  <si>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</si>
  <si>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</si>
  <si>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</si>
  <si>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</si>
  <si>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</si>
  <si>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</si>
  <si>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</si>
  <si>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</si>
  <si>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</si>
  <si>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</si>
  <si>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</si>
  <si>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</si>
  <si>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</si>
  <si>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</si>
  <si>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</si>
  <si>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</si>
  <si>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</si>
  <si>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</si>
  <si>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</si>
  <si>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</si>
  <si>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</si>
  <si>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</si>
  <si>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</si>
  <si>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</si>
  <si>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</si>
  <si>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</si>
  <si>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</si>
  <si>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</si>
  <si>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</si>
  <si>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</si>
  <si>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</si>
  <si>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</si>
  <si>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</si>
  <si>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</si>
  <si>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</si>
  <si>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</si>
  <si>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</si>
  <si>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</si>
  <si>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</si>
  <si>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</si>
  <si>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</si>
  <si>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</si>
  <si>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</si>
  <si>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</si>
  <si>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</si>
  <si>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</si>
  <si>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</si>
  <si>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</si>
  <si>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</si>
  <si>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</si>
  <si>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</si>
  <si>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</si>
  <si>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</si>
  <si>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</si>
  <si>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</si>
  <si>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</si>
  <si>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</si>
  <si>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</si>
  <si>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</si>
  <si>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</si>
  <si>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</si>
  <si>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</si>
  <si>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</si>
  <si>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</si>
  <si>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</si>
  <si>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</si>
  <si>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</si>
  <si>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</si>
  <si>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</si>
  <si>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</si>
  <si>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</si>
  <si>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</si>
  <si>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</si>
  <si>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</si>
  <si>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</si>
  <si>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</si>
  <si>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</si>
  <si>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</si>
  <si>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</si>
  <si>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</si>
  <si>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</si>
  <si>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</si>
  <si>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</si>
  <si>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</si>
  <si>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</si>
  <si>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</si>
  <si>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</si>
  <si>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</si>
  <si>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</si>
  <si>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</si>
  <si>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</si>
  <si>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</si>
  <si>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</si>
  <si>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</si>
  <si>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</si>
  <si>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</si>
  <si>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</si>
  <si>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</si>
  <si>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</si>
  <si>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</si>
  <si>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</si>
  <si>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</si>
  <si>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</si>
  <si>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</si>
  <si>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</si>
  <si>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</si>
  <si>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</si>
  <si>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</si>
  <si>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</si>
  <si>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</si>
  <si>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</si>
  <si>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</si>
  <si>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</si>
  <si>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</si>
  <si>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</si>
  <si>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</si>
  <si>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</si>
  <si>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</si>
  <si>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</si>
  <si>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</si>
  <si>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</si>
  <si>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</si>
  <si>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</si>
  <si>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</si>
  <si>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</si>
  <si>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</si>
  <si>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</si>
  <si>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</si>
  <si>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</si>
  <si>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</si>
  <si>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</si>
  <si>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</si>
  <si>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</si>
  <si>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</si>
  <si>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</si>
  <si>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</si>
  <si>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</si>
  <si>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</si>
  <si>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</si>
  <si>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</si>
  <si>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</si>
  <si>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</si>
  <si>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</si>
  <si>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</si>
  <si>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</si>
  <si>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</si>
  <si>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</si>
  <si>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</si>
  <si>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</si>
  <si>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</si>
  <si>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</si>
  <si>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</si>
  <si>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</si>
  <si>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</si>
  <si>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</si>
  <si>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</si>
  <si>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</si>
  <si>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</si>
  <si>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</si>
  <si>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</si>
  <si>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</si>
  <si>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</si>
  <si>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</si>
  <si>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</si>
  <si>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</si>
  <si>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</si>
  <si>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</si>
  <si>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</si>
  <si>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</si>
  <si>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</si>
  <si>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</si>
  <si>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</si>
  <si>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</si>
  <si>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</si>
  <si>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</si>
  <si>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</si>
  <si>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</si>
  <si>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</si>
  <si>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</si>
  <si>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</si>
  <si>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</si>
  <si>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</si>
  <si>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</si>
  <si>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</si>
  <si>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</si>
  <si>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</si>
  <si>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</si>
  <si>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</si>
  <si>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</si>
  <si>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</si>
  <si>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</si>
  <si>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</si>
  <si>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</si>
  <si>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</si>
  <si>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</si>
  <si>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</si>
  <si>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</si>
  <si>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</si>
  <si>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</si>
  <si>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</si>
  <si>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</si>
  <si>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</si>
  <si>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</si>
  <si>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</si>
  <si>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</si>
  <si>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</si>
  <si>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</si>
  <si>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</si>
  <si>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</si>
  <si>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</si>
  <si>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</si>
  <si>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</si>
  <si>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</si>
  <si>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</si>
  <si>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</si>
  <si>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</si>
  <si>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</si>
  <si>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</si>
  <si>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</si>
  <si>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</si>
  <si>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</si>
  <si>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</si>
  <si>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</si>
  <si>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</si>
  <si>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</si>
  <si>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</si>
  <si>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</si>
  <si>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</si>
  <si>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</si>
  <si>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</si>
  <si>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</si>
  <si>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</si>
  <si>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</si>
  <si>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</si>
  <si>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</si>
  <si>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</si>
  <si>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</si>
  <si>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</si>
  <si>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</si>
  <si>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</si>
  <si>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</si>
  <si>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</si>
  <si>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</si>
  <si>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</si>
  <si>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</si>
  <si>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</si>
  <si>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</si>
  <si>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</si>
  <si>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</si>
  <si>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</si>
  <si>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</si>
  <si>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</si>
  <si>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</si>
  <si>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</si>
  <si>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</si>
  <si>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</si>
  <si>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</si>
  <si>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</si>
  <si>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</si>
  <si>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</si>
  <si>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</si>
  <si>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</si>
  <si>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</si>
  <si>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</si>
  <si>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</si>
  <si>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</si>
  <si>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</si>
  <si>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</si>
  <si>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</si>
  <si>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</si>
  <si>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</si>
  <si>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</si>
  <si>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</si>
  <si>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</si>
  <si>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</si>
  <si>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</si>
  <si>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</si>
  <si>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</si>
  <si>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</si>
  <si>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</si>
  <si>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</si>
  <si>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</si>
  <si>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</si>
  <si>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</si>
  <si>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</si>
  <si>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</si>
  <si>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</si>
  <si>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</si>
  <si>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</si>
  <si>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</si>
  <si>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</si>
  <si>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</si>
  <si>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</si>
  <si>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</si>
  <si>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</si>
  <si>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</si>
  <si>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</si>
  <si>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</si>
  <si>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</si>
  <si>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</si>
  <si>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</si>
  <si>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</si>
  <si>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</si>
  <si>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</si>
  <si>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</si>
  <si>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</si>
  <si>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</si>
  <si>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</si>
  <si>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</si>
  <si>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</si>
  <si>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</si>
  <si>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</si>
  <si>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</si>
  <si>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</si>
  <si>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</si>
  <si>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</si>
  <si>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</si>
  <si>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</si>
  <si>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</si>
  <si>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</si>
  <si>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</si>
  <si>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</si>
  <si>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</si>
  <si>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</si>
  <si>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</si>
  <si>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</si>
  <si>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</si>
  <si>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</si>
  <si>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</si>
  <si>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</si>
  <si>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</si>
  <si>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</si>
  <si>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</si>
  <si>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</si>
  <si>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</si>
  <si>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</si>
  <si>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</si>
  <si>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</si>
  <si>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</si>
  <si>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</si>
  <si>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</si>
  <si>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</si>
  <si>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</si>
  <si>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</si>
  <si>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</si>
  <si>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</si>
  <si>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</si>
  <si>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</si>
  <si>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</si>
  <si>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</si>
  <si>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</si>
  <si>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</si>
  <si>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</si>
  <si>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</si>
  <si>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</si>
  <si>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</si>
  <si>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</si>
  <si>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</si>
  <si>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</si>
  <si>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</si>
  <si>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</si>
  <si>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</si>
  <si>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</si>
  <si>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</si>
  <si>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</si>
  <si>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</si>
  <si>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</si>
  <si>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</si>
  <si>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</si>
  <si>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</si>
  <si>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</si>
  <si>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</si>
  <si>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</si>
  <si>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</si>
  <si>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</si>
  <si>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</si>
  <si>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</si>
  <si>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</si>
  <si>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</si>
  <si>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</si>
  <si>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</si>
  <si>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</si>
  <si>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</si>
  <si>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</si>
  <si>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</si>
  <si>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</si>
  <si>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</si>
  <si>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</si>
  <si>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</si>
  <si>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</si>
  <si>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</si>
  <si>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</si>
  <si>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</si>
  <si>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</si>
  <si>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</si>
  <si>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</si>
  <si>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</si>
  <si>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</si>
  <si>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</si>
  <si>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</si>
  <si>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</si>
  <si>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</si>
  <si>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</si>
  <si>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</si>
  <si>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</si>
  <si>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</si>
  <si>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</si>
  <si>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</si>
  <si>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</si>
  <si>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</si>
  <si>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</si>
  <si>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</si>
  <si>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</si>
  <si>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</si>
  <si>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</si>
  <si>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</si>
  <si>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</si>
  <si>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</si>
  <si>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</si>
  <si>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</si>
  <si>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</si>
  <si>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</si>
  <si>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</si>
  <si>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</si>
  <si>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</si>
  <si>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</si>
  <si>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</si>
  <si>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</si>
  <si>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</si>
  <si>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</si>
  <si>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</si>
  <si>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</si>
  <si>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</si>
  <si>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</si>
  <si>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</si>
  <si>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</si>
  <si>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</si>
  <si>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</si>
  <si>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</si>
  <si>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</si>
  <si>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</si>
  <si>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</si>
  <si>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</si>
  <si>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</si>
  <si>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</si>
  <si>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</si>
  <si>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</si>
  <si>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</si>
  <si>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</si>
  <si>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</si>
  <si>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</si>
  <si>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</si>
  <si>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</si>
  <si>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</si>
  <si>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</si>
  <si>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</si>
  <si>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</si>
  <si>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</si>
  <si>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</si>
  <si>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</si>
  <si>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</si>
  <si>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</si>
  <si>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</si>
  <si>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</si>
  <si>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</si>
  <si>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</si>
  <si>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</si>
  <si>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</si>
  <si>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</si>
  <si>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</si>
  <si>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</si>
  <si>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</si>
  <si>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</si>
  <si>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</si>
  <si>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</si>
  <si>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</si>
  <si>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</si>
  <si>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</si>
  <si>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</si>
  <si>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</si>
  <si>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</si>
  <si>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</si>
  <si>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</si>
  <si>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</si>
  <si>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</si>
  <si>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</si>
  <si>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</si>
  <si>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</si>
  <si>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</si>
  <si>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</si>
  <si>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</si>
  <si>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</si>
  <si>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</si>
  <si>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</si>
  <si>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</si>
  <si>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</si>
  <si>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</si>
  <si>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</si>
  <si>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</si>
  <si>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</si>
  <si>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</si>
  <si>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</si>
  <si>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</si>
  <si>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</si>
  <si>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</si>
  <si>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</si>
  <si>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</si>
  <si>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</si>
  <si>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</si>
  <si>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</si>
  <si>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</si>
  <si>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</si>
  <si>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</si>
  <si>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</si>
  <si>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</si>
  <si>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</si>
  <si>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</si>
  <si>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</si>
  <si>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</si>
  <si>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</si>
  <si>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</si>
  <si>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</si>
  <si>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</si>
  <si>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</si>
  <si>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</si>
  <si>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</si>
  <si>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</si>
  <si>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</si>
  <si>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</si>
  <si>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</si>
  <si>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</si>
  <si>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</si>
  <si>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</si>
  <si>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</si>
  <si>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</si>
  <si>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</si>
  <si>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</si>
  <si>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</si>
  <si>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</si>
  <si>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</si>
  <si>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</si>
  <si>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</si>
  <si>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</si>
  <si>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</si>
  <si>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</si>
  <si>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</si>
  <si>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</si>
  <si>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</si>
  <si>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</si>
  <si>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</si>
  <si>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</si>
  <si>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</si>
  <si>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</si>
  <si>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</si>
  <si>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</si>
  <si>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</si>
  <si>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</si>
  <si>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</si>
  <si>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</si>
  <si>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</si>
  <si>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</si>
  <si>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</si>
  <si>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</si>
  <si>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</si>
  <si>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</si>
  <si>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</si>
  <si>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</si>
  <si>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</si>
  <si>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</si>
  <si>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</si>
  <si>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</si>
  <si>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</si>
  <si>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</si>
  <si>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</si>
  <si>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</si>
  <si>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</si>
  <si>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</si>
  <si>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</si>
  <si>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</si>
  <si>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</si>
  <si>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</si>
  <si>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</si>
  <si>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</si>
  <si>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</si>
  <si>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</si>
  <si>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</si>
  <si>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</si>
  <si>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</si>
  <si>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</si>
  <si>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</si>
  <si>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</si>
  <si>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</si>
  <si>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</si>
  <si>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</si>
  <si>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</si>
  <si>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</si>
  <si>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</si>
  <si>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</si>
  <si>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</si>
  <si>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</si>
  <si>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</si>
  <si>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</si>
  <si>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</si>
  <si>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</si>
  <si>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</si>
  <si>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</si>
  <si>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</si>
  <si>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</si>
  <si>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</si>
  <si>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</si>
  <si>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</si>
  <si>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</si>
  <si>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</si>
  <si>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</si>
  <si>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</si>
  <si>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</si>
  <si>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</si>
  <si>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</si>
  <si>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</si>
  <si>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</si>
  <si>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</si>
  <si>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</si>
  <si>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</si>
  <si>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</si>
  <si>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</si>
  <si>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</si>
  <si>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</si>
  <si>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</si>
  <si>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</si>
  <si>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</si>
  <si>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</si>
  <si>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</si>
  <si>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</si>
  <si>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</si>
  <si>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</si>
  <si>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</si>
  <si>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</si>
  <si>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</si>
  <si>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</si>
  <si>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</si>
  <si>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</si>
  <si>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</si>
  <si>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</si>
  <si>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</si>
  <si>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</si>
  <si>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</si>
  <si>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</si>
  <si>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</si>
  <si>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</si>
  <si>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</si>
  <si>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</si>
  <si>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</si>
  <si>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</si>
  <si>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</si>
  <si>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</si>
  <si>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</si>
  <si>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</si>
  <si>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</si>
  <si>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</si>
  <si>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</si>
  <si>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</si>
  <si>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</si>
  <si>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</si>
  <si>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</si>
  <si>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</si>
  <si>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</si>
  <si>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</si>
  <si>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</si>
  <si>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</si>
  <si>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</si>
  <si>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</si>
  <si>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</si>
  <si>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</si>
  <si>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</si>
  <si>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</si>
  <si>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</si>
  <si>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</si>
  <si>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</si>
  <si>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</si>
  <si>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</si>
  <si>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</si>
  <si>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</si>
  <si>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</si>
  <si>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</si>
  <si>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</si>
  <si>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</si>
  <si>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</si>
  <si>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</si>
  <si>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</si>
  <si>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</si>
  <si>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</si>
  <si>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</si>
  <si>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</si>
  <si>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</si>
  <si>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</si>
  <si>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</si>
  <si>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</si>
  <si>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</si>
  <si>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</si>
  <si>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</si>
  <si>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</si>
  <si>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</si>
  <si>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</si>
  <si>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</si>
  <si>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</si>
  <si>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</si>
  <si>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</si>
  <si>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</si>
  <si>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</si>
  <si>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</si>
  <si>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</si>
  <si>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</si>
  <si>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</si>
  <si>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</si>
  <si>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</si>
  <si>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</si>
  <si>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</si>
  <si>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</si>
  <si>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</si>
  <si>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</si>
  <si>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</si>
  <si>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</si>
  <si>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</si>
  <si>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</si>
  <si>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</si>
  <si>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</si>
  <si>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</si>
  <si>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</si>
  <si>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</si>
  <si>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</si>
  <si>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</si>
  <si>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</si>
  <si>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</si>
  <si>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</si>
  <si>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</si>
  <si>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</si>
  <si>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</si>
  <si>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</si>
  <si>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</si>
  <si>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</si>
  <si>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</si>
  <si>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</si>
  <si>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</si>
  <si>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</si>
  <si>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</si>
  <si>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</si>
  <si>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</si>
  <si>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</si>
  <si>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</si>
  <si>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</si>
  <si>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</si>
  <si>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</si>
  <si>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</si>
  <si>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</si>
  <si>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</si>
  <si>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</si>
  <si>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</si>
  <si>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</si>
  <si>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</si>
  <si>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</si>
  <si>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</si>
  <si>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</si>
  <si>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</si>
  <si>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</si>
  <si>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</si>
  <si>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</si>
  <si>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</si>
  <si>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</si>
  <si>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</si>
  <si>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</si>
  <si>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</si>
  <si>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</si>
  <si>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</si>
  <si>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</si>
  <si>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</si>
  <si>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</si>
  <si>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</si>
  <si>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</si>
  <si>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</si>
  <si>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</si>
  <si>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</si>
  <si>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</si>
  <si>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</si>
  <si>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</si>
  <si>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</si>
  <si>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</si>
  <si>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</si>
  <si>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</si>
  <si>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</si>
  <si>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</si>
  <si>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</si>
  <si>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</si>
  <si>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</si>
  <si>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</si>
  <si>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</si>
  <si>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</si>
  <si>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</si>
  <si>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</si>
  <si>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</si>
  <si>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</si>
  <si>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</si>
  <si>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</si>
  <si>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</si>
  <si>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</si>
  <si>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</si>
  <si>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</si>
  <si>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</si>
  <si>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</si>
  <si>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</si>
  <si>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</si>
  <si>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</si>
  <si>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</si>
  <si>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</si>
  <si>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</si>
  <si>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</si>
  <si>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</si>
  <si>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</si>
  <si>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</si>
  <si>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</si>
  <si>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</si>
  <si>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</si>
  <si>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</si>
  <si>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</si>
  <si>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</si>
  <si>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</si>
  <si>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</si>
  <si>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</si>
  <si>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</si>
  <si>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</si>
  <si>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</si>
  <si>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</si>
  <si>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</si>
  <si>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</si>
  <si>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</si>
  <si>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</si>
  <si>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</si>
  <si>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</si>
  <si>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</si>
  <si>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</si>
  <si>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</si>
  <si>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</si>
  <si>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</si>
  <si>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</si>
  <si>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</si>
  <si>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</si>
  <si>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</si>
  <si>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</si>
  <si>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</si>
  <si>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</si>
  <si>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</si>
  <si>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</si>
  <si>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</si>
  <si>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</si>
  <si>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</si>
  <si>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</si>
  <si>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</si>
  <si>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</si>
  <si>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</si>
  <si>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</si>
  <si>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</si>
  <si>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</si>
  <si>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</si>
  <si>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</si>
  <si>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</si>
  <si>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</si>
  <si>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</si>
  <si>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</si>
  <si>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</si>
  <si>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</si>
  <si>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</si>
  <si>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</si>
  <si>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</si>
  <si>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</si>
  <si>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</si>
  <si>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</si>
  <si>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</si>
  <si>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</si>
  <si>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</si>
  <si>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</si>
  <si>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</si>
  <si>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</si>
  <si>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</si>
  <si>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</si>
  <si>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</si>
  <si>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</si>
  <si>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</si>
  <si>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</si>
  <si>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</si>
  <si>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</si>
  <si>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</si>
  <si>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</si>
  <si>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</si>
  <si>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</si>
  <si>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</si>
  <si>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</si>
  <si>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</si>
  <si>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</si>
  <si>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</si>
  <si>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</si>
  <si>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</si>
  <si>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</si>
  <si>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</si>
  <si>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</si>
  <si>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</si>
  <si>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</si>
  <si>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</si>
  <si>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</si>
  <si>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</si>
  <si>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</si>
  <si>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</si>
  <si>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</si>
  <si>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</si>
  <si>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</si>
  <si>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</si>
  <si>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</si>
  <si>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</si>
  <si>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</si>
  <si>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</si>
  <si>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</si>
  <si>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</si>
  <si>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</si>
  <si>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</si>
  <si>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</si>
  <si>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</si>
  <si>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</si>
  <si>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</si>
  <si>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</si>
  <si>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</si>
  <si>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</si>
  <si>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</si>
  <si>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</si>
  <si>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</si>
  <si>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</si>
  <si>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</si>
  <si>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</si>
  <si>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</si>
  <si>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</si>
  <si>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</si>
  <si>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</si>
  <si>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</si>
  <si>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</si>
  <si>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</si>
  <si>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</si>
  <si>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</si>
  <si>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</si>
  <si>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</si>
  <si>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</si>
  <si>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</si>
  <si>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</si>
  <si>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</si>
  <si>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</si>
  <si>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</si>
  <si>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</si>
  <si>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</si>
  <si>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</si>
  <si>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</si>
  <si>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</si>
  <si>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</si>
  <si>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</si>
  <si>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</si>
  <si>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</si>
  <si>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</si>
  <si>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</si>
  <si>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</si>
  <si>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</si>
  <si>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</si>
  <si>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</si>
  <si>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</si>
  <si>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</si>
  <si>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</si>
  <si>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</si>
  <si>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</si>
  <si>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</si>
  <si>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</si>
  <si>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</si>
  <si>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</si>
  <si>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</si>
  <si>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</si>
  <si>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</si>
  <si>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</si>
  <si>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</si>
  <si>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</si>
  <si>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</si>
  <si>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</si>
  <si>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</si>
  <si>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</si>
  <si>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</si>
  <si>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</si>
  <si>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</si>
  <si>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</si>
  <si>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</si>
  <si>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</si>
  <si>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</si>
  <si>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</si>
  <si>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</si>
  <si>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</si>
  <si>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</si>
  <si>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</si>
  <si>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</si>
  <si>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</si>
  <si>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</si>
  <si>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</si>
  <si>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</si>
  <si>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</si>
  <si>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</si>
  <si>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</si>
  <si>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</si>
  <si>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</si>
  <si>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</si>
  <si>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</si>
  <si>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</si>
  <si>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</si>
  <si>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</si>
  <si>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</si>
  <si>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</si>
  <si>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</si>
  <si>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</si>
  <si>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</si>
  <si>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</si>
  <si>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</si>
  <si>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</si>
  <si>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</si>
  <si>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</si>
  <si>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</si>
  <si>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</si>
  <si>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</si>
  <si>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</si>
  <si>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</si>
  <si>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</si>
  <si>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</si>
  <si>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</si>
  <si>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</si>
  <si>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</si>
  <si>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</si>
  <si>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</si>
  <si>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</si>
  <si>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</si>
  <si>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</si>
  <si>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</si>
  <si>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</si>
  <si>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</si>
  <si>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</si>
  <si>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</si>
  <si>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</si>
  <si>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</si>
  <si>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</si>
  <si>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</si>
  <si>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</si>
  <si>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</si>
  <si>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</si>
  <si>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</si>
  <si>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</si>
  <si>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</si>
  <si>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</si>
  <si>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</si>
  <si>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</si>
  <si>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</si>
  <si>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</si>
  <si>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</si>
  <si>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</si>
  <si>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</si>
  <si>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</si>
  <si>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</si>
  <si>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</si>
  <si>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</si>
  <si>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</si>
  <si>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</si>
  <si>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</si>
  <si>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</si>
  <si>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</si>
  <si>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</si>
  <si>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</si>
  <si>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</si>
  <si>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</si>
  <si>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</si>
  <si>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</si>
  <si>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</si>
  <si>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</si>
  <si>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</si>
  <si>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</si>
  <si>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</si>
  <si>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</si>
  <si>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</si>
  <si>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</si>
  <si>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</si>
  <si>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</si>
  <si>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</si>
  <si>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</si>
  <si>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</si>
  <si>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</si>
  <si>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</si>
  <si>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</si>
  <si>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</si>
  <si>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</si>
  <si>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</si>
  <si>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</si>
  <si>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</si>
  <si>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</si>
  <si>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</si>
  <si>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</si>
  <si>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</si>
  <si>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</si>
  <si>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</si>
  <si>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</si>
  <si>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</si>
  <si>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</si>
  <si>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</si>
  <si>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</si>
  <si>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</si>
  <si>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</si>
  <si>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</si>
  <si>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</si>
  <si>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</si>
  <si>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</si>
  <si>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</si>
  <si>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</si>
  <si>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</si>
  <si>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</si>
  <si>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</si>
  <si>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</si>
  <si>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</si>
  <si>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</si>
  <si>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</si>
  <si>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</si>
  <si>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</si>
  <si>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</si>
  <si>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</si>
  <si>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</si>
  <si>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</si>
  <si>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</si>
  <si>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</si>
  <si>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</si>
  <si>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</si>
  <si>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</si>
  <si>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</si>
  <si>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</si>
  <si>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</si>
  <si>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</si>
  <si>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</si>
  <si>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</si>
  <si>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</si>
  <si>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</si>
  <si>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</si>
  <si>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</si>
  <si>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</si>
  <si>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</si>
  <si>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</si>
  <si>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</si>
  <si>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</si>
  <si>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</si>
  <si>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</si>
  <si>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</si>
  <si>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</si>
  <si>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</si>
  <si>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</si>
  <si>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</si>
  <si>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</si>
  <si>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</si>
  <si>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</si>
  <si>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</si>
  <si>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</si>
  <si>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</si>
  <si>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</si>
  <si>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</si>
  <si>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</si>
  <si>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</si>
  <si>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</si>
  <si>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</si>
  <si>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</si>
  <si>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</si>
  <si>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</si>
  <si>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</si>
  <si>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</si>
  <si>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</si>
  <si>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</si>
  <si>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</si>
  <si>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</si>
  <si>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</si>
  <si>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</si>
  <si>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</si>
  <si>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</si>
  <si>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</si>
  <si>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</si>
  <si>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</si>
  <si>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</si>
  <si>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</si>
  <si>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</si>
  <si>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</si>
  <si>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</si>
  <si>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</si>
  <si>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</si>
  <si>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</si>
  <si>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</si>
  <si>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</si>
  <si>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</si>
  <si>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</si>
  <si>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</si>
  <si>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</si>
  <si>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</si>
  <si>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</si>
  <si>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</si>
  <si>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</si>
  <si>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</si>
  <si>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</si>
  <si>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</si>
  <si>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</si>
  <si>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</si>
  <si>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</si>
  <si>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</si>
  <si>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</si>
  <si>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</si>
  <si>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</si>
  <si>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</si>
  <si>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</si>
  <si>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</si>
  <si>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</si>
  <si>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</si>
  <si>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</si>
  <si>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</si>
  <si>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</si>
  <si>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</si>
  <si>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</si>
  <si>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</si>
  <si>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</si>
  <si>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</si>
  <si>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</si>
  <si>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</si>
  <si>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</si>
  <si>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</si>
  <si>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</si>
  <si>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</si>
  <si>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</si>
  <si>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</si>
  <si>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</si>
  <si>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</si>
  <si>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</si>
  <si>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</si>
  <si>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</si>
  <si>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</si>
  <si>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</si>
  <si>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</si>
  <si>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</si>
  <si>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</si>
  <si>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</si>
  <si>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</si>
  <si>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</si>
  <si>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</si>
  <si>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</si>
  <si>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</si>
  <si>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</si>
  <si>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</si>
  <si>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</si>
  <si>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</si>
  <si>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</si>
  <si>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</si>
  <si>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</si>
  <si>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</si>
  <si>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</si>
  <si>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</si>
  <si>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</si>
  <si>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</si>
  <si>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</si>
  <si>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</si>
  <si>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</si>
  <si>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</si>
  <si>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</si>
  <si>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</si>
  <si>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</si>
  <si>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</si>
  <si>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</si>
  <si>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</si>
  <si>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</si>
  <si>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</si>
  <si>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</si>
  <si>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</si>
  <si>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</si>
  <si>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</si>
  <si>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</si>
  <si>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</si>
  <si>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</si>
  <si>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</si>
  <si>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</si>
  <si>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</si>
  <si>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</si>
  <si>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</si>
  <si>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</si>
  <si>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</si>
  <si>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</si>
  <si>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</si>
  <si>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</si>
  <si>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</si>
  <si>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</si>
  <si>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</si>
  <si>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</si>
  <si>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</si>
  <si>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</si>
  <si>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</si>
  <si>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</si>
  <si>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</si>
  <si>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</si>
  <si>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</si>
  <si>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</si>
  <si>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</si>
  <si>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</si>
  <si>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</si>
  <si>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</si>
  <si>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</si>
  <si>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</si>
  <si>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</si>
  <si>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</si>
  <si>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</si>
  <si>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</si>
  <si>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</si>
  <si>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</si>
  <si>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</si>
  <si>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</si>
  <si>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</si>
  <si>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</si>
  <si>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</si>
  <si>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</si>
  <si>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</si>
  <si>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</si>
  <si>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</si>
  <si>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</si>
  <si>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</si>
  <si>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</si>
  <si>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</si>
  <si>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</si>
  <si>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</si>
  <si>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</si>
  <si>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</si>
  <si>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</si>
  <si>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</si>
  <si>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</si>
  <si>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</si>
  <si>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</si>
  <si>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</si>
  <si>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</si>
  <si>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</si>
  <si>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</si>
  <si>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</si>
  <si>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</si>
  <si>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</si>
  <si>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</si>
  <si>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</si>
  <si>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</si>
  <si>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</si>
  <si>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</si>
  <si>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</si>
  <si>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</si>
  <si>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</si>
  <si>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</si>
  <si>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</si>
  <si>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</si>
  <si>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</si>
  <si>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</si>
  <si>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</si>
  <si>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</si>
  <si>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</si>
  <si>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</si>
  <si>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</si>
  <si>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</si>
  <si>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</si>
  <si>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</si>
  <si>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</si>
  <si>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</si>
  <si>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</si>
  <si>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</si>
  <si>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</si>
  <si>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</si>
  <si>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</si>
  <si>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</si>
  <si>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</si>
  <si>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</si>
  <si>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</si>
  <si>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</si>
  <si>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</si>
  <si>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</si>
  <si>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</si>
  <si>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</si>
  <si>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</si>
  <si>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</si>
  <si>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</si>
  <si>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</si>
  <si>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</si>
  <si>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</si>
  <si>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</si>
  <si>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</si>
  <si>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</si>
  <si>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</si>
  <si>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</si>
  <si>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</si>
  <si>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</si>
  <si>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</si>
  <si>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</si>
  <si>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</si>
  <si>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</si>
  <si>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</si>
  <si>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</si>
  <si>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</si>
  <si>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</si>
  <si>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</si>
  <si>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</si>
  <si>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</si>
  <si>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</si>
  <si>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</si>
  <si>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</si>
  <si>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</si>
  <si>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</si>
  <si>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</si>
  <si>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</si>
  <si>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</si>
  <si>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</si>
  <si>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</si>
  <si>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</si>
  <si>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</si>
  <si>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</si>
  <si>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</si>
  <si>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</si>
  <si>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</si>
  <si>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</si>
  <si>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</si>
  <si>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</si>
  <si>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</si>
  <si>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</si>
  <si>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</si>
  <si>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</si>
  <si>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</si>
  <si>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</si>
  <si>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</si>
  <si>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</si>
  <si>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</si>
  <si>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</si>
  <si>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</si>
  <si>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</si>
  <si>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</si>
  <si>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</si>
  <si>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</si>
  <si>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</si>
  <si>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</si>
  <si>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</si>
  <si>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</si>
  <si>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</si>
  <si>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</si>
  <si>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</si>
  <si>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</si>
  <si>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</si>
  <si>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</si>
  <si>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</si>
  <si>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</si>
  <si>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</si>
  <si>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</si>
  <si>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</si>
  <si>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</si>
  <si>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</si>
  <si>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</si>
  <si>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</si>
  <si>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</si>
  <si>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</si>
  <si>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</si>
  <si>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</si>
  <si>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</si>
  <si>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</si>
  <si>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</si>
  <si>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</si>
  <si>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</si>
  <si>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</si>
  <si>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</si>
  <si>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</si>
  <si>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</si>
  <si>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</si>
  <si>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</si>
  <si>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</si>
  <si>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</si>
  <si>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</si>
  <si>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</si>
  <si>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</si>
  <si>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</si>
  <si>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</si>
  <si>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</si>
  <si>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</si>
  <si>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</si>
  <si>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</si>
  <si>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</si>
  <si>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</si>
  <si>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</si>
  <si>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</si>
  <si>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</si>
  <si>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</si>
  <si>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</si>
  <si>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</si>
  <si>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</si>
  <si>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</si>
  <si>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</si>
  <si>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</si>
  <si>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</si>
  <si>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</si>
  <si>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</si>
  <si>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</si>
  <si>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</si>
  <si>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</si>
  <si>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</si>
  <si>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</si>
  <si>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</si>
  <si>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</si>
  <si>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</si>
  <si>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</si>
  <si>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</si>
  <si>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</si>
  <si>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</si>
  <si>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</si>
  <si>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</si>
  <si>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</si>
  <si>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</si>
  <si>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</si>
  <si>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</si>
  <si>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</si>
  <si>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</si>
  <si>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</si>
  <si>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</si>
  <si>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</si>
  <si>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</si>
  <si>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</si>
  <si>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</si>
  <si>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</si>
  <si>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</si>
  <si>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</si>
  <si>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</si>
  <si>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</si>
  <si>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</si>
  <si>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</si>
  <si>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</si>
  <si>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</si>
  <si>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</si>
  <si>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</si>
  <si>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</si>
  <si>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</si>
  <si>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</si>
  <si>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</si>
  <si>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</si>
  <si>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</si>
  <si>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</si>
  <si>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</si>
  <si>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</si>
  <si>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</si>
  <si>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</si>
  <si>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</si>
  <si>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</si>
  <si>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</si>
  <si>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</si>
  <si>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</si>
  <si>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</si>
  <si>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</si>
  <si>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</si>
  <si>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</si>
  <si>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</si>
  <si>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</si>
  <si>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</si>
  <si>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</si>
  <si>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</si>
  <si>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</si>
  <si>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</si>
  <si>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</si>
  <si>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</si>
  <si>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</si>
  <si>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</si>
  <si>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</si>
  <si>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</si>
  <si>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</si>
  <si>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</si>
  <si>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</si>
  <si>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</si>
  <si>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</si>
  <si>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</si>
  <si>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</si>
  <si>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</si>
  <si>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</si>
  <si>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</si>
  <si>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</si>
  <si>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</si>
  <si>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</si>
  <si>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</si>
  <si>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</si>
  <si>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</si>
  <si>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</si>
  <si>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</si>
  <si>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</si>
  <si>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</si>
  <si>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</si>
  <si>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</si>
  <si>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</si>
  <si>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</si>
  <si>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</si>
  <si>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</si>
  <si>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</si>
  <si>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</si>
  <si>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</si>
  <si>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</si>
  <si>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</si>
  <si>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</si>
  <si>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</si>
  <si>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</si>
  <si>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</si>
  <si>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</si>
  <si>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</si>
  <si>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</si>
  <si>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</si>
  <si>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</si>
  <si>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</si>
  <si>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</si>
  <si>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</si>
  <si>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</si>
  <si>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</si>
  <si>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</si>
  <si>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</si>
  <si>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</si>
  <si>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</si>
  <si>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</si>
  <si>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</si>
  <si>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</si>
  <si>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</si>
  <si>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</si>
  <si>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</si>
  <si>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</si>
  <si>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</si>
  <si>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</si>
  <si>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</si>
  <si>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</si>
  <si>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</si>
  <si>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</si>
  <si>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</si>
  <si>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</si>
  <si>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</si>
  <si>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</si>
  <si>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</si>
  <si>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</si>
  <si>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</si>
  <si>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</si>
  <si>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</si>
  <si>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</si>
  <si>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</si>
  <si>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</si>
  <si>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</si>
  <si>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</si>
  <si>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</si>
  <si>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</si>
  <si>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</si>
  <si>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</si>
  <si>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</si>
  <si>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</si>
  <si>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</si>
  <si>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</si>
  <si>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</si>
  <si>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</si>
  <si>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</si>
  <si>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</si>
  <si>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</si>
  <si>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</si>
  <si>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</si>
  <si>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</si>
  <si>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</si>
  <si>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</si>
  <si>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</si>
  <si>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</si>
  <si>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</si>
  <si>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</si>
  <si>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</si>
  <si>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</si>
  <si>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</si>
  <si>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</si>
  <si>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</si>
  <si>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</si>
  <si>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</si>
  <si>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</si>
  <si>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</si>
  <si>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</si>
  <si>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</si>
  <si>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</si>
  <si>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</si>
  <si>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</si>
  <si>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</si>
  <si>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</si>
  <si>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</si>
  <si>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</si>
  <si>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</si>
  <si>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</si>
  <si>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</si>
  <si>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</si>
  <si>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</si>
  <si>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</si>
  <si>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</si>
  <si>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</si>
  <si>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</si>
  <si>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</si>
  <si>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</si>
  <si>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</si>
  <si>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</si>
  <si>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</si>
  <si>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</si>
  <si>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</si>
  <si>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</si>
  <si>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</si>
  <si>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</si>
  <si>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</si>
  <si>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</si>
  <si>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</si>
  <si>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</si>
  <si>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</si>
  <si>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</si>
  <si>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</si>
  <si>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</si>
  <si>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</si>
  <si>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</si>
  <si>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</si>
  <si>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</si>
  <si>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</si>
  <si>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</si>
  <si>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</si>
  <si>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</si>
  <si>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</si>
  <si>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</si>
  <si>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</si>
  <si>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</si>
  <si>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</si>
  <si>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</si>
  <si>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</si>
  <si>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</si>
  <si>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</si>
  <si>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</si>
  <si>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</si>
  <si>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</si>
  <si>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</si>
  <si>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</si>
  <si>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</si>
  <si>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</si>
  <si>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</si>
  <si>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</si>
  <si>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</si>
  <si>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</si>
  <si>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</si>
  <si>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</si>
  <si>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</si>
  <si>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</si>
  <si>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</si>
  <si>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</si>
  <si>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</si>
  <si>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</si>
  <si>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</si>
  <si>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</si>
  <si>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</si>
  <si>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</si>
  <si>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</si>
  <si>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</si>
  <si>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</si>
  <si>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</si>
  <si>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</si>
  <si>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</si>
  <si>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</si>
  <si>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</si>
  <si>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</si>
  <si>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</si>
  <si>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</si>
  <si>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</si>
  <si>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</si>
  <si>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</si>
  <si>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</si>
  <si>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</si>
  <si>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</si>
  <si>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</si>
  <si>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</si>
  <si>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</si>
  <si>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</si>
  <si>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</si>
  <si>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</si>
  <si>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</si>
  <si>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</si>
  <si>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</si>
  <si>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</si>
  <si>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</si>
  <si>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</si>
  <si>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</si>
  <si>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</si>
  <si>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</si>
  <si>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</si>
  <si>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</si>
  <si>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</si>
  <si>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</si>
  <si>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</si>
  <si>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</si>
  <si>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</si>
  <si>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</si>
  <si>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</si>
  <si>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</si>
  <si>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</si>
  <si>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</si>
  <si>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</si>
  <si>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</si>
  <si>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</si>
  <si>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</si>
  <si>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</si>
  <si>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</si>
  <si>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</si>
  <si>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</si>
  <si>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</si>
  <si>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</si>
  <si>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</si>
  <si>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</si>
  <si>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</si>
  <si>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</si>
  <si>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</si>
  <si>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</si>
  <si>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</si>
  <si>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</si>
  <si>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</si>
  <si>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</si>
  <si>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</si>
  <si>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</si>
  <si>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</si>
  <si>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</si>
  <si>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</si>
  <si>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</si>
  <si>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</si>
  <si>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</si>
  <si>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</si>
  <si>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</si>
  <si>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</si>
  <si>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</si>
  <si>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</si>
  <si>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</si>
  <si>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</si>
  <si>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</si>
  <si>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</si>
  <si>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</si>
  <si>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</si>
  <si>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</si>
  <si>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</si>
  <si>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</si>
  <si>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</si>
  <si>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</si>
  <si>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</si>
  <si>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</si>
  <si>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</si>
  <si>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</si>
  <si>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</si>
  <si>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</si>
  <si>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</si>
  <si>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</si>
  <si>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</si>
  <si>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</si>
  <si>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</si>
  <si>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</si>
  <si>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</si>
  <si>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</si>
  <si>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</si>
  <si>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</si>
  <si>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</si>
  <si>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</si>
  <si>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</si>
  <si>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</si>
  <si>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</si>
  <si>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</si>
  <si>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</si>
  <si>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</si>
  <si>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</si>
  <si>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</si>
  <si>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</si>
  <si>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</si>
  <si>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</si>
  <si>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</si>
  <si>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</si>
  <si>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</si>
  <si>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</si>
  <si>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</si>
  <si>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</si>
  <si>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</si>
  <si>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</si>
  <si>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</si>
  <si>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</si>
  <si>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</si>
  <si>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</si>
  <si>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</si>
  <si>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</si>
  <si>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</si>
  <si>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</si>
  <si>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</si>
  <si>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</si>
  <si>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</si>
  <si>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</si>
  <si>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</si>
  <si>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</si>
  <si>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</si>
  <si>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</si>
  <si>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</si>
  <si>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</si>
  <si>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</si>
  <si>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</si>
  <si>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</si>
  <si>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</si>
  <si>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</si>
  <si>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</si>
  <si>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</si>
  <si>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</si>
  <si>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</si>
  <si>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</si>
  <si>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</si>
  <si>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</si>
  <si>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</si>
  <si>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</si>
  <si>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</si>
  <si>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</si>
  <si>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</si>
  <si>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</si>
  <si>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</si>
  <si>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</si>
  <si>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</si>
  <si>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</si>
  <si>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</si>
  <si>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</si>
  <si>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</si>
  <si>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</si>
  <si>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</si>
  <si>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</si>
  <si>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</si>
  <si>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</si>
  <si>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</si>
  <si>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</si>
  <si>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</si>
  <si>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</si>
  <si>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</si>
  <si>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</si>
  <si>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</si>
  <si>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</si>
  <si>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</si>
  <si>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</si>
  <si>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</si>
  <si>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</si>
  <si>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</si>
  <si>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</si>
  <si>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</si>
  <si>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</si>
  <si>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</si>
  <si>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</si>
  <si>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</si>
  <si>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</si>
  <si>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</si>
  <si>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</si>
  <si>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</si>
  <si>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</si>
  <si>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</si>
  <si>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</si>
  <si>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</si>
  <si>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</si>
  <si>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</si>
  <si>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</si>
  <si>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</si>
  <si>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</si>
  <si>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</si>
  <si>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</si>
  <si>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</si>
  <si>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</si>
  <si>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</si>
  <si>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</si>
  <si>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</si>
  <si>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</si>
  <si>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</si>
  <si>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</si>
  <si>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</si>
  <si>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</si>
  <si>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</si>
  <si>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</si>
  <si>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</si>
  <si>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</si>
  <si>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</si>
  <si>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</si>
  <si>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</si>
  <si>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</si>
  <si>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</si>
  <si>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</si>
  <si>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</si>
  <si>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</si>
  <si>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</si>
  <si>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</si>
  <si>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</si>
  <si>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</si>
  <si>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</si>
  <si>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</si>
  <si>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</si>
  <si>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</si>
  <si>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</si>
  <si>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</si>
  <si>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</si>
  <si>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</si>
  <si>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</si>
  <si>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</si>
  <si>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</si>
  <si>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</si>
  <si>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</si>
  <si>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</si>
  <si>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</si>
  <si>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</si>
  <si>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</si>
  <si>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</si>
  <si>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</si>
  <si>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</si>
  <si>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</si>
  <si>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</si>
  <si>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</si>
  <si>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</si>
  <si>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</si>
  <si>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</si>
  <si>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</si>
  <si>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</si>
  <si>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</si>
  <si>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</si>
  <si>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</si>
  <si>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</si>
  <si>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</si>
  <si>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</si>
  <si>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</si>
  <si>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</si>
  <si>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</si>
  <si>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</si>
  <si>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</si>
  <si>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</si>
  <si>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</si>
  <si>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</si>
  <si>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</si>
  <si>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</si>
  <si>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</si>
  <si>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</si>
  <si>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</si>
  <si>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</si>
  <si>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</si>
  <si>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</si>
  <si>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</si>
  <si>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</si>
  <si>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</si>
  <si>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</si>
  <si>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</si>
  <si>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</si>
  <si>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</si>
  <si>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</si>
  <si>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</si>
  <si>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</si>
  <si>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</si>
  <si>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</si>
  <si>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</si>
  <si>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</si>
  <si>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</si>
  <si>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</si>
  <si>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</si>
  <si>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</si>
  <si>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</si>
  <si>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</si>
  <si>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</si>
  <si>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</si>
  <si>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</si>
  <si>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</si>
  <si>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</si>
  <si>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</si>
  <si>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</si>
  <si>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</si>
  <si>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</si>
  <si>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</si>
  <si>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</si>
  <si>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</si>
  <si>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</si>
  <si>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</si>
  <si>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</si>
  <si>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</si>
  <si>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</si>
  <si>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</si>
  <si>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</si>
  <si>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</si>
  <si>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</si>
  <si>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</si>
  <si>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</si>
  <si>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</si>
  <si>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</si>
  <si>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</si>
  <si>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</si>
  <si>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</si>
  <si>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</si>
  <si>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</si>
  <si>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</si>
  <si>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</si>
  <si>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</si>
  <si>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</si>
  <si>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</si>
  <si>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</si>
  <si>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</si>
  <si>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</si>
  <si>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</si>
  <si>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</si>
  <si>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</si>
  <si>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</si>
  <si>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</si>
  <si>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</si>
  <si>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</si>
  <si>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</si>
  <si>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</si>
  <si>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</si>
  <si>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</si>
  <si>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</si>
  <si>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</si>
  <si>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</si>
  <si>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</si>
  <si>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</si>
  <si>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</si>
  <si>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</si>
  <si>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</si>
  <si>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</si>
  <si>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</si>
  <si>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</si>
  <si>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</si>
  <si>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</si>
  <si>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</si>
  <si>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</si>
  <si>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</si>
  <si>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</si>
  <si>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</si>
  <si>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</si>
  <si>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</si>
  <si>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</si>
  <si>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</si>
  <si>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</si>
  <si>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</si>
  <si>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</si>
  <si>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</si>
  <si>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</si>
  <si>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</si>
  <si>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</si>
  <si>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</si>
  <si>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</si>
  <si>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</si>
  <si>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</si>
  <si>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</si>
  <si>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</si>
  <si>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</si>
  <si>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</si>
  <si>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</si>
  <si>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</si>
  <si>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</si>
  <si>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</si>
  <si>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</si>
  <si>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</si>
  <si>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</si>
  <si>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</si>
  <si>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</si>
  <si>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</si>
  <si>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</si>
  <si>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</si>
  <si>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</si>
  <si>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</si>
  <si>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</si>
  <si>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</si>
  <si>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</si>
  <si>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</si>
  <si>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</si>
  <si>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</si>
  <si>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</si>
  <si>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</si>
  <si>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</si>
  <si>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</si>
  <si>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</si>
  <si>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</si>
  <si>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</si>
  <si>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</si>
  <si>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</si>
  <si>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</si>
  <si>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</si>
  <si>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</si>
  <si>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</si>
  <si>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</si>
  <si>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</si>
  <si>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</si>
  <si>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</si>
  <si>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</si>
  <si>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</si>
  <si>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</si>
  <si>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</si>
  <si>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</si>
  <si>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</si>
  <si>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</si>
  <si>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</si>
  <si>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</si>
  <si>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</si>
  <si>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</si>
  <si>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</si>
  <si>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</si>
  <si>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</si>
  <si>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</si>
  <si>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</si>
  <si>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</si>
  <si>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</si>
  <si>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</si>
  <si>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</si>
  <si>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</si>
  <si>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</si>
  <si>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</si>
  <si>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</si>
  <si>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</si>
  <si>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</si>
  <si>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</si>
  <si>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</si>
  <si>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</si>
  <si>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</si>
  <si>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</si>
  <si>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</si>
  <si>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</si>
  <si>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</si>
  <si>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</si>
  <si>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</si>
  <si>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</si>
  <si>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</si>
  <si>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</si>
  <si>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</si>
  <si>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</si>
  <si>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</si>
  <si>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</si>
  <si>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</si>
  <si>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</si>
  <si>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</si>
  <si>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</si>
  <si>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</si>
  <si>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</si>
  <si>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</si>
  <si>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</si>
  <si>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</si>
  <si>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</si>
  <si>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</si>
  <si>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</si>
  <si>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</si>
  <si>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</si>
  <si>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</si>
  <si>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</si>
  <si>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</si>
  <si>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</si>
  <si>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</si>
  <si>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</si>
  <si>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</si>
  <si>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</si>
  <si>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</si>
  <si>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</si>
  <si>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</si>
  <si>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</si>
  <si>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</si>
  <si>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</si>
  <si>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</si>
  <si>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</si>
  <si>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</si>
  <si>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</si>
  <si>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</si>
  <si>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</si>
  <si>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</si>
  <si>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</si>
  <si>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</si>
  <si>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</si>
  <si>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</si>
  <si>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</si>
  <si>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</si>
  <si>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</si>
  <si>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</si>
  <si>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</si>
  <si>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</si>
  <si>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</si>
  <si>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</si>
  <si>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</si>
  <si>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</si>
  <si>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</si>
  <si>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</si>
  <si>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</si>
  <si>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</si>
  <si>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</si>
  <si>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</si>
  <si>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</si>
  <si>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</si>
  <si>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</si>
  <si>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</si>
  <si>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</si>
  <si>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</si>
  <si>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</si>
  <si>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</si>
  <si>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</si>
  <si>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</si>
  <si>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</si>
  <si>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</si>
  <si>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</si>
  <si>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</si>
  <si>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</si>
  <si>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</si>
  <si>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</si>
  <si>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</si>
  <si>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</si>
  <si>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</si>
  <si>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</si>
  <si>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</si>
  <si>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</si>
  <si>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</si>
  <si>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</si>
  <si>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</si>
  <si>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</si>
  <si>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</si>
  <si>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</si>
  <si>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</si>
  <si>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</si>
  <si>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</si>
  <si>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</si>
  <si>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</si>
  <si>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</si>
  <si>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</si>
  <si>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</si>
  <si>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</si>
  <si>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</si>
  <si>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</si>
  <si>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</si>
  <si>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</si>
  <si>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</si>
  <si>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</si>
  <si>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</si>
  <si>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</si>
  <si>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</si>
  <si>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</si>
  <si>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</si>
  <si>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</si>
  <si>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</si>
  <si>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</si>
  <si>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</si>
  <si>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</si>
  <si>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</si>
  <si>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</si>
  <si>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</si>
  <si>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</si>
  <si>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</si>
  <si>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</si>
  <si>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</si>
  <si>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</si>
  <si>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</si>
  <si>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</si>
  <si>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</si>
  <si>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</si>
  <si>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</si>
  <si>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</si>
  <si>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</si>
  <si>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</si>
  <si>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</si>
  <si>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</si>
  <si>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</si>
  <si>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</si>
  <si>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</si>
  <si>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</si>
  <si>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</si>
  <si>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</si>
  <si>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</si>
  <si>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</si>
  <si>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</si>
  <si>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</si>
  <si>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</si>
  <si>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</si>
  <si>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</si>
  <si>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</si>
  <si>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</si>
  <si>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</si>
  <si>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</si>
  <si>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</si>
  <si>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</si>
  <si>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</si>
  <si>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</si>
  <si>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</si>
  <si>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</si>
  <si>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</si>
  <si>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</si>
  <si>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</si>
  <si>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</si>
  <si>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</si>
  <si>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</si>
  <si>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</si>
  <si>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</si>
  <si>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</si>
  <si>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</si>
  <si>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</si>
  <si>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</si>
  <si>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</si>
  <si>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</si>
  <si>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</si>
  <si>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</si>
  <si>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</si>
  <si>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</si>
  <si>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</si>
  <si>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</si>
  <si>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</si>
  <si>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</si>
  <si>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</si>
  <si>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</si>
  <si>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</si>
  <si>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</si>
  <si>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</si>
  <si>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</si>
  <si>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</si>
  <si>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</si>
  <si>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</si>
  <si>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</si>
  <si>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</si>
  <si>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</si>
  <si>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</si>
  <si>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</si>
  <si>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</si>
  <si>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</si>
  <si>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</si>
  <si>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</si>
  <si>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</si>
  <si>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</si>
  <si>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</si>
  <si>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</si>
  <si>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</si>
  <si>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</si>
  <si>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</si>
  <si>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</si>
  <si>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</si>
  <si>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</si>
  <si>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</si>
  <si>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</si>
  <si>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</si>
  <si>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</si>
  <si>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</si>
  <si>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</si>
  <si>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</si>
  <si>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</si>
  <si>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</si>
  <si>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</si>
  <si>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</si>
  <si>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</si>
  <si>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</si>
  <si>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</si>
  <si>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</si>
  <si>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</si>
  <si>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</si>
  <si>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</si>
  <si>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</si>
  <si>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</si>
  <si>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</si>
  <si>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</si>
  <si>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</si>
  <si>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</si>
  <si>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</si>
  <si>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</si>
  <si>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</si>
  <si>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</si>
  <si>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</si>
  <si>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</si>
  <si>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</si>
  <si>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</si>
  <si>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</si>
  <si>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</si>
  <si>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</si>
  <si>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</si>
  <si>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</si>
  <si>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</si>
  <si>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</si>
  <si>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</si>
  <si>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</si>
  <si>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</si>
  <si>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</si>
  <si>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</si>
  <si>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</si>
  <si>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</si>
  <si>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</si>
  <si>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</si>
  <si>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</si>
  <si>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</si>
  <si>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</si>
  <si>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</si>
  <si>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</si>
  <si>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</si>
  <si>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</si>
  <si>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</si>
  <si>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</si>
  <si>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</si>
  <si>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</si>
  <si>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</si>
  <si>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</si>
  <si>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</si>
  <si>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</si>
  <si>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</si>
  <si>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</si>
  <si>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</si>
  <si>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</si>
  <si>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</si>
  <si>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</si>
  <si>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</si>
  <si>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</si>
  <si>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</si>
  <si>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</si>
  <si>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</si>
  <si>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</si>
  <si>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</si>
  <si>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</si>
  <si>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</si>
  <si>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</si>
  <si>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</si>
  <si>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</si>
  <si>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</si>
  <si>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</si>
  <si>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</si>
  <si>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</si>
  <si>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</si>
  <si>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</si>
  <si>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</si>
  <si>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</si>
  <si>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</si>
  <si>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</si>
  <si>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</si>
  <si>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</si>
  <si>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</si>
  <si>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</si>
  <si>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</si>
  <si>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</si>
  <si>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</si>
  <si>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</si>
  <si>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</si>
  <si>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</si>
  <si>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</si>
  <si>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</si>
  <si>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</si>
  <si>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</si>
  <si>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</si>
  <si>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</si>
  <si>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</si>
  <si>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</si>
  <si>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</si>
  <si>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</si>
  <si>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</si>
  <si>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</si>
  <si>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</si>
  <si>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</si>
  <si>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</si>
  <si>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</si>
  <si>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</si>
  <si>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</si>
  <si>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</si>
  <si>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</si>
  <si>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</si>
  <si>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</si>
  <si>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</si>
  <si>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</si>
  <si>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</si>
  <si>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</si>
  <si>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</si>
  <si>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</si>
  <si>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</si>
  <si>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</si>
  <si>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</si>
  <si>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</si>
  <si>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</si>
  <si>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</si>
  <si>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</si>
  <si>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</si>
  <si>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</si>
  <si>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</si>
  <si>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</si>
  <si>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</si>
  <si>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</si>
  <si>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</si>
  <si>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</si>
  <si>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</si>
  <si>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</si>
  <si>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</si>
  <si>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</si>
  <si>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</si>
  <si>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</si>
  <si>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</si>
  <si>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</si>
  <si>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</si>
  <si>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</si>
  <si>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</si>
  <si>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</si>
  <si>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</si>
  <si>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</si>
  <si>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</si>
  <si>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</si>
  <si>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</si>
  <si>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</si>
  <si>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</si>
  <si>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</si>
  <si>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</si>
  <si>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</si>
  <si>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</si>
  <si>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</si>
  <si>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</si>
  <si>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</si>
  <si>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</si>
  <si>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</si>
  <si>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</si>
  <si>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</si>
  <si>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</si>
  <si>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</si>
  <si>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</si>
  <si>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</si>
  <si>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</si>
  <si>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</si>
  <si>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</si>
  <si>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</si>
  <si>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</si>
  <si>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</si>
  <si>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</si>
  <si>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</si>
  <si>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</si>
  <si>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</si>
  <si>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</si>
  <si>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</si>
  <si>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</si>
  <si>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</si>
  <si>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</si>
  <si>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</si>
  <si>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</si>
  <si>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</si>
  <si>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</si>
  <si>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</si>
  <si>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</si>
  <si>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</si>
  <si>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</si>
  <si>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</si>
  <si>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</si>
  <si>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</si>
  <si>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</si>
  <si>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</si>
  <si>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</si>
  <si>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</si>
  <si>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</si>
  <si>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</si>
  <si>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</si>
  <si>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</si>
  <si>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</si>
  <si>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</si>
  <si>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</si>
  <si>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</si>
  <si>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</si>
  <si>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</si>
  <si>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</si>
  <si>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</si>
  <si>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</si>
  <si>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</si>
  <si>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</si>
  <si>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</si>
  <si>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</si>
  <si>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</si>
  <si>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</si>
  <si>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</si>
  <si>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</si>
  <si>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</si>
  <si>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</si>
  <si>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</si>
  <si>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</si>
  <si>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</si>
  <si>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</si>
  <si>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</si>
  <si>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</si>
  <si>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</si>
  <si>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</si>
  <si>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</si>
  <si>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</si>
  <si>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</si>
  <si>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</si>
  <si>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</si>
  <si>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</si>
  <si>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</si>
  <si>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</si>
  <si>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</si>
  <si>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</si>
  <si>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</si>
  <si>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</si>
  <si>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</si>
  <si>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</si>
  <si>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</si>
  <si>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</si>
  <si>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</si>
  <si>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</si>
  <si>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</si>
  <si>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</si>
  <si>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</si>
  <si>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</si>
  <si>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</si>
  <si>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</si>
  <si>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</si>
  <si>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</si>
  <si>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</si>
  <si>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</si>
  <si>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</si>
  <si>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</si>
  <si>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</si>
  <si>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</si>
  <si>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</si>
  <si>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</si>
  <si>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</si>
  <si>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</si>
  <si>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</si>
  <si>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</si>
  <si>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</si>
  <si>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</si>
  <si>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</si>
  <si>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</si>
  <si>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</si>
  <si>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</si>
  <si>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</si>
  <si>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</si>
  <si>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</si>
  <si>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</si>
  <si>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</si>
  <si>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</si>
  <si>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</si>
  <si>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</si>
  <si>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</si>
  <si>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</si>
  <si>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</si>
  <si>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</si>
  <si>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</si>
  <si>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</si>
  <si>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</si>
  <si>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</si>
  <si>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</si>
  <si>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</si>
  <si>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</si>
  <si>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</si>
  <si>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</si>
  <si>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</si>
  <si>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</si>
  <si>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</si>
  <si>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</si>
  <si>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</si>
  <si>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</si>
  <si>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</si>
  <si>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</si>
  <si>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</si>
  <si>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</si>
  <si>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</si>
  <si>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</si>
  <si>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</si>
  <si>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</si>
  <si>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</si>
  <si>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</si>
  <si>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</si>
  <si>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</si>
  <si>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</si>
  <si>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</si>
  <si>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</si>
  <si>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</si>
  <si>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</si>
  <si>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</si>
  <si>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</si>
  <si>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</si>
  <si>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</si>
  <si>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</si>
  <si>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</si>
  <si>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</si>
  <si>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</si>
  <si>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</si>
  <si>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</si>
  <si>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</si>
  <si>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</si>
  <si>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</si>
  <si>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</si>
  <si>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</si>
  <si>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</si>
  <si>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</si>
  <si>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</si>
  <si>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</si>
  <si>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</si>
  <si>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</si>
  <si>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</si>
  <si>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</si>
  <si>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</si>
  <si>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</si>
  <si>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</si>
  <si>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</si>
  <si>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</si>
  <si>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</si>
  <si>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</si>
  <si>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</si>
  <si>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</si>
  <si>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</si>
  <si>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</si>
  <si>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</si>
  <si>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</si>
  <si>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</si>
  <si>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</si>
  <si>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</si>
  <si>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</si>
  <si>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</si>
  <si>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</si>
  <si>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</si>
  <si>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</si>
  <si>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</si>
  <si>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</si>
  <si>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</si>
  <si>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</si>
  <si>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</si>
  <si>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</si>
  <si>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</si>
  <si>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</si>
  <si>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</si>
  <si>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</si>
  <si>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</si>
  <si>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</si>
  <si>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</si>
  <si>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</si>
  <si>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</si>
  <si>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</si>
  <si>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</si>
  <si>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</si>
  <si>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</si>
  <si>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</si>
  <si>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</si>
  <si>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</si>
  <si>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</si>
  <si>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</si>
  <si>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</si>
  <si>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</si>
  <si>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</si>
  <si>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</si>
  <si>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</si>
  <si>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</si>
  <si>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</si>
  <si>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</si>
  <si>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</si>
  <si>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</si>
  <si>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</si>
  <si>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</si>
  <si>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</si>
  <si>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</si>
  <si>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</si>
  <si>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</si>
  <si>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</si>
  <si>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</si>
  <si>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</si>
  <si>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</si>
  <si>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</si>
  <si>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</si>
  <si>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</si>
  <si>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</si>
  <si>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</si>
  <si>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</si>
  <si>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</si>
  <si>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</si>
  <si>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</si>
  <si>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</si>
  <si>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</si>
  <si>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</si>
  <si>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</si>
  <si>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</si>
  <si>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</si>
  <si>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</si>
  <si>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</si>
  <si>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</si>
  <si>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</si>
  <si>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</si>
  <si>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</si>
  <si>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</si>
  <si>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</si>
  <si>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</si>
  <si>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</si>
  <si>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</si>
  <si>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</si>
  <si>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</si>
  <si>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</si>
  <si>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</si>
  <si>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</si>
  <si>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</si>
  <si>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</si>
  <si>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</si>
  <si>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</si>
  <si>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</si>
  <si>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</si>
  <si>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</si>
  <si>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</si>
  <si>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</si>
  <si>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</si>
  <si>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</si>
  <si>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</si>
  <si>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</si>
  <si>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</si>
  <si>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</si>
  <si>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</si>
  <si>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</si>
  <si>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</si>
  <si>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</si>
  <si>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</si>
  <si>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</si>
  <si>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</si>
  <si>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</si>
  <si>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</si>
  <si>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</si>
  <si>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</si>
  <si>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</si>
  <si>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</si>
  <si>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</si>
  <si>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</si>
  <si>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</si>
  <si>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</si>
  <si>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</si>
  <si>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</si>
  <si>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</si>
  <si>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</si>
  <si>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</si>
  <si>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</si>
  <si>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</si>
  <si>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</si>
  <si>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</si>
  <si>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</si>
  <si>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</si>
  <si>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</si>
  <si>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</si>
  <si>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</si>
  <si>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</si>
  <si>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</si>
  <si>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</si>
  <si>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</si>
  <si>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</si>
  <si>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</si>
  <si>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</si>
  <si>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</si>
  <si>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</si>
  <si>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</si>
  <si>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</si>
  <si>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</si>
  <si>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</si>
  <si>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</si>
  <si>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</si>
  <si>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</si>
  <si>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</si>
  <si>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</si>
  <si>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</si>
  <si>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</si>
  <si>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</si>
  <si>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</si>
  <si>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</si>
  <si>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</si>
  <si>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</si>
  <si>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</si>
  <si>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</si>
  <si>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</si>
  <si>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</si>
  <si>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</si>
  <si>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</si>
  <si>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</si>
  <si>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</si>
  <si>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</si>
  <si>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</si>
  <si>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</si>
  <si>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</si>
  <si>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</si>
  <si>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</si>
  <si>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</si>
  <si>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</si>
  <si>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</si>
  <si>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</si>
  <si>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</si>
  <si>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</si>
  <si>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</si>
  <si>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</si>
  <si>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</si>
  <si>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</si>
  <si>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</si>
  <si>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</si>
  <si>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</si>
  <si>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</si>
  <si>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</si>
  <si>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</si>
  <si>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</si>
  <si>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</si>
  <si>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</si>
  <si>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</si>
  <si>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</si>
  <si>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</si>
  <si>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</si>
  <si>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</si>
  <si>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</si>
  <si>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</si>
  <si>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</si>
  <si>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</si>
  <si>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</si>
  <si>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</si>
  <si>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</si>
  <si>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</si>
  <si>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</si>
  <si>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</si>
  <si>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</si>
  <si>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</si>
  <si>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</si>
  <si>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</si>
  <si>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</si>
  <si>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</si>
  <si>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</si>
  <si>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</si>
  <si>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</si>
  <si>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</si>
  <si>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</si>
  <si>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</si>
  <si>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</si>
  <si>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</si>
  <si>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</si>
  <si>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</si>
  <si>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</si>
  <si>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</si>
  <si>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</si>
  <si>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</si>
  <si>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</si>
  <si>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</si>
  <si>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</si>
  <si>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</si>
  <si>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</si>
  <si>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</si>
  <si>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</si>
  <si>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</si>
  <si>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</si>
  <si>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</si>
  <si>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</si>
  <si>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</si>
  <si>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</si>
  <si>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</si>
  <si>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</si>
  <si>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</si>
  <si>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</si>
  <si>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</si>
  <si>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</si>
  <si>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</si>
  <si>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</si>
  <si>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</si>
  <si>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</si>
  <si>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</si>
  <si>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</si>
  <si>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</si>
  <si>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</si>
  <si>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</si>
  <si>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</si>
  <si>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</si>
  <si>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</si>
  <si>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</si>
  <si>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</si>
  <si>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</si>
  <si>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</si>
  <si>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</si>
  <si>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</si>
  <si>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</si>
  <si>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</si>
  <si>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</si>
  <si>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</si>
  <si>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</si>
  <si>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</si>
  <si>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</si>
  <si>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</si>
  <si>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</si>
  <si>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</si>
  <si>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</si>
  <si>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</si>
  <si>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</si>
  <si>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</si>
  <si>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</si>
  <si>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</si>
  <si>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</si>
  <si>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</si>
  <si>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</si>
  <si>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</si>
  <si>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</si>
  <si>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</si>
  <si>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</si>
  <si>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</si>
  <si>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</si>
  <si>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</si>
  <si>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</si>
  <si>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</si>
  <si>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</si>
  <si>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</si>
  <si>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</si>
  <si>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</si>
  <si>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</si>
  <si>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</si>
  <si>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</si>
  <si>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</si>
  <si>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</si>
  <si>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</si>
  <si>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</si>
  <si>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</si>
  <si>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</si>
  <si>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</si>
  <si>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</si>
  <si>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</si>
  <si>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</si>
  <si>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</si>
  <si>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</si>
  <si>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</si>
  <si>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</si>
  <si>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</si>
  <si>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</si>
  <si>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</si>
  <si>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</si>
  <si>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</si>
  <si>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</si>
  <si>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</si>
  <si>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</si>
  <si>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</si>
  <si>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</si>
  <si>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</si>
  <si>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</si>
  <si>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</si>
  <si>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</si>
  <si>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</si>
  <si>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</si>
  <si>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</si>
  <si>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</si>
  <si>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</si>
  <si>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</si>
  <si>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</si>
  <si>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</si>
  <si>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</si>
  <si>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</si>
  <si>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</si>
  <si>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</si>
  <si>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</si>
  <si>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</si>
  <si>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</si>
  <si>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</si>
  <si>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</si>
  <si>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</si>
  <si>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</si>
  <si>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</si>
  <si>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</si>
  <si>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</si>
  <si>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</si>
  <si>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</si>
  <si>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</si>
  <si>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</si>
  <si>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</si>
  <si>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</si>
  <si>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</si>
  <si>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</si>
  <si>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</si>
  <si>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</si>
  <si>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</si>
  <si>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</si>
  <si>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</si>
  <si>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</si>
  <si>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</si>
  <si>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</si>
  <si>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</si>
  <si>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</si>
  <si>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</si>
  <si>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</si>
  <si>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</si>
  <si>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</si>
  <si>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</si>
  <si>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</si>
  <si>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</si>
  <si>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</si>
  <si>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</si>
  <si>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</si>
  <si>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</si>
  <si>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</si>
  <si>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</si>
  <si>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</si>
  <si>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</si>
  <si>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</si>
  <si>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</si>
  <si>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</si>
  <si>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</si>
  <si>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</si>
  <si>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</si>
  <si>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</si>
  <si>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</si>
  <si>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</si>
  <si>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</si>
  <si>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</si>
  <si>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</si>
  <si>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</si>
  <si>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</si>
  <si>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</si>
  <si>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</si>
  <si>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</si>
  <si>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</si>
  <si>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</si>
  <si>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</si>
  <si>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</si>
  <si>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</si>
  <si>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</si>
  <si>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</si>
  <si>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</si>
  <si>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</si>
  <si>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</si>
  <si>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</si>
  <si>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</si>
  <si>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</si>
  <si>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</si>
  <si>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</si>
  <si>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</si>
  <si>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</si>
  <si>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</si>
  <si>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</si>
  <si>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</si>
  <si>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</si>
  <si>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</si>
  <si>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</si>
  <si>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</si>
  <si>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</si>
  <si>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</si>
  <si>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</si>
  <si>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</si>
  <si>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</si>
  <si>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</si>
  <si>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</si>
  <si>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</si>
  <si>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</si>
  <si>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</si>
  <si>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</si>
  <si>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</si>
  <si>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</si>
  <si>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</si>
  <si>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</si>
  <si>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</si>
  <si>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</si>
  <si>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</si>
  <si>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</si>
  <si>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</si>
  <si>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</si>
  <si>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</si>
  <si>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</si>
  <si>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</si>
  <si>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</si>
  <si>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</si>
  <si>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</si>
  <si>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</si>
  <si>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</si>
  <si>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</si>
  <si>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</si>
  <si>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</si>
  <si>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</si>
  <si>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</si>
  <si>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</si>
  <si>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</si>
  <si>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</si>
  <si>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</si>
  <si>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</si>
  <si>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</si>
  <si>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</si>
  <si>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</si>
  <si>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</si>
  <si>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</si>
  <si>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</si>
  <si>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</si>
  <si>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</si>
  <si>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</si>
  <si>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</si>
  <si>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</si>
  <si>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</si>
  <si>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</si>
  <si>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</si>
  <si>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</si>
  <si>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</si>
  <si>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</si>
  <si>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</si>
  <si>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</si>
  <si>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</si>
  <si>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</si>
  <si>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</si>
  <si>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</si>
  <si>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</si>
  <si>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</si>
  <si>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</si>
  <si>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</si>
  <si>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</si>
  <si>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</si>
  <si>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</si>
  <si>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</si>
  <si>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</si>
  <si>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</si>
  <si>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</si>
  <si>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</si>
  <si>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</si>
  <si>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</si>
  <si>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</si>
  <si>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</si>
  <si>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</si>
  <si>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</si>
  <si>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</si>
  <si>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</si>
  <si>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</si>
  <si>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</si>
  <si>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</si>
  <si>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</si>
  <si>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</si>
  <si>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</si>
  <si>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</si>
  <si>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</si>
  <si>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</si>
  <si>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</si>
  <si>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</si>
  <si>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</si>
  <si>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</si>
  <si>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</si>
  <si>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</si>
  <si>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</si>
  <si>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</si>
  <si>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</si>
  <si>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</si>
  <si>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</si>
  <si>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</si>
  <si>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</si>
  <si>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</si>
  <si>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</si>
  <si>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</si>
  <si>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</si>
  <si>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</si>
  <si>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</si>
  <si>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</si>
  <si>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</si>
  <si>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</si>
  <si>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</si>
  <si>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</si>
  <si>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</si>
  <si>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</si>
  <si>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</si>
  <si>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</si>
  <si>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</si>
  <si>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</si>
  <si>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</si>
  <si>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</si>
  <si>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</si>
  <si>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</si>
  <si>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</si>
  <si>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</si>
  <si>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</si>
  <si>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</si>
  <si>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</si>
  <si>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</si>
  <si>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</si>
  <si>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</si>
  <si>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</si>
  <si>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</si>
  <si>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</si>
  <si>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</si>
  <si>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</si>
  <si>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</si>
  <si>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</si>
  <si>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</si>
  <si>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</si>
  <si>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</si>
  <si>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</si>
  <si>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</si>
  <si>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</si>
  <si>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</si>
  <si>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</si>
  <si>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</si>
  <si>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</si>
  <si>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</si>
  <si>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</si>
  <si>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</si>
  <si>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</si>
  <si>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</si>
  <si>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</si>
  <si>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</si>
  <si>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</si>
  <si>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</si>
  <si>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</si>
  <si>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</si>
  <si>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</si>
  <si>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</si>
  <si>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</si>
  <si>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</si>
  <si>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</si>
  <si>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</si>
  <si>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</si>
  <si>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</si>
  <si>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</si>
  <si>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</si>
  <si>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</si>
  <si>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</si>
  <si>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</si>
  <si>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</si>
  <si>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</si>
  <si>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</si>
  <si>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</si>
  <si>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</si>
  <si>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</si>
  <si>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</si>
  <si>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</si>
  <si>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</si>
  <si>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</si>
  <si>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</si>
  <si>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</si>
  <si>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</si>
  <si>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</si>
  <si>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</si>
  <si>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</si>
  <si>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</si>
  <si>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</si>
  <si>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</si>
  <si>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</si>
  <si>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</si>
  <si>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</si>
  <si>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</si>
  <si>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</si>
  <si>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</si>
  <si>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</si>
  <si>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</si>
  <si>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</si>
  <si>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</si>
  <si>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</si>
  <si>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</si>
  <si>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</si>
  <si>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</si>
  <si>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</si>
  <si>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</si>
  <si>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</si>
  <si>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</si>
  <si>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</si>
  <si>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</si>
  <si>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</si>
  <si>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</si>
  <si>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</si>
  <si>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</si>
  <si>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</si>
  <si>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</si>
  <si>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</si>
  <si>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</si>
  <si>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</si>
  <si>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</si>
  <si>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</si>
  <si>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</si>
  <si>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</si>
  <si>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</si>
  <si>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</si>
  <si>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</si>
  <si>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</si>
  <si>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</si>
  <si>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</si>
  <si>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</si>
  <si>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</si>
  <si>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</si>
  <si>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</si>
  <si>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</si>
  <si>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</si>
  <si>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</si>
  <si>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</si>
  <si>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</si>
  <si>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</si>
  <si>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</si>
  <si>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</si>
  <si>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</si>
  <si>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</si>
  <si>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</si>
  <si>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</si>
  <si>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</si>
  <si>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</si>
  <si>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</si>
  <si>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</si>
  <si>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</si>
  <si>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</si>
  <si>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</si>
  <si>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</si>
  <si>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</si>
  <si>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</si>
  <si>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</si>
  <si>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</si>
  <si>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</si>
  <si>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</si>
  <si>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</si>
  <si>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</si>
  <si>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</si>
  <si>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</si>
  <si>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</si>
  <si>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</si>
  <si>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</si>
  <si>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</si>
  <si>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</si>
  <si>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</si>
  <si>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</si>
  <si>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</si>
  <si>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</si>
  <si>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</si>
  <si>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</si>
  <si>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</si>
  <si>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</si>
  <si>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</si>
  <si>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</si>
  <si>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</si>
  <si>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</si>
  <si>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</si>
  <si>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</si>
  <si>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</si>
  <si>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</si>
  <si>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</si>
  <si>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</si>
  <si>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</si>
  <si>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</si>
  <si>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</si>
  <si>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</si>
  <si>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</si>
  <si>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</si>
  <si>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</si>
  <si>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</si>
  <si>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</si>
  <si>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</si>
  <si>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</si>
  <si>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</si>
  <si>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</si>
  <si>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</si>
  <si>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</si>
  <si>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</si>
  <si>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</si>
  <si>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</si>
  <si>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</si>
  <si>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</si>
  <si>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</si>
  <si>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</si>
  <si>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</si>
  <si>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</si>
  <si>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</si>
  <si>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</si>
  <si>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</si>
  <si>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</si>
  <si>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</si>
  <si>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</si>
  <si>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</si>
  <si>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</si>
  <si>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</si>
  <si>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</si>
  <si>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</si>
  <si>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</si>
  <si>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</si>
  <si>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</si>
  <si>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</si>
  <si>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</si>
  <si>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</si>
  <si>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</si>
  <si>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</si>
  <si>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</si>
  <si>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</si>
  <si>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</si>
  <si>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</si>
  <si>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</si>
  <si>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</si>
  <si>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</si>
  <si>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</si>
  <si>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</si>
  <si>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</si>
  <si>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</si>
  <si>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</si>
  <si>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</si>
  <si>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</si>
  <si>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</si>
  <si>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</si>
  <si>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</si>
  <si>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</si>
  <si>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</si>
  <si>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</si>
  <si>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</si>
  <si>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</si>
  <si>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</si>
  <si>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</si>
  <si>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</si>
  <si>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</si>
  <si>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</si>
  <si>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</si>
  <si>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</si>
  <si>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</si>
  <si>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</si>
  <si>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</si>
  <si>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</si>
  <si>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</si>
  <si>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</si>
  <si>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</si>
  <si>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</si>
  <si>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</si>
  <si>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</si>
  <si>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</si>
  <si>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</si>
  <si>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</si>
  <si>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</si>
  <si>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</si>
  <si>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</si>
  <si>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</si>
  <si>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</si>
  <si>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</si>
  <si>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</si>
  <si>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</si>
  <si>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</si>
  <si>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</si>
  <si>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</si>
  <si>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</si>
  <si>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</si>
  <si>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</si>
  <si>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</si>
  <si>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</si>
  <si>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</si>
  <si>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</si>
  <si>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</si>
  <si>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</si>
  <si>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</si>
  <si>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</si>
  <si>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</si>
  <si>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</si>
  <si>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</si>
  <si>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</si>
  <si>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</si>
  <si>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</si>
  <si>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</si>
  <si>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</si>
  <si>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</si>
  <si>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</si>
  <si>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</si>
  <si>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</si>
  <si>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</si>
  <si>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</si>
  <si>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</si>
  <si>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</si>
  <si>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</si>
  <si>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</si>
  <si>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</si>
  <si>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</si>
  <si>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</si>
  <si>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</si>
  <si>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</si>
  <si>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</si>
  <si>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</si>
  <si>
    <t>App | Dataiku (Automation)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</si>
</sst>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3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28">
      <pivotArea outline="0" collapsedLevelsAreSubtotals="1" fieldPosition="0"/>
    </format>
    <format dxfId="27">
      <pivotArea dataOnly="0" labelOnly="1" fieldPosition="0">
        <references count="1">
          <reference field="5" count="0"/>
        </references>
      </pivotArea>
    </format>
    <format dxfId="26">
      <pivotArea dataOnly="0" labelOnly="1" grandRow="1" outline="0" fieldPosition="0"/>
    </format>
    <format dxfId="25">
      <pivotArea collapsedLevelsAreSubtotals="1" fieldPosition="0">
        <references count="1">
          <reference field="5" count="0"/>
        </references>
      </pivotArea>
    </format>
    <format dxfId="24">
      <pivotArea grandRow="1" outline="0" collapsedLevelsAreSubtotals="1" fieldPosition="0"/>
    </format>
    <format dxfId="23">
      <pivotArea field="5" type="button" dataOnly="0" labelOnly="1" outline="0" axis="axisRow" fieldPosition="0"/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35">
      <pivotArea outline="0" collapsedLevelsAreSubtotals="1" fieldPosition="0"/>
    </format>
    <format dxfId="34">
      <pivotArea field="3" type="button" dataOnly="0" labelOnly="1" outline="0" axis="axisRow" fieldPosition="0"/>
    </format>
    <format dxfId="33">
      <pivotArea dataOnly="0" labelOnly="1" outline="0" axis="axisValues" fieldPosition="0"/>
    </format>
    <format dxfId="32">
      <pivotArea dataOnly="0" labelOnly="1" fieldPosition="0">
        <references count="1">
          <reference field="3" count="0"/>
        </references>
      </pivotArea>
    </format>
    <format dxfId="31">
      <pivotArea dataOnly="0" labelOnly="1" grandRow="1" outline="0" fieldPosition="0"/>
    </format>
    <format dxfId="30">
      <pivotArea collapsedLevelsAreSubtotals="1" fieldPosition="0">
        <references count="1">
          <reference field="3" count="1">
            <x v="2"/>
          </reference>
        </references>
      </pivotArea>
    </format>
    <format dxfId="29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48">
      <pivotArea collapsedLevelsAreSubtotals="1" fieldPosition="0">
        <references count="1">
          <reference field="7" count="0"/>
        </references>
      </pivotArea>
    </format>
    <format dxfId="47">
      <pivotArea dataOnly="0" labelOnly="1" fieldPosition="0">
        <references count="1">
          <reference field="7" count="0"/>
        </references>
      </pivotArea>
    </format>
    <format dxfId="46">
      <pivotArea collapsedLevelsAreSubtotals="1" fieldPosition="0">
        <references count="1">
          <reference field="7" count="1">
            <x v="6"/>
          </reference>
        </references>
      </pivotArea>
    </format>
    <format dxfId="45">
      <pivotArea dataOnly="0" labelOnly="1" fieldPosition="0">
        <references count="1">
          <reference field="7" count="1">
            <x v="6"/>
          </reference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2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1">
      <pivotArea field="7" type="button" dataOnly="0" labelOnly="1" outline="0" axis="axisRow" fieldPosition="0"/>
    </format>
    <format dxfId="40">
      <pivotArea dataOnly="0" labelOnly="1" outline="0" axis="axisValues" fieldPosition="0"/>
    </format>
    <format dxfId="39">
      <pivotArea grandRow="1" outline="0" collapsedLevelsAreSubtotals="1" fieldPosition="0"/>
    </format>
    <format dxfId="38">
      <pivotArea dataOnly="0" labelOnly="1" grandRow="1" outline="0" fieldPosition="0"/>
    </format>
    <format dxfId="37">
      <pivotArea grandRow="1" outline="0" collapsedLevelsAreSubtotals="1" fieldPosition="0"/>
    </format>
    <format dxfId="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67">
      <pivotArea dataOnly="0" labelOnly="1" outline="0" axis="axisValues" fieldPosition="0"/>
    </format>
    <format dxfId="66">
      <pivotArea dataOnly="0" labelOnly="1" outline="0" axis="axisValues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grandRow="1" outline="0" fieldPosition="0"/>
    </format>
    <format dxfId="62">
      <pivotArea dataOnly="0" labelOnly="1" grandRow="1" outline="0" fieldPosition="0"/>
    </format>
    <format dxfId="61">
      <pivotArea dataOnly="0" labelOnly="1" grandRow="1" outline="0" fieldPosition="0"/>
    </format>
    <format dxfId="60">
      <pivotArea grandRow="1" outline="0" fieldPosition="0"/>
    </format>
    <format dxfId="59">
      <pivotArea dataOnly="0" labelOnly="1" grandRow="1" outline="0" fieldPosition="0"/>
    </format>
    <format dxfId="58">
      <pivotArea outline="0" fieldPosition="0"/>
    </format>
    <format dxfId="57">
      <pivotArea dataOnly="0" labelOnly="1" grandRow="1" outline="0" fieldPosition="0"/>
    </format>
    <format dxfId="56">
      <pivotArea grandRow="1" outline="0" fieldPosition="0"/>
    </format>
    <format dxfId="55">
      <pivotArea dataOnly="0" labelOnly="1" grandRow="1" outline="0" fieldPosition="0"/>
    </format>
    <format dxfId="54">
      <pivotArea dataOnly="0" labelOnly="1" outline="0" axis="axisValues" fieldPosition="0"/>
    </format>
    <format dxfId="53">
      <pivotArea field="0" type="button" dataOnly="0" labelOnly="1" outline="0" axis="axisRow" fieldPosition="0"/>
    </format>
    <format dxfId="52">
      <pivotArea field="0" type="button" dataOnly="0" labelOnly="1" outline="0" axis="axisRow" fieldPosition="0"/>
    </format>
    <format dxfId="51">
      <pivotArea field="0" type="button" dataOnly="0" labelOnly="1" outline="0" axis="axisRow" fieldPosition="0"/>
    </format>
    <format dxfId="50">
      <pivotArea dataOnly="0" labelOnly="1" outline="0" axis="axisValues" fieldPosition="0"/>
    </format>
    <format dxfId="49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86">
      <pivotArea dataOnly="0" labelOnly="1" outline="0" axis="axisValues" fieldPosition="0"/>
    </format>
    <format dxfId="85">
      <pivotArea dataOnly="0" labelOnly="1" outline="0" axis="axisValues" fieldPosition="0"/>
    </format>
    <format dxfId="84">
      <pivotArea dataOnly="0" labelOnly="1" outline="0" axis="axisValues" fieldPosition="0"/>
    </format>
    <format dxfId="83">
      <pivotArea dataOnly="0" labelOnly="1" outline="0" axis="axisValues" fieldPosition="0"/>
    </format>
    <format dxfId="82">
      <pivotArea grandRow="1" outline="0" fieldPosition="0"/>
    </format>
    <format dxfId="81">
      <pivotArea dataOnly="0" labelOnly="1" grandRow="1" outline="0" fieldPosition="0"/>
    </format>
    <format dxfId="80">
      <pivotArea grandRow="1" outline="0" fieldPosition="0"/>
    </format>
    <format dxfId="79">
      <pivotArea dataOnly="0" labelOnly="1" grandRow="1" outline="0" fieldPosition="0"/>
    </format>
    <format dxfId="78">
      <pivotArea dataOnly="0" labelOnly="1" grandRow="1" outline="0" fieldPosition="0"/>
    </format>
    <format dxfId="77">
      <pivotArea grandRow="1" outline="0" fieldPosition="0"/>
    </format>
    <format dxfId="76">
      <pivotArea dataOnly="0" labelOnly="1" grandRow="1" outline="0" fieldPosition="0"/>
    </format>
    <format dxfId="75">
      <pivotArea outline="0" fieldPosition="0"/>
    </format>
    <format dxfId="74">
      <pivotArea dataOnly="0" labelOnly="1" grandRow="1" outline="0" fieldPosition="0"/>
    </format>
    <format dxfId="73">
      <pivotArea dataOnly="0" labelOnly="1" outline="0" axis="axisValues" fieldPosition="0"/>
    </format>
    <format dxfId="72">
      <pivotArea dataOnly="0" labelOnly="1" outline="0" axis="axisValues" fieldPosition="0"/>
    </format>
    <format dxfId="71">
      <pivotArea field="1" type="button" dataOnly="0" labelOnly="1" outline="0" axis="axisRow" fieldPosition="0"/>
    </format>
    <format dxfId="70">
      <pivotArea outline="0" fieldPosition="0"/>
    </format>
    <format dxfId="69">
      <pivotArea grandRow="1" outline="0" fieldPosition="0"/>
    </format>
    <format dxfId="6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111">
      <pivotArea dataOnly="0" labelOnly="1" outline="0" axis="axisValues" fieldPosition="0"/>
    </format>
    <format dxfId="110">
      <pivotArea dataOnly="0" labelOnly="1" outline="0" axis="axisValues" fieldPosition="0"/>
    </format>
    <format dxfId="109">
      <pivotArea dataOnly="0" labelOnly="1" outline="0" axis="axisValues" fieldPosition="0"/>
    </format>
    <format dxfId="108">
      <pivotArea dataOnly="0" labelOnly="1" outline="0" axis="axisValues" fieldPosition="0"/>
    </format>
    <format dxfId="107">
      <pivotArea grandRow="1" outline="0" fieldPosition="0"/>
    </format>
    <format dxfId="106">
      <pivotArea dataOnly="0" labelOnly="1" grandRow="1" outline="0" fieldPosition="0"/>
    </format>
    <format dxfId="105">
      <pivotArea grandRow="1" outline="0" fieldPosition="0"/>
    </format>
    <format dxfId="104">
      <pivotArea dataOnly="0" labelOnly="1" grandRow="1" outline="0" fieldPosition="0"/>
    </format>
    <format dxfId="103">
      <pivotArea dataOnly="0" labelOnly="1" grandRow="1" outline="0" fieldPosition="0"/>
    </format>
    <format dxfId="102">
      <pivotArea grandRow="1" outline="0" fieldPosition="0"/>
    </format>
    <format dxfId="101">
      <pivotArea dataOnly="0" labelOnly="1" grandRow="1" outline="0" fieldPosition="0"/>
    </format>
    <format dxfId="100">
      <pivotArea outline="0" fieldPosition="0"/>
    </format>
    <format dxfId="99">
      <pivotArea dataOnly="0" labelOnly="1" grandRow="1" outline="0" fieldPosition="0"/>
    </format>
    <format dxfId="98">
      <pivotArea dataOnly="0" labelOnly="1" outline="0" axis="axisValues" fieldPosition="0"/>
    </format>
    <format dxfId="97">
      <pivotArea dataOnly="0" labelOnly="1" outline="0" axis="axisValues" fieldPosition="0"/>
    </format>
    <format dxfId="96">
      <pivotArea field="1" type="button" dataOnly="0" labelOnly="1" outline="0"/>
    </format>
    <format dxfId="95">
      <pivotArea outline="0" fieldPosition="0"/>
    </format>
    <format dxfId="94">
      <pivotArea grandRow="1" outline="0" fieldPosition="0"/>
    </format>
    <format dxfId="93">
      <pivotArea dataOnly="0" labelOnly="1" grandRow="1" outline="0" fieldPosition="0"/>
    </format>
    <format dxfId="92">
      <pivotArea field="0" type="button" dataOnly="0" labelOnly="1" outline="0" axis="axisRow" fieldPosition="0"/>
    </format>
    <format dxfId="91">
      <pivotArea field="0" type="button" dataOnly="0" labelOnly="1" outline="0" axis="axisRow" fieldPosition="0"/>
    </format>
    <format dxfId="90">
      <pivotArea collapsedLevelsAreSubtotals="1" fieldPosition="0">
        <references count="1">
          <reference field="0" count="1">
            <x v="1073"/>
          </reference>
        </references>
      </pivotArea>
    </format>
    <format dxfId="89">
      <pivotArea grandRow="1" outline="0" collapsedLevelsAreSubtotals="1" fieldPosition="0"/>
    </format>
    <format dxfId="88">
      <pivotArea dataOnly="0" labelOnly="1" fieldPosition="0">
        <references count="1">
          <reference field="0" count="1">
            <x v="1073"/>
          </reference>
        </references>
      </pivotArea>
    </format>
    <format dxfId="87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dataOnly="0" labelOnly="1" outline="0" axis="axisValues" fieldPosition="0"/>
    </format>
    <format dxfId="128">
      <pivotArea dataOnly="0" labelOnly="1" outline="0" axis="axisValues" fieldPosition="0"/>
    </format>
    <format dxfId="127">
      <pivotArea grandRow="1" outline="0" fieldPosition="0"/>
    </format>
    <format dxfId="126">
      <pivotArea dataOnly="0" labelOnly="1" grandRow="1" outline="0" fieldPosition="0"/>
    </format>
    <format dxfId="125">
      <pivotArea grandRow="1" outline="0" fieldPosition="0"/>
    </format>
    <format dxfId="124">
      <pivotArea dataOnly="0" labelOnly="1" grandRow="1" outline="0" fieldPosition="0"/>
    </format>
    <format dxfId="123">
      <pivotArea dataOnly="0" labelOnly="1" grandRow="1" outline="0" fieldPosition="0"/>
    </format>
    <format dxfId="122">
      <pivotArea grandRow="1" outline="0" fieldPosition="0"/>
    </format>
    <format dxfId="121">
      <pivotArea dataOnly="0" labelOnly="1" grandRow="1" outline="0" fieldPosition="0"/>
    </format>
    <format dxfId="120">
      <pivotArea outline="0" fieldPosition="0"/>
    </format>
    <format dxfId="119">
      <pivotArea dataOnly="0" labelOnly="1" grandRow="1" outline="0" fieldPosition="0"/>
    </format>
    <format dxfId="118">
      <pivotArea dataOnly="0" labelOnly="1" outline="0" axis="axisValues" fieldPosition="0"/>
    </format>
    <format dxfId="117">
      <pivotArea dataOnly="0" labelOnly="1" outline="0" axis="axisValues" fieldPosition="0"/>
    </format>
    <format dxfId="116">
      <pivotArea field="1" type="button" dataOnly="0" labelOnly="1" outline="0" axis="axisRow" fieldPosition="0"/>
    </format>
    <format dxfId="115">
      <pivotArea outline="0" fieldPosition="0"/>
    </format>
    <format dxfId="114">
      <pivotArea grandRow="1" outline="0" fieldPosition="0"/>
    </format>
    <format dxfId="113">
      <pivotArea dataOnly="0" labelOnly="1" grandRow="1" outline="0" fieldPosition="0"/>
    </format>
    <format dxfId="112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iku-ads-automation.euronext.com/apps/PROJECT_EMS_TEMPLATE" TargetMode="External"/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sheetPr filterMode="1"/>
  <dimension ref="A1:I31"/>
  <sheetViews>
    <sheetView tabSelected="1" topLeftCell="A3" workbookViewId="0">
      <selection activeCell="I21" sqref="I21"/>
    </sheetView>
  </sheetViews>
  <sheetFormatPr defaultRowHeight="12.75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>
      <c r="A1" t="s">
        <v>5183</v>
      </c>
    </row>
    <row r="2" spans="1:9">
      <c r="A2" s="82" t="s">
        <v>5184</v>
      </c>
    </row>
    <row r="3" spans="1:9">
      <c r="A3" s="82" t="s">
        <v>5185</v>
      </c>
    </row>
    <row r="4" spans="1:9" ht="1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 hidden="1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 hidden="1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 hidden="1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 hidden="1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 hidden="1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8"/>
    </row>
    <row r="10" spans="1:9" hidden="1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8"/>
    </row>
    <row r="11" spans="1:9" hidden="1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8"/>
    </row>
    <row r="12" spans="1:9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>
        <v>1</v>
      </c>
    </row>
    <row r="13" spans="1:9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>
        <v>1</v>
      </c>
    </row>
    <row r="14" spans="1:9" hidden="1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>
        <v>1</v>
      </c>
    </row>
    <row r="16" spans="1:9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>
        <v>1</v>
      </c>
    </row>
    <row r="17" spans="2:9" hidden="1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>
        <v>1</v>
      </c>
    </row>
    <row r="18" spans="2:9" hidden="1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>
        <v>1</v>
      </c>
    </row>
    <row r="19" spans="2:9" hidden="1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9">
        <v>1</v>
      </c>
    </row>
    <row r="20" spans="2:9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9">
        <v>1</v>
      </c>
    </row>
    <row r="21" spans="2:9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9">
        <v>1</v>
      </c>
    </row>
    <row r="22" spans="2:9" hidden="1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8"/>
    </row>
    <row r="23" spans="2:9" hidden="1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8"/>
    </row>
    <row r="24" spans="2:9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9">
        <v>1</v>
      </c>
    </row>
    <row r="25" spans="2:9" hidden="1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 hidden="1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8"/>
    </row>
    <row r="27" spans="2:9" hidden="1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9"/>
    </row>
    <row r="28" spans="2:9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>
        <v>1</v>
      </c>
    </row>
    <row r="29" spans="2:9" hidden="1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8"/>
    </row>
    <row r="30" spans="2:9" hidden="1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8"/>
    </row>
    <row r="31" spans="2:9" hidden="1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8"/>
    </row>
  </sheetData>
  <autoFilter ref="A4:I31" xr:uid="{B12575D6-A2A5-40F0-832F-94B359566F43}">
    <filterColumn colId="3">
      <filters>
        <filter val="EZ300"/>
        <filter val="EZ300;NA500"/>
      </filters>
    </filterColumn>
  </autoFilter>
  <hyperlinks>
    <hyperlink ref="A2" r:id="rId1" display="https://dataiku-ads-automation.euronext.com/projects/FRANCE2040CHALLANGERSA_V2/managedfolder/weoo4Tdo/view/" xr:uid="{14CAE483-0483-4871-AD9F-A782CE1643B4}"/>
    <hyperlink ref="A3" r:id="rId2" display="https://dataiku-ads-automation.euronext.com/apps/PROJECT_EMS_TEMPLATE" xr:uid="{14F1A8AC-70BE-42AF-A085-A725504D67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opLeftCell="A6" workbookViewId="0">
      <selection activeCell="A6" sqref="A6"/>
    </sheetView>
  </sheetViews>
  <sheetFormatPr defaultRowHeight="12.75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>
      <c r="F1" s="70" t="s">
        <v>5155</v>
      </c>
      <c r="G1" s="71">
        <f>COUNTA($A$8:$A$300)</f>
        <v>187</v>
      </c>
    </row>
    <row r="2" spans="1:14">
      <c r="F2" s="72" t="s">
        <v>5151</v>
      </c>
      <c r="G2" s="73">
        <f>COUNTIF($F$8:$F$301,"Done")</f>
        <v>36</v>
      </c>
    </row>
    <row r="3" spans="1:14">
      <c r="F3" s="72" t="s">
        <v>4726</v>
      </c>
      <c r="G3" s="73">
        <f>COUNTIF($F$8:$F$194,"")</f>
        <v>90</v>
      </c>
    </row>
    <row r="4" spans="1:14">
      <c r="F4" s="72" t="s">
        <v>5153</v>
      </c>
      <c r="G4" s="73">
        <f>COUNTIF($F$8:$F$301,"Moodys")</f>
        <v>38</v>
      </c>
    </row>
    <row r="5" spans="1:14" ht="13.5" thickBot="1">
      <c r="F5" s="74" t="s">
        <v>5154</v>
      </c>
      <c r="G5" s="75">
        <f>COUNTA($A$8:$A$301)-G1</f>
        <v>0</v>
      </c>
    </row>
    <row r="7" spans="1:14" ht="35.1" customHeight="1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>
      <c r="B195" t="s">
        <v>3632</v>
      </c>
    </row>
    <row r="196" spans="1:20">
      <c r="A196" s="79"/>
      <c r="B196" t="s">
        <v>1272</v>
      </c>
    </row>
    <row r="197" spans="1:20">
      <c r="B197" t="s">
        <v>1058</v>
      </c>
    </row>
    <row r="198" spans="1:20">
      <c r="A198" s="79"/>
      <c r="B198" t="s">
        <v>450</v>
      </c>
    </row>
    <row r="199" spans="1:20">
      <c r="B199" t="s">
        <v>3874</v>
      </c>
    </row>
    <row r="200" spans="1:20">
      <c r="A200" s="79"/>
      <c r="B200" t="s">
        <v>3526</v>
      </c>
    </row>
    <row r="201" spans="1:20">
      <c r="B201" t="s">
        <v>839</v>
      </c>
    </row>
    <row r="202" spans="1:20">
      <c r="A202" s="79"/>
      <c r="B202" t="s">
        <v>2108</v>
      </c>
    </row>
    <row r="203" spans="1:20">
      <c r="B203" t="s">
        <v>3544</v>
      </c>
    </row>
    <row r="204" spans="1:20">
      <c r="A204" s="79"/>
      <c r="B204" t="s">
        <v>827</v>
      </c>
    </row>
    <row r="205" spans="1:20">
      <c r="B205" t="s">
        <v>3499</v>
      </c>
    </row>
    <row r="206" spans="1:20">
      <c r="A206" s="79"/>
      <c r="B206" t="s">
        <v>1128</v>
      </c>
    </row>
    <row r="207" spans="1:20">
      <c r="B207" t="s">
        <v>1315</v>
      </c>
    </row>
    <row r="208" spans="1:20">
      <c r="A208" s="79"/>
      <c r="B208" t="s">
        <v>1190</v>
      </c>
    </row>
    <row r="209" spans="1:2">
      <c r="B209" t="s">
        <v>3559</v>
      </c>
    </row>
    <row r="210" spans="1:2">
      <c r="A210" s="79"/>
      <c r="B210" t="s">
        <v>1284</v>
      </c>
    </row>
    <row r="211" spans="1:2">
      <c r="B211" t="s">
        <v>2126</v>
      </c>
    </row>
    <row r="212" spans="1:2">
      <c r="A212" s="79"/>
      <c r="B212" t="s">
        <v>3535</v>
      </c>
    </row>
    <row r="213" spans="1:2">
      <c r="B213" t="s">
        <v>3508</v>
      </c>
    </row>
    <row r="214" spans="1:2">
      <c r="A214" s="79"/>
      <c r="B214" t="s">
        <v>3517</v>
      </c>
    </row>
    <row r="215" spans="1:2">
      <c r="B215" t="s">
        <v>2099</v>
      </c>
    </row>
    <row r="216" spans="1:2">
      <c r="A216" s="79"/>
      <c r="B216" t="s">
        <v>1004</v>
      </c>
    </row>
    <row r="217" spans="1:2">
      <c r="B217" t="s">
        <v>995</v>
      </c>
    </row>
    <row r="218" spans="1:2">
      <c r="A218" s="79"/>
      <c r="B218" t="s">
        <v>1119</v>
      </c>
    </row>
    <row r="219" spans="1:2">
      <c r="B219" t="s">
        <v>2957</v>
      </c>
    </row>
    <row r="220" spans="1:2">
      <c r="A220" s="79"/>
      <c r="B220" t="s">
        <v>3603</v>
      </c>
    </row>
    <row r="221" spans="1:2">
      <c r="B221" t="s">
        <v>2768</v>
      </c>
    </row>
    <row r="222" spans="1:2">
      <c r="A222" s="79"/>
      <c r="B222" t="s">
        <v>1356</v>
      </c>
    </row>
    <row r="223" spans="1:2">
      <c r="B223" t="s">
        <v>821</v>
      </c>
    </row>
    <row r="224" spans="1:2">
      <c r="A224" s="79"/>
      <c r="B224" t="s">
        <v>1306</v>
      </c>
    </row>
    <row r="225" spans="1:2">
      <c r="B225" t="s">
        <v>2598</v>
      </c>
    </row>
    <row r="226" spans="1:2">
      <c r="A226" s="79"/>
      <c r="B226" t="s">
        <v>522</v>
      </c>
    </row>
    <row r="227" spans="1:2">
      <c r="B227" t="s">
        <v>454</v>
      </c>
    </row>
    <row r="228" spans="1:2">
      <c r="A228" s="79"/>
      <c r="B228" t="s">
        <v>3836</v>
      </c>
    </row>
    <row r="229" spans="1:2">
      <c r="B229" t="s">
        <v>2755</v>
      </c>
    </row>
    <row r="230" spans="1:2">
      <c r="A230" s="79"/>
      <c r="B230" t="s">
        <v>2520</v>
      </c>
    </row>
    <row r="231" spans="1:2">
      <c r="B231" t="s">
        <v>1344</v>
      </c>
    </row>
    <row r="232" spans="1:2">
      <c r="A232" s="79"/>
      <c r="B232" t="s">
        <v>2760</v>
      </c>
    </row>
    <row r="233" spans="1:2">
      <c r="B233" t="s">
        <v>524</v>
      </c>
    </row>
    <row r="234" spans="1:2">
      <c r="A234" s="79"/>
      <c r="B234" t="s">
        <v>1130</v>
      </c>
    </row>
    <row r="235" spans="1:2">
      <c r="B235" t="s">
        <v>1220</v>
      </c>
    </row>
    <row r="236" spans="1:2">
      <c r="A236" s="79"/>
      <c r="B236" t="s">
        <v>2740</v>
      </c>
    </row>
    <row r="237" spans="1:2">
      <c r="B237" t="s">
        <v>2766</v>
      </c>
    </row>
    <row r="238" spans="1:2">
      <c r="A238" s="79"/>
      <c r="B238" t="s">
        <v>452</v>
      </c>
    </row>
    <row r="239" spans="1:2">
      <c r="B239" t="s">
        <v>1346</v>
      </c>
    </row>
    <row r="240" spans="1: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21" priority="84">
      <formula>$L21&lt;&gt;""</formula>
    </cfRule>
  </conditionalFormatting>
  <conditionalFormatting sqref="C26:E26 C28:E28 C41:E41 C50:E50 C97:E98">
    <cfRule type="expression" dxfId="20" priority="89">
      <formula>#REF!&lt;&gt;""</formula>
    </cfRule>
  </conditionalFormatting>
  <conditionalFormatting sqref="C194:E194">
    <cfRule type="expression" dxfId="19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18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17" priority="75">
      <formula>ISEVEN($B8)</formula>
    </cfRule>
  </conditionalFormatting>
  <conditionalFormatting sqref="I8:J194">
    <cfRule type="expression" dxfId="16" priority="69">
      <formula>$L8&lt;&gt;""</formula>
    </cfRule>
    <cfRule type="expression" dxfId="15" priority="71">
      <formula>ISEVEN($B8)</formula>
    </cfRule>
    <cfRule type="expression" dxfId="14" priority="100">
      <formula>AND($F8="Yes",$L8="",I8="")</formula>
    </cfRule>
  </conditionalFormatting>
  <conditionalFormatting sqref="O9:O11">
    <cfRule type="expression" dxfId="13" priority="4">
      <formula>$A9=TODAY()</formula>
    </cfRule>
  </conditionalFormatting>
  <conditionalFormatting sqref="O13:O27">
    <cfRule type="expression" dxfId="12" priority="1">
      <formula>$A13=TODAY()</formula>
    </cfRule>
  </conditionalFormatting>
  <conditionalFormatting sqref="O16">
    <cfRule type="expression" dxfId="11" priority="3">
      <formula>$A96=TODAY()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10" priority="20">
      <formula>$J4&lt;&gt;""</formula>
    </cfRule>
    <cfRule type="expression" dxfId="9" priority="22">
      <formula>ISEVEN($B4)</formula>
    </cfRule>
  </conditionalFormatting>
  <conditionalFormatting sqref="H4:I204 K4:L204">
    <cfRule type="expression" dxfId="8" priority="21">
      <formula>AND($F4="Yes",$J4="",H4="")</formula>
    </cfRule>
  </conditionalFormatting>
  <conditionalFormatting sqref="R4:R204">
    <cfRule type="expression" dxfId="7" priority="16">
      <formula>AND(B4="Yes",R4="")</formula>
    </cfRule>
  </conditionalFormatting>
  <conditionalFormatting sqref="S4:S204">
    <cfRule type="expression" dxfId="6" priority="17">
      <formula>AND(B4="Yes",S4="")</formula>
    </cfRule>
  </conditionalFormatting>
  <conditionalFormatting sqref="T4:T204">
    <cfRule type="expression" dxfId="5" priority="18">
      <formula>AND(B4="Yes",T4="")</formula>
    </cfRule>
  </conditionalFormatting>
  <conditionalFormatting sqref="U4:U204">
    <cfRule type="expression" dxfId="4" priority="19">
      <formula>AND(B4="Yes",U4="")</formula>
    </cfRule>
  </conditionalFormatting>
  <conditionalFormatting sqref="U75:U79">
    <cfRule type="expression" dxfId="3" priority="11">
      <formula>AND(E75="Yes",U75="")</formula>
    </cfRule>
  </conditionalFormatting>
  <conditionalFormatting sqref="U88:U94">
    <cfRule type="expression" dxfId="2" priority="4">
      <formula>AND(E88="Yes",U88="")</formula>
    </cfRule>
  </conditionalFormatting>
  <conditionalFormatting sqref="U97">
    <cfRule type="expression" dxfId="1" priority="3">
      <formula>AND(E97="Yes",U97="")</formula>
    </cfRule>
  </conditionalFormatting>
  <conditionalFormatting sqref="U102:U103">
    <cfRule type="expression" dxfId="0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2025-07-25T10:07:37Z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