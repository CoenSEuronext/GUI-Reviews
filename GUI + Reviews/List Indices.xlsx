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64" documentId="8_{E116395F-23B1-4781-867C-818128799F0D}" xr6:coauthVersionLast="47" xr6:coauthVersionMax="47" xr10:uidLastSave="{A97211CA-F9DA-42ED-B0FD-81F2C93B9F51}"/>
  <bookViews>
    <workbookView xWindow="-29115" yWindow="-16005" windowWidth="29040" windowHeight="15840" xr2:uid="{3C919C28-BF99-4E39-9BAE-CA645782308C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Sheet1!$A$1:$F$293</definedName>
    <definedName name="_xlnm._FilterDatabase" localSheetId="1" hidden="1">Sheet2!$A$1:$AF$1248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269" i="1"/>
  <c r="D268" i="1"/>
  <c r="D267" i="1"/>
  <c r="D266" i="1"/>
  <c r="D265" i="1"/>
  <c r="D264" i="1"/>
  <c r="D263" i="1"/>
  <c r="D262" i="1"/>
  <c r="D261" i="1"/>
  <c r="D260" i="1"/>
  <c r="D283" i="1" l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84" i="1"/>
  <c r="D285" i="1"/>
  <c r="D286" i="1"/>
  <c r="D287" i="1"/>
  <c r="D288" i="1"/>
  <c r="D289" i="1"/>
  <c r="D290" i="1"/>
  <c r="D291" i="1"/>
  <c r="D292" i="1"/>
  <c r="D293" i="1"/>
  <c r="D110" i="1" l="1"/>
  <c r="D111" i="1"/>
  <c r="D233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05" i="1"/>
  <c r="D93" i="1"/>
  <c r="D94" i="1"/>
  <c r="D95" i="1"/>
  <c r="D96" i="1"/>
  <c r="D97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98" i="1"/>
  <c r="D99" i="1"/>
  <c r="D220" i="1"/>
  <c r="D221" i="1"/>
  <c r="D100" i="1"/>
  <c r="D101" i="1"/>
  <c r="D222" i="1"/>
  <c r="D102" i="1"/>
  <c r="D223" i="1"/>
  <c r="D103" i="1"/>
  <c r="D224" i="1"/>
  <c r="D225" i="1"/>
  <c r="D104" i="1"/>
  <c r="D226" i="1"/>
  <c r="D105" i="1"/>
  <c r="D106" i="1"/>
  <c r="D227" i="1"/>
  <c r="D228" i="1"/>
  <c r="D107" i="1"/>
  <c r="D229" i="1"/>
  <c r="D230" i="1"/>
  <c r="D108" i="1"/>
  <c r="D231" i="1"/>
  <c r="D232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58" i="1"/>
  <c r="D257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56" i="1"/>
  <c r="D255" i="1"/>
  <c r="D254" i="1"/>
  <c r="D253" i="1"/>
  <c r="D252" i="1"/>
  <c r="D122" i="1"/>
  <c r="D251" i="1"/>
  <c r="D250" i="1"/>
  <c r="D259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121" i="1"/>
  <c r="D120" i="1"/>
  <c r="D236" i="1"/>
  <c r="D235" i="1"/>
  <c r="D234" i="1"/>
  <c r="D119" i="1"/>
  <c r="D118" i="1"/>
  <c r="D117" i="1"/>
  <c r="D116" i="1"/>
  <c r="D115" i="1"/>
  <c r="D114" i="1"/>
  <c r="D113" i="1"/>
  <c r="D112" i="1"/>
  <c r="D5" i="1"/>
  <c r="D7" i="1"/>
  <c r="A7" i="1"/>
  <c r="A16" i="1"/>
  <c r="A208" i="1"/>
  <c r="A252" i="1"/>
  <c r="A229" i="1"/>
  <c r="A94" i="1"/>
  <c r="A39" i="1"/>
  <c r="A34" i="1"/>
  <c r="A28" i="1"/>
  <c r="A27" i="1"/>
  <c r="A38" i="1"/>
  <c r="A40" i="1"/>
  <c r="A238" i="1"/>
  <c r="A240" i="1"/>
  <c r="A241" i="1"/>
  <c r="A239" i="1"/>
  <c r="A115" i="1"/>
  <c r="A256" i="1"/>
  <c r="A98" i="1"/>
  <c r="A114" i="1"/>
  <c r="A224" i="1"/>
  <c r="A228" i="1"/>
  <c r="A247" i="1"/>
  <c r="A219" i="1"/>
  <c r="A218" i="1"/>
  <c r="A245" i="1"/>
  <c r="A244" i="1"/>
  <c r="A242" i="1"/>
  <c r="A227" i="1"/>
  <c r="A202" i="1"/>
  <c r="A203" i="1"/>
  <c r="A217" i="1"/>
  <c r="A104" i="1"/>
  <c r="A49" i="1"/>
  <c r="A50" i="1"/>
  <c r="A198" i="1"/>
  <c r="A51" i="1"/>
  <c r="A206" i="1"/>
  <c r="A232" i="1"/>
  <c r="A234" i="1"/>
  <c r="A255" i="1"/>
  <c r="A235" i="1"/>
  <c r="A4" i="1"/>
  <c r="A5" i="1"/>
  <c r="A44" i="1"/>
  <c r="A196" i="1"/>
  <c r="A257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48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16" i="1"/>
  <c r="A212" i="1"/>
  <c r="A249" i="1"/>
  <c r="A259" i="1"/>
  <c r="A231" i="1"/>
  <c r="A215" i="1"/>
  <c r="A209" i="1"/>
  <c r="A210" i="1"/>
  <c r="A213" i="1"/>
  <c r="A207" i="1"/>
  <c r="A214" i="1"/>
  <c r="A236" i="1"/>
  <c r="A246" i="1"/>
  <c r="A204" i="1"/>
  <c r="A250" i="1"/>
  <c r="A223" i="1"/>
  <c r="A221" i="1"/>
  <c r="A251" i="1"/>
  <c r="A197" i="1"/>
  <c r="A226" i="1"/>
  <c r="A24" i="1"/>
  <c r="A26" i="1"/>
  <c r="A25" i="1"/>
  <c r="A8" i="1"/>
  <c r="A9" i="1"/>
  <c r="A200" i="1"/>
  <c r="A205" i="1"/>
  <c r="A79" i="1"/>
  <c r="A95" i="1"/>
  <c r="A201" i="1"/>
  <c r="A93" i="1"/>
  <c r="A99" i="1"/>
  <c r="A96" i="1"/>
  <c r="A86" i="1"/>
  <c r="A243" i="1"/>
  <c r="A233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20" i="1"/>
  <c r="A222" i="1"/>
  <c r="A90" i="1"/>
  <c r="A91" i="1"/>
  <c r="A76" i="1"/>
  <c r="A20" i="1"/>
  <c r="A108" i="1"/>
  <c r="A225" i="1"/>
  <c r="A122" i="1"/>
  <c r="A3" i="1"/>
  <c r="A254" i="1"/>
  <c r="A253" i="1"/>
  <c r="A211" i="1"/>
  <c r="A92" i="1"/>
  <c r="A23" i="1"/>
  <c r="A237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30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58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AG2" i="3"/>
  <c r="AF2" i="3"/>
  <c r="AF3" i="3" s="1"/>
  <c r="AE2" i="3"/>
  <c r="AE3" i="3" s="1"/>
  <c r="AD2" i="3"/>
  <c r="AD3" i="3" s="1"/>
  <c r="AC2" i="3"/>
  <c r="AC3" i="3" s="1"/>
  <c r="AB2" i="3"/>
  <c r="AB3" i="3" s="1"/>
  <c r="AA2" i="3"/>
  <c r="AA3" i="3" s="1"/>
  <c r="F1208" i="3"/>
</calcChain>
</file>

<file path=xl/sharedStrings.xml><?xml version="1.0" encoding="utf-8"?>
<sst xmlns="http://schemas.openxmlformats.org/spreadsheetml/2006/main" count="16023" uniqueCount="4759">
  <si>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</si>
  <si>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</si>
  <si>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</si>
  <si>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</si>
  <si>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</si>
  <si>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</si>
  <si>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</si>
  <si>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</si>
  <si>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</si>
  <si>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</si>
  <si>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</si>
  <si>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</si>
  <si>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</si>
  <si>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</si>
  <si>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</si>
  <si>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</si>
  <si>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</si>
  <si>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</si>
  <si>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</si>
  <si>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</si>
  <si>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</si>
  <si>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</si>
  <si>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</si>
  <si>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</si>
  <si>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</si>
  <si>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</si>
  <si>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</si>
  <si>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</si>
  <si>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</si>
  <si>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</si>
  <si>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</si>
  <si>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</si>
  <si>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</si>
  <si>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</si>
  <si>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</si>
  <si>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</si>
  <si>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</si>
  <si>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</si>
  <si>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</si>
  <si>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</si>
  <si>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</si>
  <si>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</si>
  <si>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</si>
  <si>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</si>
  <si>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</si>
  <si>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</si>
  <si>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</si>
  <si>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</si>
  <si>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</si>
  <si>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</si>
  <si>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</si>
  <si>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</si>
  <si>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</si>
  <si>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</si>
  <si>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</si>
  <si>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</si>
  <si>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</si>
  <si>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</si>
  <si>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</si>
  <si>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</si>
  <si>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</si>
  <si>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</si>
  <si>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</si>
  <si>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</si>
  <si>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</si>
  <si>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</si>
  <si>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</si>
  <si>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</si>
  <si>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</si>
  <si>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</si>
  <si>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</si>
  <si>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</si>
  <si>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</si>
  <si>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</si>
  <si>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</si>
  <si>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</si>
  <si>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</si>
  <si>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</si>
  <si>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</si>
  <si>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</si>
  <si>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</si>
  <si>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</si>
  <si>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</si>
  <si>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</si>
  <si>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</si>
  <si>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</si>
  <si>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</si>
  <si>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</si>
  <si>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</si>
  <si>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</si>
  <si>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</si>
  <si>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</si>
  <si>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</si>
  <si>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</si>
  <si>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</si>
  <si>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</si>
  <si>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</si>
  <si>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</si>
  <si>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</si>
  <si>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</si>
  <si>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</si>
  <si>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</si>
  <si>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</si>
  <si>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</si>
  <si>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</si>
  <si>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</si>
  <si>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</si>
  <si>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</si>
  <si>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</si>
  <si>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</si>
  <si>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</si>
  <si>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</si>
  <si>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</si>
  <si>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</si>
  <si>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</si>
  <si>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</si>
  <si>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</si>
  <si>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</si>
  <si>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</si>
  <si>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</si>
  <si>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</si>
  <si>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</si>
  <si>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</si>
  <si>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</si>
  <si>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</si>
  <si>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</si>
  <si>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</si>
  <si>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</si>
  <si>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</si>
  <si>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</si>
  <si>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</si>
  <si>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</si>
  <si>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</si>
  <si>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</si>
  <si>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</si>
  <si>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</si>
  <si>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</si>
  <si>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</si>
  <si>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</si>
  <si>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</si>
  <si>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</si>
  <si>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</si>
  <si>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</si>
  <si>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</si>
  <si>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</si>
  <si>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</si>
  <si>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</si>
  <si>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</si>
  <si>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</si>
  <si>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</si>
  <si>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</si>
  <si>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</si>
  <si>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</si>
  <si>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</si>
  <si>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</si>
  <si>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</si>
  <si>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</si>
  <si>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</si>
  <si>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</si>
  <si>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</si>
  <si>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</si>
  <si>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</si>
  <si>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</si>
  <si>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</si>
  <si>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</si>
  <si>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</si>
  <si>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</si>
  <si>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</si>
  <si>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</si>
  <si>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</si>
  <si>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</si>
  <si>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</si>
  <si>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</si>
  <si>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</si>
  <si>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</si>
  <si>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</si>
  <si>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</si>
  <si>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</si>
  <si>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</si>
  <si>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</si>
  <si>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</si>
  <si>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</si>
  <si>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</si>
  <si>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</si>
  <si>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</si>
  <si>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</si>
  <si>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</si>
  <si>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</si>
  <si>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</si>
  <si>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</si>
  <si>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</si>
  <si>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</si>
  <si>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</si>
  <si>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</si>
  <si>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</si>
  <si>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</si>
  <si>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</si>
  <si>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</si>
  <si>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</si>
  <si>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</si>
  <si>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</si>
  <si>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</si>
  <si>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</si>
  <si>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</si>
  <si>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</si>
  <si>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</si>
  <si>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</si>
  <si>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</si>
  <si>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</si>
  <si>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</si>
  <si>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</si>
  <si>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</si>
  <si>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</si>
  <si>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</si>
  <si>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</si>
  <si>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</si>
  <si>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</si>
  <si>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</si>
  <si>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</si>
  <si>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</si>
  <si>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</si>
  <si>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</si>
  <si>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</si>
  <si>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</si>
  <si>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</si>
  <si>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</si>
  <si>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</si>
  <si>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</si>
  <si>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</si>
  <si>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</si>
  <si>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</si>
  <si>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</si>
  <si>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</si>
  <si>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</si>
  <si>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</si>
  <si>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</si>
  <si>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</si>
  <si>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</si>
  <si>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</si>
  <si>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</si>
  <si>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</si>
  <si>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</si>
  <si>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</si>
  <si>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</si>
  <si>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</si>
  <si>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</si>
  <si>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</si>
  <si>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</si>
  <si>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</si>
  <si>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</si>
  <si>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</si>
  <si>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</si>
  <si>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</si>
  <si>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</si>
  <si>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</si>
  <si>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</si>
  <si>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</si>
  <si>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</si>
  <si>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</si>
  <si>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</si>
  <si>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</si>
  <si>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</si>
  <si>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</si>
  <si>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</si>
  <si>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</si>
  <si>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</si>
  <si>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</si>
  <si>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</si>
  <si>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</si>
  <si>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</si>
  <si>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</si>
  <si>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</si>
  <si>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</si>
  <si>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</si>
  <si>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</si>
  <si>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</si>
  <si>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</si>
  <si>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</si>
  <si>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</si>
  <si>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</si>
  <si>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</si>
  <si>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</si>
  <si>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</si>
  <si>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</si>
  <si>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</si>
  <si>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</si>
  <si>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</si>
  <si>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</si>
  <si>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</si>
  <si>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</si>
  <si>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</si>
  <si>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</si>
  <si>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</si>
  <si>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</si>
  <si>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</si>
  <si>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</si>
  <si>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</si>
  <si>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</si>
  <si>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</si>
  <si>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</si>
  <si>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</si>
  <si>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</si>
  <si>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</si>
  <si>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</si>
  <si>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</si>
  <si>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</si>
  <si>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</si>
  <si>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</si>
  <si>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</si>
  <si>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</si>
  <si>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</si>
  <si>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</si>
  <si>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</si>
  <si>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</si>
  <si>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</si>
  <si>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</si>
  <si>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</si>
  <si>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</si>
  <si>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</si>
  <si>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</si>
  <si>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</si>
  <si>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</si>
  <si>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</si>
  <si>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</si>
  <si>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</si>
  <si>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</si>
  <si>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</si>
  <si>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</si>
  <si>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</si>
  <si>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</si>
  <si>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</si>
  <si>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</si>
  <si>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</si>
  <si>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</si>
  <si>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</si>
  <si>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</si>
  <si>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</si>
  <si>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</si>
  <si>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</si>
  <si>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</si>
  <si>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</si>
  <si>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</si>
  <si>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</si>
  <si>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</si>
  <si>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</si>
  <si>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</si>
  <si>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</si>
  <si>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</si>
  <si>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</si>
  <si>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</si>
  <si>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</si>
  <si>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</si>
  <si>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</si>
  <si>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</si>
  <si>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</si>
  <si>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</si>
  <si>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</si>
  <si>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</si>
  <si>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</si>
  <si>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</si>
  <si>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</si>
  <si>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</si>
  <si>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</si>
  <si>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</si>
  <si>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</si>
  <si>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</si>
  <si>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</si>
  <si>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</si>
  <si>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</si>
  <si>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</si>
  <si>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</si>
  <si>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</si>
  <si>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</si>
  <si>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</si>
  <si>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</si>
  <si>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</si>
  <si>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</si>
  <si>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</si>
  <si>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</si>
  <si>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</si>
  <si>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</si>
  <si>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</si>
  <si>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</si>
  <si>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</si>
  <si>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</si>
  <si>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</si>
  <si>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</si>
  <si>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</si>
  <si>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</si>
  <si>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</si>
  <si>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</si>
  <si>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</si>
  <si>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</si>
  <si>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</si>
  <si>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</si>
  <si>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</si>
  <si>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</si>
  <si>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</si>
  <si>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</si>
  <si>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</si>
  <si>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</si>
  <si>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</si>
  <si>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</si>
  <si>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</si>
  <si>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</si>
  <si>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</si>
  <si>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</si>
  <si>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</si>
  <si>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</si>
  <si>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</si>
  <si>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</si>
  <si>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</si>
  <si>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</si>
  <si>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</si>
  <si>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</si>
  <si>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</si>
  <si>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</si>
  <si>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</si>
  <si>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</si>
  <si>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</si>
  <si>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</si>
  <si>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</si>
  <si>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</si>
  <si>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</si>
  <si>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</si>
  <si>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</si>
  <si>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</si>
  <si>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</si>
  <si>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</si>
  <si>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</si>
  <si>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</si>
  <si>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</si>
  <si>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</si>
  <si>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</si>
  <si>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</si>
  <si>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</si>
  <si>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</si>
  <si>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</si>
  <si>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</si>
  <si>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</si>
  <si>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</si>
  <si>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</si>
  <si>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</si>
  <si>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</si>
  <si>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</si>
  <si>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</si>
  <si>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</si>
  <si>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</si>
  <si>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</si>
  <si>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</si>
  <si>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</si>
  <si>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</si>
  <si>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</si>
  <si>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</si>
  <si>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</si>
  <si>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</si>
  <si>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</si>
  <si>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</si>
  <si>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</si>
  <si>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</si>
  <si>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</si>
  <si>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</si>
  <si>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</si>
  <si>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</si>
  <si>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</si>
  <si>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</si>
  <si>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</si>
  <si>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</si>
  <si>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</si>
  <si>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</si>
  <si>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</si>
  <si>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</si>
  <si>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</si>
  <si>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</si>
  <si>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</si>
  <si>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</si>
  <si>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</si>
  <si>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</si>
  <si>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</si>
  <si>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</si>
  <si>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</si>
  <si>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</si>
  <si>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</si>
  <si>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</si>
  <si>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</si>
  <si>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</si>
  <si>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</si>
  <si>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</si>
  <si>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</si>
  <si>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</si>
  <si>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</si>
  <si>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</si>
  <si>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</si>
  <si>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</si>
  <si>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</si>
  <si>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</si>
  <si>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</si>
  <si>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</si>
  <si>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</si>
  <si>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</si>
  <si>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</si>
  <si>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</si>
  <si>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</si>
  <si>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</si>
  <si>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</si>
  <si>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</si>
  <si>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</si>
  <si>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</si>
  <si>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</si>
  <si>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</si>
  <si>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</si>
  <si>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</si>
  <si>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</si>
  <si>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</si>
  <si>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</si>
  <si>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</si>
  <si>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</si>
  <si>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</si>
  <si>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</si>
  <si>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</si>
  <si>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</si>
  <si>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</si>
  <si>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</si>
  <si>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</si>
  <si>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</si>
  <si>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</si>
  <si>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</si>
  <si>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</si>
  <si>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</si>
  <si>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</si>
  <si>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</si>
  <si>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</si>
  <si>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</si>
  <si>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</si>
  <si>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</si>
  <si>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</si>
  <si>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</si>
  <si>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</si>
  <si>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</si>
  <si>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</si>
  <si>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</si>
  <si>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</si>
  <si>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</si>
  <si>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</si>
  <si>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</si>
  <si>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</si>
  <si>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</si>
  <si>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</si>
  <si>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</si>
  <si>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</si>
  <si>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</si>
  <si>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</si>
  <si>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</si>
  <si>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</si>
  <si>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</si>
  <si>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</si>
  <si>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</si>
  <si>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</si>
  <si>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</si>
  <si>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</si>
  <si>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</si>
  <si>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</si>
  <si>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</si>
  <si>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</si>
  <si>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</si>
  <si>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</si>
  <si>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</si>
  <si>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</si>
  <si>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</si>
  <si>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</si>
  <si>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</si>
  <si>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</si>
  <si>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</si>
  <si>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</si>
  <si>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</si>
  <si>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</si>
  <si>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</si>
  <si>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</si>
  <si>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</si>
  <si>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</si>
  <si>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</si>
  <si>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</si>
  <si>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</si>
  <si>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</si>
  <si>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</si>
  <si>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</si>
  <si>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</si>
  <si>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</si>
  <si>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</si>
  <si>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</si>
  <si>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</si>
  <si>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</si>
  <si>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</si>
  <si>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</si>
  <si>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</si>
  <si>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</si>
  <si>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</si>
  <si>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</si>
  <si>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</si>
  <si>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</si>
  <si>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</si>
  <si>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</si>
  <si>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</si>
  <si>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</si>
  <si>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</si>
  <si>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</si>
  <si>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</si>
  <si>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</si>
  <si>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</si>
  <si>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</si>
  <si>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</si>
  <si>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</si>
  <si>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</si>
  <si>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</si>
  <si>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</si>
  <si>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</si>
  <si>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</si>
  <si>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</si>
  <si>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</si>
  <si>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</si>
  <si>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</si>
  <si>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</si>
  <si>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</si>
  <si>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</si>
  <si>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</si>
  <si>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</si>
  <si>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</si>
  <si>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</si>
  <si>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</si>
  <si>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</si>
  <si>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</si>
  <si>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</si>
  <si>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</si>
  <si>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</si>
  <si>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</si>
  <si>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</si>
  <si>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</si>
  <si>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</si>
  <si>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</si>
  <si>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</si>
  <si>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</si>
  <si>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</si>
  <si>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</si>
  <si>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</si>
  <si>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</si>
  <si>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</si>
  <si>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</si>
  <si>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</si>
  <si>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</si>
  <si>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</si>
  <si>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</si>
  <si>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</si>
  <si>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</si>
  <si>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</si>
  <si>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</si>
  <si>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</si>
  <si>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</si>
  <si>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</si>
  <si>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</si>
  <si>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</si>
  <si>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</si>
  <si>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</si>
  <si>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</si>
  <si>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</si>
  <si>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</si>
  <si>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</si>
  <si>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</si>
  <si>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</si>
  <si>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</si>
  <si>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</si>
  <si>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</si>
  <si>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</si>
  <si>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</si>
  <si>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</si>
  <si>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</si>
  <si>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</si>
  <si>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</si>
  <si>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</si>
  <si>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</si>
  <si>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</si>
  <si>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</si>
  <si>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</si>
  <si>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</si>
  <si>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</si>
  <si>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</si>
  <si>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</si>
  <si>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</si>
  <si>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</si>
  <si>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</si>
  <si>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</si>
  <si>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</si>
  <si>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</si>
  <si>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</si>
  <si>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</si>
  <si>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</si>
  <si>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</si>
  <si>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</si>
  <si>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</si>
  <si>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</si>
  <si>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</si>
  <si>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</si>
  <si>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</si>
  <si>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</si>
  <si>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</si>
  <si>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</si>
  <si>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</si>
  <si>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</si>
  <si>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</si>
  <si>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</si>
  <si>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</si>
  <si>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</si>
  <si>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</si>
  <si>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</si>
  <si>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</si>
  <si>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</si>
  <si>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</si>
  <si>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</si>
  <si>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</si>
  <si>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</si>
  <si>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</si>
  <si>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</si>
  <si>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</si>
  <si>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</si>
  <si>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</si>
  <si>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</si>
  <si>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</si>
  <si>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</si>
  <si>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</si>
  <si>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</si>
  <si>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</si>
  <si>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</si>
  <si>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</si>
  <si>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</si>
  <si>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</si>
  <si>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</si>
  <si>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</si>
  <si>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</si>
  <si>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</si>
  <si>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</si>
  <si>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</si>
  <si>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</si>
  <si>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</si>
  <si>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</si>
  <si>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</si>
  <si>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</si>
  <si>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</si>
  <si>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</si>
  <si>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</si>
  <si>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</si>
  <si>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</si>
  <si>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</si>
  <si>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</si>
  <si>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</si>
  <si>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</si>
  <si>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</si>
  <si>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</si>
  <si>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</si>
  <si>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</si>
  <si>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</si>
  <si>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</si>
  <si>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</si>
  <si>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</si>
  <si>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</si>
  <si>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</si>
  <si>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</si>
  <si>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</si>
  <si>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</si>
  <si>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</si>
  <si>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</si>
  <si>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</si>
  <si>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</si>
  <si>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</si>
  <si>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</si>
  <si>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</si>
  <si>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</si>
  <si>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</si>
  <si>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</si>
  <si>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</si>
  <si>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</si>
  <si>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</si>
  <si>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</si>
  <si>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</si>
  <si>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</si>
  <si>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</si>
  <si>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</si>
  <si>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</si>
  <si>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</si>
  <si>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</si>
  <si>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</si>
  <si>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</si>
  <si>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</si>
  <si>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</si>
  <si>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</si>
  <si>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</si>
  <si>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</si>
  <si>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</si>
  <si>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</si>
  <si>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</si>
  <si>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</si>
  <si>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</si>
  <si>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</si>
  <si>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</si>
  <si>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</si>
  <si>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</si>
  <si>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</si>
  <si>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</si>
  <si>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</si>
  <si>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</si>
  <si>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</si>
  <si>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</si>
  <si>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</si>
  <si>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</si>
  <si>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</si>
  <si>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</si>
  <si>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</si>
  <si>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</si>
  <si>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</si>
  <si>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</si>
  <si>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</si>
  <si>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</si>
  <si>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</si>
  <si>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</si>
  <si>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</si>
  <si>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</si>
  <si>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</si>
  <si>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</si>
  <si>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</si>
  <si>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</si>
  <si>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</si>
  <si>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</si>
  <si>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</si>
  <si>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</si>
  <si>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</si>
  <si>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</si>
  <si>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</si>
  <si>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</si>
  <si>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</si>
  <si>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</si>
  <si>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</si>
  <si>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</si>
  <si>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</si>
  <si>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</si>
  <si>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</si>
  <si>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</si>
  <si>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</si>
  <si>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</si>
  <si>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</si>
  <si>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</si>
  <si>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</si>
  <si>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</si>
  <si>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</si>
  <si>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</si>
  <si>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</si>
  <si>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</si>
  <si>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</si>
  <si>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</si>
  <si>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</si>
  <si>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</si>
  <si>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</si>
  <si>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</si>
  <si>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</si>
  <si>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</si>
  <si>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</si>
  <si>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</si>
  <si>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</si>
  <si>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</si>
  <si>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</si>
  <si>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</si>
  <si>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</si>
  <si>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</si>
  <si>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</si>
  <si>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</si>
  <si>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</si>
  <si>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</si>
  <si>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</si>
  <si>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</si>
  <si>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</si>
  <si>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</si>
  <si>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</si>
  <si>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</si>
  <si>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</si>
  <si>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</si>
  <si>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</si>
  <si>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</si>
  <si>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</si>
  <si>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</si>
  <si>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</si>
  <si>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</si>
  <si>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</si>
  <si>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</si>
  <si>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</si>
  <si>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</si>
  <si>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</si>
  <si>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</si>
  <si>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</si>
  <si>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</si>
  <si>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</si>
  <si>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</si>
  <si>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</si>
  <si>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</si>
  <si>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</si>
  <si>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</si>
  <si>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</si>
  <si>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</si>
  <si>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</si>
  <si>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</si>
  <si>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</si>
  <si>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</si>
  <si>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</si>
  <si>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</si>
  <si>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</si>
  <si>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</si>
  <si>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</si>
  <si>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</si>
  <si>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</si>
  <si>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</si>
  <si>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</si>
  <si>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</si>
  <si>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</si>
  <si>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</si>
  <si>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</si>
  <si>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</si>
  <si>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</si>
  <si>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</si>
  <si>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</si>
  <si>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</si>
  <si>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</si>
  <si>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</si>
  <si>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</si>
  <si>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</si>
  <si>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</si>
  <si>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</si>
  <si>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</si>
  <si>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</si>
  <si>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</si>
  <si>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</si>
  <si>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</si>
  <si>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</si>
  <si>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</si>
  <si>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</si>
  <si>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</si>
  <si>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</si>
  <si>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</si>
  <si>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</si>
  <si>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</si>
  <si>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</si>
  <si>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</si>
  <si>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</si>
  <si>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</si>
  <si>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</si>
  <si>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</si>
  <si>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</si>
  <si>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</si>
  <si>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</si>
  <si>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</si>
  <si>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</si>
  <si>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</si>
  <si>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</si>
  <si>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</si>
  <si>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</si>
  <si>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</si>
  <si>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</si>
  <si>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</si>
  <si>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</si>
  <si>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</si>
  <si>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</si>
  <si>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</si>
  <si>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</si>
  <si>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</si>
  <si>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</si>
  <si>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</si>
  <si>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</si>
  <si>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</si>
  <si>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</si>
  <si>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</si>
  <si>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</si>
  <si>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</si>
  <si>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</si>
  <si>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</si>
  <si>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</si>
  <si>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</si>
  <si>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</si>
  <si>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</si>
  <si>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</si>
  <si>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</si>
  <si>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</si>
  <si>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</si>
  <si>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</si>
  <si>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</si>
  <si>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</si>
  <si>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</si>
  <si>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</si>
  <si>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</si>
  <si>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</si>
  <si>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</si>
  <si>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</si>
  <si>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</si>
  <si>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</si>
  <si>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</si>
  <si>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</si>
  <si>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</si>
  <si>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</si>
  <si>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</si>
  <si>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</si>
  <si>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</si>
  <si>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</si>
  <si>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</si>
  <si>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</si>
  <si>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</si>
  <si>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</si>
  <si>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</si>
  <si>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</si>
  <si>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</si>
  <si>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</si>
  <si>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</si>
  <si>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</si>
  <si>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</si>
  <si>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</si>
  <si>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</si>
  <si>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</si>
  <si>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</si>
  <si>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</si>
  <si>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</si>
  <si>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</si>
  <si>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</si>
  <si>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</si>
  <si>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</si>
  <si>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</si>
  <si>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</si>
  <si>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</si>
  <si>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</si>
  <si>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</si>
  <si>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</si>
  <si>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</si>
  <si>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</si>
  <si>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</si>
  <si>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</si>
  <si>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</si>
  <si>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</si>
  <si>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</si>
  <si>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</si>
  <si>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</si>
  <si>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</si>
  <si>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</si>
  <si>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</si>
  <si>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</si>
  <si>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</si>
  <si>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</si>
  <si>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</si>
  <si>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</si>
  <si>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</si>
  <si>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</si>
  <si>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</si>
  <si>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</si>
  <si>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</si>
  <si>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</si>
  <si>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</si>
  <si>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</si>
  <si>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</si>
  <si>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</si>
  <si>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</si>
  <si>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</si>
  <si>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</si>
  <si>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</si>
  <si>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</si>
  <si>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</si>
  <si>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</si>
  <si>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</si>
  <si>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</si>
  <si>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</si>
  <si>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</si>
  <si>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</si>
  <si>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</si>
  <si>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</si>
  <si>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</si>
  <si>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</si>
  <si>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</si>
  <si>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</si>
  <si>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</si>
  <si>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</si>
  <si>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</si>
  <si>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</si>
  <si>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</si>
  <si>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</si>
  <si>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</si>
  <si>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</si>
  <si>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</si>
  <si>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</si>
  <si>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</si>
  <si>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</si>
  <si>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</si>
  <si>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</si>
  <si>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</si>
  <si>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</si>
  <si>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</si>
  <si>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</si>
  <si>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</si>
  <si>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</si>
  <si>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</si>
  <si>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</si>
  <si>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</si>
  <si>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</si>
  <si>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</si>
  <si>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</si>
  <si>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</si>
  <si>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</si>
  <si>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</si>
  <si>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</si>
  <si>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</si>
  <si>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</si>
  <si>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</si>
  <si>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</si>
  <si>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</si>
  <si>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</si>
  <si>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</si>
  <si>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</si>
  <si>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</si>
  <si>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</si>
  <si>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</si>
  <si>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</si>
  <si>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</si>
  <si>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</si>
  <si>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</si>
  <si>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</si>
  <si>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</si>
  <si>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</si>
  <si>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</si>
  <si>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</si>
  <si>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</si>
  <si>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</si>
  <si>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</si>
  <si>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</si>
  <si>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</si>
  <si>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</si>
  <si>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</si>
  <si>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</si>
  <si>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</si>
  <si>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</si>
  <si>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</si>
  <si>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</si>
  <si>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</si>
  <si>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</si>
  <si>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</si>
  <si>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</si>
  <si>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</si>
  <si>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</si>
  <si>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</si>
  <si>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</si>
  <si>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</si>
  <si>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</si>
  <si>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</si>
  <si>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</si>
  <si>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</si>
  <si>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</si>
  <si>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</si>
  <si>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</si>
  <si>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</si>
  <si>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</si>
  <si>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</si>
  <si>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</si>
  <si>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</si>
  <si>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</si>
  <si>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</si>
  <si>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</si>
  <si>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</si>
  <si>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</si>
  <si>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</si>
  <si>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</si>
  <si>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</si>
  <si>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</si>
  <si>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</si>
  <si>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</si>
  <si>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</si>
  <si>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</si>
  <si>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</si>
  <si>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</si>
  <si>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</si>
  <si>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</si>
  <si>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</si>
  <si>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</si>
  <si>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</si>
  <si>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</si>
  <si>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</si>
  <si>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</si>
  <si>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</si>
  <si>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</si>
  <si>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</si>
  <si>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</si>
  <si>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</si>
  <si>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</si>
  <si>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</si>
  <si>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</si>
  <si>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</si>
  <si>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</si>
  <si>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</si>
  <si>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</si>
  <si>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</si>
  <si>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</si>
  <si>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</si>
  <si>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</si>
  <si>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</si>
  <si>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</si>
  <si>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</si>
  <si>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</si>
  <si>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</si>
  <si>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</si>
  <si>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</si>
  <si>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</si>
  <si>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</si>
  <si>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</si>
  <si>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</si>
  <si>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</si>
  <si>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</si>
  <si>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</si>
  <si>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</si>
  <si>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</si>
  <si>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</si>
  <si>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</si>
  <si>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</si>
  <si>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</si>
  <si>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</si>
  <si>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</si>
  <si>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</si>
  <si>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</si>
  <si>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</si>
  <si>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</si>
  <si>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</si>
  <si>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</si>
  <si>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</si>
  <si>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</si>
  <si>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</si>
  <si>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</si>
  <si>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</si>
  <si>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</si>
  <si>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</si>
  <si>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</si>
  <si>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</si>
  <si>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</si>
  <si>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</si>
  <si>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</si>
  <si>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</si>
  <si>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</si>
  <si>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</si>
  <si>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</si>
  <si>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</si>
  <si>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</si>
  <si>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</si>
  <si>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</si>
  <si>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</si>
  <si>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</si>
  <si>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</si>
  <si>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</si>
  <si>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</si>
  <si>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</si>
  <si>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</si>
  <si>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</si>
  <si>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</si>
  <si>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</si>
  <si>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</si>
  <si>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</si>
  <si>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</si>
  <si>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</si>
  <si>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</si>
  <si>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</si>
  <si>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</si>
  <si>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</si>
  <si>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</si>
  <si>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</si>
  <si>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</si>
  <si>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</si>
  <si>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</si>
  <si>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</si>
  <si>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</si>
  <si>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</si>
  <si>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</si>
  <si>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</si>
  <si>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</si>
  <si>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</si>
  <si>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</si>
  <si>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</si>
  <si>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</si>
  <si>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</si>
  <si>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</si>
  <si>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</si>
  <si>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</si>
  <si>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</si>
  <si>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</si>
  <si>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</si>
  <si>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</si>
  <si>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</si>
  <si>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</si>
  <si>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</si>
  <si>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</si>
  <si>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</si>
  <si>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</si>
  <si>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</si>
  <si>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</si>
  <si>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</si>
  <si>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</si>
  <si>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</si>
  <si>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</si>
  <si>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</si>
  <si>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</si>
  <si>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</si>
  <si>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</si>
  <si>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</si>
  <si>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</si>
  <si>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</si>
  <si>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</si>
  <si>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</si>
  <si>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</si>
  <si>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</si>
  <si>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</si>
  <si>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</si>
  <si>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</si>
  <si>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</si>
  <si>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</si>
  <si>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</si>
  <si>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</si>
  <si>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</si>
  <si>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</si>
  <si>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</si>
  <si>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</si>
  <si>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</si>
  <si>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</si>
  <si>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</si>
  <si>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</si>
  <si>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</si>
  <si>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</si>
  <si>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</si>
  <si>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</si>
  <si>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</si>
  <si>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</si>
  <si>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</si>
  <si>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</si>
  <si>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</si>
  <si>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</si>
  <si>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</si>
  <si>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</si>
  <si>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</si>
  <si>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</si>
  <si>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</si>
  <si>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</si>
  <si>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</si>
  <si>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</si>
  <si>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</si>
  <si>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</si>
  <si>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</si>
  <si>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</si>
  <si>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</si>
  <si>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</si>
  <si>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</si>
  <si>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</si>
  <si>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</si>
  <si>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</si>
  <si>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</si>
  <si>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</si>
  <si>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</si>
  <si>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</si>
  <si>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</si>
  <si>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</si>
  <si>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</si>
  <si>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</si>
  <si>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</si>
  <si>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</si>
  <si>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</si>
  <si>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</si>
  <si>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</si>
  <si>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</si>
  <si>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</si>
  <si>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</si>
  <si>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</si>
  <si>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</si>
  <si>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</si>
  <si>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</si>
  <si>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</si>
  <si>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</si>
  <si>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</si>
  <si>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</si>
  <si>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</si>
  <si>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</si>
  <si>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</si>
  <si>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</si>
  <si>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</si>
  <si>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</si>
  <si>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</si>
  <si>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</si>
  <si>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</si>
  <si>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</si>
  <si>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</si>
  <si>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</si>
  <si>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</si>
  <si>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</si>
  <si>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</si>
  <si>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</si>
  <si>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</si>
  <si>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</si>
  <si>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</si>
  <si>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</si>
  <si>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</si>
  <si>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</si>
  <si>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</si>
  <si>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</si>
  <si>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</si>
  <si>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</si>
  <si>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</si>
  <si>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</si>
  <si>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</si>
  <si>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</si>
  <si>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</si>
  <si>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</si>
  <si>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</si>
  <si>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</si>
  <si>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</si>
  <si>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</si>
  <si>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</si>
  <si>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</si>
  <si>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</si>
  <si>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</si>
  <si>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</si>
  <si>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</si>
  <si>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</si>
  <si>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</si>
  <si>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</si>
  <si>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</si>
  <si>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</si>
  <si>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</si>
  <si>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</si>
  <si>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</si>
  <si>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</si>
  <si>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</si>
  <si>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</si>
  <si>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</si>
  <si>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</si>
  <si>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</si>
  <si>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</si>
  <si>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</si>
  <si>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</si>
  <si>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</si>
  <si>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</si>
  <si>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</si>
  <si>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</si>
  <si>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</si>
  <si>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</si>
  <si>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</si>
  <si>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</si>
  <si>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</si>
  <si>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</si>
  <si>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</si>
  <si>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</si>
  <si>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</si>
  <si>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</si>
  <si>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</si>
  <si>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</si>
  <si>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</si>
  <si>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</si>
  <si>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</si>
  <si>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</si>
  <si>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</si>
  <si>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</si>
  <si>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</si>
  <si>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</si>
  <si>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</si>
  <si>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</si>
  <si>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</si>
  <si>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</si>
  <si>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</si>
  <si>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</si>
  <si>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</si>
  <si>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</si>
  <si>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</si>
  <si>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</si>
  <si>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</si>
  <si>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</si>
  <si>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</si>
  <si>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</si>
  <si>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</si>
  <si>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</si>
  <si>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</si>
  <si>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</si>
  <si>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</si>
  <si>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</si>
  <si>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</si>
  <si>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</si>
  <si>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</si>
  <si>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</si>
  <si>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</si>
  <si>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</si>
  <si>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</si>
  <si>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</si>
  <si>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</si>
  <si>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</si>
  <si>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</si>
  <si>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</si>
  <si>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</si>
  <si>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</si>
  <si>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</si>
  <si>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</si>
  <si>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</si>
  <si>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</si>
  <si>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</si>
  <si>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</si>
  <si>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</si>
  <si>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</si>
  <si>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</si>
  <si>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</si>
  <si>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</si>
  <si>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</si>
  <si>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</si>
  <si>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</si>
  <si>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</si>
  <si>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</si>
  <si>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</si>
  <si>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</si>
  <si>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</si>
  <si>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</si>
  <si>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</si>
  <si>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</si>
  <si>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</si>
  <si>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</si>
  <si>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</si>
  <si>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</si>
  <si>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</si>
  <si>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</si>
  <si>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</si>
  <si>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</si>
  <si>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</si>
  <si>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</si>
  <si>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</si>
  <si>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</si>
  <si>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</si>
  <si>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</si>
  <si>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</si>
  <si>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</si>
  <si>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</si>
  <si>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</si>
  <si>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</si>
  <si>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</si>
  <si>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</si>
  <si>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</si>
  <si>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</si>
  <si>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</si>
  <si>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</si>
  <si>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</si>
  <si>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</si>
  <si>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</si>
  <si>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</si>
  <si>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</si>
  <si>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</si>
  <si>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</si>
  <si>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</si>
  <si>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</si>
  <si>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</si>
  <si>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</si>
  <si>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</si>
  <si>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</si>
  <si>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</si>
  <si>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</si>
  <si>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</si>
  <si>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</si>
  <si>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</si>
  <si>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</si>
  <si>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</si>
  <si>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</si>
  <si>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</si>
  <si>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</si>
  <si>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</si>
  <si>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</si>
  <si>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</si>
  <si>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</si>
  <si>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</si>
  <si>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</si>
  <si>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</si>
  <si>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</si>
  <si>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</si>
  <si>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</si>
  <si>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</si>
  <si>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</si>
  <si>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</si>
  <si>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</si>
  <si>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</si>
  <si>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</si>
  <si>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</si>
  <si>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</si>
  <si>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</si>
  <si>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</si>
  <si>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</si>
  <si>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</si>
  <si>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</si>
  <si>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</si>
  <si>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</si>
  <si>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</si>
  <si>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</si>
  <si>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</si>
  <si>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</si>
  <si>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</si>
  <si>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</si>
  <si>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</si>
  <si>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</si>
  <si>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</si>
  <si>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</si>
  <si>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</si>
  <si>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</si>
  <si>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</si>
  <si>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</si>
  <si>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</si>
  <si>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</si>
  <si>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</si>
  <si>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</si>
  <si>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</si>
  <si>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</si>
  <si>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</si>
  <si>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</si>
  <si>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</si>
  <si>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</si>
  <si>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</si>
  <si>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</si>
  <si>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</si>
  <si>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</si>
  <si>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</si>
  <si>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</si>
  <si>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</si>
  <si>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</si>
  <si>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</si>
  <si>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</si>
  <si>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</si>
  <si>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</si>
  <si>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</si>
  <si>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</si>
  <si>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</si>
  <si>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</si>
  <si>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</si>
  <si>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</si>
  <si>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</si>
  <si>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</si>
  <si>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</si>
  <si>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</si>
  <si>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</si>
  <si>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</si>
  <si>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</si>
  <si>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</si>
  <si>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</si>
  <si>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</si>
  <si>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</si>
  <si>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</si>
  <si>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</si>
  <si>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</si>
  <si>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</si>
  <si>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</si>
  <si>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</si>
  <si>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</si>
  <si>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</si>
  <si>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</si>
  <si>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</si>
  <si>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</si>
  <si>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</si>
  <si>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</si>
  <si>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</si>
  <si>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</si>
  <si>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</si>
  <si>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</si>
  <si>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</si>
  <si>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</si>
  <si>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</si>
  <si>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</si>
  <si>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</si>
  <si>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</si>
  <si>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</si>
  <si>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</si>
  <si>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</si>
  <si>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</si>
  <si>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</si>
  <si>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</si>
  <si>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</si>
  <si>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</si>
  <si>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</si>
  <si>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</si>
  <si>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</si>
  <si>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</si>
  <si>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</si>
  <si>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</si>
  <si>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</si>
  <si>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</si>
  <si>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</si>
  <si>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</si>
  <si>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</si>
  <si>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</si>
  <si>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</si>
  <si>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</si>
  <si>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</si>
  <si>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</si>
  <si>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</si>
  <si>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</si>
  <si>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</si>
  <si>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</si>
  <si>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</si>
  <si>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</si>
  <si>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</si>
  <si>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</si>
  <si>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</si>
  <si>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</si>
  <si>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</si>
  <si>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</si>
  <si>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</si>
  <si>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</si>
  <si>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</si>
  <si>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</si>
  <si>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</si>
  <si>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</si>
  <si>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</si>
  <si>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</si>
  <si>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</si>
  <si>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</si>
  <si>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</si>
  <si>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</si>
  <si>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</si>
  <si>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</si>
  <si>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</si>
  <si>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</si>
  <si>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</si>
  <si>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</si>
  <si>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</si>
  <si>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</si>
  <si>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</si>
  <si>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</si>
  <si>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</si>
  <si>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</si>
  <si>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</si>
  <si>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</si>
  <si>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</si>
  <si>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</si>
  <si>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</si>
  <si>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</si>
  <si>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</si>
  <si>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</si>
  <si>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</si>
  <si>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</si>
  <si>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</si>
  <si>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</si>
  <si>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</si>
  <si>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</si>
  <si>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</si>
  <si>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</si>
  <si>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</si>
  <si>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</si>
  <si>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</si>
  <si>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</si>
  <si>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</si>
  <si>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</si>
  <si>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</si>
  <si>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</si>
  <si>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</si>
  <si>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</si>
  <si>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</si>
  <si>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</si>
  <si>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</si>
  <si>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</si>
  <si>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</si>
  <si>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</si>
  <si>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</si>
  <si>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</si>
  <si>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</si>
  <si>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</si>
  <si>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</si>
  <si>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</si>
  <si>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</si>
  <si>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</si>
  <si>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</si>
  <si>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</si>
  <si>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</si>
  <si>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</si>
  <si>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</si>
  <si>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</si>
  <si>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</si>
  <si>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</si>
  <si>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</si>
  <si>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</si>
  <si>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</si>
  <si>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</si>
  <si>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</si>
  <si>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</si>
  <si>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</si>
  <si>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</si>
  <si>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</si>
  <si>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</si>
  <si>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</si>
  <si>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</si>
  <si>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</si>
  <si>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</si>
  <si>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</si>
  <si>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</si>
  <si>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</si>
  <si>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</si>
  <si>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</si>
  <si>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</si>
  <si>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</si>
  <si>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</si>
  <si>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</si>
  <si>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</si>
  <si>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</si>
  <si>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</si>
  <si>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</si>
  <si>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</si>
  <si>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</si>
  <si>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</si>
  <si>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</si>
  <si>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</si>
  <si>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</si>
  <si>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</si>
  <si>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</si>
  <si>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</si>
  <si>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</si>
  <si>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</si>
  <si>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</si>
  <si>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</si>
  <si>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</si>
  <si>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</si>
  <si>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</si>
  <si>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</si>
  <si>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</si>
  <si>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</si>
  <si>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</si>
  <si>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</si>
  <si>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</si>
  <si>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</si>
  <si>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</si>
  <si>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</si>
  <si>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</si>
  <si>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</si>
  <si>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</si>
  <si>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</si>
  <si>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</si>
  <si>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</si>
  <si>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</si>
  <si>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</si>
  <si>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</si>
  <si>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</si>
  <si>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</si>
  <si>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</si>
  <si>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</si>
  <si>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</si>
  <si>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</si>
  <si>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</si>
  <si>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</si>
  <si>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</si>
  <si>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</si>
  <si>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</si>
  <si>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</si>
  <si>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</si>
  <si>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</si>
  <si>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</si>
  <si>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</si>
  <si>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</si>
  <si>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</si>
  <si>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</si>
  <si>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</si>
  <si>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</si>
  <si>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</si>
  <si>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</si>
  <si>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</si>
  <si>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</si>
  <si>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</si>
  <si>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</si>
  <si>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</si>
  <si>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</si>
  <si>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</si>
  <si>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</si>
  <si>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</si>
  <si>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</si>
  <si>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</si>
  <si>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</si>
  <si>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</si>
  <si>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</si>
  <si>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</si>
  <si>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</si>
  <si>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</si>
  <si>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</si>
  <si>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</si>
  <si>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</si>
  <si>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</si>
  <si>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</si>
  <si>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</si>
  <si>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</si>
  <si>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</si>
  <si>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</si>
  <si>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</si>
  <si>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</si>
  <si>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</si>
  <si>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</si>
  <si>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</si>
  <si>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</si>
  <si>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</si>
  <si>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</si>
  <si>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</si>
  <si>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</si>
  <si>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</si>
  <si>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</si>
  <si>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</si>
  <si>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</si>
  <si>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</si>
  <si>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</si>
  <si>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</si>
  <si>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</si>
  <si>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</si>
  <si>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</si>
  <si>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</si>
  <si>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</si>
  <si>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</si>
  <si>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</si>
  <si>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</si>
  <si>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</si>
  <si>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</si>
  <si>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</si>
  <si>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</si>
  <si>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</si>
  <si>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</si>
  <si>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</si>
  <si>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</si>
  <si>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</si>
  <si>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</si>
  <si>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</si>
  <si>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</si>
  <si>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</si>
  <si>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</si>
  <si>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</si>
  <si>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</si>
  <si>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</si>
  <si>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</si>
  <si>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</si>
  <si>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</si>
  <si>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</si>
  <si>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</si>
  <si>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</si>
  <si>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</si>
  <si>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</si>
  <si>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</si>
  <si>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</si>
  <si>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</si>
  <si>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</si>
  <si>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</si>
  <si>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</si>
  <si>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</si>
  <si>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</si>
  <si>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</si>
  <si>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</si>
  <si>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</si>
  <si>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</si>
  <si>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</si>
  <si>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</si>
  <si>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</si>
  <si>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</si>
  <si>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</si>
  <si>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</si>
  <si>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</si>
  <si>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</si>
  <si>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</si>
  <si>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</si>
  <si>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</si>
  <si>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</si>
  <si>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</si>
  <si>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</si>
  <si>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</si>
  <si>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</si>
  <si>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</si>
  <si>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</si>
  <si>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</si>
  <si>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</si>
  <si>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</si>
  <si>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</si>
  <si>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</si>
  <si>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</si>
  <si>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</si>
  <si>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</si>
  <si>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</si>
  <si>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</si>
  <si>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</si>
  <si>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</si>
  <si>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</si>
  <si>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</si>
  <si>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</si>
  <si>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</si>
  <si>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</si>
  <si>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</si>
  <si>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</si>
  <si>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</si>
  <si>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</si>
  <si>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</si>
  <si>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</si>
  <si>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</si>
  <si>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</si>
  <si>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</si>
  <si>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</si>
  <si>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</si>
  <si>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</si>
  <si>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</si>
  <si>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</si>
  <si>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</si>
  <si>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</si>
  <si>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</si>
  <si>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</si>
  <si>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</si>
  <si>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</si>
  <si>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</si>
  <si>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</si>
  <si>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</si>
  <si>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</si>
  <si>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</si>
  <si>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</si>
  <si>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</si>
  <si>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</si>
  <si>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</si>
  <si>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</si>
  <si>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</si>
  <si>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</si>
  <si>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</si>
  <si>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</si>
  <si>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</si>
  <si>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</si>
  <si>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</si>
  <si>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</si>
  <si>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</si>
  <si>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</si>
  <si>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</si>
  <si>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</si>
  <si>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</si>
  <si>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</si>
  <si>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</si>
  <si>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</si>
  <si>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</si>
  <si>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</si>
  <si>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</si>
  <si>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</si>
  <si>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</si>
  <si>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</si>
  <si>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</si>
  <si>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</si>
  <si>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</si>
  <si>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</si>
  <si>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</si>
  <si>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</si>
  <si>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</si>
  <si>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</si>
  <si>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</si>
  <si>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</si>
  <si>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</si>
  <si>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</si>
  <si>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</si>
  <si>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</si>
  <si>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</si>
  <si>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</si>
  <si>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</si>
  <si>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</si>
  <si>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</si>
  <si>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</si>
  <si>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</si>
  <si>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</si>
  <si>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</si>
  <si>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</si>
  <si>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</si>
  <si>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</si>
  <si>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</si>
  <si>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</si>
  <si>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</si>
  <si>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</si>
  <si>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</si>
  <si>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</si>
  <si>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</si>
  <si>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</si>
  <si>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</si>
  <si>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</si>
  <si>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</si>
  <si>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</si>
  <si>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</si>
  <si>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</si>
  <si>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</si>
  <si>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</si>
  <si>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</si>
  <si>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</si>
  <si>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</si>
  <si>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</si>
  <si>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</si>
  <si>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</si>
  <si>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</si>
  <si>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</si>
  <si>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</si>
  <si>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</si>
  <si>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</si>
  <si>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</si>
  <si>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</si>
  <si>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</si>
  <si>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</si>
  <si>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</si>
  <si>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</si>
  <si>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</si>
  <si>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</si>
  <si>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</si>
  <si>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</si>
  <si>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</si>
  <si>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</si>
  <si>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</si>
  <si>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</si>
  <si>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</si>
  <si>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</si>
  <si>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</si>
  <si>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</si>
  <si>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</si>
  <si>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</si>
  <si>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</si>
  <si>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</si>
  <si>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</si>
  <si>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</si>
  <si>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</si>
  <si>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</si>
  <si>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</si>
  <si>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</si>
  <si>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</si>
  <si>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</si>
  <si>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</si>
  <si>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</si>
  <si>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</si>
  <si>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</si>
  <si>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</si>
  <si>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</si>
  <si>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</si>
  <si>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</si>
  <si>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</si>
  <si>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</si>
  <si>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</si>
  <si>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</si>
  <si>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</si>
  <si>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</si>
  <si>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</si>
  <si>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</si>
  <si>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</si>
  <si>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</si>
  <si>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</si>
  <si>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</si>
  <si>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</si>
  <si>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</si>
  <si>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</si>
  <si>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</si>
  <si>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</si>
  <si>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</si>
  <si>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</si>
  <si>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</si>
  <si>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</si>
  <si>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</si>
  <si>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</si>
  <si>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</si>
  <si>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</si>
  <si>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</si>
  <si>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</si>
  <si>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</si>
  <si>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</si>
  <si>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</si>
  <si>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</si>
  <si>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</si>
  <si>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</si>
  <si>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</si>
  <si>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</si>
  <si>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</si>
  <si>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</si>
  <si>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</si>
  <si>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</si>
  <si>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</si>
  <si>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</si>
  <si>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</si>
  <si>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</si>
  <si>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</si>
  <si>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</si>
  <si>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</si>
  <si>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</si>
  <si>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</si>
  <si>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</si>
  <si>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</si>
  <si>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</si>
  <si>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</si>
  <si>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</si>
  <si>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</si>
  <si>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</si>
  <si>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</si>
  <si>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</si>
  <si>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</si>
  <si>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</si>
  <si>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</si>
  <si>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</si>
  <si>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</si>
  <si>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</si>
  <si>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</si>
  <si>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</si>
  <si>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</si>
  <si>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</si>
  <si>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</si>
  <si>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</si>
  <si>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</si>
  <si>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</si>
  <si>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</si>
  <si>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</si>
  <si>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</si>
  <si>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</si>
  <si>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</si>
  <si>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</si>
  <si>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</si>
  <si>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</si>
  <si>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</si>
  <si>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</si>
  <si>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</si>
  <si>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</si>
  <si>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</si>
  <si>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</si>
  <si>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</si>
  <si>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</si>
  <si>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</si>
  <si>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</si>
  <si>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</si>
  <si>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</si>
  <si>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</si>
  <si>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</si>
  <si>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</si>
  <si>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</si>
  <si>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</si>
  <si>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</si>
  <si>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</si>
  <si>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</si>
  <si>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</si>
  <si>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</si>
  <si>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</si>
  <si>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</si>
  <si>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</si>
  <si>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</si>
  <si>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</si>
  <si>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</si>
  <si>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</si>
  <si>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</si>
  <si>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</si>
  <si>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</si>
  <si>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</si>
  <si>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</si>
  <si>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</si>
  <si>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</si>
  <si>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</si>
  <si>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</si>
  <si>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</si>
  <si>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</si>
  <si>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</si>
  <si>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</si>
  <si>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</si>
  <si>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</si>
  <si>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</si>
  <si>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</si>
  <si>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</si>
  <si>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</si>
  <si>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</si>
  <si>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</si>
  <si>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</si>
  <si>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</si>
  <si>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</si>
  <si>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</si>
  <si>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</si>
  <si>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</si>
  <si>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</si>
  <si>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</si>
  <si>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</si>
  <si>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</si>
  <si>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</si>
  <si>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</si>
  <si>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</si>
  <si>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</si>
  <si>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</si>
  <si>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</si>
  <si>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</si>
  <si>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</si>
  <si>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</si>
  <si>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</si>
  <si>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</si>
  <si>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</si>
  <si>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</si>
  <si>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</si>
  <si>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</si>
  <si>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</si>
  <si>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</si>
  <si>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</si>
  <si>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</si>
  <si>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</si>
  <si>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</si>
  <si>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</si>
  <si>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</si>
  <si>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</si>
  <si>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</si>
  <si>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</si>
  <si>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</si>
  <si>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</si>
  <si>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</si>
  <si>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</si>
  <si>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</si>
  <si>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</si>
  <si>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</si>
  <si>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</si>
  <si>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</si>
  <si>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</si>
  <si>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</si>
  <si>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</si>
  <si>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</si>
  <si>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</si>
  <si>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</si>
  <si>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</si>
  <si>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</si>
  <si>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</si>
  <si>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</si>
  <si>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</si>
  <si>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</si>
  <si>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</si>
  <si>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</si>
  <si>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</si>
  <si>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</si>
  <si>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</si>
  <si>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</si>
  <si>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</si>
  <si>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</si>
  <si>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</si>
  <si>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</si>
  <si>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</si>
  <si>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</si>
  <si>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</si>
  <si>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</si>
  <si>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</si>
  <si>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</si>
  <si>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</si>
  <si>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</si>
  <si>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</si>
  <si>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</si>
  <si>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</si>
  <si>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</si>
  <si>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</si>
  <si>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</si>
  <si>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</si>
  <si>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</si>
  <si>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</si>
  <si>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</si>
  <si>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</si>
  <si>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</si>
  <si>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</si>
  <si>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</si>
  <si>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</si>
  <si>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</si>
  <si>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</si>
  <si>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</si>
  <si>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</si>
  <si>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</si>
  <si>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</si>
  <si>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</si>
  <si>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</si>
  <si>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</si>
  <si>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</si>
  <si>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</si>
  <si>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</si>
  <si>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</si>
  <si>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</si>
  <si>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</si>
  <si>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</si>
  <si>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</si>
  <si>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</si>
  <si>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</si>
  <si>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</si>
  <si>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</si>
  <si>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</si>
  <si>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</si>
  <si>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</si>
  <si>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</si>
  <si>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</si>
  <si>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</si>
  <si>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</si>
  <si>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</si>
  <si>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</si>
  <si>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</si>
  <si>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</si>
  <si>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</si>
  <si>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</si>
  <si>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</si>
  <si>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</si>
  <si>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</si>
  <si>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</si>
  <si>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</si>
  <si>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</si>
  <si>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</si>
  <si>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</si>
  <si>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</si>
  <si>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</si>
  <si>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</si>
  <si>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</si>
  <si>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</si>
  <si>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</si>
  <si>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</si>
  <si>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</si>
  <si>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</si>
  <si>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</si>
  <si>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</si>
  <si>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</si>
  <si>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</si>
  <si>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</si>
  <si>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</si>
  <si>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</si>
  <si>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</si>
  <si>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</si>
  <si>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</si>
  <si>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</si>
  <si>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</si>
  <si>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</si>
  <si>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</si>
  <si>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</si>
  <si>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</si>
  <si>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</si>
  <si>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</si>
  <si>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</si>
  <si>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</si>
  <si>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</si>
  <si>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</si>
  <si>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</si>
  <si>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</si>
  <si>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</si>
  <si>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</si>
  <si>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</si>
  <si>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</si>
  <si>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</si>
  <si>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</si>
  <si>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</si>
  <si>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</si>
  <si>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</si>
  <si>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</si>
  <si>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</si>
  <si>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</si>
  <si>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</si>
  <si>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</si>
  <si>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</si>
  <si>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</si>
  <si>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</si>
  <si>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</si>
  <si>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</si>
  <si>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</si>
  <si>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</si>
  <si>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</si>
  <si>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</si>
  <si>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</si>
  <si>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</si>
  <si>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</si>
  <si>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</si>
  <si>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</si>
  <si>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</si>
  <si>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</si>
  <si>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</si>
  <si>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</si>
  <si>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</si>
  <si>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</si>
  <si>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</si>
  <si>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</si>
  <si>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</si>
  <si>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</si>
  <si>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</si>
  <si>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</si>
  <si>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</si>
  <si>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</si>
  <si>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</si>
  <si>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</si>
  <si>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</si>
  <si>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</si>
  <si>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</si>
  <si>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</si>
  <si>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</si>
  <si>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</si>
  <si>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</si>
  <si>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</si>
  <si>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</si>
  <si>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</si>
  <si>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</si>
  <si>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</si>
  <si>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</si>
  <si>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</si>
  <si>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</si>
  <si>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</si>
  <si>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</si>
  <si>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</si>
  <si>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</si>
  <si>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</si>
  <si>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</si>
  <si>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</si>
  <si>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</si>
  <si>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</si>
  <si>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</si>
  <si>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</si>
  <si>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</si>
  <si>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</si>
  <si>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</si>
  <si>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</si>
  <si>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</si>
  <si>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</si>
  <si>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</si>
  <si>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</si>
  <si>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</si>
  <si>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</si>
  <si>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</si>
  <si>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</si>
  <si>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</si>
  <si>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</si>
  <si>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</si>
  <si>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</si>
  <si>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</si>
  <si>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</si>
  <si>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</si>
  <si>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</si>
  <si>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</si>
  <si>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</si>
  <si>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</si>
  <si>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</si>
  <si>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</si>
  <si>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</si>
  <si>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</si>
  <si>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</si>
  <si>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</si>
  <si>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</si>
  <si>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</si>
  <si>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</si>
  <si>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</si>
  <si>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</si>
  <si>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</si>
  <si>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</si>
  <si>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</si>
  <si>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</si>
  <si>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</si>
  <si>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</si>
  <si>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</si>
  <si>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</si>
  <si>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</si>
  <si>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</si>
  <si>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</si>
  <si>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</si>
  <si>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</si>
  <si>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</si>
  <si>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</si>
  <si>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</si>
  <si>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</si>
  <si>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</si>
  <si>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</si>
  <si>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</si>
  <si>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</si>
  <si>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</si>
  <si>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</si>
  <si>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</si>
  <si>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</si>
  <si>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</si>
  <si>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</si>
  <si>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</si>
  <si>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</si>
  <si>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</si>
  <si>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</si>
  <si>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</si>
  <si>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</si>
  <si>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</si>
  <si>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</si>
  <si>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</si>
  <si>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</si>
  <si>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</si>
  <si>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</si>
  <si>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</si>
  <si>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</si>
  <si>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</si>
  <si>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</si>
  <si>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</si>
  <si>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</si>
  <si>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</si>
  <si>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</si>
  <si>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</si>
  <si>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</si>
  <si>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</si>
  <si>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</si>
  <si>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</si>
  <si>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</si>
  <si>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</si>
  <si>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</si>
  <si>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</si>
  <si>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</si>
  <si>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</si>
  <si>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</si>
  <si>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</si>
  <si>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</si>
  <si>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</si>
  <si>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</si>
  <si>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</si>
  <si>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</si>
  <si>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</si>
  <si>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</si>
  <si>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</si>
  <si>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</si>
  <si>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</si>
  <si>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</si>
  <si>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</si>
  <si>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</si>
  <si>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</si>
  <si>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</si>
  <si>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</si>
  <si>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</si>
  <si>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</si>
  <si>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</si>
  <si>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</si>
  <si>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</si>
  <si>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</si>
  <si>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</si>
  <si>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</si>
  <si>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</si>
  <si>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</si>
  <si>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</si>
  <si>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</si>
  <si>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</si>
  <si>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</si>
  <si>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</si>
  <si>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</si>
  <si>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</si>
  <si>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</si>
  <si>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</si>
  <si>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</si>
  <si>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</si>
  <si>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</si>
  <si>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</si>
  <si>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</si>
  <si>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</si>
  <si>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</si>
  <si>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</si>
  <si>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</si>
  <si>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</si>
  <si>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</si>
  <si>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</si>
  <si>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</si>
  <si>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</si>
  <si>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</si>
  <si>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</si>
  <si>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</si>
  <si>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</si>
  <si>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</si>
  <si>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</si>
  <si>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</si>
  <si>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</si>
  <si>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</si>
  <si>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</si>
  <si>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</si>
  <si>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</si>
  <si>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</si>
  <si>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</si>
  <si>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</si>
  <si>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</si>
  <si>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</si>
  <si>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</si>
  <si>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</si>
  <si>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</si>
  <si>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</si>
  <si>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</si>
  <si>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</si>
  <si>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</si>
  <si>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</si>
  <si>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</si>
  <si>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</si>
  <si>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</si>
  <si>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</si>
  <si>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</si>
  <si>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</si>
  <si>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</si>
  <si>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</si>
  <si>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</si>
  <si>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</si>
  <si>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</si>
  <si>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</si>
  <si>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</si>
  <si>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</si>
  <si>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</si>
  <si>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</si>
  <si>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</si>
  <si>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</si>
  <si>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</si>
  <si>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</si>
  <si>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</si>
  <si>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</si>
  <si>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</si>
  <si>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</si>
  <si>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</si>
  <si>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</si>
  <si>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</si>
  <si>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</si>
  <si>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</si>
  <si>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</si>
  <si>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</si>
  <si>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</si>
  <si>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</si>
  <si>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</si>
  <si>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</si>
  <si>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</si>
  <si>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</si>
  <si>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</si>
  <si>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</si>
  <si>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</si>
  <si>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</si>
  <si>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</si>
  <si>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</si>
  <si>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</si>
  <si>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</si>
  <si>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</si>
  <si>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</si>
  <si>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</si>
  <si>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</si>
  <si>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</si>
  <si>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</si>
  <si>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</si>
  <si>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</si>
  <si>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</si>
  <si>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</si>
  <si>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</si>
  <si>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</si>
  <si>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</si>
  <si>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</si>
  <si>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</si>
  <si>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</si>
  <si>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</si>
  <si>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</si>
  <si>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</si>
  <si>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</si>
  <si>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</si>
  <si>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</si>
  <si>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</si>
  <si>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</si>
  <si>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</si>
  <si>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</si>
  <si>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</si>
  <si>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</si>
  <si>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</si>
  <si>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</si>
  <si>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</si>
  <si>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</si>
  <si>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</si>
  <si>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</si>
  <si>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</si>
  <si>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</si>
  <si>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</si>
  <si>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</si>
  <si>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</si>
  <si>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</si>
  <si>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</si>
  <si>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</si>
  <si>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</si>
  <si>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</si>
  <si>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</si>
  <si>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</si>
  <si>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</si>
  <si>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</si>
  <si>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</si>
  <si>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</si>
  <si>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</si>
  <si>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</si>
  <si>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</si>
  <si>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</si>
  <si>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</si>
  <si>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</si>
  <si>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</si>
  <si>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</si>
  <si>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</si>
  <si>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</si>
  <si>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</si>
  <si>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</si>
  <si>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</si>
  <si>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</si>
  <si>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</si>
  <si>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</si>
  <si>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</si>
  <si>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</si>
  <si>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</si>
  <si>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</si>
  <si>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</si>
  <si>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</si>
  <si>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</si>
  <si>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</si>
  <si>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</si>
  <si>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</si>
  <si>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</si>
  <si>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</si>
  <si>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</si>
  <si>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</si>
  <si>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</si>
  <si>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</si>
  <si>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</si>
  <si>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</si>
  <si>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</si>
  <si>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</si>
  <si>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</si>
  <si>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</si>
  <si>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</si>
  <si>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</si>
  <si>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</si>
  <si>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</si>
  <si>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</si>
  <si>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</si>
  <si>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</si>
  <si>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</si>
  <si>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</si>
  <si>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</si>
  <si>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</si>
  <si>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</si>
  <si>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</si>
  <si>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</si>
  <si>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</si>
  <si>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</si>
  <si>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</si>
  <si>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</si>
  <si>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</si>
  <si>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</si>
  <si>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</si>
  <si>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</si>
  <si>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</si>
  <si>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</si>
  <si>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</si>
  <si>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</si>
  <si>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</si>
  <si>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</si>
  <si>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</si>
  <si>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</si>
  <si>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</si>
  <si>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</si>
  <si>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</si>
  <si>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</si>
  <si>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</si>
  <si>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</si>
  <si>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</si>
  <si>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</si>
  <si>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</si>
  <si>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</si>
  <si>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</si>
  <si>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</si>
  <si>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</si>
  <si>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</si>
  <si>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</si>
  <si>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</si>
  <si>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</si>
  <si>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</si>
  <si>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</si>
  <si>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</si>
  <si>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</si>
  <si>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</si>
  <si>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</si>
  <si>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</si>
  <si>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</si>
  <si>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</si>
  <si>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</si>
  <si>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</si>
  <si>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</si>
  <si>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</si>
  <si>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</si>
  <si>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</si>
  <si>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</si>
  <si>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</si>
  <si>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</si>
  <si>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</si>
  <si>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</si>
  <si>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</si>
  <si>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</si>
  <si>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</si>
  <si>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</si>
  <si>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</si>
  <si>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</si>
  <si>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</si>
  <si>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</si>
  <si>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</si>
  <si>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</si>
  <si>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</si>
  <si>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</si>
  <si>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</si>
  <si>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</si>
  <si>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</si>
  <si>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</si>
  <si>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</si>
  <si>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</si>
  <si>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</si>
  <si>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</si>
  <si>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</si>
  <si>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</si>
  <si>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</si>
  <si>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</si>
  <si>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</si>
  <si>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</si>
  <si>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</si>
  <si>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</si>
  <si>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</si>
  <si>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</si>
  <si>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</si>
  <si>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</si>
  <si>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</si>
  <si>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</si>
  <si>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</si>
  <si>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</si>
  <si>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</si>
  <si>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</si>
  <si>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</si>
  <si>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</si>
  <si>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</si>
  <si>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</si>
  <si>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</si>
  <si>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</si>
  <si>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</si>
  <si>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</si>
  <si>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</si>
  <si>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</si>
  <si>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</si>
  <si>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</si>
  <si>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</si>
  <si>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</si>
  <si>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</si>
  <si>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</si>
  <si>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</si>
  <si>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</si>
  <si>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</si>
  <si>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</si>
  <si>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</si>
  <si>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</si>
  <si>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</si>
  <si>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</si>
  <si>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</si>
  <si>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</si>
  <si>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</si>
  <si>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</si>
  <si>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</si>
  <si>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</si>
  <si>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</si>
  <si>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</si>
  <si>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</si>
  <si>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</si>
  <si>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</si>
  <si>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</si>
  <si>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</si>
  <si>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</si>
  <si>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</si>
  <si>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</si>
  <si>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</si>
  <si>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</si>
  <si>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</si>
  <si>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</si>
  <si>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</si>
  <si>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</si>
  <si>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</si>
  <si>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</si>
  <si>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</si>
  <si>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</si>
  <si>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</si>
  <si>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</si>
  <si>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</si>
  <si>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</si>
  <si>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</si>
  <si>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</si>
  <si>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</si>
  <si>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</si>
  <si>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</si>
  <si>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</si>
  <si>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</si>
  <si>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</si>
  <si>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</si>
  <si>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</si>
  <si>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</si>
  <si>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</si>
  <si>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</si>
  <si>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</si>
  <si>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</si>
  <si>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</si>
  <si>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</si>
  <si>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</si>
  <si>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</si>
  <si>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</si>
  <si>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</si>
  <si>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</si>
  <si>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</si>
  <si>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</si>
  <si>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</si>
  <si>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</si>
  <si>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</si>
  <si>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</si>
  <si>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</si>
  <si>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</si>
  <si>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</si>
  <si>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</si>
  <si>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</si>
  <si>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</si>
  <si>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</si>
  <si>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</si>
  <si>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</si>
  <si>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</si>
  <si>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</si>
  <si>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</si>
  <si>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</si>
  <si>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</si>
  <si>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</si>
  <si>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</si>
  <si>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</si>
  <si>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</si>
  <si>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</si>
  <si>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</si>
  <si>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</si>
  <si>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</si>
  <si>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</si>
  <si>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</si>
  <si>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</si>
  <si>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</si>
  <si>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</si>
  <si>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</si>
  <si>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</si>
  <si>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</si>
  <si>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</si>
  <si>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</si>
  <si>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</si>
  <si>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</si>
  <si>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</si>
  <si>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</si>
  <si>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</si>
  <si>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</si>
  <si>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</si>
  <si>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</si>
  <si>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</si>
  <si>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</si>
  <si>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</si>
  <si>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</si>
  <si>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</si>
  <si>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</si>
  <si>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</si>
  <si>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</si>
  <si>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</si>
  <si>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</si>
  <si>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</si>
  <si>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</si>
  <si>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</si>
  <si>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</si>
  <si>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</si>
  <si>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</si>
  <si>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</si>
  <si>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</si>
  <si>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</si>
  <si>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</si>
  <si>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</si>
  <si>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</si>
  <si>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</si>
  <si>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</si>
  <si>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</si>
  <si>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</si>
  <si>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</si>
  <si>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</si>
  <si>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</si>
  <si>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</si>
  <si>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</si>
  <si>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</si>
  <si>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</si>
  <si>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</si>
  <si>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</si>
  <si>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</si>
  <si>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</si>
  <si>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</si>
  <si>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</si>
  <si>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</si>
  <si>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</si>
  <si>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</si>
  <si>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</si>
  <si>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</si>
  <si>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</si>
  <si>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</si>
  <si>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</si>
  <si>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</si>
  <si>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</si>
  <si>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</si>
  <si>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</si>
  <si>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</si>
  <si>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</si>
  <si>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</si>
  <si>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</si>
  <si>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</si>
  <si>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</si>
  <si>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</si>
  <si>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</si>
  <si>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</si>
  <si>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</si>
  <si>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</si>
  <si>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</si>
  <si>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</si>
  <si>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</si>
  <si>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</si>
  <si>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</si>
  <si>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</si>
  <si>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</si>
  <si>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</si>
  <si>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</si>
  <si>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</si>
  <si>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</si>
  <si>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</si>
  <si>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</si>
  <si>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</si>
  <si>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</si>
  <si>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</si>
  <si>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</si>
  <si>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</si>
  <si>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</si>
  <si>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</si>
  <si>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</si>
  <si>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</si>
  <si>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</si>
  <si>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</si>
  <si>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</si>
  <si>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</si>
  <si>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</si>
  <si>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</si>
  <si>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</si>
  <si>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</si>
  <si>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</si>
  <si>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</si>
  <si>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</si>
  <si>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</si>
  <si>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</si>
  <si>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</si>
  <si>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</si>
  <si>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</si>
  <si>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</si>
  <si>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</si>
  <si>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</si>
  <si>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</si>
  <si>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</si>
  <si>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</si>
  <si>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</si>
  <si>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</si>
  <si>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</si>
  <si>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</si>
  <si>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</si>
  <si>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</si>
  <si>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</si>
  <si>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</si>
  <si>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</si>
  <si>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</si>
  <si>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</si>
  <si>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</si>
  <si>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</si>
  <si>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</si>
  <si>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</si>
  <si>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</si>
  <si>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</si>
  <si>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</si>
  <si>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</si>
  <si>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</si>
  <si>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</si>
  <si>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</si>
  <si>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</si>
  <si>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</si>
  <si>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</si>
  <si>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</si>
  <si>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</si>
  <si>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</si>
  <si>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</si>
  <si>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</si>
  <si>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</si>
  <si>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</si>
  <si>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</si>
  <si>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</si>
  <si>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</si>
  <si>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</si>
  <si>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</si>
  <si>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</si>
  <si>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</si>
  <si>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</si>
  <si>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</si>
  <si>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</si>
  <si>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</si>
  <si>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</si>
  <si>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</si>
  <si>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</si>
  <si>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</si>
  <si>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</si>
  <si>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</si>
  <si>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</si>
  <si>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</si>
  <si>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</si>
  <si>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</si>
  <si>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</si>
  <si>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</si>
  <si>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</si>
  <si>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</si>
  <si>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</si>
  <si>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</si>
  <si>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</si>
  <si>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</si>
  <si>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</si>
  <si>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</si>
  <si>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</si>
  <si>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</si>
  <si>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</si>
  <si>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</si>
  <si>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</si>
  <si>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</si>
  <si>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</si>
  <si>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</si>
  <si>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</si>
  <si>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</si>
  <si>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</si>
  <si>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</si>
  <si>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</si>
  <si>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</si>
  <si>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</si>
  <si>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</si>
  <si>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</si>
  <si>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</si>
  <si>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</si>
  <si>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</si>
  <si>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</si>
  <si>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</si>
  <si>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</si>
  <si>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</si>
  <si>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</si>
  <si>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</si>
  <si>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</si>
  <si>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</si>
  <si>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</si>
  <si>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</si>
  <si>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</si>
  <si>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</si>
  <si>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</si>
  <si>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</si>
  <si>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</si>
  <si>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</si>
  <si>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</si>
  <si>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</si>
  <si>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</si>
  <si>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</si>
  <si>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</si>
  <si>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</si>
  <si>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</si>
  <si>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</si>
  <si>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</si>
  <si>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</si>
  <si>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</si>
  <si>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</si>
  <si>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</si>
  <si>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</si>
  <si>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</si>
  <si>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</si>
  <si>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</si>
  <si>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</si>
  <si>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</si>
  <si>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</si>
  <si>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</si>
  <si>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</si>
  <si>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</si>
  <si>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</si>
  <si>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</si>
  <si>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</si>
  <si>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</si>
  <si>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</si>
  <si>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</si>
  <si>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</si>
  <si>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</si>
  <si>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</si>
  <si>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</si>
  <si>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</si>
  <si>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</si>
  <si>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</si>
  <si>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</si>
  <si>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</si>
  <si>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</si>
  <si>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</si>
  <si>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</si>
  <si>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</si>
  <si>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</si>
  <si>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</si>
  <si>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</si>
  <si>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</si>
  <si>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</si>
  <si>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</si>
  <si>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</si>
  <si>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</si>
  <si>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</si>
  <si>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</si>
  <si>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</si>
  <si>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</si>
  <si>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</si>
  <si>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</si>
  <si>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</si>
  <si>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</si>
  <si>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</si>
  <si>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</si>
  <si>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</si>
  <si>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</si>
  <si>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</si>
  <si>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</si>
  <si>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</si>
  <si>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</si>
  <si>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</si>
  <si>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</si>
  <si>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</si>
  <si>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</si>
  <si>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</si>
  <si>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</si>
  <si>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</si>
  <si>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</si>
  <si>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</si>
  <si>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</si>
  <si>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</si>
  <si>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</si>
  <si>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</si>
  <si>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</si>
  <si>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</si>
  <si>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</si>
  <si>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</si>
  <si>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</si>
  <si>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</si>
  <si>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</si>
  <si>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</si>
  <si>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</si>
  <si>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</si>
  <si>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</si>
  <si>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</si>
  <si>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</si>
  <si>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</si>
  <si>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</si>
  <si>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</si>
  <si>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</si>
  <si>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</si>
  <si>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</si>
  <si>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</si>
  <si>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</si>
  <si>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</si>
  <si>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</si>
  <si>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</si>
  <si>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</si>
  <si>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</si>
  <si>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</si>
  <si>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</si>
  <si>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</si>
  <si>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</si>
  <si>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</si>
  <si>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</si>
  <si>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</si>
  <si>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</si>
  <si>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</si>
  <si>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</si>
  <si>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</si>
  <si>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</si>
  <si>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</si>
  <si>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</si>
  <si>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</si>
  <si>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</si>
  <si>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</si>
  <si>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</si>
  <si>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</si>
  <si>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</si>
  <si>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</si>
  <si>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</si>
  <si>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</si>
  <si>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</si>
  <si>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</si>
  <si>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</si>
  <si>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</si>
  <si>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</si>
  <si>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</si>
  <si>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</si>
  <si>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</si>
  <si>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</si>
  <si>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</si>
  <si>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</si>
  <si>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</si>
  <si>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</si>
  <si>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</si>
  <si>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</si>
  <si>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</si>
  <si>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</si>
  <si>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</si>
  <si>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</si>
  <si>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</si>
  <si>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</si>
  <si>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</si>
  <si>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</si>
  <si>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</si>
  <si>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</si>
  <si>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</si>
  <si>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</si>
  <si>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</si>
  <si>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</si>
  <si>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</si>
  <si>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</si>
  <si>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</si>
  <si>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</si>
  <si>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</si>
  <si>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</si>
  <si>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</si>
  <si>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</si>
  <si>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</si>
  <si>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</si>
  <si>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</si>
  <si>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</si>
  <si>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</si>
  <si>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</si>
  <si>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</si>
  <si>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</si>
  <si>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</si>
  <si>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</si>
  <si>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</si>
  <si>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</si>
  <si>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</si>
  <si>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</si>
  <si>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</si>
  <si>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</si>
  <si>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</si>
  <si>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</si>
  <si>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</si>
  <si>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</si>
  <si>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</si>
  <si>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</si>
  <si>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</si>
  <si>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</si>
  <si>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</si>
  <si>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</si>
  <si>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</si>
  <si>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</si>
  <si>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</si>
  <si>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</si>
  <si>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</si>
  <si>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</si>
  <si>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</si>
  <si>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</si>
  <si>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</si>
  <si>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</si>
  <si>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</si>
  <si>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</si>
  <si>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</si>
  <si>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</si>
  <si>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</si>
  <si>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</si>
  <si>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</si>
  <si>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</si>
  <si>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</si>
  <si>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</si>
  <si>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</si>
  <si>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</si>
  <si>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</si>
  <si>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</si>
  <si>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</si>
  <si>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</si>
  <si>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</si>
  <si>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</si>
  <si>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</si>
  <si>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</si>
  <si>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</si>
  <si>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</si>
  <si>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</si>
  <si>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</si>
  <si>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</si>
  <si>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</si>
  <si>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</si>
  <si>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</si>
  <si>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</si>
  <si>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</si>
  <si>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</si>
  <si>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</si>
  <si>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</si>
  <si>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</si>
  <si>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</si>
  <si>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</si>
  <si>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</si>
  <si>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</si>
  <si>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</si>
  <si>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</si>
  <si>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</si>
  <si>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</si>
  <si>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</si>
  <si>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</si>
  <si>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</si>
  <si>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</si>
  <si>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</si>
  <si>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</si>
  <si>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</si>
  <si>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</si>
  <si>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</si>
  <si>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</si>
  <si>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</si>
  <si>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</si>
  <si>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</si>
  <si>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</si>
  <si>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</si>
  <si>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</si>
  <si>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</si>
  <si>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</si>
  <si>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</si>
  <si>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</si>
  <si>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</si>
  <si>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</si>
  <si>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</si>
  <si>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</si>
  <si>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</si>
  <si>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</si>
  <si>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</si>
  <si>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</si>
  <si>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</si>
  <si>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</si>
  <si>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</si>
  <si>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</si>
  <si>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</si>
  <si>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</si>
  <si>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</si>
  <si>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</si>
  <si>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</si>
  <si>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</si>
  <si>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</si>
  <si>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</si>
  <si>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</si>
  <si>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</si>
  <si>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</si>
  <si>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</si>
  <si>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</si>
  <si>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</si>
  <si>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</si>
  <si>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</si>
  <si>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</si>
  <si>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</si>
  <si>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</si>
  <si>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</si>
  <si>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</si>
  <si>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</si>
  <si>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</si>
  <si>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</si>
  <si>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</si>
  <si>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</si>
  <si>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</si>
  <si>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</si>
  <si>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</si>
  <si>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</si>
  <si>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</si>
  <si>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</si>
  <si>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</si>
  <si>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</si>
  <si>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</si>
  <si>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</si>
  <si>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</si>
  <si>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</si>
  <si>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</si>
  <si>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</si>
  <si>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</si>
  <si>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</si>
  <si>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</si>
  <si>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</si>
  <si>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</si>
  <si>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</si>
  <si>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</si>
  <si>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</si>
  <si>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</si>
  <si>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</si>
  <si>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</si>
  <si>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</si>
  <si>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</si>
  <si>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</si>
  <si>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</si>
  <si>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</si>
  <si>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</si>
  <si>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</si>
  <si>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</si>
  <si>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</si>
  <si>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</si>
  <si>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</si>
  <si>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</si>
  <si>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</si>
  <si>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</si>
  <si>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</si>
  <si>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</si>
  <si>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</si>
  <si>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</si>
  <si>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</si>
  <si>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</si>
  <si>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</si>
  <si>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</si>
  <si>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</si>
  <si>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</si>
  <si>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</si>
  <si>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</si>
  <si>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</si>
  <si>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</si>
  <si>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</si>
  <si>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</si>
  <si>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</si>
  <si>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</si>
  <si>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</si>
  <si>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</si>
  <si>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</si>
  <si>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</si>
  <si>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</si>
  <si>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</si>
  <si>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</si>
  <si>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</si>
  <si>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</si>
  <si>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</si>
  <si>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</si>
  <si>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</si>
  <si>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</si>
  <si>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</si>
  <si>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</si>
  <si>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</si>
  <si>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</si>
  <si>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</si>
  <si>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</si>
  <si>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</si>
  <si>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</si>
  <si>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</si>
  <si>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</si>
  <si>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</si>
  <si>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</si>
  <si>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</si>
  <si>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</si>
  <si>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</si>
  <si>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</si>
  <si>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</si>
  <si>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</si>
  <si>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</si>
  <si>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</si>
  <si>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</si>
  <si>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</si>
  <si>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</si>
  <si>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</si>
  <si>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</si>
  <si>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</si>
  <si>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</si>
  <si>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</si>
  <si>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</si>
  <si>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</si>
  <si>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</si>
  <si>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</si>
  <si>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</si>
  <si>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</si>
  <si>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</si>
  <si>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</si>
  <si>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</si>
  <si>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</si>
  <si>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</si>
  <si>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</si>
  <si>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</si>
  <si>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</si>
  <si>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</si>
  <si>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</si>
  <si>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</si>
  <si>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</si>
  <si>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</si>
  <si>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</si>
  <si>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</si>
  <si>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</si>
  <si>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</si>
  <si>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</si>
  <si>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</si>
  <si>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</si>
  <si>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</si>
  <si>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</si>
  <si>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</si>
  <si>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</si>
  <si>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</si>
  <si>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</si>
  <si>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</si>
  <si>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</si>
  <si>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</si>
  <si>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</si>
  <si>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</si>
  <si>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</si>
  <si>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</si>
  <si>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</si>
  <si>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</si>
  <si>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</si>
  <si>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</si>
  <si>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</si>
  <si>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</si>
  <si>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</si>
  <si>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</si>
  <si>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</si>
  <si>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</si>
  <si>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</si>
  <si>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</si>
  <si>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</si>
  <si>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</si>
  <si>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</si>
  <si>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</si>
  <si>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</si>
  <si>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</si>
  <si>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</si>
  <si>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</si>
  <si>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</si>
  <si>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</si>
  <si>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</si>
  <si>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</si>
  <si>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</si>
  <si>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</si>
  <si>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</si>
  <si>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</si>
  <si>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</si>
  <si>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</si>
  <si>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</si>
  <si>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</si>
  <si>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</si>
  <si>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</si>
  <si>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</si>
  <si>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</si>
  <si>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</si>
  <si>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</si>
  <si>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</si>
  <si>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</si>
  <si>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</si>
  <si>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</si>
  <si>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</si>
  <si>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</si>
  <si>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</si>
  <si>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</si>
  <si>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</si>
  <si>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</si>
  <si>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</si>
  <si>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</si>
  <si>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</si>
  <si>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</si>
  <si>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</si>
  <si>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</si>
  <si>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</si>
  <si>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</si>
  <si>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</si>
  <si>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</si>
  <si>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</si>
  <si>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</si>
  <si>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</si>
  <si>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</si>
  <si>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</si>
  <si>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</si>
  <si>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</si>
  <si>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</si>
  <si>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</si>
  <si>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</si>
  <si>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</si>
  <si>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</si>
  <si>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</si>
  <si>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</si>
  <si>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</si>
  <si>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</si>
  <si>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</si>
  <si>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</si>
  <si>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</si>
  <si>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</si>
  <si>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</si>
  <si>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</si>
  <si>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</si>
  <si>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</si>
  <si>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</si>
  <si>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</si>
  <si>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</si>
  <si>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</si>
  <si>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</si>
  <si>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</si>
  <si>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</si>
  <si>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</si>
  <si>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</si>
  <si>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</si>
  <si>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</si>
  <si>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</si>
  <si>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</si>
  <si>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</si>
  <si>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</si>
  <si>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</si>
  <si>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</si>
  <si>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</si>
  <si>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</si>
  <si>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</si>
  <si>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</si>
  <si>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</si>
  <si>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</si>
  <si>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</si>
  <si>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</si>
  <si>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</si>
  <si>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</si>
  <si>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</si>
  <si>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</si>
  <si>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</si>
  <si>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</si>
  <si>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</si>
  <si>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</si>
  <si>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</si>
  <si>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</si>
  <si>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</si>
  <si>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</si>
  <si>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</si>
  <si>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</si>
  <si>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</si>
  <si>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</si>
  <si>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</si>
  <si>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</si>
  <si>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</si>
  <si>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</si>
  <si>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</si>
  <si>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</si>
  <si>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</si>
  <si>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</si>
  <si>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</si>
  <si>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</si>
  <si>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</si>
  <si>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</si>
  <si>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</si>
  <si>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</si>
  <si>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</si>
  <si>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</si>
  <si>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</si>
  <si>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</si>
  <si>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</si>
  <si>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</si>
  <si>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</si>
  <si>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</si>
  <si>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</si>
  <si>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</si>
  <si>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</si>
  <si>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</si>
  <si>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</si>
  <si>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</si>
  <si>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</si>
  <si>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</si>
  <si>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</si>
  <si>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</si>
  <si>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</si>
  <si>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</si>
  <si>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</si>
  <si>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</si>
  <si>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</si>
  <si>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</si>
  <si>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</si>
  <si>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</si>
  <si>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</si>
  <si>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</si>
  <si>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</si>
  <si>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</si>
  <si>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</si>
  <si>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</si>
  <si>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</si>
  <si>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</si>
  <si>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</si>
  <si>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</si>
  <si>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</si>
  <si>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</si>
  <si>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</si>
  <si>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</si>
  <si>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</si>
  <si>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</si>
  <si>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</si>
  <si>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</si>
  <si>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</si>
  <si>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</si>
  <si>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</si>
  <si>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</si>
  <si>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</si>
  <si>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</si>
  <si>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</si>
  <si>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</si>
  <si>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</si>
  <si>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</si>
  <si>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</si>
  <si>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</si>
  <si>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</si>
  <si>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</si>
  <si>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</si>
  <si>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</si>
  <si>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</si>
  <si>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</si>
  <si>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</si>
  <si>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</si>
  <si>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</si>
  <si>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</si>
  <si>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</si>
  <si>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</si>
  <si>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</si>
  <si>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</si>
  <si>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</si>
  <si>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</si>
  <si>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</si>
  <si>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</si>
  <si>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</si>
  <si>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</si>
  <si>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</si>
  <si>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</si>
  <si>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</si>
  <si>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</si>
  <si>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</si>
  <si>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</si>
  <si>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</si>
  <si>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</si>
  <si>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</si>
  <si>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</si>
  <si>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</si>
  <si>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</si>
  <si>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</si>
  <si>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</si>
  <si>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</si>
  <si>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</si>
  <si>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</si>
  <si>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</si>
  <si>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</si>
  <si>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</si>
  <si>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</si>
  <si>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</si>
  <si>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</si>
  <si>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</si>
  <si>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</si>
  <si>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</si>
  <si>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</si>
  <si>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</si>
  <si>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</si>
  <si>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</si>
  <si>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</si>
  <si>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</si>
  <si>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</si>
  <si>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</si>
  <si>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</si>
  <si>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</si>
  <si>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</si>
  <si>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</si>
  <si>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</si>
  <si>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</si>
  <si>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</si>
  <si>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</si>
  <si>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</si>
  <si>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</si>
  <si>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</si>
  <si>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</si>
  <si>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</si>
  <si>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</si>
  <si>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</si>
  <si>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</si>
  <si>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</si>
  <si>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</si>
  <si>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</si>
  <si>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</si>
  <si>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</si>
  <si>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</si>
  <si>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</si>
  <si>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</si>
  <si>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</si>
  <si>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</si>
  <si>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</si>
  <si>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</si>
  <si>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</si>
  <si>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</si>
  <si>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</si>
  <si>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</si>
  <si>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</si>
  <si>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</si>
  <si>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</si>
  <si>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</si>
  <si>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</si>
  <si>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</si>
  <si>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</si>
  <si>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</si>
  <si>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</si>
  <si>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</si>
  <si>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</si>
  <si>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</si>
  <si>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</si>
  <si>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</si>
  <si>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</si>
  <si>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</si>
  <si>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</si>
  <si>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</si>
  <si>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</si>
  <si>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</si>
  <si>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</si>
  <si>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</si>
  <si>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</si>
  <si>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</si>
  <si>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</si>
  <si>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</si>
  <si>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</si>
  <si>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</si>
  <si>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</si>
  <si>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</si>
  <si>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</si>
  <si>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</si>
  <si>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</si>
  <si>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</si>
  <si>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</si>
  <si>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</si>
  <si>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</si>
  <si>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</si>
  <si>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</si>
  <si>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</si>
  <si>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</si>
  <si>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</si>
  <si>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</si>
  <si>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</si>
  <si>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</si>
  <si>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</si>
  <si>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</si>
  <si>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</si>
  <si>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</si>
  <si>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</si>
  <si>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</si>
  <si>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</si>
  <si>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</si>
  <si>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</si>
  <si>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</si>
  <si>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</si>
  <si>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</si>
  <si>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</si>
  <si>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</si>
  <si>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</si>
  <si>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</si>
  <si>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</si>
  <si>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</si>
  <si>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</si>
  <si>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</si>
  <si>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</si>
  <si>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</si>
  <si>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</si>
  <si>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</si>
  <si>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</si>
  <si>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</si>
  <si>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</si>
  <si>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</si>
  <si>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</si>
  <si>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</si>
  <si>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</si>
  <si>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</si>
  <si>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</si>
  <si>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</si>
  <si>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</si>
  <si>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</si>
  <si>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</si>
  <si>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</si>
  <si>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</si>
  <si>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</si>
  <si>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</si>
  <si>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</si>
  <si>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</si>
  <si>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</si>
  <si>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</si>
  <si>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</si>
  <si>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</si>
  <si>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</si>
  <si>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</si>
  <si>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</si>
  <si>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</si>
  <si>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</si>
  <si>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</si>
  <si>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</si>
  <si>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</si>
  <si>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</si>
  <si>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</si>
  <si>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</si>
  <si>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</si>
  <si>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</si>
  <si>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</si>
  <si>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</si>
  <si>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</si>
  <si>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</si>
  <si>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</si>
  <si>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</si>
  <si>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</si>
  <si>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</si>
  <si>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</si>
  <si>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</si>
  <si>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</si>
  <si>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</si>
  <si>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</si>
  <si>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</si>
  <si>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</si>
  <si>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</si>
  <si>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</si>
  <si>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</si>
  <si>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</si>
  <si>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</si>
  <si>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</si>
  <si>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</si>
  <si>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</si>
  <si>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</si>
  <si>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</si>
  <si>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</si>
  <si>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</si>
  <si>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</si>
  <si>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</si>
  <si>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</si>
  <si>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</si>
  <si>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</si>
  <si>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</si>
  <si>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</si>
  <si>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</si>
  <si>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</si>
  <si>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</si>
  <si>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</si>
  <si>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</si>
  <si>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</si>
  <si>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</si>
  <si>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</si>
  <si>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</si>
  <si>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</si>
  <si>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</si>
  <si>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</si>
  <si>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</si>
  <si>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</si>
  <si>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</si>
  <si>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</si>
  <si>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</si>
  <si>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</si>
  <si>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</si>
  <si>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</si>
  <si>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</si>
  <si>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</si>
  <si>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</si>
  <si>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</si>
  <si>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</si>
  <si>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</si>
  <si>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</si>
  <si>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</si>
  <si>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</si>
  <si>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</si>
  <si>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</si>
  <si>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</si>
  <si>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</si>
  <si>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</si>
  <si>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</si>
  <si>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</si>
  <si>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</si>
  <si>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</si>
  <si>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</si>
  <si>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</si>
  <si>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</si>
  <si>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</si>
  <si>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</si>
  <si>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</si>
  <si>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</si>
  <si>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</si>
  <si>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</si>
  <si>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</si>
  <si>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</si>
  <si>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</si>
  <si>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</si>
  <si>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</si>
  <si>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</si>
  <si>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</si>
  <si>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</si>
  <si>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</si>
  <si>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</si>
  <si>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</si>
  <si>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</si>
  <si>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</si>
  <si>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</si>
  <si>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</si>
  <si>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</si>
  <si>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</si>
  <si>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</si>
  <si>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</si>
  <si>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</si>
  <si>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</si>
  <si>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</si>
  <si>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</si>
  <si>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</si>
  <si>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</si>
  <si>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</si>
  <si>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</si>
  <si>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</si>
  <si>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</si>
  <si>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</si>
  <si>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</si>
  <si>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</si>
  <si>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</si>
  <si>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</si>
  <si>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</si>
  <si>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</si>
  <si>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</si>
  <si>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</si>
  <si>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</si>
  <si>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</si>
  <si>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</si>
  <si>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</si>
  <si>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</si>
  <si>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</si>
  <si>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</si>
  <si>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</si>
  <si>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</si>
  <si>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</si>
  <si>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</si>
  <si>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</si>
  <si>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</si>
  <si>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</si>
  <si>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</si>
  <si>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</si>
  <si>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</si>
  <si>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</si>
  <si>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</si>
  <si>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</si>
  <si>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</si>
  <si>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</si>
  <si>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</si>
  <si>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</si>
  <si>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</si>
  <si>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</si>
  <si>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</si>
  <si>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</si>
  <si>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</si>
  <si>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</si>
  <si>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</si>
  <si>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</si>
  <si>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</si>
  <si>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</si>
  <si>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</si>
  <si>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</si>
  <si>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</si>
  <si>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</si>
  <si>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</si>
  <si>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</si>
  <si>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</si>
  <si>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</si>
  <si>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</si>
  <si>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</si>
  <si>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</si>
  <si>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</si>
  <si>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</si>
  <si>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</si>
  <si>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</si>
  <si>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</si>
  <si>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</si>
  <si>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</si>
  <si>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</si>
  <si>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</si>
  <si>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</si>
  <si>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</si>
  <si>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</si>
  <si>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</si>
  <si>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</si>
  <si>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</si>
  <si>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</si>
  <si>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</si>
  <si>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</si>
  <si>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</si>
  <si>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</si>
  <si>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</si>
  <si>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</si>
  <si>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</si>
  <si>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</si>
  <si>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</si>
  <si>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</si>
  <si>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</si>
  <si>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</si>
  <si>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</si>
  <si>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</si>
  <si>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</si>
  <si>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</si>
  <si>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</si>
  <si>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</si>
  <si>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</si>
  <si>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</si>
  <si>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</si>
  <si>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</si>
  <si>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</si>
  <si>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</si>
  <si>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</si>
  <si>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</si>
  <si>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</si>
  <si>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</si>
  <si>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</si>
  <si>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</si>
  <si>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</si>
  <si>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</si>
  <si>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</si>
  <si>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</si>
  <si>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</si>
  <si>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</si>
  <si>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</si>
  <si>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</si>
  <si>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</si>
  <si>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</si>
  <si>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</si>
  <si>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</si>
  <si>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</si>
  <si>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</si>
  <si>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</si>
  <si>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</si>
  <si>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</si>
  <si>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</si>
  <si>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</si>
  <si>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</si>
  <si>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</si>
  <si>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</si>
  <si>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</si>
  <si>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</si>
  <si>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</si>
  <si>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</si>
  <si>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</si>
  <si>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</si>
  <si>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</si>
  <si>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</si>
  <si>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</si>
  <si>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</si>
  <si>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</si>
  <si>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</si>
  <si>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</si>
  <si>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</si>
  <si>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</si>
  <si>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</si>
  <si>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</si>
  <si>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</si>
  <si>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</si>
  <si>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</si>
  <si>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</si>
  <si>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</si>
  <si>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</si>
  <si>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</si>
  <si>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</si>
  <si>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</si>
  <si>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</si>
  <si>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</si>
  <si>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</si>
  <si>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</si>
  <si>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</si>
  <si>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</si>
  <si>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</si>
  <si>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</si>
  <si>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</si>
  <si>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</si>
  <si>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</si>
  <si>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</si>
  <si>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</si>
  <si>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</si>
  <si>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</si>
  <si>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</si>
  <si>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</si>
  <si>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</si>
  <si>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</si>
  <si>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</si>
  <si>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</si>
  <si>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</si>
  <si>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</si>
  <si>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</si>
  <si>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</si>
  <si>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</si>
  <si>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</si>
  <si>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</si>
  <si>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</si>
  <si>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</si>
  <si>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</si>
  <si>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</si>
  <si>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</si>
  <si>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</si>
  <si>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</si>
  <si>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</si>
  <si>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</si>
  <si>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</si>
  <si>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</si>
  <si>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</si>
  <si>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</si>
  <si>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</si>
  <si>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</si>
  <si>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</si>
  <si>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</si>
  <si>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</si>
  <si>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</si>
  <si>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</si>
  <si>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</si>
  <si>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</si>
  <si>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</si>
  <si>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</si>
  <si>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</si>
  <si>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</si>
  <si>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</si>
  <si>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</si>
  <si>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</si>
  <si>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</si>
  <si>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</si>
  <si>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</si>
  <si>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</si>
  <si>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</si>
  <si>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</si>
  <si>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</si>
  <si>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</si>
  <si>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</si>
  <si>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</si>
  <si>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</si>
  <si>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</si>
  <si>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</si>
  <si>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</si>
  <si>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</si>
  <si>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</si>
  <si>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</si>
  <si>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</si>
  <si>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</si>
  <si>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</si>
  <si>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</si>
  <si>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</si>
  <si>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</si>
  <si>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</si>
  <si>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</si>
  <si>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</si>
  <si>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</si>
  <si>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</si>
  <si>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</si>
  <si>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</si>
  <si>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</si>
  <si>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</si>
  <si>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</si>
  <si>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</si>
  <si>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</si>
  <si>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</si>
  <si>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</si>
  <si>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</si>
  <si>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</si>
  <si>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</si>
  <si>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</si>
  <si>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</si>
  <si>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</si>
  <si>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</si>
  <si>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</si>
  <si>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</si>
  <si>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</si>
  <si>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</si>
  <si>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</si>
  <si>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</si>
  <si>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</si>
  <si>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</si>
  <si>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</si>
  <si>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</si>
  <si>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</si>
  <si>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</si>
  <si>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</si>
  <si>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</si>
  <si>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</si>
  <si>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</si>
  <si>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</si>
  <si>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</si>
  <si>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</si>
  <si>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</si>
  <si>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</si>
  <si>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</si>
  <si>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</si>
  <si>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</si>
  <si>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</si>
  <si>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</si>
  <si>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</si>
  <si>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</si>
  <si>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</si>
  <si>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</si>
  <si>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</si>
  <si>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</si>
  <si>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</si>
  <si>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</si>
  <si>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</si>
  <si>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</si>
  <si>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</si>
  <si>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</si>
  <si>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</si>
  <si>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</si>
  <si>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</si>
  <si>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</si>
  <si>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</si>
  <si>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</si>
  <si>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</si>
  <si>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</si>
  <si>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</si>
  <si>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</si>
  <si>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</si>
  <si>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</si>
  <si>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</si>
  <si>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</si>
  <si>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</si>
  <si>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</si>
  <si>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</si>
  <si>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</si>
  <si>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</si>
  <si>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</si>
  <si>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</si>
  <si>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</si>
  <si>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</si>
  <si>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</si>
  <si>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</si>
  <si>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</si>
  <si>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</si>
  <si>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</si>
  <si>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</si>
  <si>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</si>
  <si>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</si>
  <si>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</si>
  <si>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</si>
  <si>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</si>
  <si>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</si>
  <si>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</si>
  <si>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</si>
  <si>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</si>
  <si>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</si>
  <si>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</si>
  <si>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</si>
  <si>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</si>
  <si>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</si>
  <si>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</si>
  <si>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</si>
  <si>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</si>
  <si>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</si>
  <si>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</si>
  <si>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</si>
  <si>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</si>
  <si>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</si>
  <si>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</si>
  <si>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</si>
  <si>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</si>
  <si>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</si>
  <si>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</si>
  <si>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</si>
  <si>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</si>
  <si>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</si>
  <si>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</si>
  <si>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</si>
  <si>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</si>
  <si>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</si>
  <si>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</si>
  <si>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</si>
  <si>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</si>
  <si>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</si>
  <si>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</si>
  <si>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</si>
  <si>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</si>
  <si>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</si>
  <si>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</si>
  <si>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</si>
  <si>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</si>
  <si>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</si>
  <si>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</si>
  <si>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</si>
  <si>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</si>
  <si>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</si>
  <si>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</si>
  <si>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</si>
  <si>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</si>
  <si>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</si>
  <si>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</si>
  <si>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</si>
  <si>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</si>
  <si>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</si>
  <si>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</si>
  <si>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</si>
  <si>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</si>
  <si>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</si>
  <si>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</si>
  <si>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</si>
  <si>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</si>
  <si>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</si>
  <si>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</si>
  <si>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</si>
  <si>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</si>
  <si>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</si>
  <si>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</si>
  <si>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</si>
  <si>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</si>
  <si>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</si>
  <si>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</si>
  <si>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</si>
  <si>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</si>
  <si>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</si>
  <si>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</si>
  <si>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</si>
  <si>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</si>
  <si>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</si>
  <si>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</si>
  <si>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</si>
  <si>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</si>
  <si>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</si>
  <si>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</si>
  <si>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</si>
  <si>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</si>
  <si>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</si>
  <si>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</si>
  <si>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</si>
  <si>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</si>
  <si>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</si>
  <si>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</si>
  <si>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</si>
  <si>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</si>
  <si>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</si>
  <si>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</si>
  <si>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</si>
  <si>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</si>
  <si>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</si>
  <si>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</si>
  <si>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</si>
  <si>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</si>
  <si>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</si>
  <si>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</si>
  <si>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</si>
  <si>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</si>
  <si>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</si>
  <si>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</si>
  <si>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</si>
  <si>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</si>
  <si>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</si>
  <si>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</si>
  <si>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</si>
  <si>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</si>
  <si>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</si>
  <si>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</si>
  <si>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</si>
  <si>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</si>
  <si>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</si>
  <si>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</si>
  <si>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</si>
  <si>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</si>
  <si>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</si>
  <si>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</si>
  <si>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</si>
  <si>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</si>
  <si>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</si>
  <si>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</si>
  <si>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</si>
  <si>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</si>
  <si>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</si>
  <si>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</si>
  <si>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</si>
  <si>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</si>
  <si>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</si>
  <si>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</si>
  <si>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</si>
  <si>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</si>
  <si>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</si>
  <si>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</si>
  <si>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</si>
  <si>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</si>
  <si>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</si>
  <si>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</si>
  <si>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</si>
  <si>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</si>
  <si>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</si>
  <si>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</si>
  <si>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</si>
  <si>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</si>
  <si>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</si>
  <si>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</si>
  <si>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</si>
  <si>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</si>
  <si>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</si>
  <si>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</si>
  <si>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</si>
  <si>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</si>
  <si>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</si>
  <si>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</si>
  <si>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</si>
  <si>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</si>
  <si>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</si>
  <si>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</si>
  <si>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</si>
  <si>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</si>
  <si>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</si>
  <si>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</si>
  <si>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</si>
  <si>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</si>
  <si>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</si>
  <si>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</si>
  <si>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</si>
  <si>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</si>
  <si>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</si>
  <si>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</si>
  <si>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</si>
  <si>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</si>
  <si>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</si>
  <si>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</si>
  <si>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</si>
  <si>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</si>
  <si>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</si>
  <si>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</si>
  <si>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</si>
  <si>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</si>
  <si>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</si>
  <si>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</si>
  <si>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</si>
  <si>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</si>
  <si>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</si>
  <si>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</si>
  <si>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</si>
  <si>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</si>
  <si>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</si>
  <si>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</si>
  <si>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</si>
  <si>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</si>
  <si>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</si>
  <si>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</si>
  <si>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</si>
  <si>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</si>
  <si>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</si>
  <si>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</si>
  <si>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</si>
  <si>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</si>
  <si>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</si>
  <si>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</si>
  <si>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</si>
  <si>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</si>
  <si>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</si>
  <si>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</si>
  <si>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</si>
  <si>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</si>
  <si>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</si>
  <si>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</si>
  <si>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</si>
  <si>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</si>
  <si>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</si>
  <si>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</si>
  <si>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</si>
  <si>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</si>
  <si>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</si>
  <si>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</si>
  <si>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</si>
  <si>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</si>
  <si>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</si>
  <si>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</si>
  <si>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</si>
  <si>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</si>
  <si>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</si>
  <si>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</si>
  <si>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</si>
  <si>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</si>
  <si>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</si>
  <si>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</si>
  <si>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</si>
  <si>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</si>
  <si>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</si>
  <si>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</si>
  <si>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</si>
  <si>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</si>
  <si>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</si>
  <si>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</si>
  <si>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</si>
  <si>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</si>
  <si>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</si>
  <si>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</si>
  <si>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</si>
  <si>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</si>
  <si>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</si>
  <si>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</si>
  <si>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</si>
  <si>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</si>
  <si>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</si>
  <si>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</si>
  <si>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</si>
  <si>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</si>
  <si>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</si>
  <si>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</si>
  <si>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</si>
  <si>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</si>
  <si>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</si>
  <si>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</si>
  <si>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</si>
  <si>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</si>
  <si>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TASM</t>
  </si>
  <si>
    <t>GICP</t>
  </si>
  <si>
    <t>Eurozone Sectorial</t>
  </si>
  <si>
    <t>ERGBP ERGCP</t>
  </si>
  <si>
    <t>EC1EW COR3P CEE1P CEE3P</t>
  </si>
  <si>
    <t>EZ15P EZMLP EZN1P</t>
  </si>
  <si>
    <t>EZ40P EZ60P</t>
  </si>
  <si>
    <t>EBSWP EBSPW</t>
  </si>
  <si>
    <t>SG50P</t>
  </si>
  <si>
    <t>EPEGP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</si>
  <si>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</si>
  <si>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</si>
  <si>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</si>
  <si>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</si>
  <si>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</si>
  <si>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</si>
  <si>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</si>
  <si>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 xml:space="preserve">7ij </t>
  </si>
  <si>
    <t>Check</t>
  </si>
  <si>
    <t>EN Global Industry Champions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</si>
</sst>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</numFmts>
  <fonts count="12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theme="1"/>
      <name val="Calibry"/>
      <family val="2"/>
    </font>
    <font>
      <b/>
      <sz val="11"/>
      <color theme="1"/>
      <name val="Calibry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44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9" fillId="0" borderId="8" xfId="0" applyFont="1" applyBorder="1"/>
    <xf numFmtId="0" fontId="10" fillId="0" borderId="8" xfId="0" applyFont="1" applyBorder="1"/>
    <xf numFmtId="0" fontId="10" fillId="6" borderId="8" xfId="0" applyFont="1" applyFill="1" applyBorder="1"/>
    <xf numFmtId="0" fontId="11" fillId="6" borderId="8" xfId="0" applyFont="1" applyFill="1" applyBorder="1"/>
    <xf numFmtId="0" fontId="0" fillId="0" borderId="0" xfId="0" applyFill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1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externalLinkPath" Target="file:///C:\Users\CSonneveld\AppData\Local\Microsoft\Windows\INetCache\Content.Outlook\OE8OL9XN\AUM%20Report%20-%20Q3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FDSCACHE__"/>
      <sheetName val="Summary"/>
      <sheetName val="IndicesPerBenchmarkfam"/>
      <sheetName val="Sheet4"/>
      <sheetName val="Derivatives"/>
      <sheetName val="Warrants_Certificates"/>
      <sheetName val="SRP"/>
      <sheetName val="Sheet1"/>
      <sheetName val="Total_SP(TS)"/>
      <sheetName val="Invoices_data"/>
      <sheetName val="Details_AUM_Funds"/>
      <sheetName val="Sheet2"/>
      <sheetName val="NEW Funds Q3 2023"/>
      <sheetName val="AuM ETF April 2022"/>
      <sheetName val="Number of prod"/>
      <sheetName val="Analysis Q3 2023"/>
      <sheetName val="All Products Q3 2023"/>
      <sheetName val="Related Products"/>
      <sheetName val="Euronext_quote_vendor_codes_202"/>
      <sheetName val="BS_IndexList"/>
    </sheetNames>
    <sheetDataSet>
      <sheetData sheetId="0" refreshError="1"/>
      <sheetData sheetId="1" refreshError="1"/>
      <sheetData sheetId="2">
        <row r="3"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</row>
        <row r="4">
          <cell r="J4">
            <v>0</v>
          </cell>
          <cell r="K4">
            <v>0</v>
          </cell>
          <cell r="L4">
            <v>0</v>
          </cell>
          <cell r="M4">
            <v>677345850.85687852</v>
          </cell>
          <cell r="N4">
            <v>0</v>
          </cell>
          <cell r="O4">
            <v>0</v>
          </cell>
          <cell r="P4">
            <v>677345850.85687852</v>
          </cell>
        </row>
        <row r="5">
          <cell r="J5">
            <v>0</v>
          </cell>
          <cell r="K5">
            <v>0</v>
          </cell>
          <cell r="L5">
            <v>0</v>
          </cell>
          <cell r="M5">
            <v>312464196</v>
          </cell>
          <cell r="N5">
            <v>129973354484.88991</v>
          </cell>
          <cell r="O5">
            <v>5109788683.8999996</v>
          </cell>
          <cell r="P5">
            <v>135395607364.7899</v>
          </cell>
        </row>
        <row r="6">
          <cell r="J6">
            <v>0</v>
          </cell>
          <cell r="K6">
            <v>16859000</v>
          </cell>
          <cell r="L6">
            <v>0</v>
          </cell>
          <cell r="M6">
            <v>0</v>
          </cell>
          <cell r="N6">
            <v>98109395.779999986</v>
          </cell>
          <cell r="O6">
            <v>0</v>
          </cell>
          <cell r="P6">
            <v>114968395.77999999</v>
          </cell>
        </row>
        <row r="7"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</row>
        <row r="8">
          <cell r="J8">
            <v>0</v>
          </cell>
          <cell r="K8">
            <v>0</v>
          </cell>
          <cell r="L8">
            <v>0</v>
          </cell>
          <cell r="M8">
            <v>254158873</v>
          </cell>
          <cell r="N8">
            <v>0</v>
          </cell>
          <cell r="O8">
            <v>0</v>
          </cell>
          <cell r="P8">
            <v>254158873</v>
          </cell>
        </row>
        <row r="9">
          <cell r="J9">
            <v>6400000</v>
          </cell>
          <cell r="K9">
            <v>1604993593.3999999</v>
          </cell>
          <cell r="L9">
            <v>844402509.87160003</v>
          </cell>
          <cell r="M9">
            <v>5314663.8350424878</v>
          </cell>
          <cell r="N9">
            <v>155503185450.1496</v>
          </cell>
          <cell r="O9">
            <v>22550396339.600002</v>
          </cell>
          <cell r="P9">
            <v>178903298963.45627</v>
          </cell>
        </row>
        <row r="10">
          <cell r="J10">
            <v>0</v>
          </cell>
          <cell r="K10">
            <v>0</v>
          </cell>
          <cell r="L10">
            <v>0</v>
          </cell>
          <cell r="M10">
            <v>4378847212.6000004</v>
          </cell>
          <cell r="N10">
            <v>297750</v>
          </cell>
          <cell r="O10">
            <v>0</v>
          </cell>
          <cell r="P10">
            <v>4379144962.6000004</v>
          </cell>
        </row>
        <row r="11">
          <cell r="J11">
            <v>0</v>
          </cell>
          <cell r="K11">
            <v>0</v>
          </cell>
          <cell r="L11">
            <v>0</v>
          </cell>
          <cell r="M11">
            <v>13336241280.458595</v>
          </cell>
          <cell r="N11">
            <v>830000</v>
          </cell>
          <cell r="O11">
            <v>0</v>
          </cell>
          <cell r="P11">
            <v>13337071280.458595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46327741</v>
          </cell>
          <cell r="N14">
            <v>170404935.03</v>
          </cell>
          <cell r="O14">
            <v>89588556</v>
          </cell>
          <cell r="P14">
            <v>306321232.02999997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301958144.69999993</v>
          </cell>
          <cell r="N15">
            <v>0</v>
          </cell>
          <cell r="O15">
            <v>0</v>
          </cell>
          <cell r="P15">
            <v>301958144.69999993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J19">
            <v>0</v>
          </cell>
          <cell r="K19">
            <v>0</v>
          </cell>
          <cell r="L19">
            <v>0</v>
          </cell>
          <cell r="M19">
            <v>515734000</v>
          </cell>
          <cell r="N19">
            <v>0</v>
          </cell>
          <cell r="O19">
            <v>0</v>
          </cell>
          <cell r="P19">
            <v>515734000</v>
          </cell>
        </row>
        <row r="20"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</row>
        <row r="25">
          <cell r="J25">
            <v>0</v>
          </cell>
          <cell r="K25">
            <v>0</v>
          </cell>
          <cell r="L25">
            <v>0</v>
          </cell>
          <cell r="M25">
            <v>20265013</v>
          </cell>
          <cell r="N25">
            <v>33210000</v>
          </cell>
          <cell r="O25">
            <v>0</v>
          </cell>
          <cell r="P25">
            <v>53475013</v>
          </cell>
        </row>
        <row r="26"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617600</v>
          </cell>
          <cell r="O28">
            <v>0</v>
          </cell>
          <cell r="P28">
            <v>617600</v>
          </cell>
        </row>
        <row r="29"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</row>
        <row r="35"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</row>
        <row r="40"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</row>
        <row r="42"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</row>
        <row r="43"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</row>
        <row r="44"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</row>
        <row r="46"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</row>
        <row r="48"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470000</v>
          </cell>
          <cell r="P56">
            <v>470000</v>
          </cell>
        </row>
        <row r="57"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</row>
        <row r="59"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</row>
        <row r="64"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</row>
        <row r="65"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</row>
        <row r="66"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</row>
        <row r="67"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</row>
        <row r="68"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</row>
        <row r="69"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</row>
        <row r="76"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79"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</row>
        <row r="80"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</row>
        <row r="82"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</row>
        <row r="83"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</row>
        <row r="85"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</row>
        <row r="87"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</row>
        <row r="88"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</row>
        <row r="90"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</row>
        <row r="92"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</row>
        <row r="93">
          <cell r="J93">
            <v>0</v>
          </cell>
          <cell r="K93">
            <v>0</v>
          </cell>
          <cell r="L93">
            <v>0</v>
          </cell>
          <cell r="M93">
            <v>68800895.599999994</v>
          </cell>
          <cell r="N93">
            <v>0</v>
          </cell>
          <cell r="O93">
            <v>0</v>
          </cell>
          <cell r="P93">
            <v>68800895.599999994</v>
          </cell>
        </row>
        <row r="94"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</row>
        <row r="95">
          <cell r="J95">
            <v>0</v>
          </cell>
          <cell r="K95">
            <v>0</v>
          </cell>
          <cell r="L95">
            <v>0</v>
          </cell>
          <cell r="M95">
            <v>6020738085.8000002</v>
          </cell>
          <cell r="N95">
            <v>0</v>
          </cell>
          <cell r="O95">
            <v>0</v>
          </cell>
          <cell r="P95">
            <v>6020738085.8000002</v>
          </cell>
        </row>
        <row r="96"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</row>
        <row r="97"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</row>
        <row r="99">
          <cell r="J99">
            <v>0</v>
          </cell>
          <cell r="K99">
            <v>0</v>
          </cell>
          <cell r="L99">
            <v>0</v>
          </cell>
          <cell r="M99">
            <v>173634941</v>
          </cell>
          <cell r="N99">
            <v>0</v>
          </cell>
          <cell r="O99">
            <v>0</v>
          </cell>
          <cell r="P99">
            <v>173634941</v>
          </cell>
        </row>
        <row r="100">
          <cell r="J100">
            <v>0</v>
          </cell>
          <cell r="K100">
            <v>0</v>
          </cell>
          <cell r="L100">
            <v>0</v>
          </cell>
          <cell r="M100">
            <v>61233827</v>
          </cell>
          <cell r="N100">
            <v>0</v>
          </cell>
          <cell r="O100">
            <v>0</v>
          </cell>
          <cell r="P100">
            <v>61233827</v>
          </cell>
        </row>
        <row r="101">
          <cell r="J101">
            <v>0</v>
          </cell>
          <cell r="K101">
            <v>0</v>
          </cell>
          <cell r="L101">
            <v>0</v>
          </cell>
          <cell r="M101">
            <v>2003383790.2100003</v>
          </cell>
          <cell r="N101">
            <v>0</v>
          </cell>
          <cell r="O101">
            <v>0</v>
          </cell>
          <cell r="P101">
            <v>2003383790.2100003</v>
          </cell>
        </row>
        <row r="102"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</row>
        <row r="103">
          <cell r="J103">
            <v>3600000</v>
          </cell>
          <cell r="K103">
            <v>5000000</v>
          </cell>
          <cell r="L103">
            <v>3232788.4835999999</v>
          </cell>
          <cell r="M103">
            <v>0</v>
          </cell>
          <cell r="N103">
            <v>0</v>
          </cell>
          <cell r="O103">
            <v>0</v>
          </cell>
          <cell r="P103">
            <v>3600000</v>
          </cell>
        </row>
        <row r="104"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</row>
        <row r="105">
          <cell r="J105">
            <v>0</v>
          </cell>
          <cell r="K105">
            <v>0</v>
          </cell>
          <cell r="L105">
            <v>0</v>
          </cell>
          <cell r="M105">
            <v>684657431</v>
          </cell>
          <cell r="N105">
            <v>0</v>
          </cell>
          <cell r="O105">
            <v>0</v>
          </cell>
          <cell r="P105">
            <v>684657431</v>
          </cell>
        </row>
        <row r="106"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2431500</v>
          </cell>
          <cell r="O108">
            <v>0</v>
          </cell>
          <cell r="P108">
            <v>2431500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26985000</v>
          </cell>
          <cell r="O109">
            <v>0</v>
          </cell>
          <cell r="P109">
            <v>26985000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1861205632.79</v>
          </cell>
          <cell r="N111">
            <v>0</v>
          </cell>
          <cell r="O111">
            <v>0</v>
          </cell>
          <cell r="P111">
            <v>1861205632.79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47489040.660000011</v>
          </cell>
          <cell r="N112">
            <v>0</v>
          </cell>
          <cell r="O112">
            <v>0</v>
          </cell>
          <cell r="P112">
            <v>47489040.660000011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5948578738.5150023</v>
          </cell>
          <cell r="N114">
            <v>0</v>
          </cell>
          <cell r="O114">
            <v>0</v>
          </cell>
          <cell r="P114">
            <v>5948578738.5150023</v>
          </cell>
        </row>
        <row r="115">
          <cell r="J115">
            <v>137099606</v>
          </cell>
          <cell r="K115">
            <v>216540000</v>
          </cell>
          <cell r="L115">
            <v>46272163.366400003</v>
          </cell>
          <cell r="M115">
            <v>0</v>
          </cell>
          <cell r="N115">
            <v>0</v>
          </cell>
          <cell r="O115">
            <v>0</v>
          </cell>
          <cell r="P115">
            <v>137099606</v>
          </cell>
        </row>
        <row r="116"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</row>
        <row r="117"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</row>
        <row r="118"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J120">
            <v>0</v>
          </cell>
          <cell r="K120">
            <v>200000000</v>
          </cell>
          <cell r="L120">
            <v>27713562.812400002</v>
          </cell>
          <cell r="M120">
            <v>0</v>
          </cell>
          <cell r="N120">
            <v>0</v>
          </cell>
          <cell r="O120">
            <v>0</v>
          </cell>
          <cell r="P120">
            <v>200000000</v>
          </cell>
        </row>
        <row r="121">
          <cell r="J121">
            <v>0</v>
          </cell>
          <cell r="K121">
            <v>0</v>
          </cell>
          <cell r="L121">
            <v>0</v>
          </cell>
          <cell r="M121">
            <v>329732605</v>
          </cell>
          <cell r="N121">
            <v>0</v>
          </cell>
          <cell r="O121">
            <v>0</v>
          </cell>
          <cell r="P121">
            <v>329732605</v>
          </cell>
        </row>
        <row r="122">
          <cell r="J122">
            <v>0</v>
          </cell>
          <cell r="K122">
            <v>0</v>
          </cell>
          <cell r="L122">
            <v>0</v>
          </cell>
          <cell r="M122">
            <v>1114756668</v>
          </cell>
          <cell r="N122">
            <v>0</v>
          </cell>
          <cell r="O122">
            <v>0</v>
          </cell>
          <cell r="P122">
            <v>1114756668</v>
          </cell>
        </row>
        <row r="123"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J124">
            <v>0</v>
          </cell>
          <cell r="K124">
            <v>0</v>
          </cell>
          <cell r="L124">
            <v>2919640.8812000002</v>
          </cell>
          <cell r="M124">
            <v>0</v>
          </cell>
          <cell r="N124">
            <v>0</v>
          </cell>
          <cell r="O124">
            <v>0</v>
          </cell>
          <cell r="P124">
            <v>2919640.8812000002</v>
          </cell>
        </row>
        <row r="125"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</row>
        <row r="126"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8"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</row>
        <row r="139"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</row>
        <row r="140"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J150">
            <v>0</v>
          </cell>
          <cell r="K150">
            <v>0</v>
          </cell>
          <cell r="L150">
            <v>0</v>
          </cell>
          <cell r="M150">
            <v>15832800</v>
          </cell>
          <cell r="N150">
            <v>0</v>
          </cell>
          <cell r="O150">
            <v>0</v>
          </cell>
          <cell r="P150">
            <v>15832800</v>
          </cell>
        </row>
        <row r="151">
          <cell r="J151">
            <v>0</v>
          </cell>
          <cell r="K151">
            <v>0</v>
          </cell>
          <cell r="L151">
            <v>0</v>
          </cell>
          <cell r="M151">
            <v>175100475</v>
          </cell>
          <cell r="N151">
            <v>0</v>
          </cell>
          <cell r="O151">
            <v>0</v>
          </cell>
          <cell r="P151">
            <v>175100475</v>
          </cell>
        </row>
        <row r="152"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J153">
            <v>0</v>
          </cell>
          <cell r="K153">
            <v>285650359.02450001</v>
          </cell>
          <cell r="L153">
            <v>59829612.505599998</v>
          </cell>
          <cell r="M153">
            <v>0</v>
          </cell>
          <cell r="N153">
            <v>0</v>
          </cell>
          <cell r="O153">
            <v>0</v>
          </cell>
          <cell r="P153">
            <v>285650359.02450001</v>
          </cell>
        </row>
        <row r="154"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105621370</v>
          </cell>
          <cell r="P165">
            <v>105621370</v>
          </cell>
        </row>
        <row r="166"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J169">
            <v>9944000</v>
          </cell>
          <cell r="K169">
            <v>63000000</v>
          </cell>
          <cell r="L169">
            <v>4384066.4336000001</v>
          </cell>
          <cell r="M169">
            <v>0</v>
          </cell>
          <cell r="N169">
            <v>0</v>
          </cell>
          <cell r="O169">
            <v>0</v>
          </cell>
          <cell r="P169">
            <v>9944000</v>
          </cell>
        </row>
        <row r="170"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</row>
        <row r="172"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</row>
        <row r="173">
          <cell r="J173">
            <v>0</v>
          </cell>
          <cell r="K173">
            <v>1284044000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1284044000</v>
          </cell>
        </row>
        <row r="174"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</row>
        <row r="175">
          <cell r="J175">
            <v>0</v>
          </cell>
          <cell r="K175">
            <v>2914671477.6789999</v>
          </cell>
          <cell r="L175">
            <v>2145530797.8436</v>
          </cell>
          <cell r="M175">
            <v>0</v>
          </cell>
          <cell r="N175">
            <v>0</v>
          </cell>
          <cell r="O175">
            <v>0</v>
          </cell>
          <cell r="P175">
            <v>2914671477.6789999</v>
          </cell>
        </row>
        <row r="176"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</row>
        <row r="177"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</row>
        <row r="178"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</row>
        <row r="179"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J185">
            <v>0</v>
          </cell>
          <cell r="K185">
            <v>0</v>
          </cell>
          <cell r="L185">
            <v>0</v>
          </cell>
          <cell r="M185">
            <v>3246341.7600000002</v>
          </cell>
          <cell r="N185">
            <v>0</v>
          </cell>
          <cell r="O185">
            <v>0</v>
          </cell>
          <cell r="P185">
            <v>3246341.7600000002</v>
          </cell>
        </row>
        <row r="186"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</row>
        <row r="195">
          <cell r="J195">
            <v>0</v>
          </cell>
          <cell r="K195">
            <v>36305000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36305000</v>
          </cell>
        </row>
        <row r="196"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J197">
            <v>9090000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9090000</v>
          </cell>
        </row>
        <row r="198">
          <cell r="J198">
            <v>1161500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1161500</v>
          </cell>
        </row>
        <row r="199"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J202">
            <v>0</v>
          </cell>
          <cell r="K202">
            <v>12546000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12546000</v>
          </cell>
        </row>
        <row r="203"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J206">
            <v>43019736.852972999</v>
          </cell>
          <cell r="K206">
            <v>40000000</v>
          </cell>
          <cell r="L206">
            <v>35127792.810400002</v>
          </cell>
          <cell r="M206">
            <v>0</v>
          </cell>
          <cell r="N206">
            <v>0</v>
          </cell>
          <cell r="O206">
            <v>0</v>
          </cell>
          <cell r="P206">
            <v>43019736.852972999</v>
          </cell>
        </row>
        <row r="207"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J213">
            <v>0</v>
          </cell>
          <cell r="K213">
            <v>25000000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25000000</v>
          </cell>
        </row>
        <row r="214">
          <cell r="J214">
            <v>37778500</v>
          </cell>
          <cell r="K214">
            <v>100000000</v>
          </cell>
          <cell r="L214">
            <v>62555838.691200003</v>
          </cell>
          <cell r="M214">
            <v>0</v>
          </cell>
          <cell r="N214">
            <v>0</v>
          </cell>
          <cell r="O214">
            <v>0</v>
          </cell>
          <cell r="P214">
            <v>62555838.691200003</v>
          </cell>
        </row>
        <row r="215"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J218">
            <v>44782638.009543002</v>
          </cell>
          <cell r="K218">
            <v>80000000</v>
          </cell>
          <cell r="L218">
            <v>202026254.66600001</v>
          </cell>
          <cell r="M218">
            <v>246265618</v>
          </cell>
          <cell r="N218">
            <v>0</v>
          </cell>
          <cell r="O218">
            <v>0</v>
          </cell>
          <cell r="P218">
            <v>448291872.66600001</v>
          </cell>
        </row>
        <row r="219">
          <cell r="J219">
            <v>0</v>
          </cell>
          <cell r="K219">
            <v>0</v>
          </cell>
          <cell r="L219">
            <v>94542945.254000008</v>
          </cell>
          <cell r="M219">
            <v>0</v>
          </cell>
          <cell r="N219">
            <v>0</v>
          </cell>
          <cell r="O219">
            <v>0</v>
          </cell>
          <cell r="P219">
            <v>94542945.254000008</v>
          </cell>
        </row>
        <row r="220">
          <cell r="J220">
            <v>23865973.266879</v>
          </cell>
          <cell r="K220">
            <v>100000000</v>
          </cell>
          <cell r="L220">
            <v>78001383.668400005</v>
          </cell>
          <cell r="M220">
            <v>0</v>
          </cell>
          <cell r="N220">
            <v>0</v>
          </cell>
          <cell r="O220">
            <v>0</v>
          </cell>
          <cell r="P220">
            <v>78001383.668400005</v>
          </cell>
        </row>
        <row r="221"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</row>
        <row r="222"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</row>
        <row r="223"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</row>
        <row r="224"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</row>
        <row r="225"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</row>
        <row r="226"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</row>
        <row r="227"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</row>
        <row r="228">
          <cell r="J228">
            <v>121902399.88875</v>
          </cell>
          <cell r="K228">
            <v>0</v>
          </cell>
          <cell r="L228">
            <v>131549623.6788</v>
          </cell>
          <cell r="M228">
            <v>0</v>
          </cell>
          <cell r="N228">
            <v>0</v>
          </cell>
          <cell r="O228">
            <v>0</v>
          </cell>
          <cell r="P228">
            <v>131549623.6788</v>
          </cell>
        </row>
        <row r="229"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</row>
        <row r="232">
          <cell r="J232">
            <v>39420744.939999998</v>
          </cell>
          <cell r="K232">
            <v>116831242.817</v>
          </cell>
          <cell r="L232">
            <v>6364264.5076000001</v>
          </cell>
          <cell r="M232">
            <v>0</v>
          </cell>
          <cell r="N232">
            <v>0</v>
          </cell>
          <cell r="O232">
            <v>0</v>
          </cell>
          <cell r="P232">
            <v>39420744.939999998</v>
          </cell>
        </row>
        <row r="233"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J238">
            <v>218496936.90000001</v>
          </cell>
          <cell r="K238">
            <v>380000000</v>
          </cell>
          <cell r="L238">
            <v>387483317.07560003</v>
          </cell>
          <cell r="M238">
            <v>7316140</v>
          </cell>
          <cell r="N238">
            <v>0</v>
          </cell>
          <cell r="O238">
            <v>0</v>
          </cell>
          <cell r="P238">
            <v>394799457.07560003</v>
          </cell>
        </row>
        <row r="239"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0"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</row>
        <row r="241"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</row>
        <row r="242">
          <cell r="J242">
            <v>0</v>
          </cell>
          <cell r="K242">
            <v>0</v>
          </cell>
          <cell r="L242">
            <v>191305554.39560002</v>
          </cell>
          <cell r="M242">
            <v>145902870</v>
          </cell>
          <cell r="N242">
            <v>0</v>
          </cell>
          <cell r="O242">
            <v>0</v>
          </cell>
          <cell r="P242">
            <v>337208424.39560002</v>
          </cell>
        </row>
        <row r="243"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</row>
        <row r="245"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</row>
        <row r="246">
          <cell r="J246">
            <v>4374823.9130419996</v>
          </cell>
          <cell r="K246">
            <v>30000000</v>
          </cell>
          <cell r="L246">
            <v>4862998.0608000001</v>
          </cell>
          <cell r="M246">
            <v>0</v>
          </cell>
          <cell r="N246">
            <v>0</v>
          </cell>
          <cell r="O246">
            <v>0</v>
          </cell>
          <cell r="P246">
            <v>4862998.0608000001</v>
          </cell>
        </row>
        <row r="247"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</row>
        <row r="248"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</row>
        <row r="249"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</row>
        <row r="250"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</row>
        <row r="251"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</row>
        <row r="252"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</row>
        <row r="253">
          <cell r="J253">
            <v>0</v>
          </cell>
          <cell r="K253">
            <v>288143000</v>
          </cell>
          <cell r="L253">
            <v>1795054159.1928</v>
          </cell>
          <cell r="M253">
            <v>0</v>
          </cell>
          <cell r="N253">
            <v>0</v>
          </cell>
          <cell r="O253">
            <v>0</v>
          </cell>
          <cell r="P253">
            <v>1795054159.1928</v>
          </cell>
        </row>
        <row r="254"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</row>
        <row r="256"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</row>
        <row r="258">
          <cell r="J258">
            <v>0</v>
          </cell>
          <cell r="K258">
            <v>0</v>
          </cell>
          <cell r="L258">
            <v>29030624.7872</v>
          </cell>
          <cell r="M258">
            <v>0</v>
          </cell>
          <cell r="N258">
            <v>0</v>
          </cell>
          <cell r="O258">
            <v>0</v>
          </cell>
          <cell r="P258">
            <v>29030624.7872</v>
          </cell>
        </row>
        <row r="259"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</row>
        <row r="260"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J261">
            <v>0</v>
          </cell>
          <cell r="K261">
            <v>16359475.57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16359475.57</v>
          </cell>
        </row>
        <row r="262">
          <cell r="J262">
            <v>0</v>
          </cell>
          <cell r="K262">
            <v>11389000</v>
          </cell>
          <cell r="L262">
            <v>421883502.2216</v>
          </cell>
          <cell r="M262">
            <v>0</v>
          </cell>
          <cell r="N262">
            <v>0</v>
          </cell>
          <cell r="O262">
            <v>0</v>
          </cell>
          <cell r="P262">
            <v>421883502.2216</v>
          </cell>
        </row>
        <row r="263"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</row>
        <row r="264"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</row>
        <row r="265"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</row>
        <row r="266"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</row>
        <row r="267"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</row>
        <row r="268">
          <cell r="J268">
            <v>183449940</v>
          </cell>
          <cell r="K268">
            <v>200000000</v>
          </cell>
          <cell r="L268">
            <v>469196420.85480005</v>
          </cell>
          <cell r="M268">
            <v>0</v>
          </cell>
          <cell r="N268">
            <v>0</v>
          </cell>
          <cell r="O268">
            <v>0</v>
          </cell>
          <cell r="P268">
            <v>469196420.85480005</v>
          </cell>
        </row>
        <row r="269"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</row>
        <row r="270"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</row>
        <row r="271"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</row>
        <row r="272"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</row>
        <row r="273"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</row>
        <row r="274"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</row>
        <row r="275"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</row>
        <row r="276"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</row>
        <row r="278"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1100000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1100000</v>
          </cell>
        </row>
        <row r="280"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</row>
        <row r="281"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</row>
        <row r="283"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</row>
        <row r="284"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6">
          <cell r="J286">
            <v>0</v>
          </cell>
          <cell r="K286">
            <v>0</v>
          </cell>
          <cell r="L286">
            <v>388321447.42320001</v>
          </cell>
          <cell r="M286">
            <v>0</v>
          </cell>
          <cell r="N286">
            <v>0</v>
          </cell>
          <cell r="O286">
            <v>0</v>
          </cell>
          <cell r="P286">
            <v>388321447.42320001</v>
          </cell>
        </row>
        <row r="287"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</row>
        <row r="288"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</row>
        <row r="289"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</row>
        <row r="290"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</row>
        <row r="291">
          <cell r="J291">
            <v>0</v>
          </cell>
          <cell r="K291">
            <v>100000000</v>
          </cell>
          <cell r="L291">
            <v>60059868.095599994</v>
          </cell>
          <cell r="M291">
            <v>0</v>
          </cell>
          <cell r="N291">
            <v>0</v>
          </cell>
          <cell r="O291">
            <v>0</v>
          </cell>
          <cell r="P291">
            <v>100000000</v>
          </cell>
        </row>
        <row r="292"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</row>
        <row r="293"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09"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</row>
        <row r="313"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</row>
        <row r="314"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</row>
        <row r="315"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</row>
        <row r="316"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</row>
        <row r="317"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</row>
        <row r="318"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</row>
        <row r="322"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J326">
            <v>0</v>
          </cell>
          <cell r="K326">
            <v>0</v>
          </cell>
          <cell r="L326">
            <v>0</v>
          </cell>
          <cell r="M326">
            <v>4803903.0320111997</v>
          </cell>
          <cell r="N326">
            <v>0</v>
          </cell>
          <cell r="O326">
            <v>0</v>
          </cell>
          <cell r="P326">
            <v>4803903.0320111997</v>
          </cell>
        </row>
        <row r="327"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J330">
            <v>0</v>
          </cell>
          <cell r="K330">
            <v>0</v>
          </cell>
          <cell r="L330">
            <v>0</v>
          </cell>
          <cell r="M330">
            <v>46350802</v>
          </cell>
          <cell r="N330">
            <v>0</v>
          </cell>
          <cell r="O330">
            <v>0</v>
          </cell>
          <cell r="P330">
            <v>46350802</v>
          </cell>
        </row>
        <row r="331"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2"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J333">
            <v>227950381</v>
          </cell>
          <cell r="K333">
            <v>342351000</v>
          </cell>
          <cell r="L333">
            <v>203794617.59720001</v>
          </cell>
          <cell r="M333">
            <v>0</v>
          </cell>
          <cell r="N333">
            <v>0</v>
          </cell>
          <cell r="O333">
            <v>0</v>
          </cell>
          <cell r="P333">
            <v>227950381</v>
          </cell>
        </row>
        <row r="334"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J336">
            <v>0</v>
          </cell>
          <cell r="K336">
            <v>240000000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240000000</v>
          </cell>
        </row>
        <row r="337">
          <cell r="J337">
            <v>530971463.14279771</v>
          </cell>
          <cell r="K337">
            <v>2636851700</v>
          </cell>
          <cell r="L337">
            <v>725931403.70480001</v>
          </cell>
          <cell r="M337">
            <v>0</v>
          </cell>
          <cell r="N337">
            <v>0</v>
          </cell>
          <cell r="O337">
            <v>0</v>
          </cell>
          <cell r="P337">
            <v>725931403.70480001</v>
          </cell>
        </row>
        <row r="338"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</row>
        <row r="339"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</row>
        <row r="340"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</row>
        <row r="341"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</row>
        <row r="342"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</row>
        <row r="344"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J346">
            <v>29087000</v>
          </cell>
          <cell r="K346">
            <v>0</v>
          </cell>
          <cell r="L346">
            <v>1160488.1736000001</v>
          </cell>
          <cell r="M346">
            <v>0</v>
          </cell>
          <cell r="N346">
            <v>0</v>
          </cell>
          <cell r="O346">
            <v>0</v>
          </cell>
          <cell r="P346">
            <v>29087000</v>
          </cell>
        </row>
        <row r="347"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</row>
        <row r="350"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</row>
        <row r="353"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5"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</row>
        <row r="356"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</row>
        <row r="357">
          <cell r="J357">
            <v>0</v>
          </cell>
          <cell r="K357">
            <v>0</v>
          </cell>
          <cell r="L357">
            <v>268643801.9648</v>
          </cell>
          <cell r="M357">
            <v>0</v>
          </cell>
          <cell r="N357">
            <v>0</v>
          </cell>
          <cell r="O357">
            <v>0</v>
          </cell>
          <cell r="P357">
            <v>268643801.9648</v>
          </cell>
        </row>
        <row r="358"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</row>
        <row r="359"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</row>
        <row r="360"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</row>
        <row r="361"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</row>
        <row r="362"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</row>
        <row r="363"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</row>
        <row r="364"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</row>
        <row r="365"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</row>
        <row r="366"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</row>
        <row r="367">
          <cell r="J367">
            <v>10384500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10384500</v>
          </cell>
        </row>
        <row r="368"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</row>
        <row r="370"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</row>
        <row r="374">
          <cell r="J374">
            <v>0</v>
          </cell>
          <cell r="K374">
            <v>30000000</v>
          </cell>
          <cell r="L374">
            <v>4872208.2844000002</v>
          </cell>
          <cell r="M374">
            <v>0</v>
          </cell>
          <cell r="N374">
            <v>0</v>
          </cell>
          <cell r="O374">
            <v>0</v>
          </cell>
          <cell r="P374">
            <v>30000000</v>
          </cell>
        </row>
        <row r="375"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</row>
        <row r="376"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</row>
        <row r="378"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</row>
        <row r="379"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</row>
        <row r="380"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</row>
        <row r="381"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</row>
        <row r="382">
          <cell r="J382">
            <v>0</v>
          </cell>
          <cell r="K382">
            <v>5000000</v>
          </cell>
          <cell r="L382">
            <v>2956481.7756000003</v>
          </cell>
          <cell r="M382">
            <v>0</v>
          </cell>
          <cell r="N382">
            <v>0</v>
          </cell>
          <cell r="O382">
            <v>0</v>
          </cell>
          <cell r="P382">
            <v>5000000</v>
          </cell>
        </row>
        <row r="383"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</row>
        <row r="384"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</row>
        <row r="385"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</row>
        <row r="386"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</row>
        <row r="387">
          <cell r="J387">
            <v>0</v>
          </cell>
          <cell r="K387">
            <v>0</v>
          </cell>
          <cell r="L387">
            <v>164273548.12960002</v>
          </cell>
          <cell r="M387">
            <v>0</v>
          </cell>
          <cell r="N387">
            <v>0</v>
          </cell>
          <cell r="O387">
            <v>0</v>
          </cell>
          <cell r="P387">
            <v>164273548.12960002</v>
          </cell>
        </row>
        <row r="388"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</row>
        <row r="389"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</row>
        <row r="390"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</row>
        <row r="391"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</row>
        <row r="392"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</row>
        <row r="393"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</row>
        <row r="394"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</row>
        <row r="395"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</row>
        <row r="396"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</row>
        <row r="397"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</row>
        <row r="398"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</row>
        <row r="399"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</row>
        <row r="400">
          <cell r="J400">
            <v>58249641</v>
          </cell>
          <cell r="K400">
            <v>74890362.311199993</v>
          </cell>
          <cell r="L400">
            <v>65429428.454400003</v>
          </cell>
          <cell r="M400">
            <v>0</v>
          </cell>
          <cell r="N400">
            <v>68289100</v>
          </cell>
          <cell r="O400">
            <v>0</v>
          </cell>
          <cell r="P400">
            <v>133718528.4544</v>
          </cell>
        </row>
        <row r="401"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</row>
        <row r="402"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</row>
        <row r="403"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</row>
        <row r="404">
          <cell r="J404">
            <v>35533662</v>
          </cell>
          <cell r="K404">
            <v>165137678.09999999</v>
          </cell>
          <cell r="L404">
            <v>64803133.249600001</v>
          </cell>
          <cell r="M404">
            <v>0</v>
          </cell>
          <cell r="N404">
            <v>0</v>
          </cell>
          <cell r="O404">
            <v>0</v>
          </cell>
          <cell r="P404">
            <v>64803133.249600001</v>
          </cell>
        </row>
        <row r="405"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</row>
        <row r="406"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</row>
        <row r="407"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</row>
        <row r="408"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</row>
        <row r="409"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</row>
        <row r="410"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</row>
        <row r="411"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</row>
        <row r="412"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</row>
        <row r="413"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</row>
        <row r="414"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</row>
        <row r="415"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</row>
        <row r="416">
          <cell r="J416">
            <v>73029800</v>
          </cell>
          <cell r="K416">
            <v>90000000</v>
          </cell>
          <cell r="L416">
            <v>44024868.807999998</v>
          </cell>
          <cell r="M416">
            <v>0</v>
          </cell>
          <cell r="N416">
            <v>0</v>
          </cell>
          <cell r="O416">
            <v>0</v>
          </cell>
          <cell r="P416">
            <v>73029800</v>
          </cell>
        </row>
        <row r="417">
          <cell r="J417">
            <v>0</v>
          </cell>
          <cell r="K417">
            <v>304200000</v>
          </cell>
          <cell r="L417">
            <v>177112599.82800001</v>
          </cell>
          <cell r="M417">
            <v>0</v>
          </cell>
          <cell r="N417">
            <v>54529200</v>
          </cell>
          <cell r="O417">
            <v>0</v>
          </cell>
          <cell r="P417">
            <v>358729200</v>
          </cell>
        </row>
        <row r="418"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</row>
        <row r="419"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</row>
        <row r="420"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</row>
        <row r="421"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</row>
        <row r="422"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</row>
        <row r="423"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</row>
        <row r="424"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</row>
        <row r="425"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</row>
        <row r="426">
          <cell r="J426">
            <v>0</v>
          </cell>
          <cell r="K426">
            <v>0</v>
          </cell>
          <cell r="L426">
            <v>5074833.2036000006</v>
          </cell>
          <cell r="M426">
            <v>0</v>
          </cell>
          <cell r="N426">
            <v>0</v>
          </cell>
          <cell r="O426">
            <v>0</v>
          </cell>
          <cell r="P426">
            <v>5074833.2036000006</v>
          </cell>
        </row>
        <row r="427"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</row>
        <row r="428"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</row>
        <row r="429"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</row>
        <row r="430"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</row>
        <row r="431"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</row>
        <row r="432"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</row>
        <row r="433"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</row>
        <row r="434">
          <cell r="J434">
            <v>1703256.8214201599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1703256.8214201599</v>
          </cell>
        </row>
        <row r="435"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</row>
        <row r="436"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</row>
        <row r="437"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</row>
        <row r="438"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</row>
        <row r="439"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</row>
        <row r="440"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</row>
        <row r="441"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</row>
        <row r="442"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</row>
        <row r="443"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</row>
        <row r="444"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</row>
        <row r="445"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</row>
        <row r="446"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</row>
        <row r="447"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</row>
        <row r="448"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</row>
        <row r="449"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</row>
        <row r="450"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</row>
        <row r="451"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</row>
        <row r="452"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</row>
        <row r="453"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</row>
        <row r="454"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</row>
        <row r="455"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</row>
        <row r="456"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</row>
        <row r="457">
          <cell r="J457">
            <v>0</v>
          </cell>
          <cell r="K457">
            <v>0</v>
          </cell>
          <cell r="L457">
            <v>26239927.036400001</v>
          </cell>
          <cell r="M457">
            <v>0</v>
          </cell>
          <cell r="N457">
            <v>0</v>
          </cell>
          <cell r="O457">
            <v>0</v>
          </cell>
          <cell r="P457">
            <v>26239927.036400001</v>
          </cell>
        </row>
        <row r="458"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</row>
        <row r="459"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</row>
        <row r="460"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</row>
        <row r="461"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</row>
        <row r="462"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</row>
        <row r="463"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</row>
        <row r="464"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</row>
        <row r="465"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</row>
        <row r="466"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</row>
        <row r="467"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</row>
        <row r="468"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</row>
        <row r="469"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</row>
        <row r="470"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</row>
        <row r="471"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</row>
        <row r="472">
          <cell r="J472">
            <v>0</v>
          </cell>
          <cell r="K472">
            <v>30000000</v>
          </cell>
          <cell r="L472">
            <v>3122265.8004000001</v>
          </cell>
          <cell r="M472">
            <v>0</v>
          </cell>
          <cell r="N472">
            <v>0</v>
          </cell>
          <cell r="O472">
            <v>0</v>
          </cell>
          <cell r="P472">
            <v>30000000</v>
          </cell>
        </row>
        <row r="473"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</row>
        <row r="474">
          <cell r="J474">
            <v>102549003</v>
          </cell>
          <cell r="K474">
            <v>512500000</v>
          </cell>
          <cell r="L474">
            <v>173124573.00920001</v>
          </cell>
          <cell r="M474">
            <v>0</v>
          </cell>
          <cell r="N474">
            <v>0</v>
          </cell>
          <cell r="O474">
            <v>0</v>
          </cell>
          <cell r="P474">
            <v>173124573.00920001</v>
          </cell>
        </row>
        <row r="475"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</row>
        <row r="476"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</row>
        <row r="477">
          <cell r="J477">
            <v>0</v>
          </cell>
          <cell r="K477">
            <v>80000000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80000000</v>
          </cell>
        </row>
        <row r="478">
          <cell r="J478">
            <v>0</v>
          </cell>
          <cell r="K478">
            <v>0</v>
          </cell>
          <cell r="L478">
            <v>13621920.704400001</v>
          </cell>
          <cell r="M478">
            <v>0</v>
          </cell>
          <cell r="N478">
            <v>0</v>
          </cell>
          <cell r="O478">
            <v>0</v>
          </cell>
          <cell r="P478">
            <v>13621920.704400001</v>
          </cell>
        </row>
        <row r="479"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</row>
        <row r="480"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</row>
        <row r="481"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</row>
        <row r="482"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</row>
        <row r="483"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</row>
        <row r="484"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</row>
        <row r="485"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</row>
        <row r="486"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</row>
        <row r="487"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</row>
        <row r="488"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</row>
        <row r="489"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</row>
        <row r="490"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</row>
        <row r="491"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</row>
        <row r="492">
          <cell r="J492">
            <v>13343483</v>
          </cell>
          <cell r="K492">
            <v>409000000</v>
          </cell>
          <cell r="L492">
            <v>138788859.42840001</v>
          </cell>
          <cell r="M492">
            <v>0</v>
          </cell>
          <cell r="N492">
            <v>0</v>
          </cell>
          <cell r="O492">
            <v>0</v>
          </cell>
          <cell r="P492">
            <v>138788859.42840001</v>
          </cell>
        </row>
        <row r="493"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</row>
        <row r="494"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</row>
        <row r="495"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</row>
        <row r="496"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</row>
        <row r="497"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</row>
        <row r="498"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</row>
        <row r="499"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</row>
        <row r="500"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</row>
        <row r="501"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</row>
        <row r="502"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</row>
        <row r="503"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</row>
        <row r="504"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</row>
        <row r="505"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</row>
        <row r="506">
          <cell r="J506">
            <v>36505000</v>
          </cell>
          <cell r="K506">
            <v>0</v>
          </cell>
          <cell r="L506">
            <v>224149211.75320002</v>
          </cell>
          <cell r="M506">
            <v>79100953</v>
          </cell>
          <cell r="N506">
            <v>0</v>
          </cell>
          <cell r="O506">
            <v>0</v>
          </cell>
          <cell r="P506">
            <v>303250164.75320005</v>
          </cell>
        </row>
        <row r="507">
          <cell r="J507">
            <v>0</v>
          </cell>
          <cell r="K507">
            <v>0</v>
          </cell>
          <cell r="L507">
            <v>45618237.490800001</v>
          </cell>
          <cell r="M507">
            <v>0</v>
          </cell>
          <cell r="N507">
            <v>0</v>
          </cell>
          <cell r="O507">
            <v>0</v>
          </cell>
          <cell r="P507">
            <v>45618237.490800001</v>
          </cell>
        </row>
        <row r="508"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</row>
        <row r="509"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</row>
        <row r="510"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</row>
        <row r="511"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</row>
        <row r="512"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</row>
        <row r="513"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</row>
        <row r="514">
          <cell r="J514">
            <v>10420000</v>
          </cell>
          <cell r="K514">
            <v>2676000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10420000</v>
          </cell>
        </row>
        <row r="515"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</row>
        <row r="516"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</row>
        <row r="517"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</row>
        <row r="518">
          <cell r="J518">
            <v>0</v>
          </cell>
          <cell r="K518">
            <v>60000000</v>
          </cell>
          <cell r="L518">
            <v>4991941.1912000002</v>
          </cell>
          <cell r="M518">
            <v>0</v>
          </cell>
          <cell r="N518">
            <v>0</v>
          </cell>
          <cell r="O518">
            <v>0</v>
          </cell>
          <cell r="P518">
            <v>60000000</v>
          </cell>
        </row>
        <row r="519"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</row>
        <row r="520">
          <cell r="J520">
            <v>18393129</v>
          </cell>
          <cell r="K520">
            <v>5000000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18393129</v>
          </cell>
        </row>
        <row r="521"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</row>
        <row r="522"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</row>
        <row r="523"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</row>
        <row r="524"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</row>
        <row r="525"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</row>
        <row r="526">
          <cell r="J526">
            <v>500000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500000</v>
          </cell>
        </row>
        <row r="527"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</row>
        <row r="528"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</row>
        <row r="529">
          <cell r="J529">
            <v>0</v>
          </cell>
          <cell r="K529">
            <v>0</v>
          </cell>
          <cell r="L529">
            <v>0</v>
          </cell>
          <cell r="M529">
            <v>132291604</v>
          </cell>
          <cell r="N529">
            <v>0</v>
          </cell>
          <cell r="O529">
            <v>0</v>
          </cell>
          <cell r="P529">
            <v>132291604</v>
          </cell>
        </row>
        <row r="530"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</row>
        <row r="531"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</row>
        <row r="532"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</row>
        <row r="533"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</row>
        <row r="534"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</row>
        <row r="535"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</row>
        <row r="536"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</row>
        <row r="537"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</row>
        <row r="538"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</row>
        <row r="539"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</row>
        <row r="540"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</row>
        <row r="541"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</row>
        <row r="542"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</row>
        <row r="543"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</row>
        <row r="544"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</row>
        <row r="545"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</row>
        <row r="546"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</row>
        <row r="547"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</row>
        <row r="548"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</row>
        <row r="549">
          <cell r="J549">
            <v>0</v>
          </cell>
          <cell r="K549">
            <v>0</v>
          </cell>
          <cell r="L549">
            <v>0</v>
          </cell>
          <cell r="M549">
            <v>15660477</v>
          </cell>
          <cell r="N549">
            <v>0</v>
          </cell>
          <cell r="O549">
            <v>0</v>
          </cell>
          <cell r="P549">
            <v>15660477</v>
          </cell>
        </row>
        <row r="550">
          <cell r="J550">
            <v>0</v>
          </cell>
          <cell r="K550">
            <v>0</v>
          </cell>
          <cell r="L550">
            <v>68524063.584000006</v>
          </cell>
          <cell r="M550">
            <v>0</v>
          </cell>
          <cell r="N550">
            <v>0</v>
          </cell>
          <cell r="O550">
            <v>0</v>
          </cell>
          <cell r="P550">
            <v>68524063.584000006</v>
          </cell>
        </row>
        <row r="551">
          <cell r="J551">
            <v>0</v>
          </cell>
          <cell r="K551">
            <v>0</v>
          </cell>
          <cell r="L551">
            <v>0</v>
          </cell>
          <cell r="M551">
            <v>67032997</v>
          </cell>
          <cell r="N551">
            <v>0</v>
          </cell>
          <cell r="O551">
            <v>0</v>
          </cell>
          <cell r="P551">
            <v>67032997</v>
          </cell>
        </row>
        <row r="552"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</row>
        <row r="553"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</row>
        <row r="554"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</row>
        <row r="555"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</row>
        <row r="556"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</row>
        <row r="557"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</row>
        <row r="558"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</row>
        <row r="559"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</row>
        <row r="560"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</row>
        <row r="561"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</row>
        <row r="562"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</row>
        <row r="563"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</row>
        <row r="564"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</row>
        <row r="565"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</row>
        <row r="566"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</row>
        <row r="567"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</row>
        <row r="568"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</row>
        <row r="569"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</row>
        <row r="570">
          <cell r="J570">
            <v>88.801788999999999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88.801788999999999</v>
          </cell>
        </row>
        <row r="571">
          <cell r="J571">
            <v>17974689.25</v>
          </cell>
          <cell r="K571">
            <v>38188000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17974689.25</v>
          </cell>
        </row>
        <row r="572"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</row>
        <row r="573"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</row>
        <row r="574"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</row>
        <row r="575"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</row>
        <row r="576"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</row>
        <row r="577"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</row>
        <row r="578"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</row>
        <row r="579">
          <cell r="J579">
            <v>23295721</v>
          </cell>
          <cell r="K579">
            <v>355813953.48799998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23295721</v>
          </cell>
        </row>
        <row r="580">
          <cell r="J580">
            <v>25877930.300000001</v>
          </cell>
          <cell r="K580">
            <v>0</v>
          </cell>
          <cell r="L580">
            <v>2017038.9684000001</v>
          </cell>
          <cell r="M580">
            <v>0</v>
          </cell>
          <cell r="N580">
            <v>0</v>
          </cell>
          <cell r="O580">
            <v>0</v>
          </cell>
          <cell r="P580">
            <v>25877930.300000001</v>
          </cell>
        </row>
        <row r="581"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</row>
        <row r="582"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</row>
        <row r="583"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</row>
        <row r="584"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</row>
        <row r="585"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</row>
        <row r="586"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</row>
        <row r="587"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</row>
        <row r="588"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</row>
        <row r="589"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</row>
        <row r="590"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</row>
        <row r="591"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</row>
        <row r="592"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</row>
        <row r="593"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</row>
        <row r="594"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</row>
        <row r="595"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</row>
        <row r="596"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</row>
        <row r="597"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</row>
        <row r="598"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</row>
        <row r="599">
          <cell r="J599">
            <v>559137.69999999995</v>
          </cell>
          <cell r="K599">
            <v>0</v>
          </cell>
          <cell r="L599">
            <v>4973520.7439999999</v>
          </cell>
          <cell r="M599">
            <v>0</v>
          </cell>
          <cell r="N599">
            <v>0</v>
          </cell>
          <cell r="O599">
            <v>0</v>
          </cell>
          <cell r="P599">
            <v>4973520.7439999999</v>
          </cell>
        </row>
        <row r="600"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</row>
        <row r="601"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</row>
        <row r="602"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</row>
        <row r="603">
          <cell r="J603">
            <v>3525015.3997670002</v>
          </cell>
          <cell r="K603">
            <v>90000000</v>
          </cell>
          <cell r="L603">
            <v>22390053.571600001</v>
          </cell>
          <cell r="M603">
            <v>0</v>
          </cell>
          <cell r="N603">
            <v>0</v>
          </cell>
          <cell r="O603">
            <v>0</v>
          </cell>
          <cell r="P603">
            <v>22390053.571600001</v>
          </cell>
        </row>
        <row r="604">
          <cell r="J604">
            <v>1963827.5</v>
          </cell>
          <cell r="K604">
            <v>35000000</v>
          </cell>
          <cell r="L604">
            <v>25153120.6516</v>
          </cell>
          <cell r="M604">
            <v>0</v>
          </cell>
          <cell r="N604">
            <v>0</v>
          </cell>
          <cell r="O604">
            <v>0</v>
          </cell>
          <cell r="P604">
            <v>25153120.6516</v>
          </cell>
        </row>
        <row r="605"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</row>
        <row r="606"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</row>
        <row r="607">
          <cell r="J607">
            <v>29863515.700463999</v>
          </cell>
          <cell r="K607">
            <v>360000000</v>
          </cell>
          <cell r="L607">
            <v>59930924.965199992</v>
          </cell>
          <cell r="M607">
            <v>0</v>
          </cell>
          <cell r="N607">
            <v>0</v>
          </cell>
          <cell r="O607">
            <v>0</v>
          </cell>
          <cell r="P607">
            <v>59930924.965199992</v>
          </cell>
        </row>
        <row r="608">
          <cell r="J608">
            <v>7440312.5</v>
          </cell>
          <cell r="K608">
            <v>155000000</v>
          </cell>
          <cell r="L608">
            <v>38213217.716400005</v>
          </cell>
        </row>
        <row r="609"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</row>
        <row r="610">
          <cell r="J610">
            <v>187700</v>
          </cell>
          <cell r="K610">
            <v>30000000</v>
          </cell>
          <cell r="L610">
            <v>3030163.5644</v>
          </cell>
          <cell r="M610">
            <v>0</v>
          </cell>
          <cell r="N610">
            <v>0</v>
          </cell>
          <cell r="O610">
            <v>0</v>
          </cell>
          <cell r="P610">
            <v>3030163.5644</v>
          </cell>
        </row>
        <row r="611"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</row>
        <row r="612"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</row>
        <row r="613">
          <cell r="J613">
            <v>40044619.100000001</v>
          </cell>
          <cell r="K613">
            <v>15000000</v>
          </cell>
          <cell r="L613">
            <v>102215061.51280001</v>
          </cell>
          <cell r="M613">
            <v>0</v>
          </cell>
          <cell r="N613">
            <v>0</v>
          </cell>
          <cell r="O613">
            <v>0</v>
          </cell>
          <cell r="P613">
            <v>102215061.51280001</v>
          </cell>
        </row>
        <row r="614">
          <cell r="J614">
            <v>0</v>
          </cell>
          <cell r="K614">
            <v>600000000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600000000</v>
          </cell>
        </row>
        <row r="615"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</row>
        <row r="616">
          <cell r="J616">
            <v>32313528.788723998</v>
          </cell>
          <cell r="K616">
            <v>85000000</v>
          </cell>
          <cell r="L616">
            <v>76444855.88000001</v>
          </cell>
          <cell r="M616">
            <v>0</v>
          </cell>
          <cell r="N616">
            <v>0</v>
          </cell>
          <cell r="O616">
            <v>0</v>
          </cell>
          <cell r="P616">
            <v>76444855.88000001</v>
          </cell>
        </row>
        <row r="617"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</row>
        <row r="618">
          <cell r="J618">
            <v>187884319.36952901</v>
          </cell>
          <cell r="K618">
            <v>1205000000</v>
          </cell>
          <cell r="L618">
            <v>283656466.43279999</v>
          </cell>
          <cell r="M618">
            <v>0</v>
          </cell>
          <cell r="N618">
            <v>0</v>
          </cell>
          <cell r="O618">
            <v>0</v>
          </cell>
          <cell r="P618">
            <v>283656466.43279999</v>
          </cell>
        </row>
        <row r="619"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</row>
        <row r="620"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</row>
        <row r="621"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</row>
        <row r="622"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</row>
        <row r="623"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</row>
        <row r="624"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</row>
        <row r="625"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</row>
        <row r="626">
          <cell r="J626">
            <v>0</v>
          </cell>
          <cell r="K626">
            <v>30000000</v>
          </cell>
          <cell r="L626">
            <v>10195717.5252</v>
          </cell>
          <cell r="M626">
            <v>0</v>
          </cell>
          <cell r="N626">
            <v>0</v>
          </cell>
          <cell r="O626">
            <v>0</v>
          </cell>
          <cell r="P626">
            <v>30000000</v>
          </cell>
        </row>
        <row r="627"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</row>
        <row r="628">
          <cell r="J628">
            <v>27013476.900000002</v>
          </cell>
          <cell r="K628">
            <v>115000000</v>
          </cell>
          <cell r="L628">
            <v>5019571.8620000007</v>
          </cell>
          <cell r="M628">
            <v>0</v>
          </cell>
          <cell r="N628">
            <v>0</v>
          </cell>
          <cell r="O628">
            <v>0</v>
          </cell>
          <cell r="P628">
            <v>27013476.900000002</v>
          </cell>
        </row>
        <row r="629">
          <cell r="J629">
            <v>52079929.199999996</v>
          </cell>
          <cell r="K629">
            <v>415000000</v>
          </cell>
          <cell r="L629">
            <v>110467421.8584</v>
          </cell>
          <cell r="M629">
            <v>0</v>
          </cell>
          <cell r="N629">
            <v>0</v>
          </cell>
          <cell r="O629">
            <v>0</v>
          </cell>
          <cell r="P629">
            <v>110467421.8584</v>
          </cell>
        </row>
        <row r="630"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</row>
        <row r="631"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</row>
        <row r="632"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</row>
        <row r="633"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</row>
        <row r="634"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</row>
        <row r="635"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</row>
        <row r="636">
          <cell r="J636">
            <v>7059793.8669409994</v>
          </cell>
          <cell r="K636">
            <v>115000000</v>
          </cell>
          <cell r="L636">
            <v>32742344.898000002</v>
          </cell>
          <cell r="M636">
            <v>0</v>
          </cell>
          <cell r="N636">
            <v>0</v>
          </cell>
          <cell r="O636">
            <v>0</v>
          </cell>
          <cell r="P636">
            <v>32742344.898000002</v>
          </cell>
        </row>
        <row r="637"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</row>
        <row r="638">
          <cell r="J638">
            <v>5736564</v>
          </cell>
          <cell r="K638">
            <v>30000000</v>
          </cell>
          <cell r="L638">
            <v>5019571.8620000007</v>
          </cell>
          <cell r="M638">
            <v>0</v>
          </cell>
          <cell r="N638">
            <v>0</v>
          </cell>
          <cell r="O638">
            <v>0</v>
          </cell>
        </row>
        <row r="639"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</row>
        <row r="640">
          <cell r="J640">
            <v>6094223</v>
          </cell>
          <cell r="K640">
            <v>0</v>
          </cell>
          <cell r="L640">
            <v>42090721.852000006</v>
          </cell>
          <cell r="M640">
            <v>0</v>
          </cell>
          <cell r="N640">
            <v>0</v>
          </cell>
          <cell r="O640">
            <v>0</v>
          </cell>
          <cell r="P640">
            <v>42090721.852000006</v>
          </cell>
        </row>
        <row r="641">
          <cell r="J641">
            <v>0</v>
          </cell>
          <cell r="K641">
            <v>30000000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30000000</v>
          </cell>
        </row>
        <row r="642">
          <cell r="J642">
            <v>0</v>
          </cell>
          <cell r="K642">
            <v>0</v>
          </cell>
          <cell r="L642">
            <v>5102463.8744000001</v>
          </cell>
          <cell r="M642">
            <v>0</v>
          </cell>
          <cell r="N642">
            <v>0</v>
          </cell>
          <cell r="O642">
            <v>0</v>
          </cell>
          <cell r="P642">
            <v>5102463.8744000001</v>
          </cell>
        </row>
        <row r="643">
          <cell r="J643">
            <v>19821405.599999998</v>
          </cell>
          <cell r="K643">
            <v>180000000</v>
          </cell>
          <cell r="L643">
            <v>54616625.947999999</v>
          </cell>
          <cell r="M643">
            <v>0</v>
          </cell>
          <cell r="N643">
            <v>0</v>
          </cell>
          <cell r="O643">
            <v>0</v>
          </cell>
          <cell r="P643">
            <v>54616625.947999999</v>
          </cell>
        </row>
        <row r="644">
          <cell r="J644">
            <v>8543791.5999999996</v>
          </cell>
          <cell r="K644">
            <v>165000000</v>
          </cell>
          <cell r="L644">
            <v>47193185.726400003</v>
          </cell>
          <cell r="M644">
            <v>0</v>
          </cell>
          <cell r="N644">
            <v>0</v>
          </cell>
          <cell r="O644">
            <v>0</v>
          </cell>
          <cell r="P644">
            <v>47193185.726400003</v>
          </cell>
        </row>
        <row r="645"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</row>
        <row r="646"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</row>
        <row r="647">
          <cell r="J647">
            <v>0</v>
          </cell>
          <cell r="K647">
            <v>0</v>
          </cell>
          <cell r="L647">
            <v>9993092.6060000006</v>
          </cell>
          <cell r="M647">
            <v>0</v>
          </cell>
          <cell r="N647">
            <v>0</v>
          </cell>
          <cell r="O647">
            <v>0</v>
          </cell>
          <cell r="P647">
            <v>9993092.6060000006</v>
          </cell>
        </row>
        <row r="648">
          <cell r="J648">
            <v>81003529.5</v>
          </cell>
          <cell r="K648">
            <v>380000000</v>
          </cell>
          <cell r="L648">
            <v>111084506.83960001</v>
          </cell>
          <cell r="M648">
            <v>0</v>
          </cell>
          <cell r="N648">
            <v>0</v>
          </cell>
          <cell r="O648">
            <v>0</v>
          </cell>
          <cell r="P648">
            <v>111084506.83960001</v>
          </cell>
        </row>
        <row r="649"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</row>
        <row r="650"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</row>
        <row r="651">
          <cell r="J651">
            <v>590663.19999999995</v>
          </cell>
          <cell r="K651">
            <v>5000000</v>
          </cell>
          <cell r="L651">
            <v>5010361.6384000005</v>
          </cell>
          <cell r="M651">
            <v>0</v>
          </cell>
          <cell r="N651">
            <v>0</v>
          </cell>
          <cell r="O651">
            <v>0</v>
          </cell>
          <cell r="P651">
            <v>5010361.6384000005</v>
          </cell>
        </row>
        <row r="652">
          <cell r="J652">
            <v>0</v>
          </cell>
          <cell r="K652">
            <v>0</v>
          </cell>
          <cell r="L652">
            <v>22997928.3292</v>
          </cell>
          <cell r="M652">
            <v>0</v>
          </cell>
          <cell r="N652">
            <v>0</v>
          </cell>
          <cell r="O652">
            <v>0</v>
          </cell>
          <cell r="P652">
            <v>22997928.3292</v>
          </cell>
        </row>
        <row r="653"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</row>
        <row r="654"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</row>
        <row r="655">
          <cell r="J655">
            <v>4248750</v>
          </cell>
          <cell r="K655">
            <v>30000000</v>
          </cell>
          <cell r="L655">
            <v>4890628.7316000005</v>
          </cell>
          <cell r="M655">
            <v>0</v>
          </cell>
          <cell r="N655">
            <v>0</v>
          </cell>
          <cell r="O655">
            <v>0</v>
          </cell>
          <cell r="P655">
            <v>4890628.7316000005</v>
          </cell>
        </row>
        <row r="656"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</row>
        <row r="657"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</row>
        <row r="658"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</row>
        <row r="659"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</row>
        <row r="660"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</row>
        <row r="661"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</row>
        <row r="662"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</row>
        <row r="663"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</row>
        <row r="664"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</row>
        <row r="665"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</row>
        <row r="666"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</row>
        <row r="667"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</row>
        <row r="668"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</row>
        <row r="669">
          <cell r="J669">
            <v>0</v>
          </cell>
          <cell r="K669">
            <v>63500000</v>
          </cell>
          <cell r="L669">
            <v>36656689.928000003</v>
          </cell>
          <cell r="M669">
            <v>0</v>
          </cell>
          <cell r="N669">
            <v>0</v>
          </cell>
          <cell r="O669">
            <v>0</v>
          </cell>
          <cell r="P669">
            <v>63500000</v>
          </cell>
        </row>
        <row r="670"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</row>
        <row r="671"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</row>
        <row r="672"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</row>
        <row r="673"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</row>
        <row r="674"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</row>
        <row r="675"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</row>
        <row r="676"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</row>
        <row r="677"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</row>
        <row r="678">
          <cell r="J678">
            <v>0</v>
          </cell>
          <cell r="K678">
            <v>0</v>
          </cell>
          <cell r="L678">
            <v>1427584.6580000001</v>
          </cell>
          <cell r="M678">
            <v>0</v>
          </cell>
          <cell r="N678">
            <v>0</v>
          </cell>
          <cell r="O678">
            <v>0</v>
          </cell>
          <cell r="P678">
            <v>1427584.6580000001</v>
          </cell>
        </row>
        <row r="679"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</row>
        <row r="680"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</row>
        <row r="681"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</row>
        <row r="682"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</row>
        <row r="683"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</row>
        <row r="684"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</row>
        <row r="685"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</row>
        <row r="686"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</row>
        <row r="687"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</row>
        <row r="688"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</row>
        <row r="689"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</row>
        <row r="690">
          <cell r="J690">
            <v>0</v>
          </cell>
          <cell r="K690">
            <v>0</v>
          </cell>
          <cell r="L690">
            <v>6557679.2032000003</v>
          </cell>
          <cell r="M690">
            <v>0</v>
          </cell>
          <cell r="N690">
            <v>0</v>
          </cell>
          <cell r="O690">
            <v>0</v>
          </cell>
          <cell r="P690">
            <v>6557679.2032000003</v>
          </cell>
        </row>
        <row r="691"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</row>
        <row r="692"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</row>
        <row r="693"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</row>
        <row r="694"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</row>
        <row r="695"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</row>
        <row r="696"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</row>
        <row r="697"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</row>
        <row r="698"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</row>
        <row r="699"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</row>
        <row r="700"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</row>
        <row r="701">
          <cell r="J701">
            <v>0</v>
          </cell>
          <cell r="K701">
            <v>40000000</v>
          </cell>
          <cell r="L701">
            <v>6714253.0044</v>
          </cell>
          <cell r="M701">
            <v>0</v>
          </cell>
          <cell r="N701">
            <v>0</v>
          </cell>
          <cell r="O701">
            <v>0</v>
          </cell>
          <cell r="P701">
            <v>40000000</v>
          </cell>
        </row>
        <row r="702"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</row>
        <row r="703"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</row>
        <row r="704"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</row>
        <row r="705"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</row>
        <row r="706"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</row>
        <row r="707">
          <cell r="J707">
            <v>199938017.53999999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199938017.53999999</v>
          </cell>
        </row>
        <row r="708"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</row>
        <row r="709"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</row>
        <row r="710"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</row>
        <row r="711"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</row>
        <row r="712"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</row>
        <row r="713"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</row>
        <row r="714"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</row>
        <row r="715"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</row>
        <row r="716"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</row>
        <row r="717"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</row>
        <row r="718"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</row>
        <row r="719"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</row>
        <row r="720"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</row>
        <row r="721"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</row>
        <row r="722"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</row>
        <row r="723"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</row>
        <row r="724"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</row>
        <row r="725"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</row>
        <row r="726"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</row>
        <row r="727"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</row>
        <row r="728"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</row>
        <row r="729">
          <cell r="J729">
            <v>0</v>
          </cell>
          <cell r="K729">
            <v>260000000</v>
          </cell>
          <cell r="L729">
            <v>83822244.983600006</v>
          </cell>
          <cell r="M729">
            <v>0</v>
          </cell>
          <cell r="N729">
            <v>0</v>
          </cell>
          <cell r="O729">
            <v>0</v>
          </cell>
          <cell r="P729">
            <v>260000000</v>
          </cell>
        </row>
        <row r="730"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</row>
        <row r="731"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</row>
        <row r="732"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</row>
        <row r="733">
          <cell r="J733">
            <v>205112150</v>
          </cell>
          <cell r="K733">
            <v>547415771.56799996</v>
          </cell>
          <cell r="L733">
            <v>461054583.19240004</v>
          </cell>
          <cell r="M733">
            <v>0</v>
          </cell>
          <cell r="N733">
            <v>0</v>
          </cell>
          <cell r="O733">
            <v>0</v>
          </cell>
          <cell r="P733">
            <v>461054583.19240004</v>
          </cell>
        </row>
        <row r="734"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</row>
        <row r="735"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</row>
        <row r="736"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</row>
        <row r="737">
          <cell r="J737">
            <v>0</v>
          </cell>
          <cell r="K737">
            <v>240000000</v>
          </cell>
          <cell r="L737">
            <v>113516005.87</v>
          </cell>
          <cell r="M737">
            <v>0</v>
          </cell>
          <cell r="N737">
            <v>0</v>
          </cell>
          <cell r="O737">
            <v>0</v>
          </cell>
          <cell r="P737">
            <v>240000000</v>
          </cell>
        </row>
        <row r="738"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</row>
        <row r="739"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</row>
        <row r="740"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</row>
        <row r="741"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</row>
        <row r="742"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</row>
        <row r="743"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</row>
        <row r="744"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</row>
        <row r="745"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</row>
        <row r="746"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</row>
        <row r="747"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</row>
        <row r="748"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</row>
        <row r="749"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</row>
        <row r="750"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</row>
        <row r="751"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</row>
        <row r="752"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</row>
        <row r="753"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</row>
        <row r="754"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</row>
        <row r="755">
          <cell r="J755">
            <v>5262516339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5262516339</v>
          </cell>
        </row>
        <row r="756"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</row>
        <row r="757"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</row>
        <row r="758"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</row>
        <row r="759">
          <cell r="J759">
            <v>0</v>
          </cell>
          <cell r="K759">
            <v>30000000</v>
          </cell>
          <cell r="L759">
            <v>100759846.184</v>
          </cell>
          <cell r="M759">
            <v>0</v>
          </cell>
          <cell r="N759">
            <v>0</v>
          </cell>
          <cell r="O759">
            <v>0</v>
          </cell>
          <cell r="P759">
            <v>100759846.184</v>
          </cell>
        </row>
        <row r="760"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</row>
        <row r="761"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</row>
        <row r="762"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</row>
        <row r="763"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</row>
        <row r="764"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</row>
        <row r="765"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</row>
        <row r="766"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</row>
        <row r="767"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</row>
        <row r="768"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</row>
        <row r="769"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</row>
        <row r="770"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</row>
        <row r="771"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</row>
        <row r="772"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</row>
        <row r="773"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</row>
        <row r="774"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</row>
        <row r="775"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</row>
        <row r="776"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</row>
        <row r="777"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</row>
        <row r="778"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</row>
        <row r="779"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</row>
        <row r="780"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</row>
        <row r="781"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</row>
        <row r="782"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</row>
        <row r="783">
          <cell r="J783">
            <v>0</v>
          </cell>
          <cell r="K783">
            <v>31500000</v>
          </cell>
          <cell r="L783">
            <v>524982.7452</v>
          </cell>
          <cell r="M783">
            <v>0</v>
          </cell>
          <cell r="N783">
            <v>0</v>
          </cell>
          <cell r="O783">
            <v>0</v>
          </cell>
          <cell r="P783">
            <v>31500000</v>
          </cell>
        </row>
        <row r="784">
          <cell r="J784">
            <v>0</v>
          </cell>
          <cell r="K784">
            <v>90500000</v>
          </cell>
          <cell r="L784">
            <v>457831004.93240005</v>
          </cell>
          <cell r="M784">
            <v>0</v>
          </cell>
          <cell r="N784">
            <v>0</v>
          </cell>
          <cell r="O784">
            <v>0</v>
          </cell>
          <cell r="P784">
            <v>457831004.93240005</v>
          </cell>
        </row>
        <row r="785"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</row>
        <row r="786"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</row>
        <row r="787"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</row>
        <row r="788"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</row>
        <row r="789"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</row>
        <row r="790"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</row>
        <row r="791"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</row>
        <row r="792"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</row>
        <row r="793"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</row>
        <row r="794"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</row>
        <row r="795">
          <cell r="J795">
            <v>304810000</v>
          </cell>
          <cell r="K795">
            <v>0</v>
          </cell>
          <cell r="L795">
            <v>205203781.808</v>
          </cell>
          <cell r="M795">
            <v>0</v>
          </cell>
          <cell r="N795">
            <v>0</v>
          </cell>
          <cell r="O795">
            <v>0</v>
          </cell>
          <cell r="P795">
            <v>304810000</v>
          </cell>
        </row>
        <row r="796"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</row>
        <row r="797"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</row>
        <row r="798"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</row>
        <row r="799"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</row>
        <row r="800"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</row>
        <row r="801"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</row>
        <row r="802"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</row>
        <row r="803"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</row>
        <row r="804"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</row>
        <row r="805"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</row>
        <row r="806"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</row>
        <row r="807"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</row>
        <row r="808"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</row>
        <row r="809"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</row>
        <row r="810"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</row>
        <row r="811"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</row>
        <row r="812"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</row>
        <row r="813"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</row>
        <row r="814"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</row>
        <row r="815"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</row>
        <row r="816"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</row>
        <row r="817"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</row>
        <row r="818"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</row>
        <row r="819"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</row>
        <row r="820"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</row>
        <row r="821"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</row>
        <row r="822"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</row>
        <row r="823"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</row>
        <row r="824"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</row>
        <row r="825"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</row>
        <row r="826"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</row>
        <row r="827"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</row>
        <row r="828"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</row>
        <row r="829"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</row>
        <row r="830"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</row>
        <row r="831"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</row>
        <row r="832"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</row>
        <row r="833"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</row>
        <row r="834"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</row>
        <row r="835"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</row>
        <row r="836"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</row>
        <row r="837"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</row>
        <row r="838"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</row>
        <row r="839"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</row>
        <row r="840"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</row>
        <row r="841"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</row>
        <row r="842"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</row>
        <row r="843"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</row>
        <row r="844"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</row>
        <row r="845"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</row>
        <row r="846"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</row>
        <row r="847"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</row>
        <row r="848"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</row>
        <row r="849"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</row>
        <row r="850"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</row>
        <row r="851"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</row>
        <row r="852"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</row>
        <row r="853"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</row>
        <row r="854"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</row>
        <row r="855"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</row>
        <row r="856"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</row>
        <row r="857"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</row>
        <row r="858">
          <cell r="J858">
            <v>0</v>
          </cell>
          <cell r="K858">
            <v>0</v>
          </cell>
          <cell r="L858">
            <v>0</v>
          </cell>
          <cell r="M858">
            <v>251531094</v>
          </cell>
          <cell r="N858">
            <v>0</v>
          </cell>
          <cell r="O858">
            <v>0</v>
          </cell>
          <cell r="P858">
            <v>251531094</v>
          </cell>
        </row>
        <row r="859"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</row>
        <row r="860">
          <cell r="J860">
            <v>0</v>
          </cell>
          <cell r="K860">
            <v>0</v>
          </cell>
          <cell r="L860">
            <v>0</v>
          </cell>
          <cell r="M860">
            <v>175119088</v>
          </cell>
          <cell r="N860">
            <v>0</v>
          </cell>
          <cell r="O860">
            <v>0</v>
          </cell>
          <cell r="P860">
            <v>175119088</v>
          </cell>
        </row>
        <row r="861"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</row>
        <row r="862"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108000</v>
          </cell>
          <cell r="O862">
            <v>0</v>
          </cell>
          <cell r="P862">
            <v>108000</v>
          </cell>
        </row>
        <row r="863"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</row>
        <row r="864"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</row>
        <row r="865"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68400</v>
          </cell>
          <cell r="O865">
            <v>0</v>
          </cell>
          <cell r="P865">
            <v>68400</v>
          </cell>
        </row>
        <row r="866"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16050</v>
          </cell>
          <cell r="O866">
            <v>0</v>
          </cell>
          <cell r="P866">
            <v>16050</v>
          </cell>
        </row>
        <row r="867">
          <cell r="J867">
            <v>0</v>
          </cell>
          <cell r="K867">
            <v>0</v>
          </cell>
          <cell r="L867">
            <v>0</v>
          </cell>
          <cell r="M867">
            <v>228116963</v>
          </cell>
          <cell r="N867">
            <v>4130000</v>
          </cell>
          <cell r="O867">
            <v>0</v>
          </cell>
          <cell r="P867">
            <v>232246963</v>
          </cell>
        </row>
        <row r="868">
          <cell r="J868">
            <v>0</v>
          </cell>
          <cell r="K868">
            <v>0</v>
          </cell>
          <cell r="L868">
            <v>0</v>
          </cell>
          <cell r="M868">
            <v>984767</v>
          </cell>
          <cell r="N868">
            <v>38880000</v>
          </cell>
          <cell r="O868">
            <v>0</v>
          </cell>
          <cell r="P868">
            <v>39864767</v>
          </cell>
        </row>
        <row r="869">
          <cell r="J869">
            <v>0</v>
          </cell>
          <cell r="K869">
            <v>0</v>
          </cell>
          <cell r="L869">
            <v>0</v>
          </cell>
          <cell r="M869">
            <v>976967</v>
          </cell>
          <cell r="N869">
            <v>0</v>
          </cell>
          <cell r="O869">
            <v>0</v>
          </cell>
          <cell r="P869">
            <v>976967</v>
          </cell>
        </row>
        <row r="870"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27640000</v>
          </cell>
          <cell r="O870">
            <v>0</v>
          </cell>
          <cell r="P870">
            <v>27640000</v>
          </cell>
        </row>
        <row r="871"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288110</v>
          </cell>
          <cell r="O871">
            <v>0</v>
          </cell>
          <cell r="P871">
            <v>288110</v>
          </cell>
        </row>
        <row r="872"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127145000</v>
          </cell>
          <cell r="O872">
            <v>0</v>
          </cell>
          <cell r="P872">
            <v>127145000</v>
          </cell>
        </row>
        <row r="873"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2160</v>
          </cell>
          <cell r="O873">
            <v>0</v>
          </cell>
          <cell r="P873">
            <v>2160</v>
          </cell>
        </row>
        <row r="874"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</row>
        <row r="875"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</row>
        <row r="876"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2349100</v>
          </cell>
          <cell r="O876">
            <v>0</v>
          </cell>
          <cell r="P876">
            <v>2349100</v>
          </cell>
        </row>
        <row r="877"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1050</v>
          </cell>
          <cell r="O877">
            <v>0</v>
          </cell>
          <cell r="P877">
            <v>1050</v>
          </cell>
        </row>
        <row r="878"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</row>
        <row r="879"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</row>
        <row r="880"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</row>
        <row r="881"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</row>
        <row r="882"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</row>
        <row r="883"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</row>
        <row r="884"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</row>
        <row r="885"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</row>
        <row r="886"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</row>
        <row r="887"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</row>
        <row r="888"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</row>
        <row r="889"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</row>
        <row r="890"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</row>
        <row r="891">
          <cell r="J891">
            <v>0</v>
          </cell>
          <cell r="K891">
            <v>0</v>
          </cell>
          <cell r="L891">
            <v>0</v>
          </cell>
          <cell r="M891">
            <v>1386268710</v>
          </cell>
          <cell r="N891">
            <v>0</v>
          </cell>
          <cell r="O891">
            <v>0</v>
          </cell>
          <cell r="P891">
            <v>1386268710</v>
          </cell>
        </row>
        <row r="892"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</row>
        <row r="893"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</row>
        <row r="894"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</row>
        <row r="895"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</row>
        <row r="896">
          <cell r="J896">
            <v>0</v>
          </cell>
          <cell r="K896">
            <v>0</v>
          </cell>
          <cell r="L896">
            <v>0</v>
          </cell>
          <cell r="M896">
            <v>72633454</v>
          </cell>
          <cell r="N896">
            <v>0</v>
          </cell>
          <cell r="O896">
            <v>0</v>
          </cell>
          <cell r="P896">
            <v>72633454</v>
          </cell>
        </row>
        <row r="897">
          <cell r="J897">
            <v>0</v>
          </cell>
          <cell r="K897">
            <v>0</v>
          </cell>
          <cell r="L897">
            <v>0</v>
          </cell>
          <cell r="M897">
            <v>351869</v>
          </cell>
          <cell r="N897">
            <v>0</v>
          </cell>
          <cell r="O897">
            <v>0</v>
          </cell>
          <cell r="P897">
            <v>351869</v>
          </cell>
        </row>
        <row r="898"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</row>
        <row r="899">
          <cell r="J899">
            <v>0</v>
          </cell>
          <cell r="K899">
            <v>0</v>
          </cell>
          <cell r="L899">
            <v>0</v>
          </cell>
          <cell r="M899">
            <v>486277954.87880766</v>
          </cell>
          <cell r="N899">
            <v>0</v>
          </cell>
          <cell r="O899">
            <v>111689425.44778201</v>
          </cell>
          <cell r="P899">
            <v>597967380.3265897</v>
          </cell>
        </row>
        <row r="900"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</row>
        <row r="901"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</row>
        <row r="902"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</row>
        <row r="903"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</row>
        <row r="904"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</row>
        <row r="905"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</row>
        <row r="906"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</row>
        <row r="907">
          <cell r="J907">
            <v>0</v>
          </cell>
          <cell r="K907">
            <v>0</v>
          </cell>
          <cell r="L907">
            <v>0</v>
          </cell>
          <cell r="M907">
            <v>340523656.12192625</v>
          </cell>
          <cell r="N907">
            <v>0</v>
          </cell>
          <cell r="O907">
            <v>0</v>
          </cell>
          <cell r="P907">
            <v>340523656.12192625</v>
          </cell>
        </row>
        <row r="908"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</row>
        <row r="909"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</row>
        <row r="910"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</row>
        <row r="911"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</row>
        <row r="912"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</row>
        <row r="913"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</row>
        <row r="914"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</row>
        <row r="915"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</row>
        <row r="916"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</row>
        <row r="917"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</row>
        <row r="918">
          <cell r="J918">
            <v>0</v>
          </cell>
          <cell r="K918">
            <v>0</v>
          </cell>
          <cell r="L918">
            <v>0</v>
          </cell>
          <cell r="M918">
            <v>8790557471.6180553</v>
          </cell>
          <cell r="N918">
            <v>0</v>
          </cell>
          <cell r="O918">
            <v>0</v>
          </cell>
          <cell r="P918">
            <v>8790557471.6180553</v>
          </cell>
        </row>
        <row r="919">
          <cell r="J919">
            <v>0</v>
          </cell>
          <cell r="K919">
            <v>0</v>
          </cell>
          <cell r="L919">
            <v>0</v>
          </cell>
          <cell r="M919">
            <v>12522008119.518494</v>
          </cell>
          <cell r="N919">
            <v>0</v>
          </cell>
          <cell r="O919">
            <v>0</v>
          </cell>
          <cell r="P919">
            <v>12522008119.518494</v>
          </cell>
        </row>
        <row r="920"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</row>
        <row r="921"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</row>
        <row r="922"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</row>
        <row r="923"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</row>
        <row r="924"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</row>
        <row r="925"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</row>
        <row r="926">
          <cell r="J926">
            <v>0</v>
          </cell>
          <cell r="K926">
            <v>0</v>
          </cell>
          <cell r="L926">
            <v>0</v>
          </cell>
          <cell r="M926">
            <v>617967374.32240248</v>
          </cell>
          <cell r="N926">
            <v>0</v>
          </cell>
          <cell r="O926">
            <v>0</v>
          </cell>
          <cell r="P926">
            <v>617967374.32240248</v>
          </cell>
        </row>
        <row r="927"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</row>
        <row r="928"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</row>
        <row r="929"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</row>
        <row r="930"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</row>
        <row r="931"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</row>
        <row r="932"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</row>
        <row r="933"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</row>
        <row r="934"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</row>
        <row r="935"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</row>
        <row r="936"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</row>
        <row r="937"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</row>
        <row r="938"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</row>
        <row r="939"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</row>
        <row r="940"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</row>
        <row r="941"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</row>
        <row r="942"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</row>
        <row r="943"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</row>
        <row r="944"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</row>
        <row r="945"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</row>
        <row r="946"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</row>
        <row r="947"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</row>
        <row r="948"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</row>
        <row r="949"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</row>
        <row r="950"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</row>
        <row r="951"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</row>
        <row r="952"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</row>
        <row r="953"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</row>
        <row r="954"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</row>
        <row r="955"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</row>
        <row r="956"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</row>
        <row r="957"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</row>
        <row r="958"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</row>
        <row r="959"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</row>
        <row r="960"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</row>
        <row r="961"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</row>
        <row r="962"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</row>
        <row r="963"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</row>
        <row r="964"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</row>
        <row r="965"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</row>
        <row r="966"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</row>
        <row r="967"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</row>
        <row r="968"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</row>
        <row r="969"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</row>
        <row r="970"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</row>
        <row r="971"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</row>
        <row r="972"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</row>
        <row r="973"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</row>
        <row r="974"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</row>
        <row r="975"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</row>
        <row r="976"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</row>
        <row r="977"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</row>
        <row r="978"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</row>
        <row r="979"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</row>
        <row r="980"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</row>
        <row r="981"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</row>
        <row r="982"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</row>
        <row r="983"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</row>
        <row r="984"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</row>
        <row r="985"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</row>
        <row r="986"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</row>
        <row r="987"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</row>
        <row r="988"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</row>
        <row r="989"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</row>
        <row r="990"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</row>
        <row r="991"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</row>
        <row r="992"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</row>
        <row r="993"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</row>
        <row r="994"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</row>
        <row r="995"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</row>
        <row r="996"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</row>
        <row r="997"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</row>
        <row r="998"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</row>
        <row r="999"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</row>
        <row r="1000"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</row>
        <row r="1001">
          <cell r="J1001">
            <v>0</v>
          </cell>
          <cell r="K1001">
            <v>0</v>
          </cell>
          <cell r="L1001">
            <v>0</v>
          </cell>
          <cell r="M1001">
            <v>2146044.5</v>
          </cell>
          <cell r="N1001">
            <v>0</v>
          </cell>
          <cell r="O1001">
            <v>0</v>
          </cell>
          <cell r="P1001">
            <v>2146044.5</v>
          </cell>
        </row>
        <row r="1002"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</row>
        <row r="1003"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</row>
        <row r="1004">
          <cell r="J1004">
            <v>0</v>
          </cell>
          <cell r="K1004">
            <v>516600000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516600000</v>
          </cell>
        </row>
        <row r="1005">
          <cell r="J1005">
            <v>609502131.51199996</v>
          </cell>
          <cell r="K1005">
            <v>2877023933.1199999</v>
          </cell>
          <cell r="L1005">
            <v>915072555.55440009</v>
          </cell>
          <cell r="M1005">
            <v>0</v>
          </cell>
          <cell r="N1005">
            <v>0</v>
          </cell>
          <cell r="O1005">
            <v>0</v>
          </cell>
          <cell r="P1005">
            <v>915072555.55440009</v>
          </cell>
        </row>
        <row r="1006"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</row>
        <row r="1007"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</row>
        <row r="1008"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</row>
        <row r="1009">
          <cell r="J1009">
            <v>0</v>
          </cell>
          <cell r="K1009">
            <v>2738000000</v>
          </cell>
          <cell r="L1009">
            <v>440018432.49000001</v>
          </cell>
          <cell r="M1009">
            <v>0</v>
          </cell>
          <cell r="N1009">
            <v>0</v>
          </cell>
          <cell r="O1009">
            <v>0</v>
          </cell>
          <cell r="P1009">
            <v>2738000000</v>
          </cell>
        </row>
        <row r="1010"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</row>
        <row r="1011"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</row>
        <row r="1012"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</row>
        <row r="1013"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</row>
        <row r="1014"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</row>
        <row r="1015"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</row>
        <row r="1016"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</row>
        <row r="1017"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</row>
        <row r="1018"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</row>
        <row r="1019"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</row>
        <row r="1020"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</row>
        <row r="1021"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</row>
        <row r="1022"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</row>
        <row r="1023"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</row>
        <row r="1024">
          <cell r="J1024">
            <v>0</v>
          </cell>
          <cell r="K1024">
            <v>0</v>
          </cell>
          <cell r="L1024">
            <v>21155883.609200001</v>
          </cell>
          <cell r="M1024">
            <v>0</v>
          </cell>
          <cell r="N1024">
            <v>0</v>
          </cell>
          <cell r="O1024">
            <v>0</v>
          </cell>
          <cell r="P1024">
            <v>21155883.609200001</v>
          </cell>
        </row>
        <row r="1025"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</row>
        <row r="1026">
          <cell r="J1026">
            <v>0</v>
          </cell>
          <cell r="K1026">
            <v>0</v>
          </cell>
          <cell r="L1026">
            <v>15178448.492800001</v>
          </cell>
          <cell r="M1026">
            <v>0</v>
          </cell>
          <cell r="N1026">
            <v>0</v>
          </cell>
          <cell r="O1026">
            <v>0</v>
          </cell>
          <cell r="P1026">
            <v>15178448.492800001</v>
          </cell>
        </row>
        <row r="1027"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</row>
        <row r="1028"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</row>
        <row r="1029">
          <cell r="J1029">
            <v>26019534.483048998</v>
          </cell>
          <cell r="K1029">
            <v>272500000</v>
          </cell>
          <cell r="L1029">
            <v>52967995.923600003</v>
          </cell>
          <cell r="M1029">
            <v>0</v>
          </cell>
          <cell r="N1029">
            <v>0</v>
          </cell>
          <cell r="O1029">
            <v>0</v>
          </cell>
          <cell r="P1029">
            <v>52967995.923600003</v>
          </cell>
        </row>
        <row r="1030"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</row>
        <row r="1031"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</row>
        <row r="1032">
          <cell r="J1032">
            <v>47525655.899999999</v>
          </cell>
          <cell r="K1032">
            <v>298000000</v>
          </cell>
          <cell r="L1032">
            <v>87303709.5044</v>
          </cell>
          <cell r="M1032">
            <v>0</v>
          </cell>
          <cell r="N1032">
            <v>0</v>
          </cell>
          <cell r="O1032">
            <v>0</v>
          </cell>
          <cell r="P1032">
            <v>87303709.5044</v>
          </cell>
        </row>
        <row r="1033"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</row>
        <row r="1034"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</row>
        <row r="1035"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</row>
        <row r="1036"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</row>
        <row r="1037"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</row>
        <row r="1038">
          <cell r="J1038">
            <v>18975665.399999999</v>
          </cell>
          <cell r="K1038">
            <v>155000000</v>
          </cell>
          <cell r="L1038">
            <v>40193415.790399998</v>
          </cell>
          <cell r="M1038">
            <v>0</v>
          </cell>
          <cell r="N1038">
            <v>0</v>
          </cell>
          <cell r="O1038">
            <v>0</v>
          </cell>
          <cell r="P1038">
            <v>40193415.790399998</v>
          </cell>
        </row>
        <row r="1039"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</row>
        <row r="1040"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</row>
        <row r="1041">
          <cell r="J1041">
            <v>172073769.579759</v>
          </cell>
          <cell r="K1041">
            <v>275000000</v>
          </cell>
          <cell r="L1041">
            <v>375961327.35200006</v>
          </cell>
          <cell r="M1041">
            <v>0</v>
          </cell>
          <cell r="N1041">
            <v>0</v>
          </cell>
          <cell r="O1041">
            <v>0</v>
          </cell>
          <cell r="P1041">
            <v>375961327.35200006</v>
          </cell>
        </row>
        <row r="1042"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</row>
        <row r="1043"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</row>
        <row r="1044"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</row>
        <row r="1045"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</row>
        <row r="1046"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</row>
        <row r="1047">
          <cell r="J1047">
            <v>103660122.5</v>
          </cell>
          <cell r="K1047">
            <v>1045000000</v>
          </cell>
          <cell r="L1047">
            <v>213667977.29640001</v>
          </cell>
          <cell r="M1047">
            <v>0</v>
          </cell>
          <cell r="N1047">
            <v>0</v>
          </cell>
          <cell r="O1047">
            <v>0</v>
          </cell>
          <cell r="P1047">
            <v>213667977.29640001</v>
          </cell>
        </row>
        <row r="1048"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</row>
        <row r="1049"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</row>
        <row r="1050">
          <cell r="J1050">
            <v>15786278.700000001</v>
          </cell>
          <cell r="K1050">
            <v>40000000</v>
          </cell>
          <cell r="L1050">
            <v>25411006.9124</v>
          </cell>
          <cell r="M1050">
            <v>0</v>
          </cell>
          <cell r="N1050">
            <v>0</v>
          </cell>
          <cell r="O1050">
            <v>0</v>
          </cell>
          <cell r="P1050">
            <v>25411006.9124</v>
          </cell>
        </row>
        <row r="1051"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</row>
        <row r="1052"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</row>
        <row r="1053"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</row>
        <row r="1054"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</row>
        <row r="1055"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</row>
        <row r="1056"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</row>
        <row r="1057"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</row>
        <row r="1058"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</row>
        <row r="1059"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</row>
        <row r="1060"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</row>
        <row r="1061"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</row>
        <row r="1062"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</row>
        <row r="1063">
          <cell r="J1063">
            <v>0</v>
          </cell>
          <cell r="K1063">
            <v>63500000</v>
          </cell>
          <cell r="L1063">
            <v>9145752.0348000005</v>
          </cell>
          <cell r="M1063">
            <v>0</v>
          </cell>
          <cell r="N1063">
            <v>0</v>
          </cell>
          <cell r="O1063">
            <v>0</v>
          </cell>
          <cell r="P1063">
            <v>63500000</v>
          </cell>
        </row>
        <row r="1064"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</row>
        <row r="1065"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</row>
        <row r="1066"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</row>
        <row r="1067"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</row>
        <row r="1068"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</row>
        <row r="1069"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</row>
        <row r="1070"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</row>
        <row r="1071"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</row>
        <row r="1072"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</row>
        <row r="1073"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</row>
        <row r="1074"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</row>
        <row r="1075"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</row>
        <row r="1076"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</row>
        <row r="1077"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</row>
        <row r="1078"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</row>
        <row r="1079"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</row>
        <row r="1080"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</row>
        <row r="1081"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</row>
        <row r="1082"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</row>
        <row r="1083"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</row>
        <row r="1084"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</row>
        <row r="1085"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</row>
        <row r="1086"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</row>
        <row r="1087"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</row>
        <row r="1088"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</row>
        <row r="1089"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</row>
        <row r="1090"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</row>
        <row r="1091"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</row>
        <row r="1092"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</row>
        <row r="1093"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</row>
        <row r="1094"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</row>
        <row r="1095"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</row>
        <row r="1096"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</row>
        <row r="1097"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</row>
        <row r="1098"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</row>
        <row r="1099">
          <cell r="J1099">
            <v>0</v>
          </cell>
          <cell r="K1099">
            <v>1392500000</v>
          </cell>
          <cell r="L1099">
            <v>322173621.52800006</v>
          </cell>
          <cell r="M1099">
            <v>0</v>
          </cell>
          <cell r="N1099">
            <v>0</v>
          </cell>
          <cell r="O1099">
            <v>0</v>
          </cell>
          <cell r="P1099">
            <v>1392500000</v>
          </cell>
        </row>
        <row r="1100">
          <cell r="J1100">
            <v>0</v>
          </cell>
          <cell r="K1100">
            <v>5000000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5000000</v>
          </cell>
        </row>
        <row r="1101"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</row>
        <row r="1102"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</row>
        <row r="1103">
          <cell r="J1103">
            <v>77210560.133622006</v>
          </cell>
          <cell r="K1103">
            <v>0</v>
          </cell>
          <cell r="L1103">
            <v>100769056.4076</v>
          </cell>
          <cell r="M1103">
            <v>0</v>
          </cell>
          <cell r="N1103">
            <v>0</v>
          </cell>
          <cell r="O1103">
            <v>0</v>
          </cell>
          <cell r="P1103">
            <v>100769056.4076</v>
          </cell>
        </row>
        <row r="1104"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</row>
        <row r="1105">
          <cell r="J1105">
            <v>229622789.42052099</v>
          </cell>
          <cell r="K1105">
            <v>790000000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229622789.42052099</v>
          </cell>
        </row>
        <row r="1106">
          <cell r="J1106">
            <v>0</v>
          </cell>
          <cell r="K1106">
            <v>370000000</v>
          </cell>
          <cell r="L1106">
            <v>304241316.17879999</v>
          </cell>
          <cell r="M1106">
            <v>0</v>
          </cell>
          <cell r="N1106">
            <v>0</v>
          </cell>
          <cell r="O1106">
            <v>0</v>
          </cell>
          <cell r="P1106">
            <v>370000000</v>
          </cell>
        </row>
        <row r="1107"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</row>
        <row r="1108">
          <cell r="J1108">
            <v>0</v>
          </cell>
          <cell r="K1108">
            <v>30000000</v>
          </cell>
          <cell r="L1108">
            <v>7976053.6376</v>
          </cell>
          <cell r="M1108">
            <v>0</v>
          </cell>
          <cell r="N1108">
            <v>0</v>
          </cell>
          <cell r="O1108">
            <v>0</v>
          </cell>
          <cell r="P1108">
            <v>30000000</v>
          </cell>
        </row>
        <row r="1109"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</row>
        <row r="1110"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</row>
        <row r="1111">
          <cell r="J1111">
            <v>0</v>
          </cell>
          <cell r="K1111">
            <v>0</v>
          </cell>
          <cell r="L1111">
            <v>5176145.6632000003</v>
          </cell>
          <cell r="M1111">
            <v>0</v>
          </cell>
          <cell r="N1111">
            <v>0</v>
          </cell>
          <cell r="O1111">
            <v>0</v>
          </cell>
          <cell r="P1111">
            <v>5176145.6632000003</v>
          </cell>
        </row>
        <row r="1112"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</row>
        <row r="1113"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</row>
        <row r="1114"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</row>
        <row r="1115"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</row>
        <row r="1116"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</row>
        <row r="1117"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</row>
        <row r="1118"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</row>
        <row r="1119"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</row>
        <row r="1120">
          <cell r="J1120">
            <v>0</v>
          </cell>
          <cell r="K1120">
            <v>0</v>
          </cell>
          <cell r="L1120">
            <v>2993322.67</v>
          </cell>
          <cell r="M1120">
            <v>0</v>
          </cell>
          <cell r="N1120">
            <v>0</v>
          </cell>
          <cell r="O1120">
            <v>0</v>
          </cell>
          <cell r="P1120">
            <v>2993322.67</v>
          </cell>
        </row>
        <row r="1121"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</row>
        <row r="1122"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</row>
        <row r="1123"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</row>
        <row r="1124"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</row>
        <row r="1125"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</row>
        <row r="1126"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</row>
        <row r="1127"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</row>
        <row r="1128"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</row>
        <row r="1129"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</row>
        <row r="1130"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</row>
        <row r="1131"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</row>
        <row r="1132"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</row>
        <row r="1133"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</row>
        <row r="1134"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</row>
        <row r="1135"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</row>
        <row r="1136"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</row>
        <row r="1137"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</row>
        <row r="1138"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</row>
        <row r="1139"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</row>
        <row r="1140"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</row>
        <row r="1141"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</row>
        <row r="1142"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</row>
        <row r="1143"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</row>
        <row r="1144"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</row>
        <row r="1145"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</row>
        <row r="1146">
          <cell r="J1146">
            <v>0</v>
          </cell>
          <cell r="K1146">
            <v>0</v>
          </cell>
          <cell r="L1146">
            <v>67731984.354400009</v>
          </cell>
          <cell r="M1146">
            <v>0</v>
          </cell>
          <cell r="N1146">
            <v>0</v>
          </cell>
          <cell r="O1146">
            <v>0</v>
          </cell>
          <cell r="P1146">
            <v>67731984.354400009</v>
          </cell>
        </row>
        <row r="1147"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</row>
        <row r="1148">
          <cell r="J1148">
            <v>0</v>
          </cell>
          <cell r="K1148">
            <v>60500000</v>
          </cell>
          <cell r="L1148">
            <v>35302787.058800004</v>
          </cell>
          <cell r="M1148">
            <v>0</v>
          </cell>
          <cell r="N1148">
            <v>0</v>
          </cell>
          <cell r="O1148">
            <v>0</v>
          </cell>
          <cell r="P1148">
            <v>60500000</v>
          </cell>
        </row>
        <row r="1149"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</row>
        <row r="1150"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</row>
        <row r="1151"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</row>
        <row r="1152"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</row>
        <row r="1153"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</row>
        <row r="1154"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</row>
        <row r="1155"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</row>
        <row r="1156"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</row>
        <row r="1157"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</row>
        <row r="1158"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</row>
        <row r="1159">
          <cell r="J1159">
            <v>0</v>
          </cell>
          <cell r="K1159">
            <v>1502340.875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1502340.875</v>
          </cell>
        </row>
        <row r="1160"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</row>
        <row r="1161"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</row>
        <row r="1162"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</row>
        <row r="1163"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</row>
        <row r="1164"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</row>
        <row r="1165"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</row>
        <row r="1166"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</row>
        <row r="1167"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</row>
        <row r="1168"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</row>
        <row r="1169"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</row>
        <row r="1170"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</row>
        <row r="1171"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</row>
        <row r="1172"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</row>
        <row r="1173"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</row>
        <row r="1174"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</row>
        <row r="1175"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</row>
        <row r="1176"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</row>
        <row r="1177"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</row>
        <row r="1178"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</row>
        <row r="1179"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</row>
        <row r="1180"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</row>
        <row r="1181"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</row>
        <row r="1182"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</row>
        <row r="1183"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</row>
        <row r="1184"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</row>
        <row r="1185"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</row>
        <row r="1186"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</row>
        <row r="1187"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</row>
        <row r="1188"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</row>
        <row r="1189"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</row>
        <row r="1190"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</row>
        <row r="1191"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</row>
        <row r="1192"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</row>
        <row r="1193"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</row>
        <row r="1194"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</row>
        <row r="1195"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</row>
        <row r="1196"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</row>
        <row r="1197"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</row>
        <row r="1198">
          <cell r="J1198">
            <v>2098447</v>
          </cell>
          <cell r="K1198">
            <v>30000000</v>
          </cell>
          <cell r="L1198">
            <v>4862998.0608000001</v>
          </cell>
          <cell r="M1198">
            <v>0</v>
          </cell>
          <cell r="N1198">
            <v>0</v>
          </cell>
          <cell r="O1198">
            <v>0</v>
          </cell>
          <cell r="P1198">
            <v>4862998.0608000001</v>
          </cell>
        </row>
        <row r="1199"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</row>
        <row r="1200"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</row>
        <row r="1201">
          <cell r="J1201">
            <v>0</v>
          </cell>
          <cell r="K1201">
            <v>30000000</v>
          </cell>
          <cell r="L1201">
            <v>4881418.5080000004</v>
          </cell>
          <cell r="M1201">
            <v>0</v>
          </cell>
          <cell r="N1201">
            <v>0</v>
          </cell>
          <cell r="O1201">
            <v>0</v>
          </cell>
          <cell r="P1201">
            <v>30000000</v>
          </cell>
        </row>
        <row r="1202"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</row>
        <row r="1203"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</row>
        <row r="1204">
          <cell r="J1204">
            <v>10394010.9</v>
          </cell>
          <cell r="K1204">
            <v>120000000</v>
          </cell>
          <cell r="L1204">
            <v>19884872.7524</v>
          </cell>
          <cell r="M1204">
            <v>0</v>
          </cell>
          <cell r="N1204">
            <v>0</v>
          </cell>
          <cell r="O1204">
            <v>0</v>
          </cell>
          <cell r="P1204">
            <v>19884872.7524</v>
          </cell>
        </row>
        <row r="1205"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</row>
        <row r="1206"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</row>
        <row r="1207"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</row>
        <row r="1208"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</row>
        <row r="1209"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</row>
        <row r="1210"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</row>
        <row r="1211"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</row>
        <row r="1212"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</row>
        <row r="1213"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</row>
        <row r="1214"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</row>
        <row r="1215"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</row>
        <row r="1216"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</row>
        <row r="1217"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</row>
        <row r="1218"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</row>
        <row r="1219"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</row>
        <row r="1220"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</row>
        <row r="1221"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</row>
        <row r="1222"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</row>
        <row r="1223"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</row>
        <row r="1224"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</row>
        <row r="1225"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</row>
        <row r="1226"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</row>
        <row r="1227"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</row>
        <row r="1228"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</row>
        <row r="1229"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</row>
        <row r="1230"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</row>
        <row r="1231"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</row>
        <row r="1232"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</row>
        <row r="1233"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</row>
        <row r="1234"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</row>
        <row r="1235"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</row>
        <row r="1236"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</row>
        <row r="1237"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</row>
        <row r="1238"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</row>
        <row r="1239"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</row>
        <row r="1240"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</row>
        <row r="1241"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</row>
        <row r="1242"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</row>
        <row r="1243"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</row>
        <row r="1244"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</row>
        <row r="1245"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</row>
        <row r="1246"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</row>
        <row r="1247"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</row>
        <row r="1248"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</row>
        <row r="1249"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</row>
        <row r="1250"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</row>
        <row r="1251"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</row>
        <row r="1252"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</row>
        <row r="1253"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</row>
        <row r="1254"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</row>
        <row r="1255"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</row>
        <row r="1256"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</row>
        <row r="1257"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</row>
        <row r="1258"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</row>
        <row r="1259"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</row>
        <row r="1260"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</row>
        <row r="1261"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</row>
        <row r="1262"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</row>
        <row r="1263"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</row>
        <row r="1264"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</row>
        <row r="1265"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</row>
        <row r="1266"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</row>
        <row r="1267"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</row>
        <row r="1268"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</row>
        <row r="1269"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</row>
        <row r="1270"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</row>
        <row r="1271"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</row>
        <row r="1272"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</row>
        <row r="1273"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</row>
        <row r="1274"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</row>
        <row r="1275"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</row>
        <row r="1276"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</row>
        <row r="1277"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</row>
        <row r="1278"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</row>
        <row r="1279"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</row>
        <row r="1280"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</row>
        <row r="1281"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</row>
        <row r="1282"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</row>
        <row r="1283"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</row>
        <row r="1284"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</row>
        <row r="1285"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</row>
        <row r="1286"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</row>
        <row r="1287"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</row>
        <row r="1288"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</row>
        <row r="1289"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</row>
        <row r="1290"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</row>
        <row r="1291"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</row>
        <row r="1292"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</row>
        <row r="1293"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</row>
        <row r="1294"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</row>
        <row r="1295"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</row>
        <row r="1296"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</row>
        <row r="1297"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</row>
        <row r="1298"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</row>
        <row r="1299"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</row>
        <row r="1300"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</row>
        <row r="1301"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</row>
        <row r="1302"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</row>
        <row r="1303"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</row>
        <row r="1304"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</row>
        <row r="1305"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</row>
        <row r="1306"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</row>
        <row r="1307"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</row>
        <row r="1308"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</row>
        <row r="1309"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</row>
        <row r="1310"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</row>
        <row r="1311"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</row>
        <row r="1312"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</row>
        <row r="1313"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</row>
        <row r="1314"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</row>
        <row r="1315"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</row>
        <row r="1316"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</row>
        <row r="1317"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</row>
        <row r="1318"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</row>
        <row r="1319"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</row>
        <row r="1320"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</row>
        <row r="1321"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</row>
        <row r="1322"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</row>
        <row r="1323"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</row>
        <row r="1324"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</row>
        <row r="1325"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</row>
        <row r="1326"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</row>
        <row r="1327"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</row>
        <row r="1328"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</row>
        <row r="1329"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</row>
        <row r="1330"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</row>
        <row r="1331"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</row>
        <row r="1332"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</row>
        <row r="1333"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</row>
        <row r="1334"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</row>
        <row r="1335"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</row>
        <row r="1336"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</row>
        <row r="1337"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</row>
        <row r="1338"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</row>
        <row r="1339"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</row>
        <row r="1340"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</row>
        <row r="1341"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</row>
        <row r="1342"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</row>
        <row r="1343"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</row>
        <row r="1344"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</row>
        <row r="1345"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</row>
        <row r="1346"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</row>
        <row r="1347"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</row>
        <row r="1348"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</row>
        <row r="1349"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</row>
        <row r="1350"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</row>
        <row r="1351"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</row>
        <row r="1352"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</row>
        <row r="1353"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</row>
        <row r="1354"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</row>
        <row r="1355"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</row>
        <row r="1356"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</row>
        <row r="1357"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</row>
        <row r="1358"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</row>
        <row r="1359"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</row>
        <row r="1360">
          <cell r="J1360">
            <v>53715493.01106599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53715493.01106599</v>
          </cell>
        </row>
        <row r="1361"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</row>
        <row r="1362"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</row>
        <row r="1363"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</row>
        <row r="1364"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</row>
        <row r="1365"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</row>
        <row r="1366"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</row>
        <row r="1367"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</row>
        <row r="1368"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</row>
        <row r="1369"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</row>
        <row r="1370"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</row>
        <row r="1371"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</row>
        <row r="1372"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</row>
        <row r="1373"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</row>
        <row r="1374"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</row>
        <row r="1375"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</row>
        <row r="1376"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</row>
        <row r="1377"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</row>
        <row r="1378"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</row>
        <row r="1379"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</row>
        <row r="1380"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</row>
        <row r="1381"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</row>
        <row r="1382"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</row>
        <row r="1383"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</row>
        <row r="1384"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</row>
        <row r="1385"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</row>
        <row r="1386"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</row>
        <row r="1387"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</row>
        <row r="1388"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</row>
        <row r="1389"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</row>
        <row r="1390"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</row>
        <row r="1391">
          <cell r="J1391">
            <v>9075900</v>
          </cell>
          <cell r="K1391">
            <v>60000000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9075900</v>
          </cell>
        </row>
        <row r="1392"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</row>
        <row r="1393"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</row>
        <row r="1394"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</row>
        <row r="1395"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</row>
        <row r="1396"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</row>
        <row r="1397"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</row>
        <row r="1398"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</row>
        <row r="1399"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</row>
        <row r="1400"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</row>
        <row r="1401">
          <cell r="J1401">
            <v>0</v>
          </cell>
          <cell r="K1401">
            <v>0</v>
          </cell>
          <cell r="L1401">
            <v>0</v>
          </cell>
          <cell r="M1401">
            <v>107921.68767119999</v>
          </cell>
          <cell r="N1401">
            <v>0</v>
          </cell>
          <cell r="O1401">
            <v>0</v>
          </cell>
          <cell r="P1401">
            <v>107921.68767119999</v>
          </cell>
        </row>
        <row r="1402"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</row>
        <row r="1403"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</row>
        <row r="1404"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</row>
        <row r="1405"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</row>
        <row r="1406"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</row>
        <row r="1407"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</row>
        <row r="1408"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</row>
        <row r="1409"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</row>
        <row r="1410"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</row>
        <row r="1411"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</row>
        <row r="1412"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</row>
        <row r="1413"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</row>
        <row r="1414"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</row>
        <row r="1415"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</row>
        <row r="1416"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</row>
        <row r="1417"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</row>
        <row r="1418"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</row>
        <row r="1419"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</row>
        <row r="1420"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</row>
        <row r="1421"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</row>
        <row r="1422"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</row>
        <row r="1423"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</row>
        <row r="1424"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</row>
        <row r="1425"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</row>
        <row r="1426"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</row>
        <row r="1427"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</row>
        <row r="1428"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</row>
        <row r="1429"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</row>
        <row r="1430"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</row>
        <row r="1431"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</row>
        <row r="1432"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</row>
        <row r="1433"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</row>
        <row r="1434"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</row>
        <row r="1435"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</row>
        <row r="1436"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</row>
        <row r="1437"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</row>
        <row r="1438"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</row>
        <row r="1439"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</row>
        <row r="1440"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</row>
        <row r="1441"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</row>
        <row r="1442"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</row>
        <row r="1443"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</row>
        <row r="1444"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</row>
        <row r="1445"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</row>
        <row r="1446"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</row>
        <row r="1447"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</row>
        <row r="1448"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</row>
        <row r="1449"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</row>
        <row r="1450"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</row>
        <row r="1451"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</row>
      </sheetData>
      <sheetData sheetId="3" refreshError="1"/>
      <sheetData sheetId="4">
        <row r="1">
          <cell r="BQ1">
            <v>27967554374.947784</v>
          </cell>
        </row>
      </sheetData>
      <sheetData sheetId="5">
        <row r="1">
          <cell r="H1">
            <v>286132872285.85052</v>
          </cell>
        </row>
      </sheetData>
      <sheetData sheetId="6">
        <row r="1">
          <cell r="G1">
            <v>15548496856.600796</v>
          </cell>
        </row>
      </sheetData>
      <sheetData sheetId="7" refreshError="1"/>
      <sheetData sheetId="8">
        <row r="1">
          <cell r="N1">
            <v>30051982887.952702</v>
          </cell>
        </row>
      </sheetData>
      <sheetData sheetId="9">
        <row r="3">
          <cell r="H3">
            <v>9965266516.092638</v>
          </cell>
        </row>
      </sheetData>
      <sheetData sheetId="10">
        <row r="1">
          <cell r="D1">
            <v>63977345066.464928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28">
      <pivotArea dataOnly="0" labelOnly="1" outline="0" axis="axisValues" fieldPosition="0"/>
    </format>
    <format dxfId="27">
      <pivotArea dataOnly="0" labelOnly="1" outline="0" axis="axisValues" fieldPosition="0"/>
    </format>
    <format dxfId="26">
      <pivotArea dataOnly="0" labelOnly="1" outline="0" axis="axisValues" fieldPosition="0"/>
    </format>
    <format dxfId="25">
      <pivotArea dataOnly="0" labelOnly="1" outline="0" axis="axisValues" fieldPosition="0"/>
    </format>
    <format dxfId="24">
      <pivotArea grandRow="1" outline="0" fieldPosition="0"/>
    </format>
    <format dxfId="23">
      <pivotArea dataOnly="0" labelOnly="1" grandRow="1" outline="0" fieldPosition="0"/>
    </format>
    <format dxfId="22">
      <pivotArea grandRow="1" outline="0" fieldPosition="0"/>
    </format>
    <format dxfId="21">
      <pivotArea dataOnly="0" labelOnly="1" grandRow="1" outline="0" fieldPosition="0"/>
    </format>
    <format dxfId="20">
      <pivotArea dataOnly="0" labelOnly="1" grandRow="1" outline="0" fieldPosition="0"/>
    </format>
    <format dxfId="19">
      <pivotArea grandRow="1" outline="0" fieldPosition="0"/>
    </format>
    <format dxfId="18">
      <pivotArea dataOnly="0" labelOnly="1" grandRow="1" outline="0" fieldPosition="0"/>
    </format>
    <format dxfId="17">
      <pivotArea outline="0" fieldPosition="0"/>
    </format>
    <format dxfId="16">
      <pivotArea dataOnly="0" labelOnly="1" grandRow="1" outline="0" fieldPosition="0"/>
    </format>
    <format dxfId="15">
      <pivotArea dataOnly="0" labelOnly="1" outline="0" axis="axisValues" fieldPosition="0"/>
    </format>
    <format dxfId="14">
      <pivotArea dataOnly="0" labelOnly="1" outline="0" axis="axisValues" fieldPosition="0"/>
    </format>
    <format dxfId="13">
      <pivotArea field="1" type="button" dataOnly="0" labelOnly="1" outline="0" axis="axisRow" fieldPosition="0"/>
    </format>
    <format dxfId="12">
      <pivotArea outline="0" fieldPosition="0"/>
    </format>
    <format dxfId="11">
      <pivotArea grandRow="1" outline="0" fieldPosition="0"/>
    </format>
    <format dxfId="10">
      <pivotArea dataOnly="0" labelOnly="1" grandRow="1" outline="0" fieldPosition="0"/>
    </format>
    <format dxfId="9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dataOnly="0" labelOnly="1" outline="0" axis="axisValues" fieldPosition="0"/>
    </format>
    <format dxfId="44">
      <pivotArea dataOnly="0" labelOnly="1" outline="0" axis="axisValues" fieldPosition="0"/>
    </format>
    <format dxfId="43">
      <pivotArea grandRow="1" outline="0" fieldPosition="0"/>
    </format>
    <format dxfId="42">
      <pivotArea dataOnly="0" labelOnly="1" grandRow="1" outline="0" fieldPosition="0"/>
    </format>
    <format dxfId="41">
      <pivotArea grandRow="1" outline="0" fieldPosition="0"/>
    </format>
    <format dxfId="40">
      <pivotArea dataOnly="0" labelOnly="1" grandRow="1" outline="0" fieldPosition="0"/>
    </format>
    <format dxfId="39">
      <pivotArea dataOnly="0" labelOnly="1" grandRow="1" outline="0" fieldPosition="0"/>
    </format>
    <format dxfId="38">
      <pivotArea grandRow="1" outline="0" fieldPosition="0"/>
    </format>
    <format dxfId="37">
      <pivotArea dataOnly="0" labelOnly="1" grandRow="1" outline="0" fieldPosition="0"/>
    </format>
    <format dxfId="36">
      <pivotArea outline="0" fieldPosition="0"/>
    </format>
    <format dxfId="35">
      <pivotArea dataOnly="0" labelOnly="1" grandRow="1" outline="0" fieldPosition="0"/>
    </format>
    <format dxfId="34">
      <pivotArea dataOnly="0" labelOnly="1" outline="0" axis="axisValues" fieldPosition="0"/>
    </format>
    <format dxfId="33">
      <pivotArea dataOnly="0" labelOnly="1" outline="0" axis="axisValues" fieldPosition="0"/>
    </format>
    <format dxfId="32">
      <pivotArea field="1" type="button" dataOnly="0" labelOnly="1" outline="0" axis="axisRow" fieldPosition="0"/>
    </format>
    <format dxfId="31">
      <pivotArea outline="0" fieldPosition="0"/>
    </format>
    <format dxfId="30">
      <pivotArea grandRow="1" outline="0" fieldPosition="0"/>
    </format>
    <format dxfId="2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54">
      <pivotArea outline="0" collapsedLevelsAreSubtotals="1" fieldPosition="0"/>
    </format>
    <format dxfId="53">
      <pivotArea dataOnly="0" labelOnly="1" fieldPosition="0">
        <references count="1">
          <reference field="5" count="0"/>
        </references>
      </pivotArea>
    </format>
    <format dxfId="52">
      <pivotArea dataOnly="0" labelOnly="1" grandRow="1" outline="0" fieldPosition="0"/>
    </format>
    <format dxfId="51">
      <pivotArea collapsedLevelsAreSubtotals="1" fieldPosition="0">
        <references count="1">
          <reference field="5" count="0"/>
        </references>
      </pivotArea>
    </format>
    <format dxfId="50">
      <pivotArea grandRow="1" outline="0" collapsedLevelsAreSubtotals="1" fieldPosition="0"/>
    </format>
    <format dxfId="49">
      <pivotArea field="5" type="button" dataOnly="0" labelOnly="1" outline="0" axis="axisRow" fieldPosition="0"/>
    </format>
    <format dxfId="4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67">
      <pivotArea collapsedLevelsAreSubtotals="1" fieldPosition="0">
        <references count="1">
          <reference field="7" count="0"/>
        </references>
      </pivotArea>
    </format>
    <format dxfId="66">
      <pivotArea dataOnly="0" labelOnly="1" fieldPosition="0">
        <references count="1">
          <reference field="7" count="0"/>
        </references>
      </pivotArea>
    </format>
    <format dxfId="65">
      <pivotArea collapsedLevelsAreSubtotals="1" fieldPosition="0">
        <references count="1">
          <reference field="7" count="1">
            <x v="6"/>
          </reference>
        </references>
      </pivotArea>
    </format>
    <format dxfId="64">
      <pivotArea dataOnly="0" labelOnly="1" fieldPosition="0">
        <references count="1">
          <reference field="7" count="1">
            <x v="6"/>
          </reference>
        </references>
      </pivotArea>
    </format>
    <format dxfId="63">
      <pivotArea dataOnly="0" labelOnly="1" grandRow="1" outline="0" fieldPosition="0"/>
    </format>
    <format dxfId="62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61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60">
      <pivotArea field="7" type="button" dataOnly="0" labelOnly="1" outline="0" axis="axisRow" fieldPosition="0"/>
    </format>
    <format dxfId="59">
      <pivotArea dataOnly="0" labelOnly="1" outline="0" axis="axisValues" fieldPosition="0"/>
    </format>
    <format dxfId="58">
      <pivotArea grandRow="1" outline="0" collapsedLevelsAreSubtotals="1" fieldPosition="0"/>
    </format>
    <format dxfId="57">
      <pivotArea dataOnly="0" labelOnly="1" grandRow="1" outline="0" fieldPosition="0"/>
    </format>
    <format dxfId="56">
      <pivotArea grandRow="1" outline="0" collapsedLevelsAreSubtotals="1" fieldPosition="0"/>
    </format>
    <format dxfId="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92">
      <pivotArea dataOnly="0" labelOnly="1" outline="0" axis="axisValues" fieldPosition="0"/>
    </format>
    <format dxfId="91">
      <pivotArea dataOnly="0" labelOnly="1" outline="0" axis="axisValues" fieldPosition="0"/>
    </format>
    <format dxfId="90">
      <pivotArea dataOnly="0" labelOnly="1" outline="0" axis="axisValues" fieldPosition="0"/>
    </format>
    <format dxfId="89">
      <pivotArea dataOnly="0" labelOnly="1" outline="0" axis="axisValues" fieldPosition="0"/>
    </format>
    <format dxfId="88">
      <pivotArea grandRow="1" outline="0" fieldPosition="0"/>
    </format>
    <format dxfId="87">
      <pivotArea dataOnly="0" labelOnly="1" grandRow="1" outline="0" fieldPosition="0"/>
    </format>
    <format dxfId="86">
      <pivotArea grandRow="1" outline="0" fieldPosition="0"/>
    </format>
    <format dxfId="85">
      <pivotArea dataOnly="0" labelOnly="1" grandRow="1" outline="0" fieldPosition="0"/>
    </format>
    <format dxfId="84">
      <pivotArea dataOnly="0" labelOnly="1" grandRow="1" outline="0" fieldPosition="0"/>
    </format>
    <format dxfId="83">
      <pivotArea grandRow="1" outline="0" fieldPosition="0"/>
    </format>
    <format dxfId="82">
      <pivotArea dataOnly="0" labelOnly="1" grandRow="1" outline="0" fieldPosition="0"/>
    </format>
    <format dxfId="81">
      <pivotArea outline="0" fieldPosition="0"/>
    </format>
    <format dxfId="80">
      <pivotArea dataOnly="0" labelOnly="1" grandRow="1" outline="0" fieldPosition="0"/>
    </format>
    <format dxfId="79">
      <pivotArea dataOnly="0" labelOnly="1" outline="0" axis="axisValues" fieldPosition="0"/>
    </format>
    <format dxfId="78">
      <pivotArea dataOnly="0" labelOnly="1" outline="0" axis="axisValues" fieldPosition="0"/>
    </format>
    <format dxfId="77">
      <pivotArea field="1" type="button" dataOnly="0" labelOnly="1" outline="0"/>
    </format>
    <format dxfId="76">
      <pivotArea outline="0" fieldPosition="0"/>
    </format>
    <format dxfId="75">
      <pivotArea grandRow="1" outline="0" fieldPosition="0"/>
    </format>
    <format dxfId="74">
      <pivotArea dataOnly="0" labelOnly="1" grandRow="1" outline="0" fieldPosition="0"/>
    </format>
    <format dxfId="73">
      <pivotArea field="0" type="button" dataOnly="0" labelOnly="1" outline="0" axis="axisRow" fieldPosition="0"/>
    </format>
    <format dxfId="72">
      <pivotArea field="0" type="button" dataOnly="0" labelOnly="1" outline="0" axis="axisRow" fieldPosition="0"/>
    </format>
    <format dxfId="71">
      <pivotArea collapsedLevelsAreSubtotals="1" fieldPosition="0">
        <references count="1">
          <reference field="0" count="1">
            <x v="1073"/>
          </reference>
        </references>
      </pivotArea>
    </format>
    <format dxfId="70">
      <pivotArea grandRow="1" outline="0" collapsedLevelsAreSubtotals="1" fieldPosition="0"/>
    </format>
    <format dxfId="69">
      <pivotArea dataOnly="0" labelOnly="1" fieldPosition="0">
        <references count="1">
          <reference field="0" count="1">
            <x v="1073"/>
          </reference>
        </references>
      </pivotArea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dataOnly="0" labelOnly="1" grandRow="1" outline="0" fieldPosition="0"/>
    </format>
    <format dxfId="104">
      <pivotArea grandRow="1" outline="0" fieldPosition="0"/>
    </format>
    <format dxfId="103">
      <pivotArea dataOnly="0" labelOnly="1" grandRow="1" outline="0" fieldPosition="0"/>
    </format>
    <format dxfId="102">
      <pivotArea outline="0" fieldPosition="0"/>
    </format>
    <format dxfId="101">
      <pivotArea dataOnly="0" labelOnly="1" grandRow="1" outline="0" fieldPosition="0"/>
    </format>
    <format dxfId="100">
      <pivotArea grandRow="1"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field="0" type="button" dataOnly="0" labelOnly="1" outline="0" axis="axisRow" fieldPosition="0"/>
    </format>
    <format dxfId="96">
      <pivotArea field="0" type="button" dataOnly="0" labelOnly="1" outline="0" axis="axisRow" fieldPosition="0"/>
    </format>
    <format dxfId="95">
      <pivotArea field="0" type="button" dataOnly="0" labelOnly="1" outline="0" axis="axisRow" fieldPosition="0"/>
    </format>
    <format dxfId="94">
      <pivotArea dataOnly="0" labelOnly="1" outline="0" axis="axisValues" fieldPosition="0"/>
    </format>
    <format dxfId="93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18">
      <pivotArea outline="0" collapsedLevelsAreSubtotals="1" fieldPosition="0"/>
    </format>
    <format dxfId="117">
      <pivotArea field="3" type="button" dataOnly="0" labelOnly="1" outline="0" axis="axisRow" fieldPosition="0"/>
    </format>
    <format dxfId="116">
      <pivotArea dataOnly="0" labelOnly="1" outline="0" axis="axisValues" fieldPosition="0"/>
    </format>
    <format dxfId="115">
      <pivotArea dataOnly="0" labelOnly="1" fieldPosition="0">
        <references count="1">
          <reference field="3" count="0"/>
        </references>
      </pivotArea>
    </format>
    <format dxfId="114">
      <pivotArea dataOnly="0" labelOnly="1" grandRow="1" outline="0" fieldPosition="0"/>
    </format>
    <format dxfId="113">
      <pivotArea collapsedLevelsAreSubtotals="1" fieldPosition="0">
        <references count="1">
          <reference field="3" count="1">
            <x v="2"/>
          </reference>
        </references>
      </pivotArea>
    </format>
    <format dxfId="112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 filterMode="1"/>
  <dimension ref="A1:J293"/>
  <sheetViews>
    <sheetView tabSelected="1" workbookViewId="0">
      <selection activeCell="E197" sqref="E197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J1" s="36"/>
    </row>
    <row r="2" spans="1:10">
      <c r="A2" t="str">
        <f>_xlfn.XLOOKUP(B2,Sheet2!$F$2:$F$1248,Sheet2!$G$2:$G$1248)</f>
        <v>EN FR 40 Responsible Investment</v>
      </c>
      <c r="B2" t="s">
        <v>2616</v>
      </c>
      <c r="C2" t="s">
        <v>4720</v>
      </c>
      <c r="D2" t="b">
        <f>ISNUMBER(MATCH(B2,$J$1:$J$52,0))</f>
        <v>0</v>
      </c>
      <c r="E2" s="34">
        <v>1</v>
      </c>
      <c r="F2" s="34" t="s">
        <v>4757</v>
      </c>
      <c r="J2" s="36" t="s">
        <v>2361</v>
      </c>
    </row>
    <row r="3" spans="1:10">
      <c r="A3" s="35" t="str">
        <f>_xlfn.XLOOKUP(B3,Sheet2!$F$2:$F$1248,Sheet2!$G$2:$G$1248)</f>
        <v>EN Sovereign Economy Selection EZ50</v>
      </c>
      <c r="B3" s="35" t="s">
        <v>887</v>
      </c>
      <c r="C3" s="35" t="s">
        <v>4720</v>
      </c>
      <c r="D3" t="b">
        <f>ISNUMBER(MATCH(B3,$J$1:$J$52,0))</f>
        <v>0</v>
      </c>
      <c r="E3" s="34">
        <v>1</v>
      </c>
      <c r="F3" s="34" t="s">
        <v>4757</v>
      </c>
      <c r="J3" s="36" t="s">
        <v>2694</v>
      </c>
    </row>
    <row r="4" spans="1:10">
      <c r="A4" s="35" t="str">
        <f>_xlfn.XLOOKUP(B4,Sheet2!$F$2:$F$1248,Sheet2!$G$2:$G$1248)</f>
        <v>Euronext France Developpement 40</v>
      </c>
      <c r="B4" s="35" t="s">
        <v>2843</v>
      </c>
      <c r="C4" s="35" t="s">
        <v>4720</v>
      </c>
      <c r="D4" t="b">
        <f>ISNUMBER(MATCH(B4,$J$1:$J$52,0))</f>
        <v>0</v>
      </c>
      <c r="E4" s="34">
        <v>1</v>
      </c>
      <c r="F4" s="43" t="s">
        <v>4757</v>
      </c>
      <c r="J4" s="36" t="s">
        <v>1067</v>
      </c>
    </row>
    <row r="5" spans="1:10">
      <c r="A5" s="35" t="str">
        <f>_xlfn.XLOOKUP(B5,Sheet2!$F$2:$F$1248,Sheet2!$G$2:$G$1248)</f>
        <v>Euronext France Investissement 40</v>
      </c>
      <c r="B5" s="35" t="s">
        <v>2792</v>
      </c>
      <c r="C5" s="35" t="s">
        <v>4720</v>
      </c>
      <c r="D5" s="37" t="b">
        <f>ISNUMBER(MATCH(B5,$J$1:$J$52,0))</f>
        <v>0</v>
      </c>
      <c r="E5" s="34">
        <v>1</v>
      </c>
      <c r="F5" s="43" t="s">
        <v>4757</v>
      </c>
      <c r="J5" s="36" t="s">
        <v>962</v>
      </c>
    </row>
    <row r="6" spans="1:10">
      <c r="A6" t="s">
        <v>4758</v>
      </c>
      <c r="B6" s="38" t="s">
        <v>4740</v>
      </c>
      <c r="C6" t="s">
        <v>4720</v>
      </c>
      <c r="D6" s="37" t="b">
        <f>ISNUMBER(MATCH(B6,$J$1:$J$52,0))</f>
        <v>0</v>
      </c>
      <c r="E6" s="34">
        <v>1</v>
      </c>
      <c r="F6" t="s">
        <v>4757</v>
      </c>
      <c r="J6" s="36" t="s">
        <v>948</v>
      </c>
    </row>
    <row r="7" spans="1:10" hidden="1">
      <c r="A7" t="str">
        <f>_xlfn.XLOOKUP(B7,Sheet2!$F$2:$F$1248,Sheet2!$G$2:$G$1248)</f>
        <v>AEX All-Share Index</v>
      </c>
      <c r="B7" t="s">
        <v>1348</v>
      </c>
      <c r="C7" t="s">
        <v>1356</v>
      </c>
      <c r="D7" t="b">
        <f>ISNUMBER(MATCH(B7,$J$1:$J$52,0))</f>
        <v>0</v>
      </c>
      <c r="E7" s="34">
        <v>0</v>
      </c>
      <c r="F7" s="34"/>
      <c r="J7" s="36" t="s">
        <v>2589</v>
      </c>
    </row>
    <row r="8" spans="1:10" hidden="1">
      <c r="A8" t="str">
        <f>_xlfn.XLOOKUP(B8,Sheet2!$F$2:$F$1248,Sheet2!$G$2:$G$1248)</f>
        <v>AEX All-Tradable</v>
      </c>
      <c r="B8" t="s">
        <v>1342</v>
      </c>
      <c r="C8" t="s">
        <v>1356</v>
      </c>
      <c r="D8" t="b">
        <f>ISNUMBER(MATCH(B8,$J$1:$J$52,0))</f>
        <v>0</v>
      </c>
      <c r="E8" s="34">
        <v>0</v>
      </c>
      <c r="F8" s="34"/>
      <c r="J8" s="36" t="s">
        <v>3490</v>
      </c>
    </row>
    <row r="9" spans="1:10" hidden="1">
      <c r="A9" t="str">
        <f>_xlfn.XLOOKUP(B9,Sheet2!$F$2:$F$1248,Sheet2!$G$2:$G$1248)</f>
        <v>AEX All-Tradable Alternative Weighting</v>
      </c>
      <c r="B9" t="s">
        <v>1333</v>
      </c>
      <c r="C9" t="s">
        <v>1356</v>
      </c>
      <c r="D9" t="b">
        <f>ISNUMBER(MATCH(B9,$J$1:$J$52,0))</f>
        <v>0</v>
      </c>
      <c r="E9" s="34">
        <v>0</v>
      </c>
      <c r="F9" s="34"/>
      <c r="J9" s="36" t="s">
        <v>2493</v>
      </c>
    </row>
    <row r="10" spans="1:10" hidden="1">
      <c r="A10" t="str">
        <f>_xlfn.XLOOKUP(B10,Sheet2!$F$2:$F$1248,Sheet2!$G$2:$G$1248)</f>
        <v>AEX Basic Materials</v>
      </c>
      <c r="B10" t="s">
        <v>516</v>
      </c>
      <c r="C10" t="s">
        <v>1356</v>
      </c>
      <c r="D10" t="b">
        <f>ISNUMBER(MATCH(B10,$J$1:$J$52,0))</f>
        <v>0</v>
      </c>
      <c r="E10" s="34">
        <v>0</v>
      </c>
      <c r="F10" s="34"/>
      <c r="J10" s="36" t="s">
        <v>2310</v>
      </c>
    </row>
    <row r="11" spans="1:10" hidden="1">
      <c r="A11" t="str">
        <f>_xlfn.XLOOKUP(B11,Sheet2!$F$2:$F$1248,Sheet2!$G$2:$G$1248)</f>
        <v>AEX Consumer Discretionary</v>
      </c>
      <c r="B11" t="s">
        <v>508</v>
      </c>
      <c r="C11" t="s">
        <v>1356</v>
      </c>
      <c r="D11" t="b">
        <f>ISNUMBER(MATCH(B11,$J$1:$J$52,0))</f>
        <v>0</v>
      </c>
      <c r="E11" s="34">
        <v>0</v>
      </c>
      <c r="F11" s="34"/>
      <c r="J11" s="36" t="s">
        <v>439</v>
      </c>
    </row>
    <row r="12" spans="1:10" hidden="1">
      <c r="A12" t="str">
        <f>_xlfn.XLOOKUP(B12,Sheet2!$F$2:$F$1248,Sheet2!$G$2:$G$1248)</f>
        <v>AEX Consumer Staples</v>
      </c>
      <c r="B12" t="s">
        <v>504</v>
      </c>
      <c r="C12" t="s">
        <v>1356</v>
      </c>
      <c r="D12" t="b">
        <f>ISNUMBER(MATCH(B12,$J$1:$J$52,0))</f>
        <v>0</v>
      </c>
      <c r="E12" s="34">
        <v>0</v>
      </c>
      <c r="F12" s="34"/>
      <c r="J12" s="36" t="s">
        <v>2520</v>
      </c>
    </row>
    <row r="13" spans="1:10" hidden="1">
      <c r="A13" t="str">
        <f>_xlfn.XLOOKUP(B13,Sheet2!$F$2:$F$1248,Sheet2!$G$2:$G$1248)</f>
        <v>AEX Dividend Index</v>
      </c>
      <c r="B13" t="s">
        <v>425</v>
      </c>
      <c r="C13" t="s">
        <v>1356</v>
      </c>
      <c r="D13" t="b">
        <f>ISNUMBER(MATCH(B13,$J$1:$J$52,0))</f>
        <v>0</v>
      </c>
      <c r="E13" s="34">
        <v>0</v>
      </c>
      <c r="F13" s="34"/>
      <c r="J13" s="36" t="s">
        <v>2529</v>
      </c>
    </row>
    <row r="14" spans="1:10" hidden="1">
      <c r="A14" t="str">
        <f>_xlfn.XLOOKUP(B14,Sheet2!$F$2:$F$1248,Sheet2!$G$2:$G$1248)</f>
        <v>AEX Energy</v>
      </c>
      <c r="B14" t="s">
        <v>518</v>
      </c>
      <c r="C14" t="s">
        <v>1356</v>
      </c>
      <c r="D14" t="b">
        <f>ISNUMBER(MATCH(B14,$J$1:$J$52,0))</f>
        <v>0</v>
      </c>
      <c r="E14" s="34">
        <v>0</v>
      </c>
      <c r="F14" s="34"/>
      <c r="J14" s="36" t="s">
        <v>846</v>
      </c>
    </row>
    <row r="15" spans="1:10" hidden="1">
      <c r="A15" t="str">
        <f>_xlfn.XLOOKUP(B15,Sheet2!$F$2:$F$1248,Sheet2!$G$2:$G$1248)</f>
        <v>AEX Equal Weight</v>
      </c>
      <c r="B15" t="s">
        <v>422</v>
      </c>
      <c r="C15" t="s">
        <v>1356</v>
      </c>
      <c r="D15" t="b">
        <f>ISNUMBER(MATCH(B15,$J$1:$J$52,0))</f>
        <v>0</v>
      </c>
      <c r="E15" s="34">
        <v>0</v>
      </c>
      <c r="F15" s="34"/>
      <c r="J15" s="36" t="s">
        <v>2571</v>
      </c>
    </row>
    <row r="16" spans="1:10" hidden="1">
      <c r="A16" t="str">
        <f>_xlfn.XLOOKUP(B16,Sheet2!$F$2:$F$1248,Sheet2!$G$2:$G$1248)</f>
        <v>AEX ESG</v>
      </c>
      <c r="B16" t="s">
        <v>2201</v>
      </c>
      <c r="C16" t="s">
        <v>1356</v>
      </c>
      <c r="D16" t="b">
        <f>ISNUMBER(MATCH(B16,$J$1:$J$52,0))</f>
        <v>0</v>
      </c>
      <c r="E16" s="34">
        <v>0</v>
      </c>
      <c r="F16" s="34"/>
      <c r="J16" s="36" t="s">
        <v>3626</v>
      </c>
    </row>
    <row r="17" spans="1:10" hidden="1">
      <c r="A17" t="str">
        <f>_xlfn.XLOOKUP(B17,Sheet2!$F$2:$F$1248,Sheet2!$G$2:$G$1248)</f>
        <v>AEX Financials</v>
      </c>
      <c r="B17" t="s">
        <v>500</v>
      </c>
      <c r="C17" t="s">
        <v>1356</v>
      </c>
      <c r="D17" t="b">
        <f>ISNUMBER(MATCH(B17,$J$1:$J$52,0))</f>
        <v>0</v>
      </c>
      <c r="E17" s="34">
        <v>0</v>
      </c>
      <c r="F17" s="34"/>
      <c r="J17" s="36" t="s">
        <v>2403</v>
      </c>
    </row>
    <row r="18" spans="1:10" hidden="1">
      <c r="A18" t="str">
        <f>_xlfn.XLOOKUP(B18,Sheet2!$F$2:$F$1248,Sheet2!$G$2:$G$1248)</f>
        <v>AEX Health Care</v>
      </c>
      <c r="B18" t="s">
        <v>506</v>
      </c>
      <c r="C18" t="s">
        <v>1356</v>
      </c>
      <c r="D18" t="b">
        <f>ISNUMBER(MATCH(B18,$J$1:$J$52,0))</f>
        <v>0</v>
      </c>
      <c r="E18" s="34">
        <v>0</v>
      </c>
      <c r="F18" s="34"/>
      <c r="J18" s="36" t="s">
        <v>892</v>
      </c>
    </row>
    <row r="19" spans="1:10" hidden="1">
      <c r="A19" t="str">
        <f>_xlfn.XLOOKUP(B19,Sheet2!$F$2:$F$1248,Sheet2!$G$2:$G$1248)</f>
        <v>AEX Industrials</v>
      </c>
      <c r="B19" t="s">
        <v>514</v>
      </c>
      <c r="C19" t="s">
        <v>1356</v>
      </c>
      <c r="D19" t="b">
        <f>ISNUMBER(MATCH(B19,$J$1:$J$52,0))</f>
        <v>0</v>
      </c>
      <c r="E19" s="34">
        <v>0</v>
      </c>
      <c r="F19" s="34"/>
      <c r="J19" s="36" t="s">
        <v>2388</v>
      </c>
    </row>
    <row r="20" spans="1:10" hidden="1">
      <c r="A20" t="str">
        <f>_xlfn.XLOOKUP(B20,Sheet2!$F$2:$F$1248,Sheet2!$G$2:$G$1248)</f>
        <v>AEX Real Estate</v>
      </c>
      <c r="B20" t="s">
        <v>944</v>
      </c>
      <c r="C20" t="s">
        <v>1356</v>
      </c>
      <c r="D20" t="b">
        <f>ISNUMBER(MATCH(B20,$J$1:$J$52,0))</f>
        <v>0</v>
      </c>
      <c r="E20" s="34">
        <v>0</v>
      </c>
      <c r="F20" s="34"/>
      <c r="J20" s="36" t="s">
        <v>2553</v>
      </c>
    </row>
    <row r="21" spans="1:10" hidden="1">
      <c r="A21" t="str">
        <f>_xlfn.XLOOKUP(B21,Sheet2!$F$2:$F$1248,Sheet2!$G$2:$G$1248)</f>
        <v>AEX Technology</v>
      </c>
      <c r="B21" t="s">
        <v>498</v>
      </c>
      <c r="C21" t="s">
        <v>1356</v>
      </c>
      <c r="D21" t="b">
        <f>ISNUMBER(MATCH(B21,$J$1:$J$52,0))</f>
        <v>0</v>
      </c>
      <c r="E21" s="34">
        <v>0</v>
      </c>
      <c r="F21" s="34"/>
      <c r="J21" s="36" t="s">
        <v>2511</v>
      </c>
    </row>
    <row r="22" spans="1:10" hidden="1">
      <c r="A22" t="str">
        <f>_xlfn.XLOOKUP(B22,Sheet2!$F$2:$F$1248,Sheet2!$G$2:$G$1248)</f>
        <v>AEX Telecommunications</v>
      </c>
      <c r="B22" t="s">
        <v>502</v>
      </c>
      <c r="C22" t="s">
        <v>1356</v>
      </c>
      <c r="D22" t="b">
        <f>ISNUMBER(MATCH(B22,$J$1:$J$52,0))</f>
        <v>0</v>
      </c>
      <c r="E22" s="34">
        <v>0</v>
      </c>
      <c r="F22" s="34"/>
      <c r="J22" s="36" t="s">
        <v>2679</v>
      </c>
    </row>
    <row r="23" spans="1:10" hidden="1">
      <c r="A23" t="str">
        <f>_xlfn.XLOOKUP(B23,Sheet2!$F$2:$F$1248,Sheet2!$G$2:$G$1248)</f>
        <v>AEX Utilities</v>
      </c>
      <c r="B23" t="s">
        <v>842</v>
      </c>
      <c r="C23" t="s">
        <v>1356</v>
      </c>
      <c r="D23" t="b">
        <f>ISNUMBER(MATCH(B23,$J$1:$J$52,0))</f>
        <v>0</v>
      </c>
      <c r="E23" s="34">
        <v>0</v>
      </c>
      <c r="F23" s="34"/>
      <c r="J23" s="36" t="s">
        <v>2667</v>
      </c>
    </row>
    <row r="24" spans="1:10" hidden="1">
      <c r="A24" t="str">
        <f>_xlfn.XLOOKUP(B24,Sheet2!$F$2:$F$1248,Sheet2!$G$2:$G$1248)</f>
        <v>AEX-Index</v>
      </c>
      <c r="B24" t="s">
        <v>1356</v>
      </c>
      <c r="C24" t="s">
        <v>1356</v>
      </c>
      <c r="D24" t="b">
        <f>ISNUMBER(MATCH(B24,$J$1:$J$52,0))</f>
        <v>0</v>
      </c>
      <c r="E24" s="34">
        <v>0</v>
      </c>
      <c r="F24" s="34"/>
      <c r="J24" s="36" t="s">
        <v>1166</v>
      </c>
    </row>
    <row r="25" spans="1:10" hidden="1">
      <c r="A25" t="str">
        <f>_xlfn.XLOOKUP(B25,Sheet2!$F$2:$F$1248,Sheet2!$G$2:$G$1248)</f>
        <v>AMX-Index</v>
      </c>
      <c r="B25" t="s">
        <v>1344</v>
      </c>
      <c r="C25" t="s">
        <v>1356</v>
      </c>
      <c r="D25" t="b">
        <f>ISNUMBER(MATCH(B25,$J$1:$J$52,0))</f>
        <v>0</v>
      </c>
      <c r="E25" s="34">
        <v>0</v>
      </c>
      <c r="F25" s="34"/>
      <c r="J25" s="36" t="s">
        <v>970</v>
      </c>
    </row>
    <row r="26" spans="1:10" hidden="1">
      <c r="A26" t="str">
        <f>_xlfn.XLOOKUP(B26,Sheet2!$F$2:$F$1248,Sheet2!$G$2:$G$1248)</f>
        <v>AScX-Index</v>
      </c>
      <c r="B26" t="s">
        <v>1346</v>
      </c>
      <c r="C26" t="s">
        <v>1356</v>
      </c>
      <c r="D26" t="b">
        <f>ISNUMBER(MATCH(B26,$J$1:$J$52,0))</f>
        <v>0</v>
      </c>
      <c r="E26" s="34">
        <v>0</v>
      </c>
      <c r="F26" s="34"/>
      <c r="J26" s="36" t="s">
        <v>2448</v>
      </c>
    </row>
    <row r="27" spans="1:10" hidden="1">
      <c r="A27" t="str">
        <f>_xlfn.XLOOKUP(B27,Sheet2!$F$2:$F$1248,Sheet2!$G$2:$G$1248)</f>
        <v>BEL 20</v>
      </c>
      <c r="B27" t="s">
        <v>3836</v>
      </c>
      <c r="C27" t="s">
        <v>3909</v>
      </c>
      <c r="D27" t="b">
        <f>ISNUMBER(MATCH(B27,$J$1:$J$52,0))</f>
        <v>0</v>
      </c>
      <c r="E27" s="34">
        <v>0</v>
      </c>
      <c r="F27" s="34"/>
      <c r="J27" s="36" t="s">
        <v>1154</v>
      </c>
    </row>
    <row r="28" spans="1:10" hidden="1">
      <c r="A28" t="str">
        <f>_xlfn.XLOOKUP(B28,Sheet2!$F$2:$F$1248,Sheet2!$G$2:$G$1248)</f>
        <v>BEL All-Share Index</v>
      </c>
      <c r="B28" t="s">
        <v>3844</v>
      </c>
      <c r="C28" t="s">
        <v>3909</v>
      </c>
      <c r="D28" t="b">
        <f>ISNUMBER(MATCH(B28,$J$1:$J$52,0))</f>
        <v>0</v>
      </c>
      <c r="E28" s="34">
        <v>0</v>
      </c>
      <c r="F28" s="34"/>
      <c r="J28" s="36" t="s">
        <v>1058</v>
      </c>
    </row>
    <row r="29" spans="1:10" hidden="1">
      <c r="A29" t="str">
        <f>_xlfn.XLOOKUP(B29,Sheet2!$F$2:$F$1248,Sheet2!$G$2:$G$1248)</f>
        <v>BEL Basic Materials</v>
      </c>
      <c r="B29" t="s">
        <v>248</v>
      </c>
      <c r="C29" t="s">
        <v>3909</v>
      </c>
      <c r="D29" t="b">
        <f>ISNUMBER(MATCH(B29,$J$1:$J$52,0))</f>
        <v>0</v>
      </c>
      <c r="E29" s="34">
        <v>0</v>
      </c>
      <c r="F29" s="34"/>
      <c r="J29" s="36" t="s">
        <v>2394</v>
      </c>
    </row>
    <row r="30" spans="1:10" hidden="1">
      <c r="A30" t="str">
        <f>_xlfn.XLOOKUP(B30,Sheet2!$F$2:$F$1248,Sheet2!$G$2:$G$1248)</f>
        <v>BEL Consumer Discretionary</v>
      </c>
      <c r="B30" t="s">
        <v>172</v>
      </c>
      <c r="C30" t="s">
        <v>3909</v>
      </c>
      <c r="D30" t="b">
        <f>ISNUMBER(MATCH(B30,$J$1:$J$52,0))</f>
        <v>0</v>
      </c>
      <c r="E30" s="34">
        <v>0</v>
      </c>
      <c r="F30" s="34"/>
      <c r="J30" s="36" t="s">
        <v>2562</v>
      </c>
    </row>
    <row r="31" spans="1:10" hidden="1">
      <c r="A31" t="str">
        <f>_xlfn.XLOOKUP(B31,Sheet2!$F$2:$F$1248,Sheet2!$G$2:$G$1248)</f>
        <v>BEL Consumer Staples</v>
      </c>
      <c r="B31" t="s">
        <v>200</v>
      </c>
      <c r="C31" t="s">
        <v>3909</v>
      </c>
      <c r="D31" t="b">
        <f>ISNUMBER(MATCH(B31,$J$1:$J$52,0))</f>
        <v>0</v>
      </c>
      <c r="E31" s="34">
        <v>0</v>
      </c>
      <c r="F31" s="34"/>
      <c r="J31" s="36" t="s">
        <v>917</v>
      </c>
    </row>
    <row r="32" spans="1:10" hidden="1">
      <c r="A32" t="str">
        <f>_xlfn.XLOOKUP(B32,Sheet2!$F$2:$F$1248,Sheet2!$G$2:$G$1248)</f>
        <v>BEL Continuous Stocks Index</v>
      </c>
      <c r="B32" t="s">
        <v>168</v>
      </c>
      <c r="C32" t="s">
        <v>3909</v>
      </c>
      <c r="D32" t="b">
        <f>ISNUMBER(MATCH(B32,$J$1:$J$52,0))</f>
        <v>0</v>
      </c>
      <c r="E32" s="34">
        <v>0</v>
      </c>
      <c r="F32" s="34"/>
      <c r="J32" s="36" t="s">
        <v>941</v>
      </c>
    </row>
    <row r="33" spans="1:10" hidden="1">
      <c r="A33" t="str">
        <f>_xlfn.XLOOKUP(B33,Sheet2!$F$2:$F$1248,Sheet2!$G$2:$G$1248)</f>
        <v>BEL Energy</v>
      </c>
      <c r="B33" t="s">
        <v>141</v>
      </c>
      <c r="C33" t="s">
        <v>3909</v>
      </c>
      <c r="D33" t="b">
        <f>ISNUMBER(MATCH(B33,$J$1:$J$52,0))</f>
        <v>0</v>
      </c>
      <c r="E33" s="34">
        <v>0</v>
      </c>
      <c r="F33" s="34"/>
      <c r="J33" s="36" t="s">
        <v>2580</v>
      </c>
    </row>
    <row r="34" spans="1:10" hidden="1">
      <c r="A34" t="str">
        <f>_xlfn.XLOOKUP(B34,Sheet2!$F$2:$F$1248,Sheet2!$G$2:$G$1248)</f>
        <v>BEL ESG</v>
      </c>
      <c r="B34" t="s">
        <v>3874</v>
      </c>
      <c r="C34" t="s">
        <v>3909</v>
      </c>
      <c r="D34" t="b">
        <f>ISNUMBER(MATCH(B34,$J$1:$J$52,0))</f>
        <v>0</v>
      </c>
      <c r="E34" s="34">
        <v>0</v>
      </c>
      <c r="F34" s="34"/>
      <c r="J34" s="36" t="s">
        <v>3728</v>
      </c>
    </row>
    <row r="35" spans="1:10" hidden="1">
      <c r="A35" t="str">
        <f>_xlfn.XLOOKUP(B35,Sheet2!$F$2:$F$1248,Sheet2!$G$2:$G$1248)</f>
        <v>BEL Financials</v>
      </c>
      <c r="B35" t="s">
        <v>188</v>
      </c>
      <c r="C35" t="s">
        <v>3909</v>
      </c>
      <c r="D35" t="b">
        <f>ISNUMBER(MATCH(B35,$J$1:$J$52,0))</f>
        <v>0</v>
      </c>
      <c r="E35" s="34">
        <v>0</v>
      </c>
      <c r="F35" s="34"/>
      <c r="J35" s="36" t="s">
        <v>2544</v>
      </c>
    </row>
    <row r="36" spans="1:10" hidden="1">
      <c r="A36" t="str">
        <f>_xlfn.XLOOKUP(B36,Sheet2!$F$2:$F$1248,Sheet2!$G$2:$G$1248)</f>
        <v>BEL Health Care</v>
      </c>
      <c r="B36" t="s">
        <v>180</v>
      </c>
      <c r="C36" t="s">
        <v>3909</v>
      </c>
      <c r="D36" t="b">
        <f>ISNUMBER(MATCH(B36,$J$1:$J$52,0))</f>
        <v>0</v>
      </c>
      <c r="E36" s="34">
        <v>0</v>
      </c>
      <c r="F36" s="34"/>
      <c r="J36" s="36" t="s">
        <v>1040</v>
      </c>
    </row>
    <row r="37" spans="1:10" hidden="1">
      <c r="A37" t="str">
        <f>_xlfn.XLOOKUP(B37,Sheet2!$F$2:$F$1248,Sheet2!$G$2:$G$1248)</f>
        <v>BEL Industrials</v>
      </c>
      <c r="B37" t="s">
        <v>176</v>
      </c>
      <c r="C37" t="s">
        <v>3909</v>
      </c>
      <c r="D37" t="b">
        <f>ISNUMBER(MATCH(B37,$J$1:$J$52,0))</f>
        <v>0</v>
      </c>
      <c r="E37" s="34">
        <v>0</v>
      </c>
      <c r="F37" s="34"/>
      <c r="J37" s="36" t="s">
        <v>1017</v>
      </c>
    </row>
    <row r="38" spans="1:10" hidden="1">
      <c r="A38" t="str">
        <f>_xlfn.XLOOKUP(B38,Sheet2!$F$2:$F$1248,Sheet2!$G$2:$G$1248)</f>
        <v>BEL Mid</v>
      </c>
      <c r="B38" t="s">
        <v>3822</v>
      </c>
      <c r="C38" t="s">
        <v>3909</v>
      </c>
      <c r="D38" t="b">
        <f>ISNUMBER(MATCH(B38,$J$1:$J$52,0))</f>
        <v>0</v>
      </c>
      <c r="E38" s="34">
        <v>0</v>
      </c>
      <c r="F38" s="34"/>
      <c r="J38" s="36" t="s">
        <v>2469</v>
      </c>
    </row>
    <row r="39" spans="1:10" hidden="1">
      <c r="A39" t="str">
        <f>_xlfn.XLOOKUP(B39,Sheet2!$F$2:$F$1248,Sheet2!$G$2:$G$1248)</f>
        <v>BEL Real Estate</v>
      </c>
      <c r="B39" t="s">
        <v>3880</v>
      </c>
      <c r="C39" t="s">
        <v>3909</v>
      </c>
      <c r="D39" t="b">
        <f>ISNUMBER(MATCH(B39,$J$1:$J$52,0))</f>
        <v>0</v>
      </c>
      <c r="E39" s="34">
        <v>0</v>
      </c>
      <c r="F39" s="34"/>
      <c r="J39" s="36" t="s">
        <v>2625</v>
      </c>
    </row>
    <row r="40" spans="1:10" hidden="1">
      <c r="A40" t="str">
        <f>_xlfn.XLOOKUP(B40,Sheet2!$F$2:$F$1248,Sheet2!$G$2:$G$1248)</f>
        <v>BEL Small</v>
      </c>
      <c r="B40" t="s">
        <v>3819</v>
      </c>
      <c r="C40" t="s">
        <v>3909</v>
      </c>
      <c r="D40" t="b">
        <f>ISNUMBER(MATCH(B40,$J$1:$J$52,0))</f>
        <v>0</v>
      </c>
      <c r="E40" s="34">
        <v>0</v>
      </c>
      <c r="F40" s="34"/>
      <c r="J40" s="36" t="s">
        <v>1250</v>
      </c>
    </row>
    <row r="41" spans="1:10" hidden="1">
      <c r="A41" t="str">
        <f>_xlfn.XLOOKUP(B41,Sheet2!$F$2:$F$1248,Sheet2!$G$2:$G$1248)</f>
        <v>BEL Technology</v>
      </c>
      <c r="B41" t="s">
        <v>192</v>
      </c>
      <c r="C41" t="s">
        <v>3909</v>
      </c>
      <c r="D41" t="b">
        <f>ISNUMBER(MATCH(B41,$J$1:$J$52,0))</f>
        <v>0</v>
      </c>
      <c r="E41" s="34">
        <v>0</v>
      </c>
      <c r="F41" s="34"/>
      <c r="J41" s="36" t="s">
        <v>1142</v>
      </c>
    </row>
    <row r="42" spans="1:10" hidden="1">
      <c r="A42" t="str">
        <f>_xlfn.XLOOKUP(B42,Sheet2!$F$2:$F$1248,Sheet2!$G$2:$G$1248)</f>
        <v>BEL Telecommunications</v>
      </c>
      <c r="B42" t="s">
        <v>184</v>
      </c>
      <c r="C42" t="s">
        <v>3909</v>
      </c>
      <c r="D42" t="b">
        <f>ISNUMBER(MATCH(B42,$J$1:$J$52,0))</f>
        <v>0</v>
      </c>
      <c r="E42" s="34">
        <v>0</v>
      </c>
      <c r="F42" s="34"/>
      <c r="J42" s="36" t="s">
        <v>2421</v>
      </c>
    </row>
    <row r="43" spans="1:10" hidden="1">
      <c r="A43" t="str">
        <f>_xlfn.XLOOKUP(B43,Sheet2!$F$2:$F$1248,Sheet2!$G$2:$G$1248)</f>
        <v>BEL Utilities</v>
      </c>
      <c r="B43" t="s">
        <v>196</v>
      </c>
      <c r="C43" t="s">
        <v>3909</v>
      </c>
      <c r="D43" t="b">
        <f>ISNUMBER(MATCH(B43,$J$1:$J$52,0))</f>
        <v>0</v>
      </c>
      <c r="E43" s="34">
        <v>0</v>
      </c>
      <c r="F43" s="34"/>
      <c r="J43" s="36" t="s">
        <v>2442</v>
      </c>
    </row>
    <row r="44" spans="1:10" hidden="1">
      <c r="A44" t="str">
        <f>_xlfn.XLOOKUP(B44,Sheet2!$F$2:$F$1248,Sheet2!$G$2:$G$1248)</f>
        <v>CAC 40</v>
      </c>
      <c r="B44" t="s">
        <v>2768</v>
      </c>
      <c r="C44" t="s">
        <v>3892</v>
      </c>
      <c r="D44" t="b">
        <f>ISNUMBER(MATCH(B44,$J$1:$J$52,0))</f>
        <v>0</v>
      </c>
      <c r="E44" s="34">
        <v>0</v>
      </c>
      <c r="F44" s="34"/>
      <c r="J44" s="36" t="s">
        <v>2432</v>
      </c>
    </row>
    <row r="45" spans="1:10" hidden="1">
      <c r="A45" t="str">
        <f>_xlfn.XLOOKUP(B45,Sheet2!$F$2:$F$1248,Sheet2!$G$2:$G$1248)</f>
        <v>CAC 40 Dividend Index</v>
      </c>
      <c r="B45" t="s">
        <v>429</v>
      </c>
      <c r="C45" t="s">
        <v>3892</v>
      </c>
      <c r="D45" t="b">
        <f>ISNUMBER(MATCH(B45,$J$1:$J$52,0))</f>
        <v>0</v>
      </c>
      <c r="E45" s="34">
        <v>0</v>
      </c>
      <c r="F45" s="34"/>
      <c r="J45" s="36" t="s">
        <v>3796</v>
      </c>
    </row>
    <row r="46" spans="1:10" hidden="1">
      <c r="A46" t="str">
        <f>_xlfn.XLOOKUP(B46,Sheet2!$F$2:$F$1248,Sheet2!$G$2:$G$1248)</f>
        <v>CAC 40 Equal Weight</v>
      </c>
      <c r="B46" t="s">
        <v>420</v>
      </c>
      <c r="C46" t="s">
        <v>3892</v>
      </c>
      <c r="D46" t="b">
        <f>ISNUMBER(MATCH(B46,$J$1:$J$52,0))</f>
        <v>0</v>
      </c>
      <c r="E46" s="34">
        <v>0</v>
      </c>
      <c r="F46" s="34"/>
      <c r="J46" s="36" t="s">
        <v>73</v>
      </c>
    </row>
    <row r="47" spans="1:10" hidden="1">
      <c r="A47" t="str">
        <f>_xlfn.XLOOKUP(B47,Sheet2!$F$2:$F$1248,Sheet2!$G$2:$G$1248)</f>
        <v>CAC 40 ESG</v>
      </c>
      <c r="B47" t="s">
        <v>2493</v>
      </c>
      <c r="C47" t="s">
        <v>3892</v>
      </c>
      <c r="D47" t="b">
        <f>ISNUMBER(MATCH(B47,$J$1:$J$52,0))</f>
        <v>1</v>
      </c>
      <c r="E47" s="34">
        <v>0</v>
      </c>
      <c r="F47" s="34"/>
      <c r="J47" s="36" t="s">
        <v>83</v>
      </c>
    </row>
    <row r="48" spans="1:10" hidden="1">
      <c r="A48" t="str">
        <f>_xlfn.XLOOKUP(B48,Sheet2!$F$2:$F$1248,Sheet2!$G$2:$G$1248)</f>
        <v>CAC 40 Governance</v>
      </c>
      <c r="B48" t="s">
        <v>2694</v>
      </c>
      <c r="C48" t="s">
        <v>3892</v>
      </c>
      <c r="D48" t="b">
        <f>ISNUMBER(MATCH(B48,$J$1:$J$52,0))</f>
        <v>1</v>
      </c>
      <c r="E48" s="34">
        <v>0</v>
      </c>
      <c r="F48" s="34"/>
      <c r="J48" s="36" t="s">
        <v>118</v>
      </c>
    </row>
    <row r="49" spans="1:10" hidden="1">
      <c r="A49" t="str">
        <f>_xlfn.XLOOKUP(B49,Sheet2!$F$2:$F$1248,Sheet2!$G$2:$G$1248)</f>
        <v>CAC 40 Inflation Adjusted</v>
      </c>
      <c r="B49" t="s">
        <v>3140</v>
      </c>
      <c r="C49" t="s">
        <v>3892</v>
      </c>
      <c r="D49" t="b">
        <f>ISNUMBER(MATCH(B49,$J$1:$J$52,0))</f>
        <v>0</v>
      </c>
      <c r="E49" s="34">
        <v>0</v>
      </c>
      <c r="F49" s="34"/>
      <c r="J49" s="36" t="s">
        <v>109</v>
      </c>
    </row>
    <row r="50" spans="1:10" hidden="1">
      <c r="A50" t="str">
        <f>_xlfn.XLOOKUP(B50,Sheet2!$F$2:$F$1248,Sheet2!$G$2:$G$1248)</f>
        <v>CAC 40 NR Inflation Adjusted</v>
      </c>
      <c r="B50" t="s">
        <v>3137</v>
      </c>
      <c r="C50" t="s">
        <v>3892</v>
      </c>
      <c r="D50" t="b">
        <f>ISNUMBER(MATCH(B50,$J$1:$J$52,0))</f>
        <v>0</v>
      </c>
      <c r="E50" s="34">
        <v>0</v>
      </c>
      <c r="F50" s="34"/>
      <c r="J50" s="36" t="s">
        <v>99</v>
      </c>
    </row>
    <row r="51" spans="1:10" hidden="1">
      <c r="A51" t="str">
        <f>_xlfn.XLOOKUP(B51,Sheet2!$F$2:$F$1248,Sheet2!$G$2:$G$1248)</f>
        <v>CAC 40 TRF Adjusted</v>
      </c>
      <c r="B51" t="s">
        <v>2993</v>
      </c>
      <c r="C51" t="s">
        <v>3892</v>
      </c>
      <c r="D51" t="b">
        <f>ISNUMBER(MATCH(B51,$J$1:$J$52,0))</f>
        <v>0</v>
      </c>
      <c r="E51" s="34">
        <v>0</v>
      </c>
      <c r="F51" s="34"/>
      <c r="J51" s="36" t="s">
        <v>86</v>
      </c>
    </row>
    <row r="52" spans="1:10" hidden="1">
      <c r="A52" t="str">
        <f>_xlfn.XLOOKUP(B52,Sheet2!$F$2:$F$1248,Sheet2!$G$2:$G$1248)</f>
        <v>CAC All-Share Index</v>
      </c>
      <c r="B52" t="s">
        <v>520</v>
      </c>
      <c r="C52" t="s">
        <v>3892</v>
      </c>
      <c r="D52" t="b">
        <f>ISNUMBER(MATCH(B52,$J$1:$J$52,0))</f>
        <v>0</v>
      </c>
      <c r="E52" s="34">
        <v>0</v>
      </c>
      <c r="F52" s="34"/>
      <c r="J52" s="36" t="s">
        <v>121</v>
      </c>
    </row>
    <row r="53" spans="1:10" hidden="1">
      <c r="A53" t="str">
        <f>_xlfn.XLOOKUP(B53,Sheet2!$F$2:$F$1248,Sheet2!$G$2:$G$1248)</f>
        <v>CAC All-Tradable</v>
      </c>
      <c r="B53" t="s">
        <v>2755</v>
      </c>
      <c r="C53" t="s">
        <v>3892</v>
      </c>
      <c r="D53" t="b">
        <f>ISNUMBER(MATCH(B53,$J$1:$J$52,0))</f>
        <v>0</v>
      </c>
      <c r="E53" s="34">
        <v>0</v>
      </c>
      <c r="F53" s="34"/>
    </row>
    <row r="54" spans="1:10" hidden="1">
      <c r="A54" t="str">
        <f>_xlfn.XLOOKUP(B54,Sheet2!$F$2:$F$1248,Sheet2!$G$2:$G$1248)</f>
        <v>CAC Basic Materials</v>
      </c>
      <c r="B54" t="s">
        <v>474</v>
      </c>
      <c r="C54" t="s">
        <v>3892</v>
      </c>
      <c r="D54" t="b">
        <f>ISNUMBER(MATCH(B54,$J$1:$J$52,0))</f>
        <v>0</v>
      </c>
      <c r="E54" s="34">
        <v>0</v>
      </c>
      <c r="F54" s="34"/>
    </row>
    <row r="55" spans="1:10" hidden="1">
      <c r="A55" t="str">
        <f>_xlfn.XLOOKUP(B55,Sheet2!$F$2:$F$1248,Sheet2!$G$2:$G$1248)</f>
        <v>CAC Consumer Discretionary</v>
      </c>
      <c r="B55" t="s">
        <v>470</v>
      </c>
      <c r="C55" t="s">
        <v>3892</v>
      </c>
      <c r="D55" t="b">
        <f>ISNUMBER(MATCH(B55,$J$1:$J$52,0))</f>
        <v>0</v>
      </c>
      <c r="E55" s="34">
        <v>0</v>
      </c>
      <c r="F55" s="34"/>
    </row>
    <row r="56" spans="1:10" hidden="1">
      <c r="A56" t="str">
        <f>_xlfn.XLOOKUP(B56,Sheet2!$F$2:$F$1248,Sheet2!$G$2:$G$1248)</f>
        <v>CAC Consumer Staples</v>
      </c>
      <c r="B56" t="s">
        <v>466</v>
      </c>
      <c r="C56" t="s">
        <v>3892</v>
      </c>
      <c r="D56" t="b">
        <f>ISNUMBER(MATCH(B56,$J$1:$J$52,0))</f>
        <v>0</v>
      </c>
      <c r="E56" s="34">
        <v>0</v>
      </c>
      <c r="F56" s="34"/>
    </row>
    <row r="57" spans="1:10" hidden="1">
      <c r="A57" t="str">
        <f>_xlfn.XLOOKUP(B57,Sheet2!$F$2:$F$1248,Sheet2!$G$2:$G$1248)</f>
        <v>CAC Energy</v>
      </c>
      <c r="B57" t="s">
        <v>476</v>
      </c>
      <c r="C57" t="s">
        <v>3892</v>
      </c>
      <c r="D57" t="b">
        <f>ISNUMBER(MATCH(B57,$J$1:$J$52,0))</f>
        <v>0</v>
      </c>
      <c r="E57" s="34">
        <v>0</v>
      </c>
      <c r="F57" s="34"/>
    </row>
    <row r="58" spans="1:10" hidden="1">
      <c r="A58" t="str">
        <f>_xlfn.XLOOKUP(B58,Sheet2!$F$2:$F$1248,Sheet2!$G$2:$G$1248)</f>
        <v>CAC Financials</v>
      </c>
      <c r="B58" t="s">
        <v>460</v>
      </c>
      <c r="C58" t="s">
        <v>3892</v>
      </c>
      <c r="D58" t="b">
        <f>ISNUMBER(MATCH(B58,$J$1:$J$52,0))</f>
        <v>0</v>
      </c>
      <c r="E58" s="34">
        <v>0</v>
      </c>
      <c r="F58" s="34"/>
    </row>
    <row r="59" spans="1:10" hidden="1">
      <c r="A59" t="str">
        <f>_xlfn.XLOOKUP(B59,Sheet2!$F$2:$F$1248,Sheet2!$G$2:$G$1248)</f>
        <v>CAC Health Care</v>
      </c>
      <c r="B59" t="s">
        <v>468</v>
      </c>
      <c r="C59" t="s">
        <v>3892</v>
      </c>
      <c r="D59" t="b">
        <f>ISNUMBER(MATCH(B59,$J$1:$J$52,0))</f>
        <v>0</v>
      </c>
      <c r="E59" s="34">
        <v>0</v>
      </c>
      <c r="F59" s="34"/>
    </row>
    <row r="60" spans="1:10" hidden="1">
      <c r="A60" t="str">
        <f>_xlfn.XLOOKUP(B60,Sheet2!$F$2:$F$1248,Sheet2!$G$2:$G$1248)</f>
        <v>CAC Industrials</v>
      </c>
      <c r="B60" t="s">
        <v>472</v>
      </c>
      <c r="C60" t="s">
        <v>3892</v>
      </c>
      <c r="D60" t="b">
        <f>ISNUMBER(MATCH(B60,$J$1:$J$52,0))</f>
        <v>0</v>
      </c>
      <c r="E60" s="34">
        <v>0</v>
      </c>
      <c r="F60" s="34"/>
    </row>
    <row r="61" spans="1:10" hidden="1">
      <c r="A61" t="str">
        <f>_xlfn.XLOOKUP(B61,Sheet2!$F$2:$F$1248,Sheet2!$G$2:$G$1248)</f>
        <v>CAC Large 60</v>
      </c>
      <c r="B61" t="s">
        <v>351</v>
      </c>
      <c r="C61" t="s">
        <v>3892</v>
      </c>
      <c r="D61" t="b">
        <f>ISNUMBER(MATCH(B61,$J$1:$J$52,0))</f>
        <v>0</v>
      </c>
      <c r="E61" s="34">
        <v>0</v>
      </c>
      <c r="F61" s="34"/>
    </row>
    <row r="62" spans="1:10" hidden="1">
      <c r="A62" t="str">
        <f>_xlfn.XLOOKUP(B62,Sheet2!$F$2:$F$1248,Sheet2!$G$2:$G$1248)</f>
        <v>CAC Large 60 Equal Weight</v>
      </c>
      <c r="B62" t="s">
        <v>2734</v>
      </c>
      <c r="C62" t="s">
        <v>3892</v>
      </c>
      <c r="D62" t="b">
        <f>ISNUMBER(MATCH(B62,$J$1:$J$52,0))</f>
        <v>0</v>
      </c>
      <c r="E62" s="34">
        <v>0</v>
      </c>
      <c r="F62" s="34"/>
    </row>
    <row r="63" spans="1:10" hidden="1">
      <c r="A63" t="str">
        <f>_xlfn.XLOOKUP(B63,Sheet2!$F$2:$F$1248,Sheet2!$G$2:$G$1248)</f>
        <v>CAC LARGE 60 EW ER</v>
      </c>
      <c r="B63" t="s">
        <v>2725</v>
      </c>
      <c r="C63" t="s">
        <v>3892</v>
      </c>
      <c r="D63" t="b">
        <f>ISNUMBER(MATCH(B63,$J$1:$J$52,0))</f>
        <v>0</v>
      </c>
      <c r="E63" s="34">
        <v>0</v>
      </c>
      <c r="F63" s="34"/>
    </row>
    <row r="64" spans="1:10" hidden="1">
      <c r="A64" t="str">
        <f>_xlfn.XLOOKUP(B64,Sheet2!$F$2:$F$1248,Sheet2!$G$2:$G$1248)</f>
        <v>CAC Large 60 EW NR JPY</v>
      </c>
      <c r="B64" t="s">
        <v>2697</v>
      </c>
      <c r="C64" t="s">
        <v>3892</v>
      </c>
      <c r="D64" t="b">
        <f>ISNUMBER(MATCH(B64,$J$1:$J$52,0))</f>
        <v>0</v>
      </c>
      <c r="E64" s="34">
        <v>0</v>
      </c>
      <c r="F64" s="34"/>
    </row>
    <row r="65" spans="1:6" hidden="1">
      <c r="A65" t="str">
        <f>_xlfn.XLOOKUP(B65,Sheet2!$F$2:$F$1248,Sheet2!$G$2:$G$1248)</f>
        <v>CAC Large 60 EW NR JPY Hedged</v>
      </c>
      <c r="B65" t="s">
        <v>2701</v>
      </c>
      <c r="C65" t="s">
        <v>3892</v>
      </c>
      <c r="D65" t="b">
        <f>ISNUMBER(MATCH(B65,$J$1:$J$52,0))</f>
        <v>0</v>
      </c>
      <c r="E65" s="34">
        <v>0</v>
      </c>
      <c r="F65" s="34"/>
    </row>
    <row r="66" spans="1:6" hidden="1">
      <c r="A66" t="str">
        <f>_xlfn.XLOOKUP(B66,Sheet2!$F$2:$F$1248,Sheet2!$G$2:$G$1248)</f>
        <v>CAC Large 60 RI SW</v>
      </c>
      <c r="B66" t="s">
        <v>2607</v>
      </c>
      <c r="C66" t="s">
        <v>3892</v>
      </c>
      <c r="D66" t="b">
        <f>ISNUMBER(MATCH(B66,$J$1:$J$52,0))</f>
        <v>0</v>
      </c>
      <c r="E66" s="34">
        <v>0</v>
      </c>
      <c r="F66" s="34"/>
    </row>
    <row r="67" spans="1:6" hidden="1">
      <c r="A67" t="str">
        <f>_xlfn.XLOOKUP(B67,Sheet2!$F$2:$F$1248,Sheet2!$G$2:$G$1248)</f>
        <v>CAC Mid &amp; Small</v>
      </c>
      <c r="B67" t="s">
        <v>522</v>
      </c>
      <c r="C67" t="s">
        <v>3892</v>
      </c>
      <c r="D67" t="b">
        <f>ISNUMBER(MATCH(B67,$J$1:$J$52,0))</f>
        <v>0</v>
      </c>
      <c r="E67" s="34">
        <v>0</v>
      </c>
      <c r="F67" s="34"/>
    </row>
    <row r="68" spans="1:6" hidden="1">
      <c r="A68" t="str">
        <f>_xlfn.XLOOKUP(B68,Sheet2!$F$2:$F$1248,Sheet2!$G$2:$G$1248)</f>
        <v>CAC Mid 60</v>
      </c>
      <c r="B68" t="s">
        <v>527</v>
      </c>
      <c r="C68" t="s">
        <v>3892</v>
      </c>
      <c r="D68" t="b">
        <f>ISNUMBER(MATCH(B68,$J$1:$J$52,0))</f>
        <v>0</v>
      </c>
      <c r="E68" s="34">
        <v>0</v>
      </c>
      <c r="F68" s="34"/>
    </row>
    <row r="69" spans="1:6" hidden="1">
      <c r="A69" t="str">
        <f>_xlfn.XLOOKUP(B69,Sheet2!$F$2:$F$1248,Sheet2!$G$2:$G$1248)</f>
        <v>CAC Next 20</v>
      </c>
      <c r="B69" t="s">
        <v>531</v>
      </c>
      <c r="C69" t="s">
        <v>3892</v>
      </c>
      <c r="D69" t="b">
        <f>ISNUMBER(MATCH(B69,$J$1:$J$52,0))</f>
        <v>0</v>
      </c>
      <c r="E69" s="34">
        <v>0</v>
      </c>
      <c r="F69" s="34"/>
    </row>
    <row r="70" spans="1:6" hidden="1">
      <c r="A70" t="str">
        <f>_xlfn.XLOOKUP(B70,Sheet2!$F$2:$F$1248,Sheet2!$G$2:$G$1248)</f>
        <v>CAC Real Estate</v>
      </c>
      <c r="B70" t="s">
        <v>2535</v>
      </c>
      <c r="C70" t="s">
        <v>3892</v>
      </c>
      <c r="D70" t="b">
        <f>ISNUMBER(MATCH(B70,$J$1:$J$52,0))</f>
        <v>0</v>
      </c>
      <c r="E70" s="34">
        <v>0</v>
      </c>
      <c r="F70" s="34"/>
    </row>
    <row r="71" spans="1:6" hidden="1">
      <c r="A71" t="str">
        <f>_xlfn.XLOOKUP(B71,Sheet2!$F$2:$F$1248,Sheet2!$G$2:$G$1248)</f>
        <v>CAC Small</v>
      </c>
      <c r="B71" t="s">
        <v>524</v>
      </c>
      <c r="C71" t="s">
        <v>3892</v>
      </c>
      <c r="D71" t="b">
        <f>ISNUMBER(MATCH(B71,$J$1:$J$52,0))</f>
        <v>0</v>
      </c>
      <c r="E71" s="34">
        <v>0</v>
      </c>
      <c r="F71" s="34"/>
    </row>
    <row r="72" spans="1:6" hidden="1">
      <c r="A72" t="str">
        <f>_xlfn.XLOOKUP(B72,Sheet2!$F$2:$F$1248,Sheet2!$G$2:$G$1248)</f>
        <v>CAC Technology</v>
      </c>
      <c r="B72" t="s">
        <v>458</v>
      </c>
      <c r="C72" t="s">
        <v>3892</v>
      </c>
      <c r="D72" t="b">
        <f>ISNUMBER(MATCH(B72,$J$1:$J$52,0))</f>
        <v>0</v>
      </c>
      <c r="E72" s="34">
        <v>0</v>
      </c>
      <c r="F72" s="34"/>
    </row>
    <row r="73" spans="1:6" hidden="1">
      <c r="A73" t="str">
        <f>_xlfn.XLOOKUP(B73,Sheet2!$F$2:$F$1248,Sheet2!$G$2:$G$1248)</f>
        <v>CAC Telecommunications</v>
      </c>
      <c r="B73" t="s">
        <v>464</v>
      </c>
      <c r="C73" t="s">
        <v>3892</v>
      </c>
      <c r="D73" t="b">
        <f>ISNUMBER(MATCH(B73,$J$1:$J$52,0))</f>
        <v>0</v>
      </c>
      <c r="E73" s="34">
        <v>0</v>
      </c>
      <c r="F73" s="34"/>
    </row>
    <row r="74" spans="1:6" hidden="1">
      <c r="A74" t="str">
        <f>_xlfn.XLOOKUP(B74,Sheet2!$F$2:$F$1248,Sheet2!$G$2:$G$1248)</f>
        <v>CAC Utilities</v>
      </c>
      <c r="B74" t="s">
        <v>462</v>
      </c>
      <c r="C74" t="s">
        <v>3892</v>
      </c>
      <c r="D74" t="b">
        <f>ISNUMBER(MATCH(B74,$J$1:$J$52,0))</f>
        <v>0</v>
      </c>
      <c r="E74" s="34">
        <v>0</v>
      </c>
      <c r="F74" s="34"/>
    </row>
    <row r="75" spans="1:6" hidden="1">
      <c r="A75" t="str">
        <f>_xlfn.XLOOKUP(B75,Sheet2!$F$2:$F$1248,Sheet2!$G$2:$G$1248)</f>
        <v>EN CDP ENV FR Ex Oil &amp; Gas EW</v>
      </c>
      <c r="B75" t="s">
        <v>1031</v>
      </c>
      <c r="C75" t="s">
        <v>4717</v>
      </c>
      <c r="D75" t="b">
        <f>ISNUMBER(MATCH(B75,$J$1:$J$52,0))</f>
        <v>0</v>
      </c>
      <c r="E75" s="34">
        <v>0</v>
      </c>
      <c r="F75" s="34"/>
    </row>
    <row r="76" spans="1:6" hidden="1">
      <c r="A76" t="str">
        <f>_xlfn.XLOOKUP(B76,Sheet2!$F$2:$F$1248,Sheet2!$G$2:$G$1248)</f>
        <v>EN CDP Environment ESG Eurozone EW</v>
      </c>
      <c r="B76" t="s">
        <v>948</v>
      </c>
      <c r="C76" t="s">
        <v>4717</v>
      </c>
      <c r="D76" t="b">
        <f>ISNUMBER(MATCH(B76,$J$1:$J$52,0))</f>
        <v>1</v>
      </c>
      <c r="E76" s="34">
        <v>0</v>
      </c>
      <c r="F76" s="34"/>
    </row>
    <row r="77" spans="1:6" hidden="1">
      <c r="A77" t="str">
        <f>_xlfn.XLOOKUP(B77,Sheet2!$F$2:$F$1248,Sheet2!$G$2:$G$1248)</f>
        <v>EN CDP Environment France EW</v>
      </c>
      <c r="B77" t="s">
        <v>1085</v>
      </c>
      <c r="C77" t="s">
        <v>4717</v>
      </c>
      <c r="D77" t="b">
        <f>ISNUMBER(MATCH(B77,$J$1:$J$52,0))</f>
        <v>0</v>
      </c>
      <c r="E77" s="34">
        <v>0</v>
      </c>
      <c r="F77" s="34"/>
    </row>
    <row r="78" spans="1:6" hidden="1">
      <c r="A78" t="str">
        <f>_xlfn.XLOOKUP(B78,Sheet2!$F$2:$F$1248,Sheet2!$G$2:$G$1248)</f>
        <v>EN Climate Objective 50 Euro EW</v>
      </c>
      <c r="B78" t="s">
        <v>1076</v>
      </c>
      <c r="C78" t="s">
        <v>4717</v>
      </c>
      <c r="D78" t="b">
        <f>ISNUMBER(MATCH(B78,$J$1:$J$52,0))</f>
        <v>0</v>
      </c>
      <c r="E78" s="34">
        <v>0</v>
      </c>
      <c r="F78" s="34"/>
    </row>
    <row r="79" spans="1:6" hidden="1">
      <c r="A79" t="str">
        <f>_xlfn.XLOOKUP(B79,Sheet2!$F$2:$F$1248,Sheet2!$G$2:$G$1248)</f>
        <v>EN Climate Orientation Priority 50 EW</v>
      </c>
      <c r="B79" t="s">
        <v>1306</v>
      </c>
      <c r="C79" t="s">
        <v>4717</v>
      </c>
      <c r="D79" t="b">
        <f>ISNUMBER(MATCH(B79,$J$1:$J$52,0))</f>
        <v>0</v>
      </c>
      <c r="E79" s="34">
        <v>0</v>
      </c>
      <c r="F79" s="34"/>
    </row>
    <row r="80" spans="1:6" hidden="1">
      <c r="A80" t="str">
        <f>_xlfn.XLOOKUP(B80,Sheet2!$F$2:$F$1248,Sheet2!$G$2:$G$1248)</f>
        <v>EN Core Europe 30 ESG EW</v>
      </c>
      <c r="B80" t="s">
        <v>1040</v>
      </c>
      <c r="C80" t="s">
        <v>4717</v>
      </c>
      <c r="D80" t="b">
        <f>ISNUMBER(MATCH(B80,$J$1:$J$52,0))</f>
        <v>1</v>
      </c>
      <c r="E80" s="34">
        <v>0</v>
      </c>
      <c r="F80" s="34"/>
    </row>
    <row r="81" spans="1:6" hidden="1">
      <c r="A81" t="str">
        <f>_xlfn.XLOOKUP(B81,Sheet2!$F$2:$F$1248,Sheet2!$G$2:$G$1248)</f>
        <v>EN Europe Sustainable 100 EW</v>
      </c>
      <c r="B81" t="s">
        <v>1142</v>
      </c>
      <c r="C81" t="s">
        <v>4717</v>
      </c>
      <c r="D81" t="b">
        <f>ISNUMBER(MATCH(B81,$J$1:$J$52,0))</f>
        <v>1</v>
      </c>
      <c r="E81" s="34">
        <v>0</v>
      </c>
      <c r="F81" s="34"/>
    </row>
    <row r="82" spans="1:6" hidden="1">
      <c r="A82" t="str">
        <f>_xlfn.XLOOKUP(B82,Sheet2!$F$2:$F$1248,Sheet2!$G$2:$G$1248)</f>
        <v>EN Eurozone Mid and Large 60 EW</v>
      </c>
      <c r="B82" t="s">
        <v>1049</v>
      </c>
      <c r="C82" t="s">
        <v>4717</v>
      </c>
      <c r="D82" t="b">
        <f>ISNUMBER(MATCH(B82,$J$1:$J$52,0))</f>
        <v>0</v>
      </c>
      <c r="E82" s="34">
        <v>0</v>
      </c>
      <c r="F82" s="34"/>
    </row>
    <row r="83" spans="1:6" hidden="1">
      <c r="A83" t="str">
        <f>_xlfn.XLOOKUP(B83,Sheet2!$F$2:$F$1248,Sheet2!$G$2:$G$1248)</f>
        <v>EN Eurozone Next 100 EW</v>
      </c>
      <c r="B83" t="s">
        <v>1094</v>
      </c>
      <c r="C83" t="s">
        <v>4717</v>
      </c>
      <c r="D83" t="b">
        <f>ISNUMBER(MATCH(B83,$J$1:$J$52,0))</f>
        <v>0</v>
      </c>
      <c r="E83" s="34">
        <v>0</v>
      </c>
      <c r="F83" s="34"/>
    </row>
    <row r="84" spans="1:6" hidden="1">
      <c r="A84" t="str">
        <f>_xlfn.XLOOKUP(B84,Sheet2!$F$2:$F$1248,Sheet2!$G$2:$G$1248)</f>
        <v>EN France 20-40 Challengers EW</v>
      </c>
      <c r="B84" t="s">
        <v>2652</v>
      </c>
      <c r="C84" t="s">
        <v>4717</v>
      </c>
      <c r="D84" t="b">
        <f>ISNUMBER(MATCH(B84,$J$1:$J$52,0))</f>
        <v>0</v>
      </c>
      <c r="E84" s="34">
        <v>0</v>
      </c>
      <c r="F84" s="34"/>
    </row>
    <row r="85" spans="1:6" hidden="1">
      <c r="A85" t="str">
        <f>_xlfn.XLOOKUP(B85,Sheet2!$F$2:$F$1248,Sheet2!$G$2:$G$1248)</f>
        <v>EN France Next 40 EW</v>
      </c>
      <c r="B85" t="s">
        <v>2643</v>
      </c>
      <c r="C85" t="s">
        <v>4717</v>
      </c>
      <c r="D85" t="b">
        <f>ISNUMBER(MATCH(B85,$J$1:$J$52,0))</f>
        <v>0</v>
      </c>
      <c r="E85" s="34">
        <v>0</v>
      </c>
      <c r="F85" s="34"/>
    </row>
    <row r="86" spans="1:6" hidden="1">
      <c r="A86" t="str">
        <f>_xlfn.XLOOKUP(B86,Sheet2!$F$2:$F$1248,Sheet2!$G$2:$G$1248)</f>
        <v>EN Reitsmarket Global Conviction</v>
      </c>
      <c r="B86" t="s">
        <v>1229</v>
      </c>
      <c r="C86" t="s">
        <v>4719</v>
      </c>
      <c r="D86" t="b">
        <f>ISNUMBER(MATCH(B86,$J$1:$J$52,0))</f>
        <v>0</v>
      </c>
      <c r="E86" s="34">
        <v>0</v>
      </c>
      <c r="F86" s="34"/>
    </row>
    <row r="87" spans="1:6" hidden="1">
      <c r="A87" t="str">
        <f>_xlfn.XLOOKUP(B87,Sheet2!$F$2:$F$1248,Sheet2!$G$2:$G$1248)</f>
        <v>EN Responsible Investment Euro 50 EW</v>
      </c>
      <c r="B87" t="s">
        <v>1007</v>
      </c>
      <c r="C87" t="s">
        <v>4717</v>
      </c>
      <c r="D87" t="b">
        <f>ISNUMBER(MATCH(B87,$J$1:$J$52,0))</f>
        <v>0</v>
      </c>
      <c r="E87" s="34">
        <v>0</v>
      </c>
      <c r="F87" s="34"/>
    </row>
    <row r="88" spans="1:6" hidden="1">
      <c r="A88" t="str">
        <f>_xlfn.XLOOKUP(B88,Sheet2!$F$2:$F$1248,Sheet2!$G$2:$G$1248)</f>
        <v>EN Transatlantic 50 EW</v>
      </c>
      <c r="B88" t="s">
        <v>1012</v>
      </c>
      <c r="C88" t="s">
        <v>4717</v>
      </c>
      <c r="D88" t="b">
        <f>ISNUMBER(MATCH(B88,$J$1:$J$52,0))</f>
        <v>0</v>
      </c>
      <c r="E88" s="34">
        <v>0</v>
      </c>
      <c r="F88" s="34"/>
    </row>
    <row r="89" spans="1:6" hidden="1">
      <c r="A89" s="35" t="str">
        <f>_xlfn.XLOOKUP(B89,Sheet2!$F$2:$F$1248,Sheet2!$G$2:$G$1248)</f>
        <v>Euronext BeNeLux ESG Leaders 20</v>
      </c>
      <c r="B89" s="35" t="s">
        <v>1058</v>
      </c>
      <c r="C89" s="35" t="s">
        <v>4720</v>
      </c>
      <c r="D89" t="b">
        <f>ISNUMBER(MATCH(B89,$J$1:$J$52,0))</f>
        <v>1</v>
      </c>
      <c r="E89" s="34">
        <v>0</v>
      </c>
      <c r="F89" s="34"/>
    </row>
    <row r="90" spans="1:6" hidden="1">
      <c r="A90" t="str">
        <f>_xlfn.XLOOKUP(B90,Sheet2!$F$2:$F$1248,Sheet2!$G$2:$G$1248)</f>
        <v>Euronext CDP Environment Eurozone EW</v>
      </c>
      <c r="B90" t="s">
        <v>984</v>
      </c>
      <c r="C90" t="s">
        <v>4717</v>
      </c>
      <c r="D90" t="b">
        <f>ISNUMBER(MATCH(B90,$J$1:$J$52,0))</f>
        <v>0</v>
      </c>
      <c r="E90" s="34">
        <v>0</v>
      </c>
      <c r="F90" s="34"/>
    </row>
    <row r="91" spans="1:6" hidden="1">
      <c r="A91" t="str">
        <f>_xlfn.XLOOKUP(B91,Sheet2!$F$2:$F$1248,Sheet2!$G$2:$G$1248)</f>
        <v>Euronext CDP Environment World EW</v>
      </c>
      <c r="B91" t="s">
        <v>979</v>
      </c>
      <c r="C91" t="s">
        <v>4717</v>
      </c>
      <c r="D91" t="b">
        <f>ISNUMBER(MATCH(B91,$J$1:$J$52,0))</f>
        <v>0</v>
      </c>
      <c r="E91" s="34">
        <v>0</v>
      </c>
      <c r="F91" s="34"/>
    </row>
    <row r="92" spans="1:6" hidden="1">
      <c r="A92" t="str">
        <f>_xlfn.XLOOKUP(B92,Sheet2!$F$2:$F$1248,Sheet2!$G$2:$G$1248)</f>
        <v>Euronext CDP Water Eurozone EW</v>
      </c>
      <c r="B92" t="s">
        <v>846</v>
      </c>
      <c r="C92" t="s">
        <v>4717</v>
      </c>
      <c r="D92" t="b">
        <f>ISNUMBER(MATCH(B92,$J$1:$J$52,0))</f>
        <v>1</v>
      </c>
      <c r="E92" s="34">
        <v>0</v>
      </c>
      <c r="F92" s="34"/>
    </row>
    <row r="93" spans="1:6" hidden="1">
      <c r="A93" t="str">
        <f>_xlfn.XLOOKUP(B93,Sheet2!$F$2:$F$1248,Sheet2!$G$2:$G$1248)</f>
        <v>Euronext Climate Objective 50 EW</v>
      </c>
      <c r="B93" t="s">
        <v>1272</v>
      </c>
      <c r="C93" t="s">
        <v>4717</v>
      </c>
      <c r="D93" t="b">
        <f>ISNUMBER(MATCH(B93,$J$1:$J$52,0))</f>
        <v>0</v>
      </c>
      <c r="E93" s="34">
        <v>0</v>
      </c>
      <c r="F93" s="34"/>
    </row>
    <row r="94" spans="1:6" hidden="1">
      <c r="A94" t="str">
        <f>_xlfn.XLOOKUP(B94,Sheet2!$F$2:$F$1248,Sheet2!$G$2:$G$1248)</f>
        <v>Euronext Core Europe 100 ESG EW</v>
      </c>
      <c r="B94" t="s">
        <v>1017</v>
      </c>
      <c r="C94" t="s">
        <v>4717</v>
      </c>
      <c r="D94" t="b">
        <f>ISNUMBER(MATCH(B94,$J$1:$J$52,0))</f>
        <v>1</v>
      </c>
      <c r="E94" s="34">
        <v>0</v>
      </c>
      <c r="F94" s="34"/>
    </row>
    <row r="95" spans="1:6" hidden="1">
      <c r="A95" t="str">
        <f>_xlfn.XLOOKUP(B95,Sheet2!$F$2:$F$1248,Sheet2!$G$2:$G$1248)</f>
        <v>Euronext Core Europe 100 EW</v>
      </c>
      <c r="B95" t="s">
        <v>1292</v>
      </c>
      <c r="C95" t="s">
        <v>4717</v>
      </c>
      <c r="D95" t="b">
        <f>ISNUMBER(MATCH(B95,$J$1:$J$52,0))</f>
        <v>0</v>
      </c>
      <c r="E95" s="34">
        <v>0</v>
      </c>
      <c r="F95" s="34"/>
    </row>
    <row r="96" spans="1:6" hidden="1">
      <c r="A96" t="str">
        <f>_xlfn.XLOOKUP(B96,Sheet2!$F$2:$F$1248,Sheet2!$G$2:$G$1248)</f>
        <v>Euronext Core Europe 30 EW</v>
      </c>
      <c r="B96" t="s">
        <v>1238</v>
      </c>
      <c r="C96" t="s">
        <v>4717</v>
      </c>
      <c r="D96" t="b">
        <f>ISNUMBER(MATCH(B96,$J$1:$J$52,0))</f>
        <v>0</v>
      </c>
      <c r="E96" s="34">
        <v>0</v>
      </c>
      <c r="F96" s="34"/>
    </row>
    <row r="97" spans="1:6" hidden="1">
      <c r="A97" s="35" t="str">
        <f>_xlfn.XLOOKUP(B97,Sheet2!$F$2:$F$1248,Sheet2!$G$2:$G$1248)</f>
        <v>Euronext Core Europe PAB 50</v>
      </c>
      <c r="B97" s="35" t="s">
        <v>2432</v>
      </c>
      <c r="C97" s="35" t="s">
        <v>4720</v>
      </c>
      <c r="D97" t="b">
        <f>ISNUMBER(MATCH(B97,$J$1:$J$52,0))</f>
        <v>1</v>
      </c>
      <c r="E97" s="34">
        <v>0</v>
      </c>
      <c r="F97" s="34"/>
    </row>
    <row r="98" spans="1:6" hidden="1">
      <c r="A98" s="35" t="str">
        <f>_xlfn.XLOOKUP(B98,Sheet2!$F$2:$F$1248,Sheet2!$G$2:$G$1248)</f>
        <v>Euronext ESG Eurozone Biodiversity Leaders PAB</v>
      </c>
      <c r="B98" s="35" t="s">
        <v>3626</v>
      </c>
      <c r="C98" s="35" t="s">
        <v>4720</v>
      </c>
      <c r="D98" t="b">
        <f>ISNUMBER(MATCH(B98,$J$1:$J$52,0))</f>
        <v>1</v>
      </c>
      <c r="E98" s="34">
        <v>0</v>
      </c>
      <c r="F98" s="34"/>
    </row>
    <row r="99" spans="1:6" hidden="1">
      <c r="A99" t="str">
        <f>_xlfn.XLOOKUP(B99,Sheet2!$F$2:$F$1248,Sheet2!$G$2:$G$1248)</f>
        <v>Euronext Euro 50 ESG EW</v>
      </c>
      <c r="B99" t="s">
        <v>1250</v>
      </c>
      <c r="C99" t="s">
        <v>4717</v>
      </c>
      <c r="D99" t="b">
        <f>ISNUMBER(MATCH(B99,$J$1:$J$52,0))</f>
        <v>1</v>
      </c>
      <c r="E99" s="34">
        <v>0</v>
      </c>
      <c r="F99" s="34"/>
    </row>
    <row r="100" spans="1:6" hidden="1">
      <c r="A100" s="35" t="str">
        <f>_xlfn.XLOOKUP(B100,Sheet2!$F$2:$F$1248,Sheet2!$G$2:$G$1248)</f>
        <v>Euronext Eurozone 100 ESG</v>
      </c>
      <c r="B100" s="35" t="s">
        <v>1067</v>
      </c>
      <c r="C100" s="35" t="s">
        <v>4720</v>
      </c>
      <c r="D100" t="b">
        <f>ISNUMBER(MATCH(B100,$J$1:$J$52,0))</f>
        <v>1</v>
      </c>
      <c r="E100" s="34">
        <v>0</v>
      </c>
      <c r="F100" s="34"/>
    </row>
    <row r="101" spans="1:6" hidden="1">
      <c r="A101" t="str">
        <f>_xlfn.XLOOKUP(B101,Sheet2!$F$2:$F$1248,Sheet2!$G$2:$G$1248)</f>
        <v>Euronext Eurozone 150 EW</v>
      </c>
      <c r="B101" t="s">
        <v>1103</v>
      </c>
      <c r="C101" t="s">
        <v>4717</v>
      </c>
      <c r="D101" t="b">
        <f>ISNUMBER(MATCH(B101,$J$1:$J$52,0))</f>
        <v>0</v>
      </c>
      <c r="E101" s="34">
        <v>0</v>
      </c>
      <c r="F101" s="34"/>
    </row>
    <row r="102" spans="1:6" hidden="1">
      <c r="A102" t="str">
        <f>_xlfn.XLOOKUP(B102,Sheet2!$F$2:$F$1248,Sheet2!$G$2:$G$1248)</f>
        <v>Euronext Eurozone 40 EW</v>
      </c>
      <c r="B102" t="s">
        <v>1178</v>
      </c>
      <c r="C102" t="s">
        <v>4717</v>
      </c>
      <c r="D102" t="b">
        <f>ISNUMBER(MATCH(B102,$J$1:$J$52,0))</f>
        <v>0</v>
      </c>
      <c r="E102" s="34">
        <v>0</v>
      </c>
      <c r="F102" s="34"/>
    </row>
    <row r="103" spans="1:6" hidden="1">
      <c r="A103" t="str">
        <f>_xlfn.XLOOKUP(B103,Sheet2!$F$2:$F$1248,Sheet2!$G$2:$G$1248)</f>
        <v>Euronext Eurozone 60 EW</v>
      </c>
      <c r="B103" t="s">
        <v>1128</v>
      </c>
      <c r="C103" t="s">
        <v>4717</v>
      </c>
      <c r="D103" t="b">
        <f>ISNUMBER(MATCH(B103,$J$1:$J$52,0))</f>
        <v>0</v>
      </c>
      <c r="E103" s="34">
        <v>0</v>
      </c>
      <c r="F103" s="34"/>
    </row>
    <row r="104" spans="1:6" hidden="1">
      <c r="A104" t="str">
        <f>_xlfn.XLOOKUP(B104,Sheet2!$F$2:$F$1248,Sheet2!$G$2:$G$1248)</f>
        <v>Euronext Eurozone Banks Dividend</v>
      </c>
      <c r="B104" t="s">
        <v>3263</v>
      </c>
      <c r="C104" t="s">
        <v>4722</v>
      </c>
      <c r="D104" t="b">
        <f>ISNUMBER(MATCH(B104,$J$1:$J$52,0))</f>
        <v>0</v>
      </c>
      <c r="E104" s="34">
        <v>0</v>
      </c>
      <c r="F104" s="34"/>
    </row>
    <row r="105" spans="1:6" hidden="1">
      <c r="A105" s="35" t="str">
        <f>_xlfn.XLOOKUP(B105,Sheet2!$F$2:$F$1248,Sheet2!$G$2:$G$1248)</f>
        <v>Euronext Eurozone ESG Large 80</v>
      </c>
      <c r="B105" s="35" t="s">
        <v>2571</v>
      </c>
      <c r="C105" s="35" t="s">
        <v>4720</v>
      </c>
      <c r="D105" t="b">
        <f>ISNUMBER(MATCH(B105,$J$1:$J$52,0))</f>
        <v>1</v>
      </c>
      <c r="E105" s="34">
        <v>0</v>
      </c>
      <c r="F105" s="34"/>
    </row>
    <row r="106" spans="1:6" hidden="1">
      <c r="A106" t="str">
        <f>_xlfn.XLOOKUP(B106,Sheet2!$F$2:$F$1248,Sheet2!$G$2:$G$1248)</f>
        <v>Euronext Eurozone ESG Leaders 40 EW</v>
      </c>
      <c r="B106" t="s">
        <v>1166</v>
      </c>
      <c r="C106" t="s">
        <v>4717</v>
      </c>
      <c r="D106" t="b">
        <f>ISNUMBER(MATCH(B106,$J$1:$J$52,0))</f>
        <v>1</v>
      </c>
      <c r="E106" s="34">
        <v>0</v>
      </c>
      <c r="F106" s="34"/>
    </row>
    <row r="107" spans="1:6" hidden="1">
      <c r="A107" s="35" t="str">
        <f>_xlfn.XLOOKUP(B107,Sheet2!$F$2:$F$1248,Sheet2!$G$2:$G$1248)</f>
        <v>Euronext Eurozone PAB 50</v>
      </c>
      <c r="B107" s="35" t="s">
        <v>2442</v>
      </c>
      <c r="C107" s="35" t="s">
        <v>4720</v>
      </c>
      <c r="D107" t="b">
        <f>ISNUMBER(MATCH(B107,$J$1:$J$52,0))</f>
        <v>1</v>
      </c>
      <c r="E107" s="34">
        <v>0</v>
      </c>
      <c r="F107" s="34"/>
    </row>
    <row r="108" spans="1:6" hidden="1">
      <c r="A108" t="str">
        <f>_xlfn.XLOOKUP(B108,Sheet2!$F$2:$F$1248,Sheet2!$G$2:$G$1248)</f>
        <v>Euronext EZ ESGL 40 EW</v>
      </c>
      <c r="B108" t="s">
        <v>941</v>
      </c>
      <c r="C108" t="s">
        <v>4717</v>
      </c>
      <c r="D108" t="b">
        <f>ISNUMBER(MATCH(B108,$J$1:$J$52,0))</f>
        <v>1</v>
      </c>
      <c r="E108" s="34">
        <v>0</v>
      </c>
      <c r="F108" s="34"/>
    </row>
    <row r="109" spans="1:6" hidden="1">
      <c r="A109" t="str">
        <f>_xlfn.XLOOKUP(B109,Sheet2!$F$2:$F$1248,Sheet2!$G$2:$G$1248)</f>
        <v>Euronext France 20 EW</v>
      </c>
      <c r="B109" t="s">
        <v>2634</v>
      </c>
      <c r="C109" t="s">
        <v>4717</v>
      </c>
      <c r="D109" t="b">
        <f>ISNUMBER(MATCH(B109,$J$1:$J$52,0))</f>
        <v>0</v>
      </c>
      <c r="E109" s="34">
        <v>0</v>
      </c>
      <c r="F109" s="34"/>
    </row>
    <row r="110" spans="1:6" hidden="1">
      <c r="A110" t="str">
        <f>_xlfn.XLOOKUP(B110,Sheet2!$F$2:$F$1248,Sheet2!$G$2:$G$1248)</f>
        <v>Euronext France ESG Leaders 40 EW</v>
      </c>
      <c r="B110" t="s">
        <v>2679</v>
      </c>
      <c r="C110" t="s">
        <v>4717</v>
      </c>
      <c r="D110" t="b">
        <f>ISNUMBER(MATCH(B110,$J$1:$J$52,0))</f>
        <v>1</v>
      </c>
      <c r="E110" s="34">
        <v>0</v>
      </c>
      <c r="F110" s="34"/>
    </row>
    <row r="111" spans="1:6" hidden="1">
      <c r="A111" t="str">
        <f>_xlfn.XLOOKUP(B111,Sheet2!$F$2:$F$1248,Sheet2!$G$2:$G$1248)</f>
        <v>Euronext France Eurozone 60 EW</v>
      </c>
      <c r="B111" t="s">
        <v>1119</v>
      </c>
      <c r="C111" t="s">
        <v>4717</v>
      </c>
      <c r="D111" t="b">
        <f>ISNUMBER(MATCH(B111,$J$1:$J$52,0))</f>
        <v>0</v>
      </c>
      <c r="E111" s="34">
        <v>0</v>
      </c>
      <c r="F111" s="34"/>
    </row>
    <row r="112" spans="1:6" hidden="1">
      <c r="A112" s="35" t="str">
        <f>_xlfn.XLOOKUP(B112,Sheet2!$F$2:$F$1248,Sheet2!$G$2:$G$1248)</f>
        <v>Euronext France PAB 50</v>
      </c>
      <c r="B112" s="35" t="s">
        <v>2421</v>
      </c>
      <c r="C112" s="35" t="s">
        <v>4720</v>
      </c>
      <c r="D112" s="37" t="b">
        <f>ISNUMBER(MATCH(B112,$J$1:$J$52,0))</f>
        <v>1</v>
      </c>
      <c r="E112" s="34">
        <v>0</v>
      </c>
      <c r="F112" s="34"/>
    </row>
    <row r="113" spans="1:6" hidden="1">
      <c r="A113" s="35" t="str">
        <f>_xlfn.XLOOKUP(B113,Sheet2!$F$2:$F$1248,Sheet2!$G$2:$G$1248)</f>
        <v>Euronext France Social</v>
      </c>
      <c r="B113" s="35" t="s">
        <v>2361</v>
      </c>
      <c r="C113" s="35" t="s">
        <v>4720</v>
      </c>
      <c r="D113" s="37" t="b">
        <f>ISNUMBER(MATCH(B113,$J$1:$J$52,0))</f>
        <v>1</v>
      </c>
      <c r="E113" s="34">
        <v>0</v>
      </c>
      <c r="F113" s="34"/>
    </row>
    <row r="114" spans="1:6" hidden="1">
      <c r="A114" t="str">
        <f>_xlfn.XLOOKUP(B114,Sheet2!$F$2:$F$1248,Sheet2!$G$2:$G$1248)</f>
        <v>Euronext French Employment 40 EW</v>
      </c>
      <c r="B114" t="s">
        <v>3603</v>
      </c>
      <c r="C114" t="s">
        <v>4717</v>
      </c>
      <c r="D114" s="37" t="b">
        <f>ISNUMBER(MATCH(B114,$J$1:$J$52,0))</f>
        <v>0</v>
      </c>
      <c r="E114" s="34">
        <v>0</v>
      </c>
      <c r="F114" s="34"/>
    </row>
    <row r="115" spans="1:6" hidden="1">
      <c r="A115" t="str">
        <f>_xlfn.XLOOKUP(B115,Sheet2!$F$2:$F$1248,Sheet2!$G$2:$G$1248)</f>
        <v>Euronext Global Health Care 50 EW ESG</v>
      </c>
      <c r="B115" t="s">
        <v>3728</v>
      </c>
      <c r="C115" t="s">
        <v>4717</v>
      </c>
      <c r="D115" s="37" t="b">
        <f>ISNUMBER(MATCH(B115,$J$1:$J$52,0))</f>
        <v>1</v>
      </c>
      <c r="E115" s="34">
        <v>0</v>
      </c>
      <c r="F115" s="34"/>
    </row>
    <row r="116" spans="1:6" hidden="1">
      <c r="A116" s="35" t="str">
        <f>_xlfn.XLOOKUP(B116,Sheet2!$F$2:$F$1248,Sheet2!$G$2:$G$1248)</f>
        <v>Euronext Green Planet E</v>
      </c>
      <c r="B116" s="35" t="s">
        <v>2580</v>
      </c>
      <c r="C116" s="35" t="s">
        <v>4720</v>
      </c>
      <c r="D116" s="37" t="b">
        <f>ISNUMBER(MATCH(B116,$J$1:$J$52,0))</f>
        <v>1</v>
      </c>
      <c r="E116" s="34">
        <v>0</v>
      </c>
      <c r="F116" s="34"/>
    </row>
    <row r="117" spans="1:6" hidden="1">
      <c r="A117" s="35" t="str">
        <f>_xlfn.XLOOKUP(B117,Sheet2!$F$2:$F$1248,Sheet2!$G$2:$G$1248)</f>
        <v>Euronext Green Planet France</v>
      </c>
      <c r="B117" s="35" t="s">
        <v>2544</v>
      </c>
      <c r="C117" s="35" t="s">
        <v>4720</v>
      </c>
      <c r="D117" s="37" t="b">
        <f>ISNUMBER(MATCH(B117,$J$1:$J$52,0))</f>
        <v>1</v>
      </c>
      <c r="E117" s="34">
        <v>0</v>
      </c>
      <c r="F117" s="34"/>
    </row>
    <row r="118" spans="1:6" hidden="1">
      <c r="A118" t="str">
        <f>_xlfn.XLOOKUP(B118,Sheet2!$F$2:$F$1248,Sheet2!$G$2:$G$1248)</f>
        <v>Euronext Growth All-Share Index</v>
      </c>
      <c r="B118" t="s">
        <v>454</v>
      </c>
      <c r="C118" t="s">
        <v>4723</v>
      </c>
      <c r="D118" s="37" t="b">
        <f>ISNUMBER(MATCH(B118,$J$1:$J$52,0))</f>
        <v>0</v>
      </c>
      <c r="E118" s="34">
        <v>0</v>
      </c>
      <c r="F118" s="34"/>
    </row>
    <row r="119" spans="1:6" hidden="1">
      <c r="A119" t="str">
        <f>_xlfn.XLOOKUP(B119,Sheet2!$F$2:$F$1248,Sheet2!$G$2:$G$1248)</f>
        <v>Euronext IEIF REIT Europe Index</v>
      </c>
      <c r="B119" t="s">
        <v>452</v>
      </c>
      <c r="C119" t="s">
        <v>4719</v>
      </c>
      <c r="D119" s="37" t="b">
        <f>ISNUMBER(MATCH(B119,$J$1:$J$52,0))</f>
        <v>0</v>
      </c>
      <c r="E119" s="34">
        <v>0</v>
      </c>
      <c r="F119" s="34"/>
    </row>
    <row r="120" spans="1:6" hidden="1">
      <c r="A120" s="35" t="str">
        <f>_xlfn.XLOOKUP(B120,Sheet2!$F$2:$F$1248,Sheet2!$G$2:$G$1248)</f>
        <v>Euronext Low Carbon 100 Eurozone PAB</v>
      </c>
      <c r="B120" s="35" t="s">
        <v>2529</v>
      </c>
      <c r="C120" s="35" t="s">
        <v>4720</v>
      </c>
      <c r="D120" s="37" t="b">
        <f>ISNUMBER(MATCH(B120,$J$1:$J$52,0))</f>
        <v>1</v>
      </c>
      <c r="E120" s="34">
        <v>0</v>
      </c>
      <c r="F120" s="34"/>
    </row>
    <row r="121" spans="1:6" hidden="1">
      <c r="A121" s="35" t="str">
        <f>_xlfn.XLOOKUP(B121,Sheet2!$F$2:$F$1248,Sheet2!$G$2:$G$1248)</f>
        <v>Euronext Low Carbon 300 World PAB</v>
      </c>
      <c r="B121" s="35" t="s">
        <v>2520</v>
      </c>
      <c r="C121" s="35" t="s">
        <v>4720</v>
      </c>
      <c r="D121" s="37" t="b">
        <f>ISNUMBER(MATCH(B121,$J$1:$J$52,0))</f>
        <v>1</v>
      </c>
      <c r="E121" s="34">
        <v>0</v>
      </c>
      <c r="F121" s="34"/>
    </row>
    <row r="122" spans="1:6" hidden="1">
      <c r="A122" t="str">
        <f>_xlfn.XLOOKUP(B122,Sheet2!$F$2:$F$1248,Sheet2!$G$2:$G$1248)</f>
        <v>Euronext US ESGL 20 EW</v>
      </c>
      <c r="B122" t="s">
        <v>917</v>
      </c>
      <c r="C122" t="s">
        <v>4717</v>
      </c>
      <c r="D122" s="37" t="b">
        <f>ISNUMBER(MATCH(B122,$J$1:$J$52,0))</f>
        <v>1</v>
      </c>
      <c r="E122" s="34">
        <v>0</v>
      </c>
      <c r="F122" s="34"/>
    </row>
    <row r="123" spans="1:6" hidden="1">
      <c r="A123" t="str">
        <f>_xlfn.XLOOKUP(B123,Sheet2!$F$2:$F$1248,Sheet2!$G$2:$G$1248)</f>
        <v>ISEQ 20</v>
      </c>
      <c r="B123" t="s">
        <v>2239</v>
      </c>
      <c r="C123" t="s">
        <v>2211</v>
      </c>
      <c r="D123" s="37" t="b">
        <f>ISNUMBER(MATCH(B123,$J$1:$J$52,0))</f>
        <v>0</v>
      </c>
      <c r="E123" s="34">
        <v>0</v>
      </c>
      <c r="F123" s="34"/>
    </row>
    <row r="124" spans="1:6" hidden="1">
      <c r="A124" t="str">
        <f>_xlfn.XLOOKUP(B124,Sheet2!$F$2:$F$1248,Sheet2!$G$2:$G$1248)</f>
        <v>ISEQ 20 Capped</v>
      </c>
      <c r="B124" t="s">
        <v>2233</v>
      </c>
      <c r="C124" t="s">
        <v>2211</v>
      </c>
      <c r="D124" s="37" t="b">
        <f>ISNUMBER(MATCH(B124,$J$1:$J$52,0))</f>
        <v>0</v>
      </c>
      <c r="E124" s="34">
        <v>0</v>
      </c>
      <c r="F124" s="34"/>
    </row>
    <row r="125" spans="1:6" hidden="1">
      <c r="A125" t="str">
        <f>_xlfn.XLOOKUP(B125,Sheet2!$F$2:$F$1248,Sheet2!$G$2:$G$1248)</f>
        <v>ISEQ All Share</v>
      </c>
      <c r="B125" t="s">
        <v>2211</v>
      </c>
      <c r="C125" t="s">
        <v>2211</v>
      </c>
      <c r="D125" s="37" t="b">
        <f>ISNUMBER(MATCH(B125,$J$1:$J$52,0))</f>
        <v>0</v>
      </c>
      <c r="E125" s="34">
        <v>0</v>
      </c>
      <c r="F125" s="34"/>
    </row>
    <row r="126" spans="1:6" hidden="1">
      <c r="A126" t="str">
        <f>_xlfn.XLOOKUP(B126,Sheet2!$F$2:$F$1248,Sheet2!$G$2:$G$1248)</f>
        <v>ISEQ Basic Materials</v>
      </c>
      <c r="B126" t="s">
        <v>2284</v>
      </c>
      <c r="C126" t="s">
        <v>2211</v>
      </c>
      <c r="D126" s="37" t="b">
        <f>ISNUMBER(MATCH(B126,$J$1:$J$52,0))</f>
        <v>0</v>
      </c>
      <c r="E126" s="34">
        <v>0</v>
      </c>
      <c r="F126" s="34"/>
    </row>
    <row r="127" spans="1:6" hidden="1">
      <c r="A127" t="str">
        <f>_xlfn.XLOOKUP(B127,Sheet2!$F$2:$F$1248,Sheet2!$G$2:$G$1248)</f>
        <v>ISEQ Consumer Discretionary</v>
      </c>
      <c r="B127" t="s">
        <v>2278</v>
      </c>
      <c r="C127" t="s">
        <v>2211</v>
      </c>
      <c r="D127" s="37" t="b">
        <f>ISNUMBER(MATCH(B127,$J$1:$J$52,0))</f>
        <v>0</v>
      </c>
      <c r="E127" s="34">
        <v>0</v>
      </c>
      <c r="F127" s="34"/>
    </row>
    <row r="128" spans="1:6" hidden="1">
      <c r="A128" t="str">
        <f>_xlfn.XLOOKUP(B128,Sheet2!$F$2:$F$1248,Sheet2!$G$2:$G$1248)</f>
        <v>ISEQ Consumer Staples</v>
      </c>
      <c r="B128" t="s">
        <v>2272</v>
      </c>
      <c r="C128" t="s">
        <v>2211</v>
      </c>
      <c r="D128" s="37" t="b">
        <f>ISNUMBER(MATCH(B128,$J$1:$J$52,0))</f>
        <v>0</v>
      </c>
      <c r="E128" s="34">
        <v>0</v>
      </c>
      <c r="F128" s="34"/>
    </row>
    <row r="129" spans="1:6" hidden="1">
      <c r="A129" t="str">
        <f>_xlfn.XLOOKUP(B129,Sheet2!$F$2:$F$1248,Sheet2!$G$2:$G$1248)</f>
        <v>ISEQ Energy</v>
      </c>
      <c r="B129" t="s">
        <v>2296</v>
      </c>
      <c r="C129" t="s">
        <v>2211</v>
      </c>
      <c r="D129" s="37" t="b">
        <f>ISNUMBER(MATCH(B129,$J$1:$J$52,0))</f>
        <v>0</v>
      </c>
      <c r="E129" s="34">
        <v>0</v>
      </c>
      <c r="F129" s="34"/>
    </row>
    <row r="130" spans="1:6" hidden="1">
      <c r="A130" t="str">
        <f>_xlfn.XLOOKUP(B130,Sheet2!$F$2:$F$1248,Sheet2!$G$2:$G$1248)</f>
        <v>ISEQ Financial</v>
      </c>
      <c r="B130" t="s">
        <v>2216</v>
      </c>
      <c r="C130" t="s">
        <v>2211</v>
      </c>
      <c r="D130" s="37" t="b">
        <f>ISNUMBER(MATCH(B130,$J$1:$J$52,0))</f>
        <v>0</v>
      </c>
      <c r="E130" s="34">
        <v>0</v>
      </c>
      <c r="F130" s="34"/>
    </row>
    <row r="131" spans="1:6" hidden="1">
      <c r="A131" t="str">
        <f>_xlfn.XLOOKUP(B131,Sheet2!$F$2:$F$1248,Sheet2!$G$2:$G$1248)</f>
        <v>ISEQ Health Care</v>
      </c>
      <c r="B131" t="s">
        <v>2265</v>
      </c>
      <c r="C131" t="s">
        <v>2211</v>
      </c>
      <c r="D131" s="37" t="b">
        <f>ISNUMBER(MATCH(B131,$J$1:$J$52,0))</f>
        <v>0</v>
      </c>
      <c r="E131" s="34">
        <v>0</v>
      </c>
      <c r="F131" s="34"/>
    </row>
    <row r="132" spans="1:6" hidden="1">
      <c r="A132" t="str">
        <f>_xlfn.XLOOKUP(B132,Sheet2!$F$2:$F$1248,Sheet2!$G$2:$G$1248)</f>
        <v>ISEQ Industrials</v>
      </c>
      <c r="B132" t="s">
        <v>2302</v>
      </c>
      <c r="C132" t="s">
        <v>2211</v>
      </c>
      <c r="D132" s="37" t="b">
        <f>ISNUMBER(MATCH(B132,$J$1:$J$52,0))</f>
        <v>0</v>
      </c>
      <c r="E132" s="34">
        <v>0</v>
      </c>
      <c r="F132" s="34"/>
    </row>
    <row r="133" spans="1:6" hidden="1">
      <c r="A133" t="str">
        <f>_xlfn.XLOOKUP(B133,Sheet2!$F$2:$F$1248,Sheet2!$G$2:$G$1248)</f>
        <v>ISEQ Real Estate</v>
      </c>
      <c r="B133" t="s">
        <v>2256</v>
      </c>
      <c r="C133" t="s">
        <v>2211</v>
      </c>
      <c r="D133" s="37" t="b">
        <f>ISNUMBER(MATCH(B133,$J$1:$J$52,0))</f>
        <v>0</v>
      </c>
      <c r="E133" s="34">
        <v>0</v>
      </c>
      <c r="F133" s="34"/>
    </row>
    <row r="134" spans="1:6" hidden="1">
      <c r="A134" t="str">
        <f>_xlfn.XLOOKUP(B134,Sheet2!$F$2:$F$1248,Sheet2!$G$2:$G$1248)</f>
        <v>ISEQ Small</v>
      </c>
      <c r="B134" t="s">
        <v>2227</v>
      </c>
      <c r="C134" t="s">
        <v>2211</v>
      </c>
      <c r="D134" s="37" t="b">
        <f>ISNUMBER(MATCH(B134,$J$1:$J$52,0))</f>
        <v>0</v>
      </c>
      <c r="E134" s="34">
        <v>0</v>
      </c>
      <c r="F134" s="34"/>
    </row>
    <row r="135" spans="1:6" hidden="1">
      <c r="A135" t="str">
        <f>_xlfn.XLOOKUP(B135,Sheet2!$F$2:$F$1248,Sheet2!$G$2:$G$1248)</f>
        <v>ISEQ Technology</v>
      </c>
      <c r="B135" t="s">
        <v>2290</v>
      </c>
      <c r="C135" t="s">
        <v>2211</v>
      </c>
      <c r="D135" s="37" t="b">
        <f>ISNUMBER(MATCH(B135,$J$1:$J$52,0))</f>
        <v>0</v>
      </c>
      <c r="E135" s="34">
        <v>0</v>
      </c>
      <c r="F135" s="34"/>
    </row>
    <row r="136" spans="1:6" hidden="1">
      <c r="A136" t="str">
        <f>_xlfn.XLOOKUP(B136,Sheet2!$F$2:$F$1248,Sheet2!$G$2:$G$1248)</f>
        <v>ISEQ Utilities</v>
      </c>
      <c r="B136" t="s">
        <v>2262</v>
      </c>
      <c r="C136" t="s">
        <v>2211</v>
      </c>
      <c r="D136" s="37" t="b">
        <f>ISNUMBER(MATCH(B136,$J$1:$J$52,0))</f>
        <v>0</v>
      </c>
      <c r="E136" s="34">
        <v>0</v>
      </c>
      <c r="F136" s="34"/>
    </row>
    <row r="137" spans="1:6" hidden="1">
      <c r="A137" s="35" t="str">
        <f>_xlfn.XLOOKUP(B137,Sheet2!$F$2:$F$1248,Sheet2!$G$2:$G$1248)</f>
        <v>Low Carbon 100 Europe PAB Index</v>
      </c>
      <c r="B137" s="35" t="s">
        <v>439</v>
      </c>
      <c r="C137" s="35" t="s">
        <v>4720</v>
      </c>
      <c r="D137" s="37" t="b">
        <f>ISNUMBER(MATCH(B137,$J$1:$J$52,0))</f>
        <v>1</v>
      </c>
      <c r="E137" s="34">
        <v>0</v>
      </c>
      <c r="F137" s="34"/>
    </row>
    <row r="138" spans="1:6" hidden="1">
      <c r="A138" s="35" t="str">
        <f>_xlfn.XLOOKUP(B138,Sheet2!$F$2:$F$1248,Sheet2!$G$2:$G$1248)</f>
        <v>MIB ESG</v>
      </c>
      <c r="B138" s="35" t="s">
        <v>2310</v>
      </c>
      <c r="C138" s="35" t="s">
        <v>4720</v>
      </c>
      <c r="D138" s="37" t="b">
        <f>ISNUMBER(MATCH(B138,$J$1:$J$52,0))</f>
        <v>1</v>
      </c>
      <c r="E138" s="34">
        <v>0</v>
      </c>
      <c r="F138" s="34"/>
    </row>
    <row r="139" spans="1:6" hidden="1">
      <c r="A139" t="str">
        <f>_xlfn.XLOOKUP(B139,Sheet2!$F$2:$F$1248,Sheet2!$G$2:$G$1248)</f>
        <v>OBOSX Oil Service PR</v>
      </c>
      <c r="B139" t="s">
        <v>635</v>
      </c>
      <c r="C139" t="s">
        <v>4718</v>
      </c>
      <c r="D139" s="37" t="b">
        <f>ISNUMBER(MATCH(B139,$J$1:$J$52,0))</f>
        <v>0</v>
      </c>
      <c r="E139" s="34">
        <v>0</v>
      </c>
      <c r="F139" s="34"/>
    </row>
    <row r="140" spans="1:6" hidden="1">
      <c r="A140" t="str">
        <f>_xlfn.XLOOKUP(B140,Sheet2!$F$2:$F$1248,Sheet2!$G$2:$G$1248)</f>
        <v>OBSFX Seafood_PR</v>
      </c>
      <c r="B140" t="s">
        <v>787</v>
      </c>
      <c r="C140" t="s">
        <v>4718</v>
      </c>
      <c r="D140" s="37" t="b">
        <f>ISNUMBER(MATCH(B140,$J$1:$J$52,0))</f>
        <v>0</v>
      </c>
      <c r="E140" s="34">
        <v>0</v>
      </c>
      <c r="F140" s="34"/>
    </row>
    <row r="141" spans="1:6" hidden="1">
      <c r="A141" t="str">
        <f>_xlfn.XLOOKUP(B141,Sheet2!$F$2:$F$1248,Sheet2!$G$2:$G$1248)</f>
        <v>OBSHX Shipping_PR</v>
      </c>
      <c r="B141" t="s">
        <v>782</v>
      </c>
      <c r="C141" t="s">
        <v>4718</v>
      </c>
      <c r="D141" s="37" t="b">
        <f>ISNUMBER(MATCH(B141,$J$1:$J$52,0))</f>
        <v>0</v>
      </c>
      <c r="E141" s="34">
        <v>0</v>
      </c>
      <c r="F141" s="34"/>
    </row>
    <row r="142" spans="1:6" hidden="1">
      <c r="A142" t="str">
        <f>_xlfn.XLOOKUP(B142,Sheet2!$F$2:$F$1248,Sheet2!$G$2:$G$1248)</f>
        <v>OBX Basic Materials PR</v>
      </c>
      <c r="B142" t="s">
        <v>657</v>
      </c>
      <c r="C142" t="s">
        <v>4718</v>
      </c>
      <c r="D142" s="37" t="b">
        <f>ISNUMBER(MATCH(B142,$J$1:$J$52,0))</f>
        <v>0</v>
      </c>
      <c r="E142" s="34">
        <v>0</v>
      </c>
      <c r="F142" s="34"/>
    </row>
    <row r="143" spans="1:6" hidden="1">
      <c r="A143" t="str">
        <f>_xlfn.XLOOKUP(B143,Sheet2!$F$2:$F$1248,Sheet2!$G$2:$G$1248)</f>
        <v>OBX Consumer Discretionary PR</v>
      </c>
      <c r="B143" t="s">
        <v>684</v>
      </c>
      <c r="C143" t="s">
        <v>4718</v>
      </c>
      <c r="D143" s="37" t="b">
        <f>ISNUMBER(MATCH(B143,$J$1:$J$52,0))</f>
        <v>0</v>
      </c>
      <c r="E143" s="34">
        <v>0</v>
      </c>
      <c r="F143" s="34"/>
    </row>
    <row r="144" spans="1:6" hidden="1">
      <c r="A144" t="str">
        <f>_xlfn.XLOOKUP(B144,Sheet2!$F$2:$F$1248,Sheet2!$G$2:$G$1248)</f>
        <v>OBX Energy PR</v>
      </c>
      <c r="B144" t="s">
        <v>648</v>
      </c>
      <c r="C144" t="s">
        <v>4718</v>
      </c>
      <c r="D144" s="37" t="b">
        <f>ISNUMBER(MATCH(B144,$J$1:$J$52,0))</f>
        <v>0</v>
      </c>
      <c r="E144" s="34">
        <v>0</v>
      </c>
      <c r="F144" s="34"/>
    </row>
    <row r="145" spans="1:6" hidden="1">
      <c r="A145" t="str">
        <f>_xlfn.XLOOKUP(B145,Sheet2!$F$2:$F$1248,Sheet2!$G$2:$G$1248)</f>
        <v>OBX ESG</v>
      </c>
      <c r="B145" t="s">
        <v>600</v>
      </c>
      <c r="C145" t="s">
        <v>4718</v>
      </c>
      <c r="D145" s="37" t="b">
        <f>ISNUMBER(MATCH(B145,$J$1:$J$52,0))</f>
        <v>0</v>
      </c>
      <c r="E145" s="34">
        <v>0</v>
      </c>
      <c r="F145" s="34"/>
    </row>
    <row r="146" spans="1:6" hidden="1">
      <c r="A146" t="str">
        <f>_xlfn.XLOOKUP(B146,Sheet2!$F$2:$F$1248,Sheet2!$G$2:$G$1248)</f>
        <v>OBX ESG ex Oil and Gas</v>
      </c>
      <c r="B146" t="s">
        <v>591</v>
      </c>
      <c r="C146" t="s">
        <v>4718</v>
      </c>
      <c r="D146" s="37" t="b">
        <f>ISNUMBER(MATCH(B146,$J$1:$J$52,0))</f>
        <v>0</v>
      </c>
      <c r="E146" s="34">
        <v>0</v>
      </c>
      <c r="F146" s="34"/>
    </row>
    <row r="147" spans="1:6" hidden="1">
      <c r="A147" t="str">
        <f>_xlfn.XLOOKUP(B147,Sheet2!$F$2:$F$1248,Sheet2!$G$2:$G$1248)</f>
        <v>OBX ESG ex Oil and Gas PR</v>
      </c>
      <c r="B147" t="s">
        <v>587</v>
      </c>
      <c r="C147" t="s">
        <v>4718</v>
      </c>
      <c r="D147" s="37" t="b">
        <f>ISNUMBER(MATCH(B147,$J$1:$J$52,0))</f>
        <v>0</v>
      </c>
      <c r="E147" s="34">
        <v>0</v>
      </c>
      <c r="F147" s="34"/>
    </row>
    <row r="148" spans="1:6" hidden="1">
      <c r="A148" t="str">
        <f>_xlfn.XLOOKUP(B148,Sheet2!$F$2:$F$1248,Sheet2!$G$2:$G$1248)</f>
        <v>OBX ESG PR</v>
      </c>
      <c r="B148" t="s">
        <v>597</v>
      </c>
      <c r="C148" t="s">
        <v>4718</v>
      </c>
      <c r="D148" s="37" t="b">
        <f>ISNUMBER(MATCH(B148,$J$1:$J$52,0))</f>
        <v>0</v>
      </c>
      <c r="E148" s="34">
        <v>0</v>
      </c>
      <c r="F148" s="34"/>
    </row>
    <row r="149" spans="1:6" hidden="1">
      <c r="A149" t="str">
        <f>_xlfn.XLOOKUP(B149,Sheet2!$F$2:$F$1248,Sheet2!$G$2:$G$1248)</f>
        <v>OBX Financials PR</v>
      </c>
      <c r="B149" t="s">
        <v>702</v>
      </c>
      <c r="C149" t="s">
        <v>4718</v>
      </c>
      <c r="D149" s="37" t="b">
        <f>ISNUMBER(MATCH(B149,$J$1:$J$52,0))</f>
        <v>0</v>
      </c>
      <c r="E149" s="34">
        <v>0</v>
      </c>
      <c r="F149" s="34"/>
    </row>
    <row r="150" spans="1:6" hidden="1">
      <c r="A150" t="str">
        <f>_xlfn.XLOOKUP(B150,Sheet2!$F$2:$F$1248,Sheet2!$G$2:$G$1248)</f>
        <v>OBX Industrials PR</v>
      </c>
      <c r="B150" t="s">
        <v>666</v>
      </c>
      <c r="C150" t="s">
        <v>4718</v>
      </c>
      <c r="D150" s="37" t="b">
        <f>ISNUMBER(MATCH(B150,$J$1:$J$52,0))</f>
        <v>0</v>
      </c>
      <c r="E150" s="34">
        <v>0</v>
      </c>
      <c r="F150" s="34"/>
    </row>
    <row r="151" spans="1:6" hidden="1">
      <c r="A151" t="str">
        <f>_xlfn.XLOOKUP(B151,Sheet2!$F$2:$F$1248,Sheet2!$G$2:$G$1248)</f>
        <v>OBX Price Index</v>
      </c>
      <c r="B151" t="s">
        <v>804</v>
      </c>
      <c r="C151" t="s">
        <v>4718</v>
      </c>
      <c r="D151" s="37" t="b">
        <f>ISNUMBER(MATCH(B151,$J$1:$J$52,0))</f>
        <v>0</v>
      </c>
      <c r="E151" s="34">
        <v>0</v>
      </c>
      <c r="F151" s="34"/>
    </row>
    <row r="152" spans="1:6" hidden="1">
      <c r="A152" t="str">
        <f>_xlfn.XLOOKUP(B152,Sheet2!$F$2:$F$1248,Sheet2!$G$2:$G$1248)</f>
        <v>OBX Real Estate PR</v>
      </c>
      <c r="B152" t="s">
        <v>693</v>
      </c>
      <c r="C152" t="s">
        <v>4718</v>
      </c>
      <c r="D152" s="37" t="b">
        <f>ISNUMBER(MATCH(B152,$J$1:$J$52,0))</f>
        <v>0</v>
      </c>
      <c r="E152" s="34">
        <v>0</v>
      </c>
      <c r="F152" s="34"/>
    </row>
    <row r="153" spans="1:6" hidden="1">
      <c r="A153" t="str">
        <f>_xlfn.XLOOKUP(B153,Sheet2!$F$2:$F$1248,Sheet2!$G$2:$G$1248)</f>
        <v>OBX Technology PR</v>
      </c>
      <c r="B153" t="s">
        <v>729</v>
      </c>
      <c r="C153" t="s">
        <v>4718</v>
      </c>
      <c r="D153" s="37" t="b">
        <f>ISNUMBER(MATCH(B153,$J$1:$J$52,0))</f>
        <v>0</v>
      </c>
      <c r="E153" s="34">
        <v>0</v>
      </c>
      <c r="F153" s="34"/>
    </row>
    <row r="154" spans="1:6" hidden="1">
      <c r="A154" t="str">
        <f>_xlfn.XLOOKUP(B154,Sheet2!$F$2:$F$1248,Sheet2!$G$2:$G$1248)</f>
        <v>OBX Telecommunications PR</v>
      </c>
      <c r="B154" t="s">
        <v>720</v>
      </c>
      <c r="C154" t="s">
        <v>4718</v>
      </c>
      <c r="D154" s="37" t="b">
        <f>ISNUMBER(MATCH(B154,$J$1:$J$52,0))</f>
        <v>0</v>
      </c>
      <c r="E154" s="34">
        <v>0</v>
      </c>
      <c r="F154" s="34"/>
    </row>
    <row r="155" spans="1:6" hidden="1">
      <c r="A155" t="str">
        <f>_xlfn.XLOOKUP(B155,Sheet2!$F$2:$F$1248,Sheet2!$G$2:$G$1248)</f>
        <v>OBX Total Return Index</v>
      </c>
      <c r="B155" t="s">
        <v>821</v>
      </c>
      <c r="C155" t="s">
        <v>4718</v>
      </c>
      <c r="D155" s="37" t="b">
        <f>ISNUMBER(MATCH(B155,$J$1:$J$52,0))</f>
        <v>0</v>
      </c>
      <c r="E155" s="34">
        <v>0</v>
      </c>
      <c r="F155" s="34"/>
    </row>
    <row r="156" spans="1:6" hidden="1">
      <c r="A156" t="str">
        <f>_xlfn.XLOOKUP(B156,Sheet2!$F$2:$F$1248,Sheet2!$G$2:$G$1248)</f>
        <v>OBX Uncapped Price Return Index</v>
      </c>
      <c r="B156" t="s">
        <v>627</v>
      </c>
      <c r="C156" t="s">
        <v>4718</v>
      </c>
      <c r="D156" s="37" t="b">
        <f>ISNUMBER(MATCH(B156,$J$1:$J$52,0))</f>
        <v>0</v>
      </c>
      <c r="E156" s="34">
        <v>0</v>
      </c>
      <c r="F156" s="34"/>
    </row>
    <row r="157" spans="1:6" hidden="1">
      <c r="A157" t="str">
        <f>_xlfn.XLOOKUP(B157,Sheet2!$F$2:$F$1248,Sheet2!$G$2:$G$1248)</f>
        <v>OBX Uncapped Total Return Index</v>
      </c>
      <c r="B157" t="s">
        <v>791</v>
      </c>
      <c r="C157" t="s">
        <v>4718</v>
      </c>
      <c r="D157" s="37" t="b">
        <f>ISNUMBER(MATCH(B157,$J$1:$J$52,0))</f>
        <v>0</v>
      </c>
      <c r="E157" s="34">
        <v>0</v>
      </c>
      <c r="F157" s="34"/>
    </row>
    <row r="158" spans="1:6" hidden="1">
      <c r="A158" t="str">
        <f>_xlfn.XLOOKUP(B158,Sheet2!$F$2:$F$1248,Sheet2!$G$2:$G$1248)</f>
        <v>OBX Utilities PR</v>
      </c>
      <c r="B158" t="s">
        <v>639</v>
      </c>
      <c r="C158" t="s">
        <v>4718</v>
      </c>
      <c r="D158" s="37" t="b">
        <f>ISNUMBER(MATCH(B158,$J$1:$J$52,0))</f>
        <v>0</v>
      </c>
      <c r="E158" s="34">
        <v>0</v>
      </c>
      <c r="F158" s="34"/>
    </row>
    <row r="159" spans="1:6" hidden="1">
      <c r="A159" t="str">
        <f>_xlfn.XLOOKUP(B159,Sheet2!$F$2:$F$1248,Sheet2!$G$2:$G$1248)</f>
        <v>OSE All share_PR</v>
      </c>
      <c r="B159" t="s">
        <v>775</v>
      </c>
      <c r="C159" t="s">
        <v>4718</v>
      </c>
      <c r="D159" s="37" t="b">
        <f>ISNUMBER(MATCH(B159,$J$1:$J$52,0))</f>
        <v>0</v>
      </c>
      <c r="E159" s="34">
        <v>0</v>
      </c>
      <c r="F159" s="34"/>
    </row>
    <row r="160" spans="1:6" hidden="1">
      <c r="A160" t="str">
        <f>_xlfn.XLOOKUP(B160,Sheet2!$F$2:$F$1248,Sheet2!$G$2:$G$1248)</f>
        <v>OSEBX Benchmark_PR</v>
      </c>
      <c r="B160" t="s">
        <v>770</v>
      </c>
      <c r="C160" t="s">
        <v>4718</v>
      </c>
      <c r="D160" s="37" t="b">
        <f>ISNUMBER(MATCH(B160,$J$1:$J$52,0))</f>
        <v>0</v>
      </c>
      <c r="E160" s="34">
        <v>0</v>
      </c>
      <c r="F160" s="34"/>
    </row>
    <row r="161" spans="1:6" hidden="1">
      <c r="A161" t="str">
        <f>_xlfn.XLOOKUP(B161,Sheet2!$F$2:$F$1248,Sheet2!$G$2:$G$1248)</f>
        <v>OSEBX_STB Index</v>
      </c>
      <c r="B161" t="s">
        <v>741</v>
      </c>
      <c r="C161" t="s">
        <v>4718</v>
      </c>
      <c r="D161" s="37" t="b">
        <f>ISNUMBER(MATCH(B161,$J$1:$J$52,0))</f>
        <v>0</v>
      </c>
      <c r="E161" s="34">
        <v>0</v>
      </c>
      <c r="F161" s="34"/>
    </row>
    <row r="162" spans="1:6" hidden="1">
      <c r="A162" t="str">
        <f>_xlfn.XLOOKUP(B162,Sheet2!$F$2:$F$1248,Sheet2!$G$2:$G$1248)</f>
        <v>OSEBX_STB Index PR</v>
      </c>
      <c r="B162" t="s">
        <v>603</v>
      </c>
      <c r="C162" t="s">
        <v>4718</v>
      </c>
      <c r="D162" s="37" t="b">
        <f>ISNUMBER(MATCH(B162,$J$1:$J$52,0))</f>
        <v>0</v>
      </c>
      <c r="E162" s="34">
        <v>0</v>
      </c>
      <c r="F162" s="34"/>
    </row>
    <row r="163" spans="1:6" hidden="1">
      <c r="A163" t="str">
        <f>_xlfn.XLOOKUP(B163,Sheet2!$F$2:$F$1248,Sheet2!$G$2:$G$1248)</f>
        <v>OSEBXG Index</v>
      </c>
      <c r="B163" t="s">
        <v>739</v>
      </c>
      <c r="C163" t="s">
        <v>4718</v>
      </c>
      <c r="D163" s="37" t="b">
        <f>ISNUMBER(MATCH(B163,$J$1:$J$52,0))</f>
        <v>0</v>
      </c>
      <c r="E163" s="34">
        <v>0</v>
      </c>
      <c r="F163" s="34"/>
    </row>
    <row r="164" spans="1:6" hidden="1">
      <c r="A164" t="str">
        <f>_xlfn.XLOOKUP(B164,Sheet2!$F$2:$F$1248,Sheet2!$G$2:$G$1248)</f>
        <v>OSEBXG Index PR</v>
      </c>
      <c r="B164" t="s">
        <v>611</v>
      </c>
      <c r="C164" t="s">
        <v>4718</v>
      </c>
      <c r="D164" s="37" t="b">
        <f>ISNUMBER(MATCH(B164,$J$1:$J$52,0))</f>
        <v>0</v>
      </c>
      <c r="E164" s="34">
        <v>0</v>
      </c>
      <c r="F164" s="34"/>
    </row>
    <row r="165" spans="1:6" hidden="1">
      <c r="A165" t="str">
        <f>_xlfn.XLOOKUP(B165,Sheet2!$F$2:$F$1248,Sheet2!$G$2:$G$1248)</f>
        <v>OSEEXR Index</v>
      </c>
      <c r="B165" t="s">
        <v>737</v>
      </c>
      <c r="C165" t="s">
        <v>4718</v>
      </c>
      <c r="D165" s="37" t="b">
        <f>ISNUMBER(MATCH(B165,$J$1:$J$52,0))</f>
        <v>0</v>
      </c>
      <c r="E165" s="34">
        <v>0</v>
      </c>
      <c r="F165" s="34"/>
    </row>
    <row r="166" spans="1:6" hidden="1">
      <c r="A166" t="str">
        <f>_xlfn.XLOOKUP(B166,Sheet2!$F$2:$F$1248,Sheet2!$G$2:$G$1248)</f>
        <v>OSEEXR Index PR</v>
      </c>
      <c r="B166" t="s">
        <v>607</v>
      </c>
      <c r="C166" t="s">
        <v>4718</v>
      </c>
      <c r="D166" s="37" t="b">
        <f>ISNUMBER(MATCH(B166,$J$1:$J$52,0))</f>
        <v>0</v>
      </c>
      <c r="E166" s="34">
        <v>0</v>
      </c>
      <c r="F166" s="34"/>
    </row>
    <row r="167" spans="1:6" hidden="1">
      <c r="A167" t="str">
        <f>_xlfn.XLOOKUP(B167,Sheet2!$F$2:$F$1248,Sheet2!$G$2:$G$1248)</f>
        <v>OSEFX Mutual Fund_PR</v>
      </c>
      <c r="B167" t="s">
        <v>765</v>
      </c>
      <c r="C167" t="s">
        <v>4718</v>
      </c>
      <c r="D167" s="37" t="b">
        <f>ISNUMBER(MATCH(B167,$J$1:$J$52,0))</f>
        <v>0</v>
      </c>
      <c r="E167" s="34">
        <v>0</v>
      </c>
      <c r="F167" s="34"/>
    </row>
    <row r="168" spans="1:6" hidden="1">
      <c r="A168" t="str">
        <f>_xlfn.XLOOKUP(B168,Sheet2!$F$2:$F$1248,Sheet2!$G$2:$G$1248)</f>
        <v>OSEMX Mid Cap_PR</v>
      </c>
      <c r="B168" t="s">
        <v>758</v>
      </c>
      <c r="C168" t="s">
        <v>4718</v>
      </c>
      <c r="D168" s="37" t="b">
        <f>ISNUMBER(MATCH(B168,$J$1:$J$52,0))</f>
        <v>0</v>
      </c>
      <c r="E168" s="34">
        <v>0</v>
      </c>
      <c r="F168" s="34"/>
    </row>
    <row r="169" spans="1:6" hidden="1">
      <c r="A169" t="str">
        <f>_xlfn.XLOOKUP(B169,Sheet2!$F$2:$F$1248,Sheet2!$G$2:$G$1248)</f>
        <v>OSESX Small Cap_PR</v>
      </c>
      <c r="B169" t="s">
        <v>751</v>
      </c>
      <c r="C169" t="s">
        <v>4718</v>
      </c>
      <c r="D169" s="37" t="b">
        <f>ISNUMBER(MATCH(B169,$J$1:$J$52,0))</f>
        <v>0</v>
      </c>
      <c r="E169" s="34">
        <v>0</v>
      </c>
      <c r="F169" s="34"/>
    </row>
    <row r="170" spans="1:6" hidden="1">
      <c r="A170" t="str">
        <f>_xlfn.XLOOKUP(B170,Sheet2!$F$2:$F$1248,Sheet2!$G$2:$G$1248)</f>
        <v>Oslo Børs All-share Index_GI</v>
      </c>
      <c r="B170" t="s">
        <v>809</v>
      </c>
      <c r="C170" t="s">
        <v>4718</v>
      </c>
      <c r="D170" s="37" t="b">
        <f>ISNUMBER(MATCH(B170,$J$1:$J$52,0))</f>
        <v>0</v>
      </c>
      <c r="E170" s="34">
        <v>0</v>
      </c>
      <c r="F170" s="34"/>
    </row>
    <row r="171" spans="1:6" hidden="1">
      <c r="A171" t="str">
        <f>_xlfn.XLOOKUP(B171,Sheet2!$F$2:$F$1248,Sheet2!$G$2:$G$1248)</f>
        <v>Oslo Børs Equity Certificate Index</v>
      </c>
      <c r="B171" t="s">
        <v>819</v>
      </c>
      <c r="C171" t="s">
        <v>4718</v>
      </c>
      <c r="D171" s="37" t="b">
        <f>ISNUMBER(MATCH(B171,$J$1:$J$52,0))</f>
        <v>0</v>
      </c>
      <c r="E171" s="34">
        <v>0</v>
      </c>
      <c r="F171" s="34"/>
    </row>
    <row r="172" spans="1:6" hidden="1">
      <c r="A172" t="str">
        <f>_xlfn.XLOOKUP(B172,Sheet2!$F$2:$F$1248,Sheet2!$G$2:$G$1248)</f>
        <v>Oslo Børs Equity Certificate Index  PR</v>
      </c>
      <c r="B172" t="s">
        <v>631</v>
      </c>
      <c r="C172" t="s">
        <v>4718</v>
      </c>
      <c r="D172" s="37" t="b">
        <f>ISNUMBER(MATCH(B172,$J$1:$J$52,0))</f>
        <v>0</v>
      </c>
      <c r="E172" s="34">
        <v>0</v>
      </c>
      <c r="F172" s="34"/>
    </row>
    <row r="173" spans="1:6" hidden="1">
      <c r="A173" t="str">
        <f>_xlfn.XLOOKUP(B173,Sheet2!$F$2:$F$1248,Sheet2!$G$2:$G$1248)</f>
        <v>Oslo Børs Mid Cap Index</v>
      </c>
      <c r="B173" t="s">
        <v>793</v>
      </c>
      <c r="C173" t="s">
        <v>4718</v>
      </c>
      <c r="D173" s="37" t="b">
        <f>ISNUMBER(MATCH(B173,$J$1:$J$52,0))</f>
        <v>0</v>
      </c>
      <c r="E173" s="34">
        <v>0</v>
      </c>
      <c r="F173" s="34"/>
    </row>
    <row r="174" spans="1:6" hidden="1">
      <c r="A174" t="str">
        <f>_xlfn.XLOOKUP(B174,Sheet2!$F$2:$F$1248,Sheet2!$G$2:$G$1248)</f>
        <v>Oslo Børs Small Cap Index_GI</v>
      </c>
      <c r="B174" t="s">
        <v>807</v>
      </c>
      <c r="C174" t="s">
        <v>4718</v>
      </c>
      <c r="D174" s="37" t="b">
        <f>ISNUMBER(MATCH(B174,$J$1:$J$52,0))</f>
        <v>0</v>
      </c>
      <c r="E174" s="34">
        <v>0</v>
      </c>
      <c r="F174" s="34"/>
    </row>
    <row r="175" spans="1:6" hidden="1">
      <c r="A175" t="str">
        <f>_xlfn.XLOOKUP(B175,Sheet2!$F$2:$F$1248,Sheet2!$G$2:$G$1248)</f>
        <v>OSLO Energy Index</v>
      </c>
      <c r="B175" t="s">
        <v>799</v>
      </c>
      <c r="C175" t="s">
        <v>4718</v>
      </c>
      <c r="D175" s="37" t="b">
        <f>ISNUMBER(MATCH(B175,$J$1:$J$52,0))</f>
        <v>0</v>
      </c>
      <c r="E175" s="34">
        <v>0</v>
      </c>
      <c r="F175" s="34"/>
    </row>
    <row r="176" spans="1:6" hidden="1">
      <c r="A176" t="str">
        <f>_xlfn.XLOOKUP(B176,Sheet2!$F$2:$F$1248,Sheet2!$G$2:$G$1248)</f>
        <v>OSLO Energy Index PR</v>
      </c>
      <c r="B176" t="s">
        <v>623</v>
      </c>
      <c r="C176" t="s">
        <v>4718</v>
      </c>
      <c r="D176" s="37" t="b">
        <f>ISNUMBER(MATCH(B176,$J$1:$J$52,0))</f>
        <v>0</v>
      </c>
      <c r="E176" s="34">
        <v>0</v>
      </c>
      <c r="F176" s="34"/>
    </row>
    <row r="177" spans="1:6" hidden="1">
      <c r="A177" t="str">
        <f>_xlfn.XLOOKUP(B177,Sheet2!$F$2:$F$1248,Sheet2!$G$2:$G$1248)</f>
        <v>OSLO Seafood Index</v>
      </c>
      <c r="B177" t="s">
        <v>797</v>
      </c>
      <c r="C177" t="s">
        <v>4718</v>
      </c>
      <c r="D177" s="37" t="b">
        <f>ISNUMBER(MATCH(B177,$J$1:$J$52,0))</f>
        <v>0</v>
      </c>
      <c r="E177" s="34">
        <v>0</v>
      </c>
      <c r="F177" s="34"/>
    </row>
    <row r="178" spans="1:6" hidden="1">
      <c r="A178" t="str">
        <f>_xlfn.XLOOKUP(B178,Sheet2!$F$2:$F$1248,Sheet2!$G$2:$G$1248)</f>
        <v>OSLO Seafood Index PR</v>
      </c>
      <c r="B178" t="s">
        <v>619</v>
      </c>
      <c r="C178" t="s">
        <v>4718</v>
      </c>
      <c r="D178" s="37" t="b">
        <f>ISNUMBER(MATCH(B178,$J$1:$J$52,0))</f>
        <v>0</v>
      </c>
      <c r="E178" s="34">
        <v>0</v>
      </c>
      <c r="F178" s="34"/>
    </row>
    <row r="179" spans="1:6" hidden="1">
      <c r="A179" t="str">
        <f>_xlfn.XLOOKUP(B179,Sheet2!$F$2:$F$1248,Sheet2!$G$2:$G$1248)</f>
        <v>OSLO Shipping Index</v>
      </c>
      <c r="B179" t="s">
        <v>795</v>
      </c>
      <c r="C179" t="s">
        <v>4718</v>
      </c>
      <c r="D179" s="37" t="b">
        <f>ISNUMBER(MATCH(B179,$J$1:$J$52,0))</f>
        <v>0</v>
      </c>
      <c r="E179" s="34">
        <v>0</v>
      </c>
      <c r="F179" s="34"/>
    </row>
    <row r="180" spans="1:6" hidden="1">
      <c r="A180" t="str">
        <f>_xlfn.XLOOKUP(B180,Sheet2!$F$2:$F$1248,Sheet2!$G$2:$G$1248)</f>
        <v>OSLO Shipping Index PR</v>
      </c>
      <c r="B180" t="s">
        <v>615</v>
      </c>
      <c r="C180" t="s">
        <v>4718</v>
      </c>
      <c r="D180" s="37" t="b">
        <f>ISNUMBER(MATCH(B180,$J$1:$J$52,0))</f>
        <v>0</v>
      </c>
      <c r="E180" s="34">
        <v>0</v>
      </c>
      <c r="F180" s="34"/>
    </row>
    <row r="181" spans="1:6" hidden="1">
      <c r="A181" t="str">
        <f>_xlfn.XLOOKUP(B181,Sheet2!$F$2:$F$1248,Sheet2!$G$2:$G$1248)</f>
        <v>PSI</v>
      </c>
      <c r="B181" t="s">
        <v>566</v>
      </c>
      <c r="C181" t="s">
        <v>567</v>
      </c>
      <c r="D181" s="37" t="b">
        <f>ISNUMBER(MATCH(B181,$J$1:$J$52,0))</f>
        <v>0</v>
      </c>
      <c r="E181" s="34">
        <v>0</v>
      </c>
      <c r="F181" s="34"/>
    </row>
    <row r="182" spans="1:6" hidden="1">
      <c r="A182" t="str">
        <f>_xlfn.XLOOKUP(B182,Sheet2!$F$2:$F$1248,Sheet2!$G$2:$G$1248)</f>
        <v>PSI All-Share Index</v>
      </c>
      <c r="B182" t="s">
        <v>280</v>
      </c>
      <c r="C182" t="s">
        <v>567</v>
      </c>
      <c r="D182" s="37" t="b">
        <f>ISNUMBER(MATCH(B182,$J$1:$J$52,0))</f>
        <v>0</v>
      </c>
      <c r="E182" s="34">
        <v>0</v>
      </c>
      <c r="F182" s="34"/>
    </row>
    <row r="183" spans="1:6" hidden="1">
      <c r="A183" t="str">
        <f>_xlfn.XLOOKUP(B183,Sheet2!$F$2:$F$1248,Sheet2!$G$2:$G$1248)</f>
        <v>PSI Basic Materials</v>
      </c>
      <c r="B183" t="s">
        <v>232</v>
      </c>
      <c r="C183" t="s">
        <v>567</v>
      </c>
      <c r="D183" s="37" t="b">
        <f>ISNUMBER(MATCH(B183,$J$1:$J$52,0))</f>
        <v>0</v>
      </c>
      <c r="E183" s="34">
        <v>0</v>
      </c>
      <c r="F183" s="34"/>
    </row>
    <row r="184" spans="1:6" hidden="1">
      <c r="A184" t="str">
        <f>_xlfn.XLOOKUP(B184,Sheet2!$F$2:$F$1248,Sheet2!$G$2:$G$1248)</f>
        <v>PSI Consumer Discretionary</v>
      </c>
      <c r="B184" t="s">
        <v>224</v>
      </c>
      <c r="C184" t="s">
        <v>567</v>
      </c>
      <c r="D184" s="37" t="b">
        <f>ISNUMBER(MATCH(B184,$J$1:$J$52,0))</f>
        <v>0</v>
      </c>
      <c r="E184" s="34">
        <v>0</v>
      </c>
      <c r="F184" s="34"/>
    </row>
    <row r="185" spans="1:6" hidden="1">
      <c r="A185" t="str">
        <f>_xlfn.XLOOKUP(B185,Sheet2!$F$2:$F$1248,Sheet2!$G$2:$G$1248)</f>
        <v>PSI Consumer Staples</v>
      </c>
      <c r="B185" t="s">
        <v>220</v>
      </c>
      <c r="C185" t="s">
        <v>567</v>
      </c>
      <c r="D185" s="37" t="b">
        <f>ISNUMBER(MATCH(B185,$J$1:$J$52,0))</f>
        <v>0</v>
      </c>
      <c r="E185" s="34">
        <v>0</v>
      </c>
      <c r="F185" s="34"/>
    </row>
    <row r="186" spans="1:6" hidden="1">
      <c r="A186" t="str">
        <f>_xlfn.XLOOKUP(B186,Sheet2!$F$2:$F$1248,Sheet2!$G$2:$G$1248)</f>
        <v>PSI Energy</v>
      </c>
      <c r="B186" t="s">
        <v>127</v>
      </c>
      <c r="C186" t="s">
        <v>567</v>
      </c>
      <c r="D186" s="37" t="b">
        <f>ISNUMBER(MATCH(B186,$J$1:$J$52,0))</f>
        <v>0</v>
      </c>
      <c r="E186" s="34">
        <v>0</v>
      </c>
      <c r="F186" s="34"/>
    </row>
    <row r="187" spans="1:6" hidden="1">
      <c r="A187" t="str">
        <f>_xlfn.XLOOKUP(B187,Sheet2!$F$2:$F$1248,Sheet2!$G$2:$G$1248)</f>
        <v>PSI ex Banks</v>
      </c>
      <c r="B187" t="s">
        <v>557</v>
      </c>
      <c r="C187" t="s">
        <v>567</v>
      </c>
      <c r="D187" s="37" t="b">
        <f>ISNUMBER(MATCH(B187,$J$1:$J$52,0))</f>
        <v>0</v>
      </c>
      <c r="E187" s="34">
        <v>0</v>
      </c>
      <c r="F187" s="34"/>
    </row>
    <row r="188" spans="1:6" hidden="1">
      <c r="A188" t="str">
        <f>_xlfn.XLOOKUP(B188,Sheet2!$F$2:$F$1248,Sheet2!$G$2:$G$1248)</f>
        <v>PSI Financials</v>
      </c>
      <c r="B188" t="s">
        <v>208</v>
      </c>
      <c r="C188" t="s">
        <v>567</v>
      </c>
      <c r="D188" s="37" t="b">
        <f>ISNUMBER(MATCH(B188,$J$1:$J$52,0))</f>
        <v>0</v>
      </c>
      <c r="E188" s="34">
        <v>0</v>
      </c>
      <c r="F188" s="34"/>
    </row>
    <row r="189" spans="1:6" hidden="1">
      <c r="A189" t="str">
        <f>_xlfn.XLOOKUP(B189,Sheet2!$F$2:$F$1248,Sheet2!$G$2:$G$1248)</f>
        <v>PSI Industrials</v>
      </c>
      <c r="B189" t="s">
        <v>228</v>
      </c>
      <c r="C189" t="s">
        <v>567</v>
      </c>
      <c r="D189" s="37" t="b">
        <f>ISNUMBER(MATCH(B189,$J$1:$J$52,0))</f>
        <v>0</v>
      </c>
      <c r="E189" s="34">
        <v>0</v>
      </c>
      <c r="F189" s="34"/>
    </row>
    <row r="190" spans="1:6" hidden="1">
      <c r="A190" t="str">
        <f>_xlfn.XLOOKUP(B190,Sheet2!$F$2:$F$1248,Sheet2!$G$2:$G$1248)</f>
        <v>PSI Technology</v>
      </c>
      <c r="B190" t="s">
        <v>204</v>
      </c>
      <c r="C190" t="s">
        <v>567</v>
      </c>
      <c r="D190" s="37" t="b">
        <f>ISNUMBER(MATCH(B190,$J$1:$J$52,0))</f>
        <v>0</v>
      </c>
      <c r="E190" s="34">
        <v>0</v>
      </c>
      <c r="F190" s="34"/>
    </row>
    <row r="191" spans="1:6" hidden="1">
      <c r="A191" t="str">
        <f>_xlfn.XLOOKUP(B191,Sheet2!$F$2:$F$1248,Sheet2!$G$2:$G$1248)</f>
        <v>PSI Telecommunications</v>
      </c>
      <c r="B191" t="s">
        <v>216</v>
      </c>
      <c r="C191" t="s">
        <v>567</v>
      </c>
      <c r="D191" s="37" t="b">
        <f>ISNUMBER(MATCH(B191,$J$1:$J$52,0))</f>
        <v>0</v>
      </c>
      <c r="E191" s="34">
        <v>0</v>
      </c>
      <c r="F191" s="34"/>
    </row>
    <row r="192" spans="1:6" hidden="1">
      <c r="A192" t="str">
        <f>_xlfn.XLOOKUP(B192,Sheet2!$F$2:$F$1248,Sheet2!$G$2:$G$1248)</f>
        <v>PSI Utilities</v>
      </c>
      <c r="B192" t="s">
        <v>212</v>
      </c>
      <c r="C192" t="s">
        <v>567</v>
      </c>
      <c r="D192" s="37" t="b">
        <f>ISNUMBER(MATCH(B192,$J$1:$J$52,0))</f>
        <v>0</v>
      </c>
      <c r="E192" s="34">
        <v>0</v>
      </c>
      <c r="F192" s="34"/>
    </row>
    <row r="193" spans="1:6" hidden="1">
      <c r="A193" s="35" t="str">
        <f>_xlfn.XLOOKUP(B193,Sheet2!$F$2:$F$1248,Sheet2!$G$2:$G$1248)</f>
        <v>SBF 120</v>
      </c>
      <c r="B193" s="35" t="s">
        <v>2760</v>
      </c>
      <c r="C193" s="35" t="s">
        <v>4720</v>
      </c>
      <c r="D193" s="37" t="b">
        <f>ISNUMBER(MATCH(B193,$J$1:$J$52,0))</f>
        <v>0</v>
      </c>
      <c r="E193" s="34">
        <v>0</v>
      </c>
      <c r="F193" s="34"/>
    </row>
    <row r="194" spans="1:6" hidden="1">
      <c r="A194" t="str">
        <f>_xlfn.XLOOKUP(B194,Sheet2!$F$2:$F$1248,Sheet2!$G$2:$G$1248)</f>
        <v>SBF Top 50 ESG EW</v>
      </c>
      <c r="B194" t="s">
        <v>2625</v>
      </c>
      <c r="C194" t="s">
        <v>4717</v>
      </c>
      <c r="D194" s="37" t="b">
        <f>ISNUMBER(MATCH(B194,$J$1:$J$52,0))</f>
        <v>1</v>
      </c>
      <c r="E194" s="34">
        <v>0</v>
      </c>
      <c r="F194" s="34"/>
    </row>
    <row r="195" spans="1:6" hidden="1">
      <c r="A195" t="str">
        <f>_xlfn.XLOOKUP(B195,Sheet2!$F$2:$F$1248,Sheet2!$G$2:$G$1248)</f>
        <v>SBF Top 80 EW</v>
      </c>
      <c r="B195" t="s">
        <v>2722</v>
      </c>
      <c r="C195" t="s">
        <v>4717</v>
      </c>
      <c r="D195" s="37" t="b">
        <f>ISNUMBER(MATCH(B195,$J$1:$J$52,0))</f>
        <v>0</v>
      </c>
      <c r="E195" s="34">
        <v>0</v>
      </c>
      <c r="F195" s="34"/>
    </row>
    <row r="196" spans="1:6">
      <c r="A196" s="35" t="str">
        <f>_xlfn.XLOOKUP(B196,Sheet2!$F$2:$F$1248,Sheet2!$G$2:$G$1248)</f>
        <v>Euronext 100 Index</v>
      </c>
      <c r="B196" s="35" t="s">
        <v>2766</v>
      </c>
      <c r="C196" s="35" t="s">
        <v>4720</v>
      </c>
      <c r="D196" t="b">
        <f>ISNUMBER(MATCH(B196,$J$1:$J$52,0))</f>
        <v>0</v>
      </c>
      <c r="E196" s="34">
        <v>0</v>
      </c>
      <c r="F196" s="34"/>
    </row>
    <row r="197" spans="1:6">
      <c r="A197" s="35" t="str">
        <f>_xlfn.XLOOKUP(B197,Sheet2!$F$2:$F$1248,Sheet2!$G$2:$G$1248)</f>
        <v>Euronext Aerospace and Defense PR</v>
      </c>
      <c r="B197" s="35" t="s">
        <v>1673</v>
      </c>
      <c r="C197" s="35" t="s">
        <v>4720</v>
      </c>
      <c r="D197" t="b">
        <f>ISNUMBER(MATCH(B197,$J$1:$J$52,0))</f>
        <v>0</v>
      </c>
      <c r="E197" s="34">
        <v>1</v>
      </c>
      <c r="F197" s="34"/>
    </row>
    <row r="198" spans="1:6">
      <c r="A198" s="35" t="str">
        <f>_xlfn.XLOOKUP(B198,Sheet2!$F$2:$F$1248,Sheet2!$G$2:$G$1248)</f>
        <v>Euronext AI World</v>
      </c>
      <c r="B198" s="35" t="s">
        <v>3020</v>
      </c>
      <c r="C198" s="35" t="s">
        <v>4720</v>
      </c>
      <c r="D198" t="b">
        <f>ISNUMBER(MATCH(B198,$J$1:$J$52,0))</f>
        <v>0</v>
      </c>
      <c r="E198" s="34">
        <v>1</v>
      </c>
      <c r="F198" s="34"/>
    </row>
    <row r="199" spans="1:6">
      <c r="A199" s="35" t="str">
        <f>_xlfn.XLOOKUP(B199,Sheet2!$F$2:$F$1248,Sheet2!$G$2:$G$1248)</f>
        <v>Euronext Asia Pacific 500</v>
      </c>
      <c r="B199" s="35" t="s">
        <v>827</v>
      </c>
      <c r="C199" s="35" t="s">
        <v>4720</v>
      </c>
      <c r="D199" t="b">
        <f>ISNUMBER(MATCH(B199,$J$1:$J$52,0))</f>
        <v>0</v>
      </c>
      <c r="E199" s="34">
        <v>1</v>
      </c>
      <c r="F199" s="34"/>
    </row>
    <row r="200" spans="1:6">
      <c r="A200" s="35" t="str">
        <f>_xlfn.XLOOKUP(B200,Sheet2!$F$2:$F$1248,Sheet2!$G$2:$G$1248)</f>
        <v>Euronext BeNe 40 Equal Weight</v>
      </c>
      <c r="B200" s="35" t="s">
        <v>1324</v>
      </c>
      <c r="C200" s="35" t="s">
        <v>4720</v>
      </c>
      <c r="D200" t="b">
        <f>ISNUMBER(MATCH(B200,$J$1:$J$52,0))</f>
        <v>0</v>
      </c>
      <c r="E200" s="34">
        <v>1</v>
      </c>
      <c r="F200" s="34"/>
    </row>
    <row r="201" spans="1:6">
      <c r="A201" s="35" t="str">
        <f>_xlfn.XLOOKUP(B201,Sheet2!$F$2:$F$1248,Sheet2!$G$2:$G$1248)</f>
        <v>Euronext BeNeLux Low Risk 20</v>
      </c>
      <c r="B201" s="35" t="s">
        <v>1284</v>
      </c>
      <c r="C201" s="35" t="s">
        <v>4720</v>
      </c>
      <c r="D201" t="b">
        <f>ISNUMBER(MATCH(B201,$J$1:$J$52,0))</f>
        <v>0</v>
      </c>
      <c r="E201" s="34">
        <v>1</v>
      </c>
      <c r="F201" s="34"/>
    </row>
    <row r="202" spans="1:6">
      <c r="A202" s="35" t="str">
        <f>_xlfn.XLOOKUP(B202,Sheet2!$F$2:$F$1248,Sheet2!$G$2:$G$1248)</f>
        <v>Euronext Biodiversity Enablers World</v>
      </c>
      <c r="B202" s="35" t="s">
        <v>3359</v>
      </c>
      <c r="C202" s="35" t="s">
        <v>4720</v>
      </c>
      <c r="D202" t="b">
        <f>ISNUMBER(MATCH(B202,$J$1:$J$52,0))</f>
        <v>0</v>
      </c>
      <c r="E202" s="34">
        <v>1</v>
      </c>
      <c r="F202" s="34"/>
    </row>
    <row r="203" spans="1:6">
      <c r="A203" s="35" t="str">
        <f>_xlfn.XLOOKUP(B203,Sheet2!$F$2:$F$1248,Sheet2!$G$2:$G$1248)</f>
        <v>Euronext Biodiversity Screened World</v>
      </c>
      <c r="B203" s="35" t="s">
        <v>3350</v>
      </c>
      <c r="C203" s="35" t="s">
        <v>4720</v>
      </c>
      <c r="D203" t="b">
        <f>ISNUMBER(MATCH(B203,$J$1:$J$52,0))</f>
        <v>0</v>
      </c>
      <c r="E203" s="34">
        <v>1</v>
      </c>
      <c r="F203" s="34"/>
    </row>
    <row r="204" spans="1:6">
      <c r="A204" s="35" t="str">
        <f>_xlfn.XLOOKUP(B204,Sheet2!$F$2:$F$1248,Sheet2!$G$2:$G$1248)</f>
        <v>Euronext Canada</v>
      </c>
      <c r="B204" s="35" t="s">
        <v>1838</v>
      </c>
      <c r="C204" s="35" t="s">
        <v>4720</v>
      </c>
      <c r="D204" t="b">
        <f>ISNUMBER(MATCH(B204,$J$1:$J$52,0))</f>
        <v>0</v>
      </c>
      <c r="E204" s="34">
        <v>1</v>
      </c>
      <c r="F204" s="34"/>
    </row>
    <row r="205" spans="1:6">
      <c r="A205" s="35" t="str">
        <f>_xlfn.XLOOKUP(B205,Sheet2!$F$2:$F$1248,Sheet2!$G$2:$G$1248)</f>
        <v>Euronext Climate Europe</v>
      </c>
      <c r="B205" s="35" t="s">
        <v>1315</v>
      </c>
      <c r="C205" s="35" t="s">
        <v>4720</v>
      </c>
      <c r="D205" t="b">
        <f>ISNUMBER(MATCH(B205,$J$1:$J$52,0))</f>
        <v>0</v>
      </c>
      <c r="E205" s="34">
        <v>1</v>
      </c>
      <c r="F205" s="34"/>
    </row>
    <row r="206" spans="1:6">
      <c r="A206" s="35" t="str">
        <f>_xlfn.XLOOKUP(B206,Sheet2!$F$2:$F$1248,Sheet2!$G$2:$G$1248)</f>
        <v>Euronext Cybersecurity World</v>
      </c>
      <c r="B206" s="35" t="s">
        <v>2990</v>
      </c>
      <c r="C206" s="35" t="s">
        <v>4720</v>
      </c>
      <c r="D206" t="b">
        <f>ISNUMBER(MATCH(B206,$J$1:$J$52,0))</f>
        <v>0</v>
      </c>
      <c r="E206" s="34">
        <v>1</v>
      </c>
      <c r="F206" s="34"/>
    </row>
    <row r="207" spans="1:6">
      <c r="A207" s="35" t="str">
        <f>_xlfn.XLOOKUP(B207,Sheet2!$F$2:$F$1248,Sheet2!$G$2:$G$1248)</f>
        <v>Euronext Developed Asia</v>
      </c>
      <c r="B207" s="35" t="s">
        <v>1879</v>
      </c>
      <c r="C207" s="35" t="s">
        <v>4720</v>
      </c>
      <c r="D207" t="b">
        <f>ISNUMBER(MATCH(B207,$J$1:$J$52,0))</f>
        <v>0</v>
      </c>
      <c r="E207" s="34">
        <v>1</v>
      </c>
      <c r="F207" s="34"/>
    </row>
    <row r="208" spans="1:6">
      <c r="A208" s="35" t="str">
        <f>_xlfn.XLOOKUP(B208,Sheet2!$F$2:$F$1248,Sheet2!$G$2:$G$1248)</f>
        <v>Euronext Developed Asia Pacific</v>
      </c>
      <c r="B208" s="35" t="s">
        <v>1888</v>
      </c>
      <c r="C208" s="35" t="s">
        <v>4720</v>
      </c>
      <c r="D208" t="b">
        <f>ISNUMBER(MATCH(B208,$J$1:$J$52,0))</f>
        <v>0</v>
      </c>
      <c r="E208" s="34">
        <v>1</v>
      </c>
      <c r="F208" s="34"/>
    </row>
    <row r="209" spans="1:6">
      <c r="A209" s="35" t="str">
        <f>_xlfn.XLOOKUP(B209,Sheet2!$F$2:$F$1248,Sheet2!$G$2:$G$1248)</f>
        <v>Euronext Developed Europe</v>
      </c>
      <c r="B209" s="35" t="s">
        <v>1916</v>
      </c>
      <c r="C209" s="35" t="s">
        <v>4720</v>
      </c>
      <c r="D209" t="b">
        <f>ISNUMBER(MATCH(B209,$J$1:$J$52,0))</f>
        <v>0</v>
      </c>
      <c r="E209" s="34">
        <v>1</v>
      </c>
      <c r="F209" s="34"/>
    </row>
    <row r="210" spans="1:6">
      <c r="A210" s="35" t="str">
        <f>_xlfn.XLOOKUP(B210,Sheet2!$F$2:$F$1248,Sheet2!$G$2:$G$1248)</f>
        <v>Euronext Developed Eurozone</v>
      </c>
      <c r="B210" s="35" t="s">
        <v>1907</v>
      </c>
      <c r="C210" s="35" t="s">
        <v>4720</v>
      </c>
      <c r="D210" t="b">
        <f>ISNUMBER(MATCH(B210,$J$1:$J$52,0))</f>
        <v>0</v>
      </c>
      <c r="E210" s="34">
        <v>1</v>
      </c>
      <c r="F210" s="34"/>
    </row>
    <row r="211" spans="1:6">
      <c r="A211" s="35" t="str">
        <f>_xlfn.XLOOKUP(B211,Sheet2!$F$2:$F$1248,Sheet2!$G$2:$G$1248)</f>
        <v>Euronext Developed Market</v>
      </c>
      <c r="B211" s="35" t="s">
        <v>856</v>
      </c>
      <c r="C211" s="35" t="s">
        <v>4720</v>
      </c>
      <c r="D211" t="b">
        <f>ISNUMBER(MATCH(B211,$J$1:$J$52,0))</f>
        <v>0</v>
      </c>
      <c r="E211" s="34">
        <v>1</v>
      </c>
      <c r="F211" s="34"/>
    </row>
    <row r="212" spans="1:6">
      <c r="A212" s="35" t="str">
        <f>_xlfn.XLOOKUP(B212,Sheet2!$F$2:$F$1248,Sheet2!$G$2:$G$1248)</f>
        <v>Euronext Developed Market USD</v>
      </c>
      <c r="B212" s="35" t="s">
        <v>2183</v>
      </c>
      <c r="C212" s="35" t="s">
        <v>4720</v>
      </c>
      <c r="D212" t="b">
        <f>ISNUMBER(MATCH(B212,$J$1:$J$52,0))</f>
        <v>0</v>
      </c>
      <c r="E212" s="34">
        <v>1</v>
      </c>
      <c r="F212" s="34"/>
    </row>
    <row r="213" spans="1:6">
      <c r="A213" s="35" t="str">
        <f>_xlfn.XLOOKUP(B213,Sheet2!$F$2:$F$1248,Sheet2!$G$2:$G$1248)</f>
        <v>Euronext Developed North America</v>
      </c>
      <c r="B213" s="35" t="s">
        <v>1898</v>
      </c>
      <c r="C213" s="35" t="s">
        <v>4720</v>
      </c>
      <c r="D213" t="b">
        <f>ISNUMBER(MATCH(B213,$J$1:$J$52,0))</f>
        <v>0</v>
      </c>
      <c r="E213" s="34">
        <v>1</v>
      </c>
      <c r="F213" s="34"/>
    </row>
    <row r="214" spans="1:6">
      <c r="A214" s="35" t="str">
        <f>_xlfn.XLOOKUP(B214,Sheet2!$F$2:$F$1248,Sheet2!$G$2:$G$1248)</f>
        <v>Euronext Developed Pacific</v>
      </c>
      <c r="B214" s="35" t="s">
        <v>1870</v>
      </c>
      <c r="C214" s="35" t="s">
        <v>4720</v>
      </c>
      <c r="D214" t="b">
        <f>ISNUMBER(MATCH(B214,$J$1:$J$52,0))</f>
        <v>0</v>
      </c>
      <c r="E214" s="34">
        <v>1</v>
      </c>
      <c r="F214" s="34"/>
    </row>
    <row r="215" spans="1:6">
      <c r="A215" s="35" t="str">
        <f>_xlfn.XLOOKUP(B215,Sheet2!$F$2:$F$1248,Sheet2!$G$2:$G$1248)</f>
        <v>Euronext Developed World</v>
      </c>
      <c r="B215" s="35" t="s">
        <v>1925</v>
      </c>
      <c r="C215" s="35" t="s">
        <v>4720</v>
      </c>
      <c r="D215" t="b">
        <f>ISNUMBER(MATCH(B215,$J$1:$J$52,0))</f>
        <v>0</v>
      </c>
      <c r="E215" s="34">
        <v>1</v>
      </c>
      <c r="F215" s="34"/>
    </row>
    <row r="216" spans="1:6">
      <c r="A216" s="35" t="str">
        <f>_xlfn.XLOOKUP(B216,Sheet2!$F$2:$F$1248,Sheet2!$G$2:$G$1248)</f>
        <v>Euronext Developed World ESG Screened</v>
      </c>
      <c r="B216" s="35" t="s">
        <v>2192</v>
      </c>
      <c r="C216" s="35" t="s">
        <v>4720</v>
      </c>
      <c r="D216" t="b">
        <f>ISNUMBER(MATCH(B216,$J$1:$J$52,0))</f>
        <v>0</v>
      </c>
      <c r="E216" s="34">
        <v>1</v>
      </c>
      <c r="F216" s="34"/>
    </row>
    <row r="217" spans="1:6">
      <c r="A217" s="35" t="str">
        <f>_xlfn.XLOOKUP(B217,Sheet2!$F$2:$F$1248,Sheet2!$G$2:$G$1248)</f>
        <v>Euronext Earth Focus 40</v>
      </c>
      <c r="B217" s="35" t="s">
        <v>3318</v>
      </c>
      <c r="C217" s="35" t="s">
        <v>4720</v>
      </c>
      <c r="D217" t="b">
        <f>ISNUMBER(MATCH(B217,$J$1:$J$52,0))</f>
        <v>0</v>
      </c>
      <c r="E217" s="34">
        <v>1</v>
      </c>
      <c r="F217" s="34"/>
    </row>
    <row r="218" spans="1:6">
      <c r="A218" s="35" t="str">
        <f>_xlfn.XLOOKUP(B218,Sheet2!$F$2:$F$1248,Sheet2!$G$2:$G$1248)</f>
        <v>Euronext Environmental Goods and Services Eurozone</v>
      </c>
      <c r="B218" s="35" t="s">
        <v>3535</v>
      </c>
      <c r="C218" s="35" t="s">
        <v>4720</v>
      </c>
      <c r="D218" t="b">
        <f>ISNUMBER(MATCH(B218,$J$1:$J$52,0))</f>
        <v>0</v>
      </c>
      <c r="E218" s="34">
        <v>1</v>
      </c>
      <c r="F218" s="34"/>
    </row>
    <row r="219" spans="1:6">
      <c r="A219" s="35" t="str">
        <f>_xlfn.XLOOKUP(B219,Sheet2!$F$2:$F$1248,Sheet2!$G$2:$G$1248)</f>
        <v>Euronext Environmental Goods and Services World</v>
      </c>
      <c r="B219" s="35" t="s">
        <v>3544</v>
      </c>
      <c r="C219" s="35" t="s">
        <v>4720</v>
      </c>
      <c r="D219" t="b">
        <f>ISNUMBER(MATCH(B219,$J$1:$J$52,0))</f>
        <v>0</v>
      </c>
      <c r="E219" s="34">
        <v>1</v>
      </c>
      <c r="F219" s="34"/>
    </row>
    <row r="220" spans="1:6">
      <c r="A220" s="35" t="str">
        <f>_xlfn.XLOOKUP(B220,Sheet2!$F$2:$F$1248,Sheet2!$G$2:$G$1248)</f>
        <v>Euronext Europe 500</v>
      </c>
      <c r="B220" s="35" t="s">
        <v>1004</v>
      </c>
      <c r="C220" s="35" t="s">
        <v>4720</v>
      </c>
      <c r="D220" t="b">
        <f>ISNUMBER(MATCH(B220,$J$1:$J$52,0))</f>
        <v>0</v>
      </c>
      <c r="E220" s="34">
        <v>1</v>
      </c>
      <c r="F220" s="34"/>
    </row>
    <row r="221" spans="1:6">
      <c r="A221" s="35" t="str">
        <f>_xlfn.XLOOKUP(B221,Sheet2!$F$2:$F$1248,Sheet2!$G$2:$G$1248)</f>
        <v>Euronext Europe Luxury</v>
      </c>
      <c r="B221" s="35" t="s">
        <v>1706</v>
      </c>
      <c r="C221" s="35" t="s">
        <v>4720</v>
      </c>
      <c r="D221" t="b">
        <f>ISNUMBER(MATCH(B221,$J$1:$J$52,0))</f>
        <v>0</v>
      </c>
      <c r="E221" s="34">
        <v>1</v>
      </c>
      <c r="F221" s="34"/>
    </row>
    <row r="222" spans="1:6">
      <c r="A222" s="35" t="str">
        <f>_xlfn.XLOOKUP(B222,Sheet2!$F$2:$F$1248,Sheet2!$G$2:$G$1248)</f>
        <v>Euronext Eurozone 300</v>
      </c>
      <c r="B222" s="35" t="s">
        <v>995</v>
      </c>
      <c r="C222" s="35" t="s">
        <v>4720</v>
      </c>
      <c r="D222" t="b">
        <f>ISNUMBER(MATCH(B222,$J$1:$J$52,0))</f>
        <v>0</v>
      </c>
      <c r="E222" s="34">
        <v>1</v>
      </c>
      <c r="F222" s="34"/>
    </row>
    <row r="223" spans="1:6">
      <c r="A223" s="35" t="str">
        <f>_xlfn.XLOOKUP(B223,Sheet2!$F$2:$F$1248,Sheet2!$G$2:$G$1248)</f>
        <v>Euronext Eurozone 50</v>
      </c>
      <c r="B223" s="35" t="s">
        <v>1709</v>
      </c>
      <c r="C223" s="35" t="s">
        <v>4720</v>
      </c>
      <c r="D223" t="b">
        <f>ISNUMBER(MATCH(B223,$J$1:$J$52,0))</f>
        <v>0</v>
      </c>
      <c r="E223" s="34">
        <v>1</v>
      </c>
      <c r="F223" s="34"/>
    </row>
    <row r="224" spans="1:6">
      <c r="A224" s="35" t="str">
        <f>_xlfn.XLOOKUP(B224,Sheet2!$F$2:$F$1248,Sheet2!$G$2:$G$1248)</f>
        <v>Euronext Eurozone 60 PAB</v>
      </c>
      <c r="B224" s="35" t="s">
        <v>3590</v>
      </c>
      <c r="C224" s="35" t="s">
        <v>4720</v>
      </c>
      <c r="D224" t="b">
        <f>ISNUMBER(MATCH(B224,$J$1:$J$52,0))</f>
        <v>0</v>
      </c>
      <c r="E224" s="34">
        <v>1</v>
      </c>
      <c r="F224" s="34"/>
    </row>
    <row r="225" spans="1:6">
      <c r="A225" s="35" t="str">
        <f>_xlfn.XLOOKUP(B225,Sheet2!$F$2:$F$1248,Sheet2!$G$2:$G$1248)</f>
        <v>Euronext Eurozone Banks</v>
      </c>
      <c r="B225" s="35" t="s">
        <v>929</v>
      </c>
      <c r="C225" s="35" t="s">
        <v>4720</v>
      </c>
      <c r="D225" t="b">
        <f>ISNUMBER(MATCH(B225,$J$1:$J$52,0))</f>
        <v>0</v>
      </c>
      <c r="E225" s="34">
        <v>1</v>
      </c>
      <c r="F225" s="34"/>
    </row>
    <row r="226" spans="1:6">
      <c r="A226" s="35" t="str">
        <f>_xlfn.XLOOKUP(B226,Sheet2!$F$2:$F$1248,Sheet2!$G$2:$G$1248)</f>
        <v>Euronext Eurozone Basic Materials PR</v>
      </c>
      <c r="B226" s="35" t="s">
        <v>1658</v>
      </c>
      <c r="C226" s="35" t="s">
        <v>4720</v>
      </c>
      <c r="D226" t="b">
        <f>ISNUMBER(MATCH(B226,$J$1:$J$52,0))</f>
        <v>0</v>
      </c>
      <c r="E226" s="34">
        <v>1</v>
      </c>
      <c r="F226" s="34"/>
    </row>
    <row r="227" spans="1:6">
      <c r="A227" s="35" t="str">
        <f>_xlfn.XLOOKUP(B227,Sheet2!$F$2:$F$1248,Sheet2!$G$2:$G$1248)</f>
        <v>Euronext Eurozone ESG Transition</v>
      </c>
      <c r="B227" s="35" t="s">
        <v>3436</v>
      </c>
      <c r="C227" s="35" t="s">
        <v>4720</v>
      </c>
      <c r="D227" t="b">
        <f>ISNUMBER(MATCH(B227,$J$1:$J$52,0))</f>
        <v>0</v>
      </c>
      <c r="E227" s="34">
        <v>1</v>
      </c>
      <c r="F227" s="34"/>
    </row>
    <row r="228" spans="1:6">
      <c r="A228" s="35" t="str">
        <f>_xlfn.XLOOKUP(B228,Sheet2!$F$2:$F$1248,Sheet2!$G$2:$G$1248)</f>
        <v>Euronext Eurozone Focus 40 PAB</v>
      </c>
      <c r="B228" s="35" t="s">
        <v>3575</v>
      </c>
      <c r="C228" s="35" t="s">
        <v>4720</v>
      </c>
      <c r="D228" t="b">
        <f>ISNUMBER(MATCH(B228,$J$1:$J$52,0))</f>
        <v>0</v>
      </c>
      <c r="E228" s="34">
        <v>1</v>
      </c>
      <c r="F228" s="34"/>
    </row>
    <row r="229" spans="1:6">
      <c r="A229" s="35" t="str">
        <f>_xlfn.XLOOKUP(B229,Sheet2!$F$2:$F$1248,Sheet2!$G$2:$G$1248)</f>
        <v>Euronext Eurozone Small Cap</v>
      </c>
      <c r="B229" s="35" t="s">
        <v>1568</v>
      </c>
      <c r="C229" s="35" t="s">
        <v>4720</v>
      </c>
      <c r="D229" t="b">
        <f>ISNUMBER(MATCH(B229,$J$1:$J$52,0))</f>
        <v>0</v>
      </c>
      <c r="E229" s="34">
        <v>1</v>
      </c>
      <c r="F229" s="34"/>
    </row>
    <row r="230" spans="1:6">
      <c r="A230" s="35" t="str">
        <f>_xlfn.XLOOKUP(B230,Sheet2!$F$2:$F$1248,Sheet2!$G$2:$G$1248)</f>
        <v>Euronext Expand All-Share Index</v>
      </c>
      <c r="B230" s="35" t="s">
        <v>744</v>
      </c>
      <c r="C230" s="35" t="s">
        <v>4720</v>
      </c>
      <c r="D230" t="b">
        <f>ISNUMBER(MATCH(B230,$J$1:$J$52,0))</f>
        <v>0</v>
      </c>
      <c r="E230" s="34">
        <v>1</v>
      </c>
      <c r="F230" s="34"/>
    </row>
    <row r="231" spans="1:6">
      <c r="A231" s="35" t="str">
        <f>_xlfn.XLOOKUP(B231,Sheet2!$F$2:$F$1248,Sheet2!$G$2:$G$1248)</f>
        <v>Euronext EZ Transatlantic</v>
      </c>
      <c r="B231" s="35" t="s">
        <v>2090</v>
      </c>
      <c r="C231" s="35" t="s">
        <v>4720</v>
      </c>
      <c r="D231" t="b">
        <f>ISNUMBER(MATCH(B231,$J$1:$J$52,0))</f>
        <v>0</v>
      </c>
      <c r="E231" s="34">
        <v>1</v>
      </c>
      <c r="F231" s="34"/>
    </row>
    <row r="232" spans="1:6">
      <c r="A232" s="35" t="str">
        <f>_xlfn.XLOOKUP(B232,Sheet2!$F$2:$F$1248,Sheet2!$G$2:$G$1248)</f>
        <v>Euronext FAS IAS</v>
      </c>
      <c r="B232" s="35" t="s">
        <v>2957</v>
      </c>
      <c r="C232" s="35" t="s">
        <v>4720</v>
      </c>
      <c r="D232" t="b">
        <f>ISNUMBER(MATCH(B232,$J$1:$J$52,0))</f>
        <v>0</v>
      </c>
      <c r="E232" s="34">
        <v>1</v>
      </c>
      <c r="F232" s="34"/>
    </row>
    <row r="233" spans="1:6">
      <c r="A233" s="35" t="str">
        <f>_xlfn.XLOOKUP(B233,Sheet2!$F$2:$F$1248,Sheet2!$G$2:$G$1248)</f>
        <v>Euronext France Germany Leaders 50</v>
      </c>
      <c r="B233" s="35" t="s">
        <v>1211</v>
      </c>
      <c r="C233" s="35" t="s">
        <v>4720</v>
      </c>
      <c r="D233" t="b">
        <f>ISNUMBER(MATCH(B233,$J$1:$J$52,0))</f>
        <v>0</v>
      </c>
      <c r="E233" s="34">
        <v>1</v>
      </c>
      <c r="F233" s="34"/>
    </row>
    <row r="234" spans="1:6">
      <c r="A234" s="35" t="str">
        <f>_xlfn.XLOOKUP(B234,Sheet2!$F$2:$F$1248,Sheet2!$G$2:$G$1248)</f>
        <v>Euronext Invest In France</v>
      </c>
      <c r="B234" s="35" t="s">
        <v>2924</v>
      </c>
      <c r="C234" s="35" t="s">
        <v>4720</v>
      </c>
      <c r="D234" s="37" t="b">
        <f>ISNUMBER(MATCH(B234,$J$1:$J$52,0))</f>
        <v>0</v>
      </c>
      <c r="E234" s="34">
        <v>1</v>
      </c>
      <c r="F234" s="34"/>
    </row>
    <row r="235" spans="1:6">
      <c r="A235" s="35" t="str">
        <f>_xlfn.XLOOKUP(B235,Sheet2!$F$2:$F$1248,Sheet2!$G$2:$G$1248)</f>
        <v>Euronext Invest In France 40</v>
      </c>
      <c r="B235" s="35" t="s">
        <v>2870</v>
      </c>
      <c r="C235" s="35" t="s">
        <v>4720</v>
      </c>
      <c r="D235" s="37" t="b">
        <f>ISNUMBER(MATCH(B235,$J$1:$J$52,0))</f>
        <v>0</v>
      </c>
      <c r="E235" s="34">
        <v>1</v>
      </c>
      <c r="F235" s="34"/>
    </row>
    <row r="236" spans="1:6">
      <c r="A236" s="35" t="str">
        <f>_xlfn.XLOOKUP(B236,Sheet2!$F$2:$F$1248,Sheet2!$G$2:$G$1248)</f>
        <v>Euronext Japan</v>
      </c>
      <c r="B236" s="35" t="s">
        <v>1856</v>
      </c>
      <c r="C236" s="35" t="s">
        <v>4720</v>
      </c>
      <c r="D236" s="37" t="b">
        <f>ISNUMBER(MATCH(B236,$J$1:$J$52,0))</f>
        <v>0</v>
      </c>
      <c r="E236" s="34">
        <v>1</v>
      </c>
      <c r="F236" s="34"/>
    </row>
    <row r="237" spans="1:6">
      <c r="A237" s="35" t="str">
        <f>_xlfn.XLOOKUP(B237,Sheet2!$F$2:$F$1248,Sheet2!$G$2:$G$1248)</f>
        <v>Euronext North America 500</v>
      </c>
      <c r="B237" s="35" t="s">
        <v>839</v>
      </c>
      <c r="C237" s="35" t="s">
        <v>4720</v>
      </c>
      <c r="D237" s="37" t="b">
        <f>ISNUMBER(MATCH(B237,$J$1:$J$52,0))</f>
        <v>0</v>
      </c>
      <c r="E237" s="34">
        <v>1</v>
      </c>
      <c r="F237" s="34"/>
    </row>
    <row r="238" spans="1:6">
      <c r="A238" s="35" t="str">
        <f>_xlfn.XLOOKUP(B238,Sheet2!$F$2:$F$1248,Sheet2!$G$2:$G$1248)</f>
        <v>Euronext PAB North America 50</v>
      </c>
      <c r="B238" s="35" t="s">
        <v>3784</v>
      </c>
      <c r="C238" s="35" t="s">
        <v>4720</v>
      </c>
      <c r="D238" s="37" t="b">
        <f>ISNUMBER(MATCH(B238,$J$1:$J$52,0))</f>
        <v>0</v>
      </c>
      <c r="E238" s="34">
        <v>1</v>
      </c>
      <c r="F238" s="34"/>
    </row>
    <row r="239" spans="1:6">
      <c r="A239" s="35" t="str">
        <f>_xlfn.XLOOKUP(B239,Sheet2!$F$2:$F$1248,Sheet2!$G$2:$G$1248)</f>
        <v>Euronext PAB Transatlantic 40</v>
      </c>
      <c r="B239" s="35" t="s">
        <v>3743</v>
      </c>
      <c r="C239" s="35" t="s">
        <v>4720</v>
      </c>
      <c r="D239" s="37" t="b">
        <f>ISNUMBER(MATCH(B239,$J$1:$J$52,0))</f>
        <v>0</v>
      </c>
      <c r="E239" s="34">
        <v>1</v>
      </c>
      <c r="F239" s="34"/>
    </row>
    <row r="240" spans="1:6">
      <c r="A240" s="35" t="str">
        <f>_xlfn.XLOOKUP(B240,Sheet2!$F$2:$F$1248,Sheet2!$G$2:$G$1248)</f>
        <v>Euronext PAB Transatlantic 50</v>
      </c>
      <c r="B240" s="35" t="s">
        <v>3767</v>
      </c>
      <c r="C240" s="35" t="s">
        <v>4720</v>
      </c>
      <c r="D240" s="37" t="b">
        <f>ISNUMBER(MATCH(B240,$J$1:$J$52,0))</f>
        <v>0</v>
      </c>
      <c r="E240" s="34">
        <v>1</v>
      </c>
      <c r="F240" s="34"/>
    </row>
    <row r="241" spans="1:6">
      <c r="A241" s="35" t="str">
        <f>_xlfn.XLOOKUP(B241,Sheet2!$F$2:$F$1248,Sheet2!$G$2:$G$1248)</f>
        <v>Euronext PAB Transatlantic 60</v>
      </c>
      <c r="B241" s="35" t="s">
        <v>3758</v>
      </c>
      <c r="C241" s="35" t="s">
        <v>4720</v>
      </c>
      <c r="D241" s="37" t="b">
        <f>ISNUMBER(MATCH(B241,$J$1:$J$52,0))</f>
        <v>0</v>
      </c>
      <c r="E241" s="34">
        <v>1</v>
      </c>
      <c r="F241" s="34"/>
    </row>
    <row r="242" spans="1:6">
      <c r="A242" s="35" t="str">
        <f>_xlfn.XLOOKUP(B242,Sheet2!$F$2:$F$1248,Sheet2!$G$2:$G$1248)</f>
        <v>Euronext Positive Impact Water World</v>
      </c>
      <c r="B242" s="35" t="s">
        <v>3499</v>
      </c>
      <c r="C242" s="35" t="s">
        <v>4720</v>
      </c>
      <c r="D242" s="37" t="b">
        <f>ISNUMBER(MATCH(B242,$J$1:$J$52,0))</f>
        <v>0</v>
      </c>
      <c r="E242" s="34">
        <v>1</v>
      </c>
      <c r="F242" s="34"/>
    </row>
    <row r="243" spans="1:6">
      <c r="A243" s="35" t="str">
        <f>_xlfn.XLOOKUP(B243,Sheet2!$F$2:$F$1248,Sheet2!$G$2:$G$1248)</f>
        <v>Euronext Reitsmarket Global Balanced</v>
      </c>
      <c r="B243" s="35" t="s">
        <v>1220</v>
      </c>
      <c r="C243" s="35" t="s">
        <v>4720</v>
      </c>
      <c r="D243" s="37" t="b">
        <f>ISNUMBER(MATCH(B243,$J$1:$J$52,0))</f>
        <v>0</v>
      </c>
      <c r="E243" s="34">
        <v>1</v>
      </c>
      <c r="F243" s="34"/>
    </row>
    <row r="244" spans="1:6">
      <c r="A244" s="35" t="str">
        <f>_xlfn.XLOOKUP(B244,Sheet2!$F$2:$F$1248,Sheet2!$G$2:$G$1248)</f>
        <v>Euronext Social Goods and Services Eurozone</v>
      </c>
      <c r="B244" s="35" t="s">
        <v>3517</v>
      </c>
      <c r="C244" s="35" t="s">
        <v>4720</v>
      </c>
      <c r="D244" s="37" t="b">
        <f>ISNUMBER(MATCH(B244,$J$1:$J$52,0))</f>
        <v>0</v>
      </c>
      <c r="E244" s="34">
        <v>1</v>
      </c>
      <c r="F244" s="34"/>
    </row>
    <row r="245" spans="1:6">
      <c r="A245" s="35" t="str">
        <f>_xlfn.XLOOKUP(B245,Sheet2!$F$2:$F$1248,Sheet2!$G$2:$G$1248)</f>
        <v>Euronext Social Goods and Services World</v>
      </c>
      <c r="B245" s="35" t="s">
        <v>3526</v>
      </c>
      <c r="C245" s="35" t="s">
        <v>4720</v>
      </c>
      <c r="D245" s="37" t="b">
        <f>ISNUMBER(MATCH(B245,$J$1:$J$52,0))</f>
        <v>0</v>
      </c>
      <c r="E245" s="34">
        <v>1</v>
      </c>
      <c r="F245" s="34"/>
    </row>
    <row r="246" spans="1:6">
      <c r="A246" s="35" t="str">
        <f>_xlfn.XLOOKUP(B246,Sheet2!$F$2:$F$1248,Sheet2!$G$2:$G$1248)</f>
        <v>Euronext Switzerland</v>
      </c>
      <c r="B246" s="35" t="s">
        <v>1847</v>
      </c>
      <c r="C246" s="35" t="s">
        <v>4720</v>
      </c>
      <c r="D246" s="37" t="b">
        <f>ISNUMBER(MATCH(B246,$J$1:$J$52,0))</f>
        <v>0</v>
      </c>
      <c r="E246" s="34">
        <v>1</v>
      </c>
      <c r="F246" s="34"/>
    </row>
    <row r="247" spans="1:6">
      <c r="A247" s="35" t="str">
        <f>_xlfn.XLOOKUP(B247,Sheet2!$F$2:$F$1248,Sheet2!$G$2:$G$1248)</f>
        <v>Euronext Switzerland 20 PAB</v>
      </c>
      <c r="B247" s="35" t="s">
        <v>3559</v>
      </c>
      <c r="C247" s="35" t="s">
        <v>4720</v>
      </c>
      <c r="D247" s="37" t="b">
        <f>ISNUMBER(MATCH(B247,$J$1:$J$52,0))</f>
        <v>0</v>
      </c>
      <c r="E247" s="34">
        <v>1</v>
      </c>
      <c r="F247" s="34"/>
    </row>
    <row r="248" spans="1:6">
      <c r="A248" s="35" t="str">
        <f>_xlfn.XLOOKUP(B248,Sheet2!$F$2:$F$1248,Sheet2!$G$2:$G$1248)</f>
        <v>Euronext Tech Croissance</v>
      </c>
      <c r="B248" s="35" t="s">
        <v>2598</v>
      </c>
      <c r="C248" s="35" t="s">
        <v>4720</v>
      </c>
      <c r="D248" s="37" t="b">
        <f>ISNUMBER(MATCH(B248,$J$1:$J$52,0))</f>
        <v>0</v>
      </c>
      <c r="E248" s="34">
        <v>1</v>
      </c>
      <c r="F248" s="34"/>
    </row>
    <row r="249" spans="1:6">
      <c r="A249" s="35" t="str">
        <f>_xlfn.XLOOKUP(B249,Sheet2!$F$2:$F$1248,Sheet2!$G$2:$G$1248)</f>
        <v>Euronext Tech Leaders</v>
      </c>
      <c r="B249" s="35" t="s">
        <v>2126</v>
      </c>
      <c r="C249" s="35" t="s">
        <v>4720</v>
      </c>
      <c r="D249" s="37" t="b">
        <f>ISNUMBER(MATCH(B249,$J$1:$J$52,0))</f>
        <v>0</v>
      </c>
      <c r="E249" s="34">
        <v>1</v>
      </c>
      <c r="F249" s="34"/>
    </row>
    <row r="250" spans="1:6">
      <c r="A250" s="35" t="str">
        <f>_xlfn.XLOOKUP(B250,Sheet2!$F$2:$F$1248,Sheet2!$G$2:$G$1248)</f>
        <v>Euronext UK</v>
      </c>
      <c r="B250" s="35" t="s">
        <v>1829</v>
      </c>
      <c r="C250" s="35" t="s">
        <v>4720</v>
      </c>
      <c r="D250" s="37" t="b">
        <f>ISNUMBER(MATCH(B250,$J$1:$J$52,0))</f>
        <v>0</v>
      </c>
      <c r="E250" s="34">
        <v>1</v>
      </c>
      <c r="F250" s="34"/>
    </row>
    <row r="251" spans="1:6">
      <c r="A251" s="35" t="str">
        <f>_xlfn.XLOOKUP(B251,Sheet2!$F$2:$F$1248,Sheet2!$G$2:$G$1248)</f>
        <v>Euronext US Consumer Tech Energy</v>
      </c>
      <c r="B251" s="35" t="s">
        <v>1688</v>
      </c>
      <c r="C251" s="35" t="s">
        <v>4720</v>
      </c>
      <c r="D251" s="37" t="b">
        <f>ISNUMBER(MATCH(B251,$J$1:$J$52,0))</f>
        <v>0</v>
      </c>
      <c r="E251" s="34">
        <v>1</v>
      </c>
      <c r="F251" s="34"/>
    </row>
    <row r="252" spans="1:6">
      <c r="A252" s="35" t="str">
        <f>_xlfn.XLOOKUP(B252,Sheet2!$F$2:$F$1248,Sheet2!$G$2:$G$1248)</f>
        <v>Euronext USA</v>
      </c>
      <c r="B252" s="35" t="s">
        <v>1859</v>
      </c>
      <c r="C252" s="35" t="s">
        <v>4720</v>
      </c>
      <c r="D252" s="37" t="b">
        <f>ISNUMBER(MATCH(B252,$J$1:$J$52,0))</f>
        <v>0</v>
      </c>
      <c r="E252" s="34">
        <v>1</v>
      </c>
      <c r="F252" s="34"/>
    </row>
    <row r="253" spans="1:6">
      <c r="A253" s="35" t="str">
        <f>_xlfn.XLOOKUP(B253,Sheet2!$F$2:$F$1248,Sheet2!$G$2:$G$1248)</f>
        <v>Euronext World</v>
      </c>
      <c r="B253" s="35" t="s">
        <v>864</v>
      </c>
      <c r="C253" s="35" t="s">
        <v>4720</v>
      </c>
      <c r="D253" s="37" t="b">
        <f>ISNUMBER(MATCH(B253,$J$1:$J$52,0))</f>
        <v>0</v>
      </c>
      <c r="E253" s="34">
        <v>1</v>
      </c>
      <c r="F253" s="34"/>
    </row>
    <row r="254" spans="1:6">
      <c r="A254" s="35" t="str">
        <f>_xlfn.XLOOKUP(B254,Sheet2!$F$2:$F$1248,Sheet2!$G$2:$G$1248)</f>
        <v>Euronext World Country selection</v>
      </c>
      <c r="B254" s="35" t="s">
        <v>870</v>
      </c>
      <c r="C254" s="35" t="s">
        <v>4720</v>
      </c>
      <c r="D254" s="37" t="b">
        <f>ISNUMBER(MATCH(B254,$J$1:$J$52,0))</f>
        <v>0</v>
      </c>
      <c r="E254" s="34">
        <v>1</v>
      </c>
      <c r="F254" s="34"/>
    </row>
    <row r="255" spans="1:6">
      <c r="A255" s="35" t="str">
        <f>_xlfn.XLOOKUP(B255,Sheet2!$F$2:$F$1248,Sheet2!$G$2:$G$1248)</f>
        <v>Euronext World Invest In France 40</v>
      </c>
      <c r="B255" s="35" t="s">
        <v>2894</v>
      </c>
      <c r="C255" s="35" t="s">
        <v>4720</v>
      </c>
      <c r="D255" s="37" t="b">
        <f>ISNUMBER(MATCH(B255,$J$1:$J$52,0))</f>
        <v>0</v>
      </c>
      <c r="E255" s="34">
        <v>1</v>
      </c>
      <c r="F255" s="34"/>
    </row>
    <row r="256" spans="1:6">
      <c r="A256" s="35" t="str">
        <f>_xlfn.XLOOKUP(B256,Sheet2!$F$2:$F$1248,Sheet2!$G$2:$G$1248)</f>
        <v>Euronext World Sustainability and Climate Screened</v>
      </c>
      <c r="B256" s="35" t="s">
        <v>3632</v>
      </c>
      <c r="C256" s="35" t="s">
        <v>4720</v>
      </c>
      <c r="D256" s="37" t="b">
        <f>ISNUMBER(MATCH(B256,$J$1:$J$52,0))</f>
        <v>0</v>
      </c>
      <c r="E256" s="34">
        <v>1</v>
      </c>
      <c r="F256" s="34"/>
    </row>
    <row r="257" spans="1:6">
      <c r="A257" s="35" t="str">
        <f>_xlfn.XLOOKUP(B257,Sheet2!$F$2:$F$1248,Sheet2!$G$2:$G$1248)</f>
        <v>Next 150 Index</v>
      </c>
      <c r="B257" s="35" t="s">
        <v>2764</v>
      </c>
      <c r="C257" s="35" t="s">
        <v>4720</v>
      </c>
      <c r="D257" s="37" t="b">
        <f>ISNUMBER(MATCH(B257,$J$1:$J$52,0))</f>
        <v>0</v>
      </c>
      <c r="E257" s="34">
        <v>1</v>
      </c>
      <c r="F257" s="34"/>
    </row>
    <row r="258" spans="1:6">
      <c r="A258" s="35" t="str">
        <f>_xlfn.XLOOKUP(B258,Sheet2!$F$2:$F$1248,Sheet2!$G$2:$G$1248)</f>
        <v>Next Biotech</v>
      </c>
      <c r="B258" s="35" t="s">
        <v>450</v>
      </c>
      <c r="C258" s="35" t="s">
        <v>4720</v>
      </c>
      <c r="D258" s="37" t="b">
        <f>ISNUMBER(MATCH(B258,$J$1:$J$52,0))</f>
        <v>0</v>
      </c>
      <c r="E258" s="34">
        <v>1</v>
      </c>
      <c r="F258" s="34"/>
    </row>
    <row r="259" spans="1:6">
      <c r="A259" t="str">
        <f>_xlfn.XLOOKUP(B259,Sheet2!$F$2:$F$1248,Sheet2!$G$2:$G$1248)</f>
        <v>Euronext Transatlantic</v>
      </c>
      <c r="B259" t="s">
        <v>2117</v>
      </c>
      <c r="C259" t="s">
        <v>4724</v>
      </c>
      <c r="D259" s="37" t="b">
        <f>ISNUMBER(MATCH(B259,$J$1:$J$52,0))</f>
        <v>0</v>
      </c>
      <c r="E259" s="34">
        <v>1</v>
      </c>
      <c r="F259" s="34"/>
    </row>
    <row r="260" spans="1:6" hidden="1">
      <c r="B260" s="38" t="s">
        <v>1646</v>
      </c>
      <c r="C260" t="s">
        <v>4720</v>
      </c>
      <c r="D260" s="37" t="b">
        <f>ISNUMBER(MATCH(B260,$J$1:$J$52,0))</f>
        <v>0</v>
      </c>
      <c r="E260" t="s">
        <v>4741</v>
      </c>
      <c r="F260" s="34"/>
    </row>
    <row r="261" spans="1:6" hidden="1">
      <c r="B261" s="38" t="s">
        <v>1650</v>
      </c>
      <c r="C261" t="s">
        <v>4720</v>
      </c>
      <c r="D261" s="37" t="b">
        <f>ISNUMBER(MATCH(B261,$J$1:$J$52,0))</f>
        <v>0</v>
      </c>
      <c r="E261" t="s">
        <v>4741</v>
      </c>
      <c r="F261" s="34"/>
    </row>
    <row r="262" spans="1:6" hidden="1">
      <c r="B262" s="38" t="s">
        <v>1648</v>
      </c>
      <c r="C262" t="s">
        <v>4720</v>
      </c>
      <c r="D262" s="37" t="b">
        <f>ISNUMBER(MATCH(B262,$J$1:$J$52,0))</f>
        <v>0</v>
      </c>
      <c r="E262" t="s">
        <v>4741</v>
      </c>
    </row>
    <row r="263" spans="1:6" hidden="1">
      <c r="B263" s="38" t="s">
        <v>1640</v>
      </c>
      <c r="C263" t="s">
        <v>4720</v>
      </c>
      <c r="D263" s="37" t="b">
        <f>ISNUMBER(MATCH(B263,$J$1:$J$52,0))</f>
        <v>0</v>
      </c>
      <c r="E263" t="s">
        <v>4741</v>
      </c>
    </row>
    <row r="264" spans="1:6" hidden="1">
      <c r="B264" s="38" t="s">
        <v>1642</v>
      </c>
      <c r="C264" t="s">
        <v>4720</v>
      </c>
      <c r="D264" s="37" t="b">
        <f>ISNUMBER(MATCH(B264,$J$1:$J$52,0))</f>
        <v>0</v>
      </c>
      <c r="E264" t="s">
        <v>4741</v>
      </c>
    </row>
    <row r="265" spans="1:6" hidden="1">
      <c r="B265" s="38" t="s">
        <v>1644</v>
      </c>
      <c r="C265" t="s">
        <v>4720</v>
      </c>
      <c r="D265" s="37" t="b">
        <f>ISNUMBER(MATCH(B265,$J$1:$J$52,0))</f>
        <v>0</v>
      </c>
      <c r="E265" t="s">
        <v>4741</v>
      </c>
    </row>
    <row r="266" spans="1:6" hidden="1">
      <c r="B266" s="38" t="s">
        <v>4739</v>
      </c>
      <c r="C266" t="s">
        <v>4720</v>
      </c>
      <c r="D266" s="37" t="b">
        <f>ISNUMBER(MATCH(B266,$J$1:$J$52,0))</f>
        <v>0</v>
      </c>
      <c r="E266" t="s">
        <v>4741</v>
      </c>
    </row>
    <row r="267" spans="1:6" hidden="1">
      <c r="B267" s="38" t="s">
        <v>1652</v>
      </c>
      <c r="C267" t="s">
        <v>4720</v>
      </c>
      <c r="D267" s="37" t="b">
        <f>ISNUMBER(MATCH(B267,$J$1:$J$52,0))</f>
        <v>0</v>
      </c>
      <c r="E267" t="s">
        <v>4741</v>
      </c>
    </row>
    <row r="268" spans="1:6" hidden="1">
      <c r="B268" s="38" t="s">
        <v>1654</v>
      </c>
      <c r="C268" t="s">
        <v>4720</v>
      </c>
      <c r="D268" s="37" t="b">
        <f>ISNUMBER(MATCH(B268,$J$1:$J$52,0))</f>
        <v>0</v>
      </c>
      <c r="E268" t="s">
        <v>4741</v>
      </c>
    </row>
    <row r="269" spans="1:6" hidden="1">
      <c r="B269" s="38" t="s">
        <v>1656</v>
      </c>
      <c r="C269" t="s">
        <v>4720</v>
      </c>
      <c r="D269" s="37" t="b">
        <f>ISNUMBER(MATCH(B269,$J$1:$J$52,0))</f>
        <v>0</v>
      </c>
      <c r="E269" t="s">
        <v>4741</v>
      </c>
    </row>
    <row r="270" spans="1:6" hidden="1">
      <c r="A270" s="38"/>
      <c r="B270" s="38" t="s">
        <v>1459</v>
      </c>
      <c r="C270" t="s">
        <v>4720</v>
      </c>
      <c r="D270" s="37" t="b">
        <f>ISNUMBER(MATCH(B270,$J$1:$J$52,0))</f>
        <v>0</v>
      </c>
      <c r="E270" t="s">
        <v>4737</v>
      </c>
    </row>
    <row r="271" spans="1:6" hidden="1">
      <c r="B271" s="38" t="s">
        <v>1441</v>
      </c>
      <c r="C271" t="s">
        <v>4720</v>
      </c>
      <c r="D271" s="37" t="b">
        <f>ISNUMBER(MATCH(B271,$J$1:$J$52,0))</f>
        <v>0</v>
      </c>
      <c r="E271" t="s">
        <v>4737</v>
      </c>
    </row>
    <row r="272" spans="1:6" hidden="1">
      <c r="B272" s="38" t="s">
        <v>1450</v>
      </c>
      <c r="C272" t="s">
        <v>4720</v>
      </c>
      <c r="D272" s="37" t="b">
        <f>ISNUMBER(MATCH(B272,$J$1:$J$52,0))</f>
        <v>0</v>
      </c>
      <c r="E272" t="s">
        <v>4737</v>
      </c>
    </row>
    <row r="273" spans="1:5" hidden="1">
      <c r="B273" s="38" t="s">
        <v>1468</v>
      </c>
      <c r="C273" t="s">
        <v>4720</v>
      </c>
      <c r="D273" s="37" t="b">
        <f>ISNUMBER(MATCH(B273,$J$1:$J$52,0))</f>
        <v>0</v>
      </c>
      <c r="E273" t="s">
        <v>4737</v>
      </c>
    </row>
    <row r="274" spans="1:5" hidden="1">
      <c r="B274" s="38" t="s">
        <v>1486</v>
      </c>
      <c r="C274" t="s">
        <v>4720</v>
      </c>
      <c r="D274" s="37" t="b">
        <f>ISNUMBER(MATCH(B274,$J$1:$J$52,0))</f>
        <v>0</v>
      </c>
      <c r="E274" t="s">
        <v>4738</v>
      </c>
    </row>
    <row r="275" spans="1:5" hidden="1">
      <c r="B275" s="38" t="s">
        <v>1531</v>
      </c>
      <c r="C275" t="s">
        <v>4720</v>
      </c>
      <c r="D275" s="37" t="b">
        <f>ISNUMBER(MATCH(B275,$J$1:$J$52,0))</f>
        <v>0</v>
      </c>
      <c r="E275" t="s">
        <v>4738</v>
      </c>
    </row>
    <row r="276" spans="1:5" hidden="1">
      <c r="B276" s="38" t="s">
        <v>1540</v>
      </c>
      <c r="C276" t="s">
        <v>4720</v>
      </c>
      <c r="D276" s="37" t="b">
        <f>ISNUMBER(MATCH(B276,$J$1:$J$52,0))</f>
        <v>0</v>
      </c>
      <c r="E276" t="s">
        <v>4738</v>
      </c>
    </row>
    <row r="277" spans="1:5" hidden="1">
      <c r="B277" s="38" t="s">
        <v>1549</v>
      </c>
      <c r="C277" t="s">
        <v>4720</v>
      </c>
      <c r="D277" s="37" t="b">
        <f>ISNUMBER(MATCH(B277,$J$1:$J$52,0))</f>
        <v>0</v>
      </c>
      <c r="E277" t="s">
        <v>4738</v>
      </c>
    </row>
    <row r="278" spans="1:5" hidden="1">
      <c r="B278" s="38" t="s">
        <v>1513</v>
      </c>
      <c r="C278" t="s">
        <v>4720</v>
      </c>
      <c r="D278" s="37" t="b">
        <f>ISNUMBER(MATCH(B278,$J$1:$J$52,0))</f>
        <v>0</v>
      </c>
      <c r="E278" t="s">
        <v>4738</v>
      </c>
    </row>
    <row r="279" spans="1:5" hidden="1">
      <c r="B279" s="38" t="s">
        <v>1558</v>
      </c>
      <c r="C279" t="s">
        <v>4720</v>
      </c>
      <c r="D279" s="37" t="b">
        <f>ISNUMBER(MATCH(B279,$J$1:$J$52,0))</f>
        <v>0</v>
      </c>
      <c r="E279" t="s">
        <v>4738</v>
      </c>
    </row>
    <row r="280" spans="1:5" hidden="1">
      <c r="B280" s="38" t="s">
        <v>1504</v>
      </c>
      <c r="C280" t="s">
        <v>4720</v>
      </c>
      <c r="D280" s="37" t="b">
        <f>ISNUMBER(MATCH(B280,$J$1:$J$52,0))</f>
        <v>0</v>
      </c>
      <c r="E280" t="s">
        <v>4738</v>
      </c>
    </row>
    <row r="281" spans="1:5" hidden="1">
      <c r="B281" s="38" t="s">
        <v>1477</v>
      </c>
      <c r="C281" t="s">
        <v>4720</v>
      </c>
      <c r="D281" s="37" t="b">
        <f>ISNUMBER(MATCH(B281,$J$1:$J$52,0))</f>
        <v>0</v>
      </c>
      <c r="E281" t="s">
        <v>4738</v>
      </c>
    </row>
    <row r="282" spans="1:5" hidden="1">
      <c r="B282" s="38" t="s">
        <v>1522</v>
      </c>
      <c r="C282" t="s">
        <v>4720</v>
      </c>
      <c r="D282" s="37" t="b">
        <f>ISNUMBER(MATCH(B282,$J$1:$J$52,0))</f>
        <v>0</v>
      </c>
      <c r="E282" t="s">
        <v>4738</v>
      </c>
    </row>
    <row r="283" spans="1:5" hidden="1">
      <c r="B283" s="38" t="s">
        <v>1495</v>
      </c>
      <c r="C283" t="s">
        <v>4720</v>
      </c>
      <c r="D283" s="37" t="b">
        <f>ISNUMBER(MATCH(B283,$J$1:$J$52,0))</f>
        <v>0</v>
      </c>
      <c r="E283" t="s">
        <v>4738</v>
      </c>
    </row>
    <row r="284" spans="1:5" hidden="1">
      <c r="A284" s="38" t="s">
        <v>4727</v>
      </c>
      <c r="B284" s="38" t="s">
        <v>4728</v>
      </c>
      <c r="C284" t="s">
        <v>4720</v>
      </c>
      <c r="D284" s="37" t="b">
        <f>ISNUMBER(MATCH(B284,$J$1:$J$52,0))</f>
        <v>0</v>
      </c>
      <c r="E284" t="s">
        <v>4736</v>
      </c>
    </row>
    <row r="285" spans="1:5" hidden="1">
      <c r="A285" s="38" t="s">
        <v>4729</v>
      </c>
      <c r="B285" s="38" t="s">
        <v>4730</v>
      </c>
      <c r="C285" t="s">
        <v>4720</v>
      </c>
      <c r="D285" s="37" t="b">
        <f>ISNUMBER(MATCH(B285,$J$1:$J$52,0))</f>
        <v>0</v>
      </c>
      <c r="E285" t="s">
        <v>4736</v>
      </c>
    </row>
    <row r="286" spans="1:5" hidden="1">
      <c r="A286" s="38" t="s">
        <v>4731</v>
      </c>
      <c r="B286" s="38" t="s">
        <v>4732</v>
      </c>
      <c r="C286" t="s">
        <v>4720</v>
      </c>
      <c r="D286" s="37" t="b">
        <f>ISNUMBER(MATCH(B286,$J$1:$J$52,0))</f>
        <v>0</v>
      </c>
      <c r="E286" t="s">
        <v>4736</v>
      </c>
    </row>
    <row r="287" spans="1:5" hidden="1">
      <c r="A287" s="38" t="s">
        <v>4733</v>
      </c>
      <c r="B287" s="38" t="s">
        <v>4734</v>
      </c>
      <c r="C287" t="s">
        <v>4720</v>
      </c>
      <c r="D287" s="37" t="b">
        <f>ISNUMBER(MATCH(B287,$J$1:$J$52,0))</f>
        <v>0</v>
      </c>
      <c r="E287" t="s">
        <v>4736</v>
      </c>
    </row>
    <row r="288" spans="1:5" hidden="1">
      <c r="A288" s="38" t="s">
        <v>1397</v>
      </c>
      <c r="B288" s="38" t="s">
        <v>1396</v>
      </c>
      <c r="C288" t="s">
        <v>4720</v>
      </c>
      <c r="D288" s="37" t="b">
        <f>ISNUMBER(MATCH(B288,$J$1:$J$52,0))</f>
        <v>0</v>
      </c>
      <c r="E288" t="s">
        <v>4736</v>
      </c>
    </row>
    <row r="289" spans="1:5" hidden="1">
      <c r="A289" s="38" t="s">
        <v>1406</v>
      </c>
      <c r="B289" s="38" t="s">
        <v>1405</v>
      </c>
      <c r="C289" t="s">
        <v>4720</v>
      </c>
      <c r="D289" s="37" t="b">
        <f>ISNUMBER(MATCH(B289,$J$1:$J$52,0))</f>
        <v>0</v>
      </c>
      <c r="E289" t="s">
        <v>4736</v>
      </c>
    </row>
    <row r="290" spans="1:5" hidden="1">
      <c r="A290" s="38" t="s">
        <v>1433</v>
      </c>
      <c r="B290" s="38" t="s">
        <v>1432</v>
      </c>
      <c r="C290" t="s">
        <v>4720</v>
      </c>
      <c r="D290" s="37" t="b">
        <f>ISNUMBER(MATCH(B290,$J$1:$J$52,0))</f>
        <v>0</v>
      </c>
      <c r="E290" t="s">
        <v>4736</v>
      </c>
    </row>
    <row r="291" spans="1:5" hidden="1">
      <c r="A291" s="38" t="s">
        <v>1424</v>
      </c>
      <c r="B291" s="38" t="s">
        <v>1423</v>
      </c>
      <c r="C291" t="s">
        <v>4720</v>
      </c>
      <c r="D291" s="37" t="b">
        <f>ISNUMBER(MATCH(B291,$J$1:$J$52,0))</f>
        <v>0</v>
      </c>
      <c r="E291" t="s">
        <v>4736</v>
      </c>
    </row>
    <row r="292" spans="1:5" hidden="1">
      <c r="A292" s="38" t="s">
        <v>1415</v>
      </c>
      <c r="B292" s="38" t="s">
        <v>1414</v>
      </c>
      <c r="C292" t="s">
        <v>4720</v>
      </c>
      <c r="D292" s="37" t="b">
        <f>ISNUMBER(MATCH(B292,$J$1:$J$52,0))</f>
        <v>0</v>
      </c>
      <c r="E292" t="s">
        <v>4736</v>
      </c>
    </row>
    <row r="293" spans="1:5" hidden="1">
      <c r="A293" s="38" t="s">
        <v>4735</v>
      </c>
      <c r="B293" s="38" t="s">
        <v>1387</v>
      </c>
      <c r="C293" t="s">
        <v>4720</v>
      </c>
      <c r="D293" s="37" t="b">
        <f>ISNUMBER(MATCH(B293,$J$1:$J$52,0))</f>
        <v>0</v>
      </c>
      <c r="E293" t="s">
        <v>4736</v>
      </c>
    </row>
  </sheetData>
  <autoFilter ref="A1:F293" xr:uid="{A098EEA8-7D0E-4BA7-9E1D-ED368308C616}">
    <filterColumn colId="4">
      <filters>
        <filter val="1"/>
        <filter val="1.00"/>
      </filters>
    </filterColumn>
    <sortState xmlns:xlrd2="http://schemas.microsoft.com/office/spreadsheetml/2017/richdata2" ref="A2:F293">
      <sortCondition ref="F1:F293"/>
    </sortState>
  </autoFilter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9" workbookViewId="0">
      <selection activeCell="G1" sqref="G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ISNUMBER(MATCH(G2,Sheet3!$C$6:$C$1451,0))</f>
        <v>0</v>
      </c>
      <c r="AF2" t="b">
        <f>ISNUMBER(MATCH(G2,Sheet3!$G$6:$G$240,0))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ISNUMBER(MATCH(G3,Sheet3!$C$6:$C$1451,0))</f>
        <v>0</v>
      </c>
      <c r="AF3" t="b">
        <f>ISNUMBER(MATCH(G3,Sheet3!$G$6:$G$240,0))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ISNUMBER(MATCH(G4,Sheet3!$C$6:$C$1451,0))</f>
        <v>0</v>
      </c>
      <c r="AF4" t="b">
        <f>ISNUMBER(MATCH(G4,Sheet3!$G$6:$G$240,0))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ISNUMBER(MATCH(G5,Sheet3!$C$6:$C$1451,0))</f>
        <v>0</v>
      </c>
      <c r="AF5" t="b">
        <f>ISNUMBER(MATCH(G5,Sheet3!$G$6:$G$240,0))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ISNUMBER(MATCH(G6,Sheet3!$C$6:$C$1451,0))</f>
        <v>0</v>
      </c>
      <c r="AF6" t="b">
        <f>ISNUMBER(MATCH(G6,Sheet3!$G$6:$G$240,0))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ISNUMBER(MATCH(G7,Sheet3!$C$6:$C$1451,0))</f>
        <v>0</v>
      </c>
      <c r="AF7" t="b">
        <f>ISNUMBER(MATCH(G7,Sheet3!$G$6:$G$240,0))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ISNUMBER(MATCH(G8,Sheet3!$C$6:$C$1451,0))</f>
        <v>0</v>
      </c>
      <c r="AF8" t="b">
        <f>ISNUMBER(MATCH(G8,Sheet3!$G$6:$G$240,0))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ISNUMBER(MATCH(G9,Sheet3!$C$6:$C$1451,0))</f>
        <v>0</v>
      </c>
      <c r="AF9" t="b">
        <f>ISNUMBER(MATCH(G9,Sheet3!$G$6:$G$240,0))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ISNUMBER(MATCH(G10,Sheet3!$C$6:$C$1451,0))</f>
        <v>0</v>
      </c>
      <c r="AF10" t="b">
        <f>ISNUMBER(MATCH(G10,Sheet3!$G$6:$G$240,0))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ISNUMBER(MATCH(G11,Sheet3!$C$6:$C$1451,0))</f>
        <v>0</v>
      </c>
      <c r="AF11" t="b">
        <f>ISNUMBER(MATCH(G11,Sheet3!$G$6:$G$240,0))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ISNUMBER(MATCH(G12,Sheet3!$C$6:$C$1451,0))</f>
        <v>0</v>
      </c>
      <c r="AF12" t="b">
        <f>ISNUMBER(MATCH(G12,Sheet3!$G$6:$G$240,0))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ISNUMBER(MATCH(G13,Sheet3!$C$6:$C$1451,0))</f>
        <v>0</v>
      </c>
      <c r="AF13" t="b">
        <f>ISNUMBER(MATCH(G13,Sheet3!$G$6:$G$240,0))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ISNUMBER(MATCH(G14,Sheet3!$C$6:$C$1451,0))</f>
        <v>0</v>
      </c>
      <c r="AF14" t="b">
        <f>ISNUMBER(MATCH(G14,Sheet3!$G$6:$G$240,0))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ISNUMBER(MATCH(G15,Sheet3!$C$6:$C$1451,0))</f>
        <v>0</v>
      </c>
      <c r="AF15" t="b">
        <f>ISNUMBER(MATCH(G15,Sheet3!$G$6:$G$240,0))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ISNUMBER(MATCH(G16,Sheet3!$C$6:$C$1451,0))</f>
        <v>0</v>
      </c>
      <c r="AF16" t="b">
        <f>ISNUMBER(MATCH(G16,Sheet3!$G$6:$G$240,0))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ISNUMBER(MATCH(G17,Sheet3!$C$6:$C$1451,0))</f>
        <v>0</v>
      </c>
      <c r="AF17" t="b">
        <f>ISNUMBER(MATCH(G17,Sheet3!$G$6:$G$240,0))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ISNUMBER(MATCH(G18,Sheet3!$C$6:$C$1451,0))</f>
        <v>0</v>
      </c>
      <c r="AF18" t="b">
        <f>ISNUMBER(MATCH(G18,Sheet3!$G$6:$G$240,0))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ISNUMBER(MATCH(G19,Sheet3!$C$6:$C$1451,0))</f>
        <v>0</v>
      </c>
      <c r="AF19" t="b">
        <f>ISNUMBER(MATCH(G19,Sheet3!$G$6:$G$240,0))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ISNUMBER(MATCH(G20,Sheet3!$C$6:$C$1451,0))</f>
        <v>0</v>
      </c>
      <c r="AF20" t="b">
        <f>ISNUMBER(MATCH(G20,Sheet3!$G$6:$G$240,0))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ISNUMBER(MATCH(G21,Sheet3!$C$6:$C$1451,0))</f>
        <v>0</v>
      </c>
      <c r="AF21" t="b">
        <f>ISNUMBER(MATCH(G21,Sheet3!$G$6:$G$240,0))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ISNUMBER(MATCH(G22,Sheet3!$C$6:$C$1451,0))</f>
        <v>0</v>
      </c>
      <c r="AF22" t="b">
        <f>ISNUMBER(MATCH(G22,Sheet3!$G$6:$G$240,0))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ISNUMBER(MATCH(G23,Sheet3!$C$6:$C$1451,0))</f>
        <v>0</v>
      </c>
      <c r="AF23" t="b">
        <f>ISNUMBER(MATCH(G23,Sheet3!$G$6:$G$240,0))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ISNUMBER(MATCH(G24,Sheet3!$C$6:$C$1451,0))</f>
        <v>0</v>
      </c>
      <c r="AF24" t="b">
        <f>ISNUMBER(MATCH(G24,Sheet3!$G$6:$G$240,0))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ISNUMBER(MATCH(G25,Sheet3!$C$6:$C$1451,0))</f>
        <v>0</v>
      </c>
      <c r="AF25" t="b">
        <f>ISNUMBER(MATCH(G25,Sheet3!$G$6:$G$240,0))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ISNUMBER(MATCH(G26,Sheet3!$C$6:$C$1451,0))</f>
        <v>0</v>
      </c>
      <c r="AF26" t="b">
        <f>ISNUMBER(MATCH(G26,Sheet3!$G$6:$G$240,0))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ISNUMBER(MATCH(G27,Sheet3!$C$6:$C$1451,0))</f>
        <v>0</v>
      </c>
      <c r="AF27" t="b">
        <f>ISNUMBER(MATCH(G27,Sheet3!$G$6:$G$240,0))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ISNUMBER(MATCH(G28,Sheet3!$C$6:$C$1451,0))</f>
        <v>1</v>
      </c>
      <c r="AF28" t="b">
        <f>ISNUMBER(MATCH(G28,Sheet3!$G$6:$G$240,0))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ISNUMBER(MATCH(G29,Sheet3!$C$6:$C$1451,0))</f>
        <v>1</v>
      </c>
      <c r="AF29" t="b">
        <f>ISNUMBER(MATCH(G29,Sheet3!$G$6:$G$240,0))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ISNUMBER(MATCH(G30,Sheet3!$C$6:$C$1451,0))</f>
        <v>0</v>
      </c>
      <c r="AF30" t="b">
        <f>ISNUMBER(MATCH(G30,Sheet3!$G$6:$G$240,0))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ISNUMBER(MATCH(G31,Sheet3!$C$6:$C$1451,0))</f>
        <v>0</v>
      </c>
      <c r="AF31" t="b">
        <f>ISNUMBER(MATCH(G31,Sheet3!$G$6:$G$240,0))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ISNUMBER(MATCH(G32,Sheet3!$C$6:$C$1451,0))</f>
        <v>1</v>
      </c>
      <c r="AF32" t="b">
        <f>ISNUMBER(MATCH(G32,Sheet3!$G$6:$G$240,0))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ISNUMBER(MATCH(G33,Sheet3!$C$6:$C$1451,0))</f>
        <v>1</v>
      </c>
      <c r="AF33" t="b">
        <f>ISNUMBER(MATCH(G33,Sheet3!$G$6:$G$240,0))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ISNUMBER(MATCH(G34,Sheet3!$C$6:$C$1451,0))</f>
        <v>1</v>
      </c>
      <c r="AF34" t="b">
        <f>ISNUMBER(MATCH(G34,Sheet3!$G$6:$G$240,0))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ISNUMBER(MATCH(G35,Sheet3!$C$6:$C$1451,0))</f>
        <v>1</v>
      </c>
      <c r="AF35" t="b">
        <f>ISNUMBER(MATCH(G35,Sheet3!$G$6:$G$240,0))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ISNUMBER(MATCH(G36,Sheet3!$C$6:$C$1451,0))</f>
        <v>1</v>
      </c>
      <c r="AF36" t="b">
        <f>ISNUMBER(MATCH(G36,Sheet3!$G$6:$G$240,0))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ISNUMBER(MATCH(G37,Sheet3!$C$6:$C$1451,0))</f>
        <v>1</v>
      </c>
      <c r="AF37" t="b">
        <f>ISNUMBER(MATCH(G37,Sheet3!$G$6:$G$240,0))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ISNUMBER(MATCH(G38,Sheet3!$C$6:$C$1451,0))</f>
        <v>1</v>
      </c>
      <c r="AF38" t="b">
        <f>ISNUMBER(MATCH(G38,Sheet3!$G$6:$G$240,0))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ISNUMBER(MATCH(G39,Sheet3!$C$6:$C$1451,0))</f>
        <v>1</v>
      </c>
      <c r="AF39" t="b">
        <f>ISNUMBER(MATCH(G39,Sheet3!$G$6:$G$240,0))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ISNUMBER(MATCH(G40,Sheet3!$C$6:$C$1451,0))</f>
        <v>1</v>
      </c>
      <c r="AF40" t="b">
        <f>ISNUMBER(MATCH(G40,Sheet3!$G$6:$G$240,0))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ISNUMBER(MATCH(G41,Sheet3!$C$6:$C$1451,0))</f>
        <v>1</v>
      </c>
      <c r="AF41" t="b">
        <f>ISNUMBER(MATCH(G41,Sheet3!$G$6:$G$240,0))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ISNUMBER(MATCH(G42,Sheet3!$C$6:$C$1451,0))</f>
        <v>1</v>
      </c>
      <c r="AF42" t="b">
        <f>ISNUMBER(MATCH(G42,Sheet3!$G$6:$G$240,0))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ISNUMBER(MATCH(G43,Sheet3!$C$6:$C$1451,0))</f>
        <v>1</v>
      </c>
      <c r="AF43" t="b">
        <f>ISNUMBER(MATCH(G43,Sheet3!$G$6:$G$240,0))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ISNUMBER(MATCH(G44,Sheet3!$C$6:$C$1451,0))</f>
        <v>1</v>
      </c>
      <c r="AF44" t="b">
        <f>ISNUMBER(MATCH(G44,Sheet3!$G$6:$G$240,0))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ISNUMBER(MATCH(G45,Sheet3!$C$6:$C$1451,0))</f>
        <v>1</v>
      </c>
      <c r="AF45" t="b">
        <f>ISNUMBER(MATCH(G45,Sheet3!$G$6:$G$240,0))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ISNUMBER(MATCH(G46,Sheet3!$C$6:$C$1451,0))</f>
        <v>1</v>
      </c>
      <c r="AF46" t="b">
        <f>ISNUMBER(MATCH(G46,Sheet3!$G$6:$G$240,0))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ISNUMBER(MATCH(G47,Sheet3!$C$6:$C$1451,0))</f>
        <v>1</v>
      </c>
      <c r="AF47" t="b">
        <f>ISNUMBER(MATCH(G47,Sheet3!$G$6:$G$240,0))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ISNUMBER(MATCH(G48,Sheet3!$C$6:$C$1451,0))</f>
        <v>1</v>
      </c>
      <c r="AF48" t="b">
        <f>ISNUMBER(MATCH(G48,Sheet3!$G$6:$G$240,0))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ISNUMBER(MATCH(G49,Sheet3!$C$6:$C$1451,0))</f>
        <v>1</v>
      </c>
      <c r="AF49" t="b">
        <f>ISNUMBER(MATCH(G49,Sheet3!$G$6:$G$240,0))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ISNUMBER(MATCH(G50,Sheet3!$C$6:$C$1451,0))</f>
        <v>1</v>
      </c>
      <c r="AF50" t="b">
        <f>ISNUMBER(MATCH(G50,Sheet3!$G$6:$G$240,0))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ISNUMBER(MATCH(G51,Sheet3!$C$6:$C$1451,0))</f>
        <v>1</v>
      </c>
      <c r="AF51" t="b">
        <f>ISNUMBER(MATCH(G51,Sheet3!$G$6:$G$240,0))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ISNUMBER(MATCH(G52,Sheet3!$C$6:$C$1451,0))</f>
        <v>1</v>
      </c>
      <c r="AF52" t="b">
        <f>ISNUMBER(MATCH(G52,Sheet3!$G$6:$G$240,0))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ISNUMBER(MATCH(G53,Sheet3!$C$6:$C$1451,0))</f>
        <v>1</v>
      </c>
      <c r="AF53" t="b">
        <f>ISNUMBER(MATCH(G53,Sheet3!$G$6:$G$240,0))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ISNUMBER(MATCH(G54,Sheet3!$C$6:$C$1451,0))</f>
        <v>1</v>
      </c>
      <c r="AF54" t="b">
        <f>ISNUMBER(MATCH(G54,Sheet3!$G$6:$G$240,0))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ISNUMBER(MATCH(G55,Sheet3!$C$6:$C$1451,0))</f>
        <v>1</v>
      </c>
      <c r="AF55" t="b">
        <f>ISNUMBER(MATCH(G55,Sheet3!$G$6:$G$240,0))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ISNUMBER(MATCH(G56,Sheet3!$C$6:$C$1451,0))</f>
        <v>1</v>
      </c>
      <c r="AF56" t="b">
        <f>ISNUMBER(MATCH(G56,Sheet3!$G$6:$G$240,0))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ISNUMBER(MATCH(G57,Sheet3!$C$6:$C$1451,0))</f>
        <v>1</v>
      </c>
      <c r="AF57" t="b">
        <f>ISNUMBER(MATCH(G57,Sheet3!$G$6:$G$240,0))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ISNUMBER(MATCH(G58,Sheet3!$C$6:$C$1451,0))</f>
        <v>1</v>
      </c>
      <c r="AF58" t="b">
        <f>ISNUMBER(MATCH(G58,Sheet3!$G$6:$G$240,0))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ISNUMBER(MATCH(G59,Sheet3!$C$6:$C$1451,0))</f>
        <v>1</v>
      </c>
      <c r="AF59" t="b">
        <f>ISNUMBER(MATCH(G59,Sheet3!$G$6:$G$240,0))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ISNUMBER(MATCH(G60,Sheet3!$C$6:$C$1451,0))</f>
        <v>1</v>
      </c>
      <c r="AF60" t="b">
        <f>ISNUMBER(MATCH(G60,Sheet3!$G$6:$G$240,0))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ISNUMBER(MATCH(G61,Sheet3!$C$6:$C$1451,0))</f>
        <v>1</v>
      </c>
      <c r="AF61" t="b">
        <f>ISNUMBER(MATCH(G61,Sheet3!$G$6:$G$240,0))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ISNUMBER(MATCH(G62,Sheet3!$C$6:$C$1451,0))</f>
        <v>1</v>
      </c>
      <c r="AF62" t="b">
        <f>ISNUMBER(MATCH(G62,Sheet3!$G$6:$G$240,0))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ISNUMBER(MATCH(G63,Sheet3!$C$6:$C$1451,0))</f>
        <v>1</v>
      </c>
      <c r="AF63" t="b">
        <f>ISNUMBER(MATCH(G63,Sheet3!$G$6:$G$240,0))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ISNUMBER(MATCH(G64,Sheet3!$C$6:$C$1451,0))</f>
        <v>1</v>
      </c>
      <c r="AF64" t="b">
        <f>ISNUMBER(MATCH(G64,Sheet3!$G$6:$G$240,0))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ISNUMBER(MATCH(G65,Sheet3!$C$6:$C$1451,0))</f>
        <v>1</v>
      </c>
      <c r="AF65" t="b">
        <f>ISNUMBER(MATCH(G65,Sheet3!$G$6:$G$240,0))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ISNUMBER(MATCH(G66,Sheet3!$C$6:$C$1451,0))</f>
        <v>1</v>
      </c>
      <c r="AF66" t="b">
        <f>ISNUMBER(MATCH(G66,Sheet3!$G$6:$G$240,0))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ISNUMBER(MATCH(G67,Sheet3!$C$6:$C$1451,0))</f>
        <v>1</v>
      </c>
      <c r="AF67" t="b">
        <f>ISNUMBER(MATCH(G67,Sheet3!$G$6:$G$240,0))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ISNUMBER(MATCH(G68,Sheet3!$C$6:$C$1451,0))</f>
        <v>1</v>
      </c>
      <c r="AF68" t="b">
        <f>ISNUMBER(MATCH(G68,Sheet3!$G$6:$G$240,0))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ISNUMBER(MATCH(G69,Sheet3!$C$6:$C$1451,0))</f>
        <v>1</v>
      </c>
      <c r="AF69" t="b">
        <f>ISNUMBER(MATCH(G69,Sheet3!$G$6:$G$240,0))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ISNUMBER(MATCH(G70,Sheet3!$C$6:$C$1451,0))</f>
        <v>1</v>
      </c>
      <c r="AF70" t="b">
        <f>ISNUMBER(MATCH(G70,Sheet3!$G$6:$G$240,0))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ISNUMBER(MATCH(G71,Sheet3!$C$6:$C$1451,0))</f>
        <v>1</v>
      </c>
      <c r="AF71" t="b">
        <f>ISNUMBER(MATCH(G71,Sheet3!$G$6:$G$240,0))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ISNUMBER(MATCH(G72,Sheet3!$C$6:$C$1451,0))</f>
        <v>1</v>
      </c>
      <c r="AF72" t="b">
        <f>ISNUMBER(MATCH(G72,Sheet3!$G$6:$G$240,0))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ISNUMBER(MATCH(G73,Sheet3!$C$6:$C$1451,0))</f>
        <v>1</v>
      </c>
      <c r="AF73" t="b">
        <f>ISNUMBER(MATCH(G73,Sheet3!$G$6:$G$240,0))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ISNUMBER(MATCH(G74,Sheet3!$C$6:$C$1451,0))</f>
        <v>1</v>
      </c>
      <c r="AF74" t="b">
        <f>ISNUMBER(MATCH(G74,Sheet3!$G$6:$G$240,0))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ISNUMBER(MATCH(G75,Sheet3!$C$6:$C$1451,0))</f>
        <v>1</v>
      </c>
      <c r="AF75" t="b">
        <f>ISNUMBER(MATCH(G75,Sheet3!$G$6:$G$240,0))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ISNUMBER(MATCH(G76,Sheet3!$C$6:$C$1451,0))</f>
        <v>1</v>
      </c>
      <c r="AF76" t="b">
        <f>ISNUMBER(MATCH(G76,Sheet3!$G$6:$G$240,0))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ISNUMBER(MATCH(G77,Sheet3!$C$6:$C$1451,0))</f>
        <v>1</v>
      </c>
      <c r="AF77" t="b">
        <f>ISNUMBER(MATCH(G77,Sheet3!$G$6:$G$240,0))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ISNUMBER(MATCH(G78,Sheet3!$C$6:$C$1451,0))</f>
        <v>1</v>
      </c>
      <c r="AF78" t="b">
        <f>ISNUMBER(MATCH(G78,Sheet3!$G$6:$G$240,0))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ISNUMBER(MATCH(G79,Sheet3!$C$6:$C$1451,0))</f>
        <v>1</v>
      </c>
      <c r="AF79" t="b">
        <f>ISNUMBER(MATCH(G79,Sheet3!$G$6:$G$240,0))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ISNUMBER(MATCH(G80,Sheet3!$C$6:$C$1451,0))</f>
        <v>1</v>
      </c>
      <c r="AF80" t="b">
        <f>ISNUMBER(MATCH(G80,Sheet3!$G$6:$G$240,0))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ISNUMBER(MATCH(G81,Sheet3!$C$6:$C$1451,0))</f>
        <v>1</v>
      </c>
      <c r="AF81" t="b">
        <f>ISNUMBER(MATCH(G81,Sheet3!$G$6:$G$240,0))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ISNUMBER(MATCH(G82,Sheet3!$C$6:$C$1451,0))</f>
        <v>1</v>
      </c>
      <c r="AF82" t="b">
        <f>ISNUMBER(MATCH(G82,Sheet3!$G$6:$G$240,0))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ISNUMBER(MATCH(G83,Sheet3!$C$6:$C$1451,0))</f>
        <v>1</v>
      </c>
      <c r="AF83" t="b">
        <f>ISNUMBER(MATCH(G83,Sheet3!$G$6:$G$240,0))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ISNUMBER(MATCH(G84,Sheet3!$C$6:$C$1451,0))</f>
        <v>1</v>
      </c>
      <c r="AF84" t="b">
        <f>ISNUMBER(MATCH(G84,Sheet3!$G$6:$G$240,0))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ISNUMBER(MATCH(G85,Sheet3!$C$6:$C$1451,0))</f>
        <v>1</v>
      </c>
      <c r="AF85" t="b">
        <f>ISNUMBER(MATCH(G85,Sheet3!$G$6:$G$240,0))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ISNUMBER(MATCH(G86,Sheet3!$C$6:$C$1451,0))</f>
        <v>1</v>
      </c>
      <c r="AF86" t="b">
        <f>ISNUMBER(MATCH(G86,Sheet3!$G$6:$G$240,0))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ISNUMBER(MATCH(G87,Sheet3!$C$6:$C$1451,0))</f>
        <v>1</v>
      </c>
      <c r="AF87" t="b">
        <f>ISNUMBER(MATCH(G87,Sheet3!$G$6:$G$240,0))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ISNUMBER(MATCH(G88,Sheet3!$C$6:$C$1451,0))</f>
        <v>1</v>
      </c>
      <c r="AF88" t="b">
        <f>ISNUMBER(MATCH(G88,Sheet3!$G$6:$G$240,0))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ISNUMBER(MATCH(G89,Sheet3!$C$6:$C$1451,0))</f>
        <v>1</v>
      </c>
      <c r="AF89" t="b">
        <f>ISNUMBER(MATCH(G89,Sheet3!$G$6:$G$240,0))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ISNUMBER(MATCH(G90,Sheet3!$C$6:$C$1451,0))</f>
        <v>1</v>
      </c>
      <c r="AF90" t="b">
        <f>ISNUMBER(MATCH(G90,Sheet3!$G$6:$G$240,0))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ISNUMBER(MATCH(G91,Sheet3!$C$6:$C$1451,0))</f>
        <v>1</v>
      </c>
      <c r="AF91" t="b">
        <f>ISNUMBER(MATCH(G91,Sheet3!$G$6:$G$240,0))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ISNUMBER(MATCH(G92,Sheet3!$C$6:$C$1451,0))</f>
        <v>1</v>
      </c>
      <c r="AF92" t="b">
        <f>ISNUMBER(MATCH(G92,Sheet3!$G$6:$G$240,0))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ISNUMBER(MATCH(G93,Sheet3!$C$6:$C$1451,0))</f>
        <v>1</v>
      </c>
      <c r="AF93" t="b">
        <f>ISNUMBER(MATCH(G93,Sheet3!$G$6:$G$240,0))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ISNUMBER(MATCH(G94,Sheet3!$C$6:$C$1451,0))</f>
        <v>1</v>
      </c>
      <c r="AF94" t="b">
        <f>ISNUMBER(MATCH(G94,Sheet3!$G$6:$G$240,0))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ISNUMBER(MATCH(G95,Sheet3!$C$6:$C$1451,0))</f>
        <v>1</v>
      </c>
      <c r="AF95" t="b">
        <f>ISNUMBER(MATCH(G95,Sheet3!$G$6:$G$240,0))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ISNUMBER(MATCH(G96,Sheet3!$C$6:$C$1451,0))</f>
        <v>1</v>
      </c>
      <c r="AF96" t="b">
        <f>ISNUMBER(MATCH(G96,Sheet3!$G$6:$G$240,0))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ISNUMBER(MATCH(G97,Sheet3!$C$6:$C$1451,0))</f>
        <v>1</v>
      </c>
      <c r="AF97" t="b">
        <f>ISNUMBER(MATCH(G97,Sheet3!$G$6:$G$240,0))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ISNUMBER(MATCH(G98,Sheet3!$C$6:$C$1451,0))</f>
        <v>1</v>
      </c>
      <c r="AF98" t="b">
        <f>ISNUMBER(MATCH(G98,Sheet3!$G$6:$G$240,0))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ISNUMBER(MATCH(G99,Sheet3!$C$6:$C$1451,0))</f>
        <v>0</v>
      </c>
      <c r="AF99" t="b">
        <f>ISNUMBER(MATCH(G99,Sheet3!$G$6:$G$240,0))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ISNUMBER(MATCH(G100,Sheet3!$C$6:$C$1451,0))</f>
        <v>0</v>
      </c>
      <c r="AF100" t="b">
        <f>ISNUMBER(MATCH(G100,Sheet3!$G$6:$G$240,0))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ISNUMBER(MATCH(G101,Sheet3!$C$6:$C$1451,0))</f>
        <v>0</v>
      </c>
      <c r="AF101" t="b">
        <f>ISNUMBER(MATCH(G101,Sheet3!$G$6:$G$240,0))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ISNUMBER(MATCH(G102,Sheet3!$C$6:$C$1451,0))</f>
        <v>0</v>
      </c>
      <c r="AF102" t="b">
        <f>ISNUMBER(MATCH(G102,Sheet3!$G$6:$G$240,0))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ISNUMBER(MATCH(G103,Sheet3!$C$6:$C$1451,0))</f>
        <v>0</v>
      </c>
      <c r="AF103" t="b">
        <f>ISNUMBER(MATCH(G103,Sheet3!$G$6:$G$240,0))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ISNUMBER(MATCH(G104,Sheet3!$C$6:$C$1451,0))</f>
        <v>0</v>
      </c>
      <c r="AF104" t="b">
        <f>ISNUMBER(MATCH(G104,Sheet3!$G$6:$G$240,0))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ISNUMBER(MATCH(G105,Sheet3!$C$6:$C$1451,0))</f>
        <v>1</v>
      </c>
      <c r="AF105" t="b">
        <f>ISNUMBER(MATCH(G105,Sheet3!$G$6:$G$240,0))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ISNUMBER(MATCH(G106,Sheet3!$C$6:$C$1451,0))</f>
        <v>1</v>
      </c>
      <c r="AF106" t="b">
        <f>ISNUMBER(MATCH(G106,Sheet3!$G$6:$G$240,0))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ISNUMBER(MATCH(G107,Sheet3!$C$6:$C$1451,0))</f>
        <v>1</v>
      </c>
      <c r="AF107" t="b">
        <f>ISNUMBER(MATCH(G107,Sheet3!$G$6:$G$240,0))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ISNUMBER(MATCH(G108,Sheet3!$C$6:$C$1451,0))</f>
        <v>1</v>
      </c>
      <c r="AF108" t="b">
        <f>ISNUMBER(MATCH(G108,Sheet3!$G$6:$G$240,0))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ISNUMBER(MATCH(G109,Sheet3!$C$6:$C$1451,0))</f>
        <v>1</v>
      </c>
      <c r="AF109" t="b">
        <f>ISNUMBER(MATCH(G109,Sheet3!$G$6:$G$240,0))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ISNUMBER(MATCH(G110,Sheet3!$C$6:$C$1451,0))</f>
        <v>1</v>
      </c>
      <c r="AF110" t="b">
        <f>ISNUMBER(MATCH(G110,Sheet3!$G$6:$G$240,0))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ISNUMBER(MATCH(G111,Sheet3!$C$6:$C$1451,0))</f>
        <v>1</v>
      </c>
      <c r="AF111" t="b">
        <f>ISNUMBER(MATCH(G111,Sheet3!$G$6:$G$240,0))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ISNUMBER(MATCH(G112,Sheet3!$C$6:$C$1451,0))</f>
        <v>1</v>
      </c>
      <c r="AF112" t="b">
        <f>ISNUMBER(MATCH(G112,Sheet3!$G$6:$G$240,0))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ISNUMBER(MATCH(G113,Sheet3!$C$6:$C$1451,0))</f>
        <v>1</v>
      </c>
      <c r="AF113" t="b">
        <f>ISNUMBER(MATCH(G113,Sheet3!$G$6:$G$240,0))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ISNUMBER(MATCH(G114,Sheet3!$C$6:$C$1451,0))</f>
        <v>0</v>
      </c>
      <c r="AF114" t="b">
        <f>ISNUMBER(MATCH(G114,Sheet3!$G$6:$G$240,0))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ISNUMBER(MATCH(G115,Sheet3!$C$6:$C$1451,0))</f>
        <v>0</v>
      </c>
      <c r="AF115" t="b">
        <f>ISNUMBER(MATCH(G115,Sheet3!$G$6:$G$240,0))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ISNUMBER(MATCH(G116,Sheet3!$C$6:$C$1451,0))</f>
        <v>1</v>
      </c>
      <c r="AF116" t="b">
        <f>ISNUMBER(MATCH(G116,Sheet3!$G$6:$G$240,0))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ISNUMBER(MATCH(G117,Sheet3!$C$6:$C$1451,0))</f>
        <v>1</v>
      </c>
      <c r="AF117" t="b">
        <f>ISNUMBER(MATCH(G117,Sheet3!$G$6:$G$240,0))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ISNUMBER(MATCH(G118,Sheet3!$C$6:$C$1451,0))</f>
        <v>1</v>
      </c>
      <c r="AF118" t="b">
        <f>ISNUMBER(MATCH(G118,Sheet3!$G$6:$G$240,0))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ISNUMBER(MATCH(G119,Sheet3!$C$6:$C$1451,0))</f>
        <v>1</v>
      </c>
      <c r="AF119" t="b">
        <f>ISNUMBER(MATCH(G119,Sheet3!$G$6:$G$240,0))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ISNUMBER(MATCH(G120,Sheet3!$C$6:$C$1451,0))</f>
        <v>1</v>
      </c>
      <c r="AF120" t="b">
        <f>ISNUMBER(MATCH(G120,Sheet3!$G$6:$G$240,0))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ISNUMBER(MATCH(G121,Sheet3!$C$6:$C$1451,0))</f>
        <v>1</v>
      </c>
      <c r="AF121" t="b">
        <f>ISNUMBER(MATCH(G121,Sheet3!$G$6:$G$240,0))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ISNUMBER(MATCH(G122,Sheet3!$C$6:$C$1451,0))</f>
        <v>1</v>
      </c>
      <c r="AF122" t="b">
        <f>ISNUMBER(MATCH(G122,Sheet3!$G$6:$G$240,0))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ISNUMBER(MATCH(G123,Sheet3!$C$6:$C$1451,0))</f>
        <v>1</v>
      </c>
      <c r="AF123" t="b">
        <f>ISNUMBER(MATCH(G123,Sheet3!$G$6:$G$240,0))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ISNUMBER(MATCH(G124,Sheet3!$C$6:$C$1451,0))</f>
        <v>1</v>
      </c>
      <c r="AF124" t="b">
        <f>ISNUMBER(MATCH(G124,Sheet3!$G$6:$G$240,0))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ISNUMBER(MATCH(G125,Sheet3!$C$6:$C$1451,0))</f>
        <v>1</v>
      </c>
      <c r="AF125" t="b">
        <f>ISNUMBER(MATCH(G125,Sheet3!$G$6:$G$240,0))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ISNUMBER(MATCH(G126,Sheet3!$C$6:$C$1451,0))</f>
        <v>1</v>
      </c>
      <c r="AF126" t="b">
        <f>ISNUMBER(MATCH(G126,Sheet3!$G$6:$G$240,0))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ISNUMBER(MATCH(G127,Sheet3!$C$6:$C$1451,0))</f>
        <v>1</v>
      </c>
      <c r="AF127" t="b">
        <f>ISNUMBER(MATCH(G127,Sheet3!$G$6:$G$240,0))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ISNUMBER(MATCH(G128,Sheet3!$C$6:$C$1451,0))</f>
        <v>1</v>
      </c>
      <c r="AF128" t="b">
        <f>ISNUMBER(MATCH(G128,Sheet3!$G$6:$G$240,0))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ISNUMBER(MATCH(G129,Sheet3!$C$6:$C$1451,0))</f>
        <v>1</v>
      </c>
      <c r="AF129" t="b">
        <f>ISNUMBER(MATCH(G129,Sheet3!$G$6:$G$240,0))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ISNUMBER(MATCH(G130,Sheet3!$C$6:$C$1451,0))</f>
        <v>1</v>
      </c>
      <c r="AF130" t="b">
        <f>ISNUMBER(MATCH(G130,Sheet3!$G$6:$G$240,0))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ISNUMBER(MATCH(G131,Sheet3!$C$6:$C$1451,0))</f>
        <v>1</v>
      </c>
      <c r="AF131" t="b">
        <f>ISNUMBER(MATCH(G131,Sheet3!$G$6:$G$240,0))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ISNUMBER(MATCH(G132,Sheet3!$C$6:$C$1451,0))</f>
        <v>1</v>
      </c>
      <c r="AF132" t="b">
        <f>ISNUMBER(MATCH(G132,Sheet3!$G$6:$G$240,0))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ISNUMBER(MATCH(G133,Sheet3!$C$6:$C$1451,0))</f>
        <v>1</v>
      </c>
      <c r="AF133" t="b">
        <f>ISNUMBER(MATCH(G133,Sheet3!$G$6:$G$240,0))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ISNUMBER(MATCH(G134,Sheet3!$C$6:$C$1451,0))</f>
        <v>1</v>
      </c>
      <c r="AF134" t="b">
        <f>ISNUMBER(MATCH(G134,Sheet3!$G$6:$G$240,0))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ISNUMBER(MATCH(G135,Sheet3!$C$6:$C$1451,0))</f>
        <v>1</v>
      </c>
      <c r="AF135" t="b">
        <f>ISNUMBER(MATCH(G135,Sheet3!$G$6:$G$240,0))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ISNUMBER(MATCH(G136,Sheet3!$C$6:$C$1451,0))</f>
        <v>1</v>
      </c>
      <c r="AF136" t="b">
        <f>ISNUMBER(MATCH(G136,Sheet3!$G$6:$G$240,0))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ISNUMBER(MATCH(G137,Sheet3!$C$6:$C$1451,0))</f>
        <v>1</v>
      </c>
      <c r="AF137" t="b">
        <f>ISNUMBER(MATCH(G137,Sheet3!$G$6:$G$240,0))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ISNUMBER(MATCH(G138,Sheet3!$C$6:$C$1451,0))</f>
        <v>1</v>
      </c>
      <c r="AF138" t="b">
        <f>ISNUMBER(MATCH(G138,Sheet3!$G$6:$G$240,0))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ISNUMBER(MATCH(G139,Sheet3!$C$6:$C$1451,0))</f>
        <v>1</v>
      </c>
      <c r="AF139" t="b">
        <f>ISNUMBER(MATCH(G139,Sheet3!$G$6:$G$240,0))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ISNUMBER(MATCH(G140,Sheet3!$C$6:$C$1451,0))</f>
        <v>1</v>
      </c>
      <c r="AF140" t="b">
        <f>ISNUMBER(MATCH(G140,Sheet3!$G$6:$G$240,0))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ISNUMBER(MATCH(G141,Sheet3!$C$6:$C$1451,0))</f>
        <v>1</v>
      </c>
      <c r="AF141" t="b">
        <f>ISNUMBER(MATCH(G141,Sheet3!$G$6:$G$240,0))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ISNUMBER(MATCH(G142,Sheet3!$C$6:$C$1451,0))</f>
        <v>1</v>
      </c>
      <c r="AF142" t="b">
        <f>ISNUMBER(MATCH(G142,Sheet3!$G$6:$G$240,0))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ISNUMBER(MATCH(G143,Sheet3!$C$6:$C$1451,0))</f>
        <v>1</v>
      </c>
      <c r="AF143" t="b">
        <f>ISNUMBER(MATCH(G143,Sheet3!$G$6:$G$240,0))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ISNUMBER(MATCH(G144,Sheet3!$C$6:$C$1451,0))</f>
        <v>1</v>
      </c>
      <c r="AF144" t="b">
        <f>ISNUMBER(MATCH(G144,Sheet3!$G$6:$G$240,0))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ISNUMBER(MATCH(G145,Sheet3!$C$6:$C$1451,0))</f>
        <v>1</v>
      </c>
      <c r="AF145" t="b">
        <f>ISNUMBER(MATCH(G145,Sheet3!$G$6:$G$240,0))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ISNUMBER(MATCH(G146,Sheet3!$C$6:$C$1451,0))</f>
        <v>1</v>
      </c>
      <c r="AF146" t="b">
        <f>ISNUMBER(MATCH(G146,Sheet3!$G$6:$G$240,0))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ISNUMBER(MATCH(G147,Sheet3!$C$6:$C$1451,0))</f>
        <v>1</v>
      </c>
      <c r="AF147" t="b">
        <f>ISNUMBER(MATCH(G147,Sheet3!$G$6:$G$240,0))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ISNUMBER(MATCH(G148,Sheet3!$C$6:$C$1451,0))</f>
        <v>1</v>
      </c>
      <c r="AF148" t="b">
        <f>ISNUMBER(MATCH(G148,Sheet3!$G$6:$G$240,0))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ISNUMBER(MATCH(G149,Sheet3!$C$6:$C$1451,0))</f>
        <v>1</v>
      </c>
      <c r="AF149" t="b">
        <f>ISNUMBER(MATCH(G149,Sheet3!$G$6:$G$240,0))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ISNUMBER(MATCH(G150,Sheet3!$C$6:$C$1451,0))</f>
        <v>1</v>
      </c>
      <c r="AF150" t="b">
        <f>ISNUMBER(MATCH(G150,Sheet3!$G$6:$G$240,0))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ISNUMBER(MATCH(G151,Sheet3!$C$6:$C$1451,0))</f>
        <v>1</v>
      </c>
      <c r="AF151" t="b">
        <f>ISNUMBER(MATCH(G151,Sheet3!$G$6:$G$240,0))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ISNUMBER(MATCH(G152,Sheet3!$C$6:$C$1451,0))</f>
        <v>1</v>
      </c>
      <c r="AF152" t="b">
        <f>ISNUMBER(MATCH(G152,Sheet3!$G$6:$G$240,0))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ISNUMBER(MATCH(G153,Sheet3!$C$6:$C$1451,0))</f>
        <v>1</v>
      </c>
      <c r="AF153" t="b">
        <f>ISNUMBER(MATCH(G153,Sheet3!$G$6:$G$240,0))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ISNUMBER(MATCH(G154,Sheet3!$C$6:$C$1451,0))</f>
        <v>1</v>
      </c>
      <c r="AF154" t="b">
        <f>ISNUMBER(MATCH(G154,Sheet3!$G$6:$G$240,0))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ISNUMBER(MATCH(G155,Sheet3!$C$6:$C$1451,0))</f>
        <v>1</v>
      </c>
      <c r="AF155" t="b">
        <f>ISNUMBER(MATCH(G155,Sheet3!$G$6:$G$240,0))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ISNUMBER(MATCH(G156,Sheet3!$C$6:$C$1451,0))</f>
        <v>0</v>
      </c>
      <c r="AF156" t="b">
        <f>ISNUMBER(MATCH(G156,Sheet3!$G$6:$G$240,0))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ISNUMBER(MATCH(G157,Sheet3!$C$6:$C$1451,0))</f>
        <v>0</v>
      </c>
      <c r="AF157" t="b">
        <f>ISNUMBER(MATCH(G157,Sheet3!$G$6:$G$240,0))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ISNUMBER(MATCH(G158,Sheet3!$C$6:$C$1451,0))</f>
        <v>0</v>
      </c>
      <c r="AF158" t="b">
        <f>ISNUMBER(MATCH(G158,Sheet3!$G$6:$G$240,0))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ISNUMBER(MATCH(G159,Sheet3!$C$6:$C$1451,0))</f>
        <v>0</v>
      </c>
      <c r="AF159" t="b">
        <f>ISNUMBER(MATCH(G159,Sheet3!$G$6:$G$240,0))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ISNUMBER(MATCH(G160,Sheet3!$C$6:$C$1451,0))</f>
        <v>0</v>
      </c>
      <c r="AF160" t="b">
        <f>ISNUMBER(MATCH(G160,Sheet3!$G$6:$G$240,0))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ISNUMBER(MATCH(G161,Sheet3!$C$6:$C$1451,0))</f>
        <v>1</v>
      </c>
      <c r="AF161" t="b">
        <f>ISNUMBER(MATCH(G161,Sheet3!$G$6:$G$240,0))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ISNUMBER(MATCH(G162,Sheet3!$C$6:$C$1451,0))</f>
        <v>1</v>
      </c>
      <c r="AF162" t="b">
        <f>ISNUMBER(MATCH(G162,Sheet3!$G$6:$G$240,0))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ISNUMBER(MATCH(G163,Sheet3!$C$6:$C$1451,0))</f>
        <v>1</v>
      </c>
      <c r="AF163" t="b">
        <f>ISNUMBER(MATCH(G163,Sheet3!$G$6:$G$240,0))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ISNUMBER(MATCH(G164,Sheet3!$C$6:$C$1451,0))</f>
        <v>1</v>
      </c>
      <c r="AF164" t="b">
        <f>ISNUMBER(MATCH(G164,Sheet3!$G$6:$G$240,0))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ISNUMBER(MATCH(G165,Sheet3!$C$6:$C$1451,0))</f>
        <v>0</v>
      </c>
      <c r="AF165" t="b">
        <f>ISNUMBER(MATCH(G165,Sheet3!$G$6:$G$240,0))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ISNUMBER(MATCH(G166,Sheet3!$C$6:$C$1451,0))</f>
        <v>0</v>
      </c>
      <c r="AF166" t="b">
        <f>ISNUMBER(MATCH(G166,Sheet3!$G$6:$G$240,0))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ISNUMBER(MATCH(G167,Sheet3!$C$6:$C$1451,0))</f>
        <v>0</v>
      </c>
      <c r="AF167" t="b">
        <f>ISNUMBER(MATCH(G167,Sheet3!$G$6:$G$240,0))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ISNUMBER(MATCH(G168,Sheet3!$C$6:$C$1451,0))</f>
        <v>0</v>
      </c>
      <c r="AF168" t="b">
        <f>ISNUMBER(MATCH(G168,Sheet3!$G$6:$G$240,0))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ISNUMBER(MATCH(G169,Sheet3!$C$6:$C$1451,0))</f>
        <v>1</v>
      </c>
      <c r="AF169" t="b">
        <f>ISNUMBER(MATCH(G169,Sheet3!$G$6:$G$240,0))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ISNUMBER(MATCH(G170,Sheet3!$C$6:$C$1451,0))</f>
        <v>1</v>
      </c>
      <c r="AF170" t="b">
        <f>ISNUMBER(MATCH(G170,Sheet3!$G$6:$G$240,0))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ISNUMBER(MATCH(G171,Sheet3!$C$6:$C$1451,0))</f>
        <v>1</v>
      </c>
      <c r="AF171" t="b">
        <f>ISNUMBER(MATCH(G171,Sheet3!$G$6:$G$240,0))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ISNUMBER(MATCH(G172,Sheet3!$C$6:$C$1451,0))</f>
        <v>1</v>
      </c>
      <c r="AF172" t="b">
        <f>ISNUMBER(MATCH(G172,Sheet3!$G$6:$G$240,0))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ISNUMBER(MATCH(G173,Sheet3!$C$6:$C$1451,0))</f>
        <v>1</v>
      </c>
      <c r="AF173" t="b">
        <f>ISNUMBER(MATCH(G173,Sheet3!$G$6:$G$240,0))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ISNUMBER(MATCH(G174,Sheet3!$C$6:$C$1451,0))</f>
        <v>1</v>
      </c>
      <c r="AF174" t="b">
        <f>ISNUMBER(MATCH(G174,Sheet3!$G$6:$G$240,0))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ISNUMBER(MATCH(G175,Sheet3!$C$6:$C$1451,0))</f>
        <v>1</v>
      </c>
      <c r="AF175" t="b">
        <f>ISNUMBER(MATCH(G175,Sheet3!$G$6:$G$240,0))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ISNUMBER(MATCH(G176,Sheet3!$C$6:$C$1451,0))</f>
        <v>1</v>
      </c>
      <c r="AF176" t="b">
        <f>ISNUMBER(MATCH(G176,Sheet3!$G$6:$G$240,0))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ISNUMBER(MATCH(G177,Sheet3!$C$6:$C$1451,0))</f>
        <v>1</v>
      </c>
      <c r="AF177" t="b">
        <f>ISNUMBER(MATCH(G177,Sheet3!$G$6:$G$240,0))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ISNUMBER(MATCH(G178,Sheet3!$C$6:$C$1451,0))</f>
        <v>1</v>
      </c>
      <c r="AF178" t="b">
        <f>ISNUMBER(MATCH(G178,Sheet3!$G$6:$G$240,0))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ISNUMBER(MATCH(G179,Sheet3!$C$6:$C$1451,0))</f>
        <v>1</v>
      </c>
      <c r="AF179" t="b">
        <f>ISNUMBER(MATCH(G179,Sheet3!$G$6:$G$240,0))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ISNUMBER(MATCH(G180,Sheet3!$C$6:$C$1451,0))</f>
        <v>1</v>
      </c>
      <c r="AF180" t="b">
        <f>ISNUMBER(MATCH(G180,Sheet3!$G$6:$G$240,0))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ISNUMBER(MATCH(G181,Sheet3!$C$6:$C$1451,0))</f>
        <v>1</v>
      </c>
      <c r="AF181" t="b">
        <f>ISNUMBER(MATCH(G181,Sheet3!$G$6:$G$240,0))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ISNUMBER(MATCH(G182,Sheet3!$C$6:$C$1451,0))</f>
        <v>1</v>
      </c>
      <c r="AF182" t="b">
        <f>ISNUMBER(MATCH(G182,Sheet3!$G$6:$G$240,0))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ISNUMBER(MATCH(G183,Sheet3!$C$6:$C$1451,0))</f>
        <v>1</v>
      </c>
      <c r="AF183" t="b">
        <f>ISNUMBER(MATCH(G183,Sheet3!$G$6:$G$240,0))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ISNUMBER(MATCH(G184,Sheet3!$C$6:$C$1451,0))</f>
        <v>1</v>
      </c>
      <c r="AF184" t="b">
        <f>ISNUMBER(MATCH(G184,Sheet3!$G$6:$G$240,0))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ISNUMBER(MATCH(G185,Sheet3!$C$6:$C$1451,0))</f>
        <v>1</v>
      </c>
      <c r="AF185" t="b">
        <f>ISNUMBER(MATCH(G185,Sheet3!$G$6:$G$240,0))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ISNUMBER(MATCH(G186,Sheet3!$C$6:$C$1451,0))</f>
        <v>1</v>
      </c>
      <c r="AF186" t="b">
        <f>ISNUMBER(MATCH(G186,Sheet3!$G$6:$G$240,0))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ISNUMBER(MATCH(G187,Sheet3!$C$6:$C$1451,0))</f>
        <v>1</v>
      </c>
      <c r="AF187" t="b">
        <f>ISNUMBER(MATCH(G187,Sheet3!$G$6:$G$240,0))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ISNUMBER(MATCH(G188,Sheet3!$C$6:$C$1451,0))</f>
        <v>1</v>
      </c>
      <c r="AF188" t="b">
        <f>ISNUMBER(MATCH(G188,Sheet3!$G$6:$G$240,0))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ISNUMBER(MATCH(G189,Sheet3!$C$6:$C$1451,0))</f>
        <v>1</v>
      </c>
      <c r="AF189" t="b">
        <f>ISNUMBER(MATCH(G189,Sheet3!$G$6:$G$240,0))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ISNUMBER(MATCH(G190,Sheet3!$C$6:$C$1451,0))</f>
        <v>1</v>
      </c>
      <c r="AF190" t="b">
        <f>ISNUMBER(MATCH(G190,Sheet3!$G$6:$G$240,0))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ISNUMBER(MATCH(G191,Sheet3!$C$6:$C$1451,0))</f>
        <v>1</v>
      </c>
      <c r="AF191" t="b">
        <f>ISNUMBER(MATCH(G191,Sheet3!$G$6:$G$240,0))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ISNUMBER(MATCH(G192,Sheet3!$C$6:$C$1451,0))</f>
        <v>1</v>
      </c>
      <c r="AF192" t="b">
        <f>ISNUMBER(MATCH(G192,Sheet3!$G$6:$G$240,0))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ISNUMBER(MATCH(G193,Sheet3!$C$6:$C$1451,0))</f>
        <v>1</v>
      </c>
      <c r="AF193" t="b">
        <f>ISNUMBER(MATCH(G193,Sheet3!$G$6:$G$240,0))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ISNUMBER(MATCH(G194,Sheet3!$C$6:$C$1451,0))</f>
        <v>1</v>
      </c>
      <c r="AF194" t="b">
        <f>ISNUMBER(MATCH(G194,Sheet3!$G$6:$G$240,0))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ISNUMBER(MATCH(G195,Sheet3!$C$6:$C$1451,0))</f>
        <v>1</v>
      </c>
      <c r="AF195" t="b">
        <f>ISNUMBER(MATCH(G195,Sheet3!$G$6:$G$240,0))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ISNUMBER(MATCH(G196,Sheet3!$C$6:$C$1451,0))</f>
        <v>0</v>
      </c>
      <c r="AF196" t="b">
        <f>ISNUMBER(MATCH(G196,Sheet3!$G$6:$G$240,0))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ISNUMBER(MATCH(G197,Sheet3!$C$6:$C$1451,0))</f>
        <v>0</v>
      </c>
      <c r="AF197" t="b">
        <f>ISNUMBER(MATCH(G197,Sheet3!$G$6:$G$240,0))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ISNUMBER(MATCH(G198,Sheet3!$C$6:$C$1451,0))</f>
        <v>0</v>
      </c>
      <c r="AF198" t="b">
        <f>ISNUMBER(MATCH(G198,Sheet3!$G$6:$G$240,0))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ISNUMBER(MATCH(G199,Sheet3!$C$6:$C$1451,0))</f>
        <v>1</v>
      </c>
      <c r="AF199" t="b">
        <f>ISNUMBER(MATCH(G199,Sheet3!$G$6:$G$240,0))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ISNUMBER(MATCH(G200,Sheet3!$C$6:$C$1451,0))</f>
        <v>1</v>
      </c>
      <c r="AF200" t="b">
        <f>ISNUMBER(MATCH(G200,Sheet3!$G$6:$G$240,0))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ISNUMBER(MATCH(G201,Sheet3!$C$6:$C$1451,0))</f>
        <v>1</v>
      </c>
      <c r="AF201" t="b">
        <f>ISNUMBER(MATCH(G201,Sheet3!$G$6:$G$240,0))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ISNUMBER(MATCH(G202,Sheet3!$C$6:$C$1451,0))</f>
        <v>1</v>
      </c>
      <c r="AF202" t="b">
        <f>ISNUMBER(MATCH(G202,Sheet3!$G$6:$G$240,0))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ISNUMBER(MATCH(G203,Sheet3!$C$6:$C$1451,0))</f>
        <v>1</v>
      </c>
      <c r="AF203" t="b">
        <f>ISNUMBER(MATCH(G203,Sheet3!$G$6:$G$240,0))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ISNUMBER(MATCH(G204,Sheet3!$C$6:$C$1451,0))</f>
        <v>1</v>
      </c>
      <c r="AF204" t="b">
        <f>ISNUMBER(MATCH(G204,Sheet3!$G$6:$G$240,0))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ISNUMBER(MATCH(G205,Sheet3!$C$6:$C$1451,0))</f>
        <v>1</v>
      </c>
      <c r="AF205" t="b">
        <f>ISNUMBER(MATCH(G205,Sheet3!$G$6:$G$240,0))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ISNUMBER(MATCH(G206,Sheet3!$C$6:$C$1451,0))</f>
        <v>1</v>
      </c>
      <c r="AF206" t="b">
        <f>ISNUMBER(MATCH(G206,Sheet3!$G$6:$G$240,0))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ISNUMBER(MATCH(G207,Sheet3!$C$6:$C$1451,0))</f>
        <v>1</v>
      </c>
      <c r="AF207" t="b">
        <f>ISNUMBER(MATCH(G207,Sheet3!$G$6:$G$240,0))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ISNUMBER(MATCH(G208,Sheet3!$C$6:$C$1451,0))</f>
        <v>0</v>
      </c>
      <c r="AF208" t="b">
        <f>ISNUMBER(MATCH(G208,Sheet3!$G$6:$G$240,0))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ISNUMBER(MATCH(G209,Sheet3!$C$6:$C$1451,0))</f>
        <v>0</v>
      </c>
      <c r="AF209" t="b">
        <f>ISNUMBER(MATCH(G209,Sheet3!$G$6:$G$240,0))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ISNUMBER(MATCH(G210,Sheet3!$C$6:$C$1451,0))</f>
        <v>0</v>
      </c>
      <c r="AF210" t="b">
        <f>ISNUMBER(MATCH(G210,Sheet3!$G$6:$G$240,0))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ISNUMBER(MATCH(G211,Sheet3!$C$6:$C$1451,0))</f>
        <v>1</v>
      </c>
      <c r="AF211" t="b">
        <f>ISNUMBER(MATCH(G211,Sheet3!$G$6:$G$240,0))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ISNUMBER(MATCH(G212,Sheet3!$C$6:$C$1451,0))</f>
        <v>1</v>
      </c>
      <c r="AF212" t="b">
        <f>ISNUMBER(MATCH(G212,Sheet3!$G$6:$G$240,0))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ISNUMBER(MATCH(G213,Sheet3!$C$6:$C$1451,0))</f>
        <v>1</v>
      </c>
      <c r="AF213" t="b">
        <f>ISNUMBER(MATCH(G213,Sheet3!$G$6:$G$240,0))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ISNUMBER(MATCH(G214,Sheet3!$C$6:$C$1451,0))</f>
        <v>1</v>
      </c>
      <c r="AF214" t="b">
        <f>ISNUMBER(MATCH(G214,Sheet3!$G$6:$G$240,0))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ISNUMBER(MATCH(G215,Sheet3!$C$6:$C$1451,0))</f>
        <v>1</v>
      </c>
      <c r="AF215" t="b">
        <f>ISNUMBER(MATCH(G215,Sheet3!$G$6:$G$240,0))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ISNUMBER(MATCH(G216,Sheet3!$C$6:$C$1451,0))</f>
        <v>1</v>
      </c>
      <c r="AF216" t="b">
        <f>ISNUMBER(MATCH(G216,Sheet3!$G$6:$G$240,0))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ISNUMBER(MATCH(G217,Sheet3!$C$6:$C$1451,0))</f>
        <v>1</v>
      </c>
      <c r="AF217" t="b">
        <f>ISNUMBER(MATCH(G217,Sheet3!$G$6:$G$240,0))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ISNUMBER(MATCH(G218,Sheet3!$C$6:$C$1451,0))</f>
        <v>1</v>
      </c>
      <c r="AF218" t="b">
        <f>ISNUMBER(MATCH(G218,Sheet3!$G$6:$G$240,0))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ISNUMBER(MATCH(G219,Sheet3!$C$6:$C$1451,0))</f>
        <v>1</v>
      </c>
      <c r="AF219" t="b">
        <f>ISNUMBER(MATCH(G219,Sheet3!$G$6:$G$240,0))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ISNUMBER(MATCH(G220,Sheet3!$C$6:$C$1451,0))</f>
        <v>1</v>
      </c>
      <c r="AF220" t="b">
        <f>ISNUMBER(MATCH(G220,Sheet3!$G$6:$G$240,0))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ISNUMBER(MATCH(G221,Sheet3!$C$6:$C$1451,0))</f>
        <v>1</v>
      </c>
      <c r="AF221" t="b">
        <f>ISNUMBER(MATCH(G221,Sheet3!$G$6:$G$240,0))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ISNUMBER(MATCH(G222,Sheet3!$C$6:$C$1451,0))</f>
        <v>1</v>
      </c>
      <c r="AF222" t="b">
        <f>ISNUMBER(MATCH(G222,Sheet3!$G$6:$G$240,0))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ISNUMBER(MATCH(G223,Sheet3!$C$6:$C$1451,0))</f>
        <v>1</v>
      </c>
      <c r="AF223" t="b">
        <f>ISNUMBER(MATCH(G223,Sheet3!$G$6:$G$240,0))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ISNUMBER(MATCH(G224,Sheet3!$C$6:$C$1451,0))</f>
        <v>1</v>
      </c>
      <c r="AF224" t="b">
        <f>ISNUMBER(MATCH(G224,Sheet3!$G$6:$G$240,0))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ISNUMBER(MATCH(G225,Sheet3!$C$6:$C$1451,0))</f>
        <v>1</v>
      </c>
      <c r="AF225" t="b">
        <f>ISNUMBER(MATCH(G225,Sheet3!$G$6:$G$240,0))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ISNUMBER(MATCH(G226,Sheet3!$C$6:$C$1451,0))</f>
        <v>1</v>
      </c>
      <c r="AF226" t="b">
        <f>ISNUMBER(MATCH(G226,Sheet3!$G$6:$G$240,0))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ISNUMBER(MATCH(G227,Sheet3!$C$6:$C$1451,0))</f>
        <v>1</v>
      </c>
      <c r="AF227" t="b">
        <f>ISNUMBER(MATCH(G227,Sheet3!$G$6:$G$240,0))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ISNUMBER(MATCH(G228,Sheet3!$C$6:$C$1451,0))</f>
        <v>1</v>
      </c>
      <c r="AF228" t="b">
        <f>ISNUMBER(MATCH(G228,Sheet3!$G$6:$G$240,0))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ISNUMBER(MATCH(G229,Sheet3!$C$6:$C$1451,0))</f>
        <v>1</v>
      </c>
      <c r="AF229" t="b">
        <f>ISNUMBER(MATCH(G229,Sheet3!$G$6:$G$240,0))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ISNUMBER(MATCH(G230,Sheet3!$C$6:$C$1451,0))</f>
        <v>1</v>
      </c>
      <c r="AF230" t="b">
        <f>ISNUMBER(MATCH(G230,Sheet3!$G$6:$G$240,0))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ISNUMBER(MATCH(G231,Sheet3!$C$6:$C$1451,0))</f>
        <v>1</v>
      </c>
      <c r="AF231" t="b">
        <f>ISNUMBER(MATCH(G231,Sheet3!$G$6:$G$240,0))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ISNUMBER(MATCH(G232,Sheet3!$C$6:$C$1451,0))</f>
        <v>1</v>
      </c>
      <c r="AF232" t="b">
        <f>ISNUMBER(MATCH(G232,Sheet3!$G$6:$G$240,0))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ISNUMBER(MATCH(G233,Sheet3!$C$6:$C$1451,0))</f>
        <v>1</v>
      </c>
      <c r="AF233" t="b">
        <f>ISNUMBER(MATCH(G233,Sheet3!$G$6:$G$240,0))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ISNUMBER(MATCH(G234,Sheet3!$C$6:$C$1451,0))</f>
        <v>1</v>
      </c>
      <c r="AF234" t="b">
        <f>ISNUMBER(MATCH(G234,Sheet3!$G$6:$G$240,0))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ISNUMBER(MATCH(G235,Sheet3!$C$6:$C$1451,0))</f>
        <v>1</v>
      </c>
      <c r="AF235" t="b">
        <f>ISNUMBER(MATCH(G235,Sheet3!$G$6:$G$240,0))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ISNUMBER(MATCH(G236,Sheet3!$C$6:$C$1451,0))</f>
        <v>1</v>
      </c>
      <c r="AF236" t="b">
        <f>ISNUMBER(MATCH(G236,Sheet3!$G$6:$G$240,0))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ISNUMBER(MATCH(G237,Sheet3!$C$6:$C$1451,0))</f>
        <v>1</v>
      </c>
      <c r="AF237" t="b">
        <f>ISNUMBER(MATCH(G237,Sheet3!$G$6:$G$240,0))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ISNUMBER(MATCH(G238,Sheet3!$C$6:$C$1451,0))</f>
        <v>1</v>
      </c>
      <c r="AF238" t="b">
        <f>ISNUMBER(MATCH(G238,Sheet3!$G$6:$G$240,0))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ISNUMBER(MATCH(G239,Sheet3!$C$6:$C$1451,0))</f>
        <v>1</v>
      </c>
      <c r="AF239" t="b">
        <f>ISNUMBER(MATCH(G239,Sheet3!$G$6:$G$240,0))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ISNUMBER(MATCH(G240,Sheet3!$C$6:$C$1451,0))</f>
        <v>1</v>
      </c>
      <c r="AF240" t="b">
        <f>ISNUMBER(MATCH(G240,Sheet3!$G$6:$G$240,0))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ISNUMBER(MATCH(G241,Sheet3!$C$6:$C$1451,0))</f>
        <v>0</v>
      </c>
      <c r="AF241" t="b">
        <f>ISNUMBER(MATCH(G241,Sheet3!$G$6:$G$240,0))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ISNUMBER(MATCH(G242,Sheet3!$C$6:$C$1451,0))</f>
        <v>0</v>
      </c>
      <c r="AF242" t="b">
        <f>ISNUMBER(MATCH(G242,Sheet3!$G$6:$G$240,0))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ISNUMBER(MATCH(G243,Sheet3!$C$6:$C$1451,0))</f>
        <v>1</v>
      </c>
      <c r="AF243" t="b">
        <f>ISNUMBER(MATCH(G243,Sheet3!$G$6:$G$240,0))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ISNUMBER(MATCH(G244,Sheet3!$C$6:$C$1451,0))</f>
        <v>1</v>
      </c>
      <c r="AF244" t="b">
        <f>ISNUMBER(MATCH(G244,Sheet3!$G$6:$G$240,0))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ISNUMBER(MATCH(G245,Sheet3!$C$6:$C$1451,0))</f>
        <v>0</v>
      </c>
      <c r="AF245" t="b">
        <f>ISNUMBER(MATCH(G245,Sheet3!$G$6:$G$240,0))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ISNUMBER(MATCH(G246,Sheet3!$C$6:$C$1451,0))</f>
        <v>1</v>
      </c>
      <c r="AF246" t="b">
        <f>ISNUMBER(MATCH(G246,Sheet3!$G$6:$G$240,0))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ISNUMBER(MATCH(G247,Sheet3!$C$6:$C$1451,0))</f>
        <v>1</v>
      </c>
      <c r="AF247" t="b">
        <f>ISNUMBER(MATCH(G247,Sheet3!$G$6:$G$240,0))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ISNUMBER(MATCH(G248,Sheet3!$C$6:$C$1451,0))</f>
        <v>1</v>
      </c>
      <c r="AF248" t="b">
        <f>ISNUMBER(MATCH(G248,Sheet3!$G$6:$G$240,0))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ISNUMBER(MATCH(G249,Sheet3!$C$6:$C$1451,0))</f>
        <v>1</v>
      </c>
      <c r="AF249" t="b">
        <f>ISNUMBER(MATCH(G249,Sheet3!$G$6:$G$240,0))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ISNUMBER(MATCH(G250,Sheet3!$C$6:$C$1451,0))</f>
        <v>1</v>
      </c>
      <c r="AF250" t="b">
        <f>ISNUMBER(MATCH(G250,Sheet3!$G$6:$G$240,0))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ISNUMBER(MATCH(G251,Sheet3!$C$6:$C$1451,0))</f>
        <v>1</v>
      </c>
      <c r="AF251" t="b">
        <f>ISNUMBER(MATCH(G251,Sheet3!$G$6:$G$240,0))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ISNUMBER(MATCH(G252,Sheet3!$C$6:$C$1451,0))</f>
        <v>1</v>
      </c>
      <c r="AF252" t="b">
        <f>ISNUMBER(MATCH(G252,Sheet3!$G$6:$G$240,0))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ISNUMBER(MATCH(G253,Sheet3!$C$6:$C$1451,0))</f>
        <v>1</v>
      </c>
      <c r="AF253" t="b">
        <f>ISNUMBER(MATCH(G253,Sheet3!$G$6:$G$240,0))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ISNUMBER(MATCH(G254,Sheet3!$C$6:$C$1451,0))</f>
        <v>1</v>
      </c>
      <c r="AF254" t="b">
        <f>ISNUMBER(MATCH(G254,Sheet3!$G$6:$G$240,0))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ISNUMBER(MATCH(G255,Sheet3!$C$6:$C$1451,0))</f>
        <v>1</v>
      </c>
      <c r="AF255" t="b">
        <f>ISNUMBER(MATCH(G255,Sheet3!$G$6:$G$240,0))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ISNUMBER(MATCH(G256,Sheet3!$C$6:$C$1451,0))</f>
        <v>1</v>
      </c>
      <c r="AF256" t="b">
        <f>ISNUMBER(MATCH(G256,Sheet3!$G$6:$G$240,0))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ISNUMBER(MATCH(G257,Sheet3!$C$6:$C$1451,0))</f>
        <v>1</v>
      </c>
      <c r="AF257" t="b">
        <f>ISNUMBER(MATCH(G257,Sheet3!$G$6:$G$240,0))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ISNUMBER(MATCH(G258,Sheet3!$C$6:$C$1451,0))</f>
        <v>1</v>
      </c>
      <c r="AF258" t="b">
        <f>ISNUMBER(MATCH(G258,Sheet3!$G$6:$G$240,0))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ISNUMBER(MATCH(G259,Sheet3!$C$6:$C$1451,0))</f>
        <v>0</v>
      </c>
      <c r="AF259" t="b">
        <f>ISNUMBER(MATCH(G259,Sheet3!$G$6:$G$240,0))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ISNUMBER(MATCH(G260,Sheet3!$C$6:$C$1451,0))</f>
        <v>1</v>
      </c>
      <c r="AF260" t="b">
        <f>ISNUMBER(MATCH(G260,Sheet3!$G$6:$G$240,0))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ISNUMBER(MATCH(G261,Sheet3!$C$6:$C$1451,0))</f>
        <v>0</v>
      </c>
      <c r="AF261" t="b">
        <f>ISNUMBER(MATCH(G261,Sheet3!$G$6:$G$240,0))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ISNUMBER(MATCH(G262,Sheet3!$C$6:$C$1451,0))</f>
        <v>0</v>
      </c>
      <c r="AF262" t="b">
        <f>ISNUMBER(MATCH(G262,Sheet3!$G$6:$G$240,0))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ISNUMBER(MATCH(G263,Sheet3!$C$6:$C$1451,0))</f>
        <v>1</v>
      </c>
      <c r="AF263" t="b">
        <f>ISNUMBER(MATCH(G263,Sheet3!$G$6:$G$240,0))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ISNUMBER(MATCH(G264,Sheet3!$C$6:$C$1451,0))</f>
        <v>0</v>
      </c>
      <c r="AF264" t="b">
        <f>ISNUMBER(MATCH(G264,Sheet3!$G$6:$G$240,0))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ISNUMBER(MATCH(G265,Sheet3!$C$6:$C$1451,0))</f>
        <v>1</v>
      </c>
      <c r="AF265" t="b">
        <f>ISNUMBER(MATCH(G265,Sheet3!$G$6:$G$240,0))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ISNUMBER(MATCH(G266,Sheet3!$C$6:$C$1451,0))</f>
        <v>1</v>
      </c>
      <c r="AF266" t="b">
        <f>ISNUMBER(MATCH(G266,Sheet3!$G$6:$G$240,0))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ISNUMBER(MATCH(G267,Sheet3!$C$6:$C$1451,0))</f>
        <v>0</v>
      </c>
      <c r="AF267" t="b">
        <f>ISNUMBER(MATCH(G267,Sheet3!$G$6:$G$240,0))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ISNUMBER(MATCH(G268,Sheet3!$C$6:$C$1451,0))</f>
        <v>0</v>
      </c>
      <c r="AF268" t="b">
        <f>ISNUMBER(MATCH(G268,Sheet3!$G$6:$G$240,0))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ISNUMBER(MATCH(G269,Sheet3!$C$6:$C$1451,0))</f>
        <v>1</v>
      </c>
      <c r="AF269" t="b">
        <f>ISNUMBER(MATCH(G269,Sheet3!$G$6:$G$240,0))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ISNUMBER(MATCH(G270,Sheet3!$C$6:$C$1451,0))</f>
        <v>1</v>
      </c>
      <c r="AF270" t="b">
        <f>ISNUMBER(MATCH(G270,Sheet3!$G$6:$G$240,0))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ISNUMBER(MATCH(G271,Sheet3!$C$6:$C$1451,0))</f>
        <v>1</v>
      </c>
      <c r="AF271" t="b">
        <f>ISNUMBER(MATCH(G271,Sheet3!$G$6:$G$240,0))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ISNUMBER(MATCH(G272,Sheet3!$C$6:$C$1451,0))</f>
        <v>1</v>
      </c>
      <c r="AF272" t="b">
        <f>ISNUMBER(MATCH(G272,Sheet3!$G$6:$G$240,0))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ISNUMBER(MATCH(G273,Sheet3!$C$6:$C$1451,0))</f>
        <v>1</v>
      </c>
      <c r="AF273" t="b">
        <f>ISNUMBER(MATCH(G273,Sheet3!$G$6:$G$240,0))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ISNUMBER(MATCH(G274,Sheet3!$C$6:$C$1451,0))</f>
        <v>1</v>
      </c>
      <c r="AF274" t="b">
        <f>ISNUMBER(MATCH(G274,Sheet3!$G$6:$G$240,0))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ISNUMBER(MATCH(G275,Sheet3!$C$6:$C$1451,0))</f>
        <v>1</v>
      </c>
      <c r="AF275" t="b">
        <f>ISNUMBER(MATCH(G275,Sheet3!$G$6:$G$240,0))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ISNUMBER(MATCH(G276,Sheet3!$C$6:$C$1451,0))</f>
        <v>1</v>
      </c>
      <c r="AF276" t="b">
        <f>ISNUMBER(MATCH(G276,Sheet3!$G$6:$G$240,0))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ISNUMBER(MATCH(G277,Sheet3!$C$6:$C$1451,0))</f>
        <v>1</v>
      </c>
      <c r="AF277" t="b">
        <f>ISNUMBER(MATCH(G277,Sheet3!$G$6:$G$240,0))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ISNUMBER(MATCH(G278,Sheet3!$C$6:$C$1451,0))</f>
        <v>1</v>
      </c>
      <c r="AF278" t="b">
        <f>ISNUMBER(MATCH(G278,Sheet3!$G$6:$G$240,0))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ISNUMBER(MATCH(G279,Sheet3!$C$6:$C$1451,0))</f>
        <v>1</v>
      </c>
      <c r="AF279" t="b">
        <f>ISNUMBER(MATCH(G279,Sheet3!$G$6:$G$240,0))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ISNUMBER(MATCH(G280,Sheet3!$C$6:$C$1451,0))</f>
        <v>1</v>
      </c>
      <c r="AF280" t="b">
        <f>ISNUMBER(MATCH(G280,Sheet3!$G$6:$G$240,0))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ISNUMBER(MATCH(G281,Sheet3!$C$6:$C$1451,0))</f>
        <v>1</v>
      </c>
      <c r="AF281" t="b">
        <f>ISNUMBER(MATCH(G281,Sheet3!$G$6:$G$240,0))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ISNUMBER(MATCH(G282,Sheet3!$C$6:$C$1451,0))</f>
        <v>1</v>
      </c>
      <c r="AF282" t="b">
        <f>ISNUMBER(MATCH(G282,Sheet3!$G$6:$G$240,0))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ISNUMBER(MATCH(G283,Sheet3!$C$6:$C$1451,0))</f>
        <v>0</v>
      </c>
      <c r="AF283" t="b">
        <f>ISNUMBER(MATCH(G283,Sheet3!$G$6:$G$240,0))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ISNUMBER(MATCH(G284,Sheet3!$C$6:$C$1451,0))</f>
        <v>0</v>
      </c>
      <c r="AF284" t="b">
        <f>ISNUMBER(MATCH(G284,Sheet3!$G$6:$G$240,0))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ISNUMBER(MATCH(G285,Sheet3!$C$6:$C$1451,0))</f>
        <v>0</v>
      </c>
      <c r="AF285" t="b">
        <f>ISNUMBER(MATCH(G285,Sheet3!$G$6:$G$240,0))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ISNUMBER(MATCH(G286,Sheet3!$C$6:$C$1451,0))</f>
        <v>0</v>
      </c>
      <c r="AF286" t="b">
        <f>ISNUMBER(MATCH(G286,Sheet3!$G$6:$G$240,0))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ISNUMBER(MATCH(G287,Sheet3!$C$6:$C$1451,0))</f>
        <v>0</v>
      </c>
      <c r="AF287" t="b">
        <f>ISNUMBER(MATCH(G287,Sheet3!$G$6:$G$240,0))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ISNUMBER(MATCH(G288,Sheet3!$C$6:$C$1451,0))</f>
        <v>0</v>
      </c>
      <c r="AF288" t="b">
        <f>ISNUMBER(MATCH(G288,Sheet3!$G$6:$G$240,0))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ISNUMBER(MATCH(G289,Sheet3!$C$6:$C$1451,0))</f>
        <v>0</v>
      </c>
      <c r="AF289" t="b">
        <f>ISNUMBER(MATCH(G289,Sheet3!$G$6:$G$240,0))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ISNUMBER(MATCH(G290,Sheet3!$C$6:$C$1451,0))</f>
        <v>1</v>
      </c>
      <c r="AF290" t="b">
        <f>ISNUMBER(MATCH(G290,Sheet3!$G$6:$G$240,0))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ISNUMBER(MATCH(G291,Sheet3!$C$6:$C$1451,0))</f>
        <v>1</v>
      </c>
      <c r="AF291" t="b">
        <f>ISNUMBER(MATCH(G291,Sheet3!$G$6:$G$240,0))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ISNUMBER(MATCH(G292,Sheet3!$C$6:$C$1451,0))</f>
        <v>1</v>
      </c>
      <c r="AF292" t="b">
        <f>ISNUMBER(MATCH(G292,Sheet3!$G$6:$G$240,0))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ISNUMBER(MATCH(G293,Sheet3!$C$6:$C$1451,0))</f>
        <v>1</v>
      </c>
      <c r="AF293" t="b">
        <f>ISNUMBER(MATCH(G293,Sheet3!$G$6:$G$240,0))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ISNUMBER(MATCH(G294,Sheet3!$C$6:$C$1451,0))</f>
        <v>1</v>
      </c>
      <c r="AF294" t="b">
        <f>ISNUMBER(MATCH(G294,Sheet3!$G$6:$G$240,0))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ISNUMBER(MATCH(G295,Sheet3!$C$6:$C$1451,0))</f>
        <v>1</v>
      </c>
      <c r="AF295" t="b">
        <f>ISNUMBER(MATCH(G295,Sheet3!$G$6:$G$240,0))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ISNUMBER(MATCH(G296,Sheet3!$C$6:$C$1451,0))</f>
        <v>1</v>
      </c>
      <c r="AF296" t="b">
        <f>ISNUMBER(MATCH(G296,Sheet3!$G$6:$G$240,0))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ISNUMBER(MATCH(G297,Sheet3!$C$6:$C$1451,0))</f>
        <v>1</v>
      </c>
      <c r="AF297" t="b">
        <f>ISNUMBER(MATCH(G297,Sheet3!$G$6:$G$240,0))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ISNUMBER(MATCH(G298,Sheet3!$C$6:$C$1451,0))</f>
        <v>1</v>
      </c>
      <c r="AF298" t="b">
        <f>ISNUMBER(MATCH(G298,Sheet3!$G$6:$G$240,0))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ISNUMBER(MATCH(G299,Sheet3!$C$6:$C$1451,0))</f>
        <v>1</v>
      </c>
      <c r="AF299" t="b">
        <f>ISNUMBER(MATCH(G299,Sheet3!$G$6:$G$240,0))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ISNUMBER(MATCH(G300,Sheet3!$C$6:$C$1451,0))</f>
        <v>0</v>
      </c>
      <c r="AF300" t="b">
        <f>ISNUMBER(MATCH(G300,Sheet3!$G$6:$G$240,0))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ISNUMBER(MATCH(G301,Sheet3!$C$6:$C$1451,0))</f>
        <v>1</v>
      </c>
      <c r="AF301" t="b">
        <f>ISNUMBER(MATCH(G301,Sheet3!$G$6:$G$240,0))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ISNUMBER(MATCH(G302,Sheet3!$C$6:$C$1451,0))</f>
        <v>1</v>
      </c>
      <c r="AF302" t="b">
        <f>ISNUMBER(MATCH(G302,Sheet3!$G$6:$G$240,0))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ISNUMBER(MATCH(G303,Sheet3!$C$6:$C$1451,0))</f>
        <v>1</v>
      </c>
      <c r="AF303" t="b">
        <f>ISNUMBER(MATCH(G303,Sheet3!$G$6:$G$240,0))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ISNUMBER(MATCH(G304,Sheet3!$C$6:$C$1451,0))</f>
        <v>1</v>
      </c>
      <c r="AF304" t="b">
        <f>ISNUMBER(MATCH(G304,Sheet3!$G$6:$G$240,0))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ISNUMBER(MATCH(G305,Sheet3!$C$6:$C$1451,0))</f>
        <v>1</v>
      </c>
      <c r="AF305" t="b">
        <f>ISNUMBER(MATCH(G305,Sheet3!$G$6:$G$240,0))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ISNUMBER(MATCH(G306,Sheet3!$C$6:$C$1451,0))</f>
        <v>1</v>
      </c>
      <c r="AF306" t="b">
        <f>ISNUMBER(MATCH(G306,Sheet3!$G$6:$G$240,0))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ISNUMBER(MATCH(G307,Sheet3!$C$6:$C$1451,0))</f>
        <v>1</v>
      </c>
      <c r="AF307" t="b">
        <f>ISNUMBER(MATCH(G307,Sheet3!$G$6:$G$240,0))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ISNUMBER(MATCH(G308,Sheet3!$C$6:$C$1451,0))</f>
        <v>1</v>
      </c>
      <c r="AF308" t="b">
        <f>ISNUMBER(MATCH(G308,Sheet3!$G$6:$G$240,0))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ISNUMBER(MATCH(G309,Sheet3!$C$6:$C$1451,0))</f>
        <v>1</v>
      </c>
      <c r="AF309" t="b">
        <f>ISNUMBER(MATCH(G309,Sheet3!$G$6:$G$240,0))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ISNUMBER(MATCH(G310,Sheet3!$C$6:$C$1451,0))</f>
        <v>1</v>
      </c>
      <c r="AF310" t="b">
        <f>ISNUMBER(MATCH(G310,Sheet3!$G$6:$G$240,0))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ISNUMBER(MATCH(G311,Sheet3!$C$6:$C$1451,0))</f>
        <v>1</v>
      </c>
      <c r="AF311" t="b">
        <f>ISNUMBER(MATCH(G311,Sheet3!$G$6:$G$240,0))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ISNUMBER(MATCH(G312,Sheet3!$C$6:$C$1451,0))</f>
        <v>1</v>
      </c>
      <c r="AF312" t="b">
        <f>ISNUMBER(MATCH(G312,Sheet3!$G$6:$G$240,0))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ISNUMBER(MATCH(G313,Sheet3!$C$6:$C$1451,0))</f>
        <v>1</v>
      </c>
      <c r="AF313" t="b">
        <f>ISNUMBER(MATCH(G313,Sheet3!$G$6:$G$240,0))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ISNUMBER(MATCH(G314,Sheet3!$C$6:$C$1451,0))</f>
        <v>1</v>
      </c>
      <c r="AF314" t="b">
        <f>ISNUMBER(MATCH(G314,Sheet3!$G$6:$G$240,0))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ISNUMBER(MATCH(G315,Sheet3!$C$6:$C$1451,0))</f>
        <v>1</v>
      </c>
      <c r="AF315" t="b">
        <f>ISNUMBER(MATCH(G315,Sheet3!$G$6:$G$240,0))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ISNUMBER(MATCH(G316,Sheet3!$C$6:$C$1451,0))</f>
        <v>1</v>
      </c>
      <c r="AF316" t="b">
        <f>ISNUMBER(MATCH(G316,Sheet3!$G$6:$G$240,0))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ISNUMBER(MATCH(G317,Sheet3!$C$6:$C$1451,0))</f>
        <v>1</v>
      </c>
      <c r="AF317" t="b">
        <f>ISNUMBER(MATCH(G317,Sheet3!$G$6:$G$240,0))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ISNUMBER(MATCH(G318,Sheet3!$C$6:$C$1451,0))</f>
        <v>1</v>
      </c>
      <c r="AF318" t="b">
        <f>ISNUMBER(MATCH(G318,Sheet3!$G$6:$G$240,0))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ISNUMBER(MATCH(G319,Sheet3!$C$6:$C$1451,0))</f>
        <v>1</v>
      </c>
      <c r="AF319" t="b">
        <f>ISNUMBER(MATCH(G319,Sheet3!$G$6:$G$240,0))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ISNUMBER(MATCH(G320,Sheet3!$C$6:$C$1451,0))</f>
        <v>1</v>
      </c>
      <c r="AF320" t="b">
        <f>ISNUMBER(MATCH(G320,Sheet3!$G$6:$G$240,0))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ISNUMBER(MATCH(G321,Sheet3!$C$6:$C$1451,0))</f>
        <v>1</v>
      </c>
      <c r="AF321" t="b">
        <f>ISNUMBER(MATCH(G321,Sheet3!$G$6:$G$240,0))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ISNUMBER(MATCH(G322,Sheet3!$C$6:$C$1451,0))</f>
        <v>1</v>
      </c>
      <c r="AF322" t="b">
        <f>ISNUMBER(MATCH(G322,Sheet3!$G$6:$G$240,0))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ISNUMBER(MATCH(G323,Sheet3!$C$6:$C$1451,0))</f>
        <v>1</v>
      </c>
      <c r="AF323" t="b">
        <f>ISNUMBER(MATCH(G323,Sheet3!$G$6:$G$240,0))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ISNUMBER(MATCH(G324,Sheet3!$C$6:$C$1451,0))</f>
        <v>1</v>
      </c>
      <c r="AF324" t="b">
        <f>ISNUMBER(MATCH(G324,Sheet3!$G$6:$G$240,0))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ISNUMBER(MATCH(G325,Sheet3!$C$6:$C$1451,0))</f>
        <v>1</v>
      </c>
      <c r="AF325" t="b">
        <f>ISNUMBER(MATCH(G325,Sheet3!$G$6:$G$240,0))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ISNUMBER(MATCH(G326,Sheet3!$C$6:$C$1451,0))</f>
        <v>1</v>
      </c>
      <c r="AF326" t="b">
        <f>ISNUMBER(MATCH(G326,Sheet3!$G$6:$G$240,0))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ISNUMBER(MATCH(G327,Sheet3!$C$6:$C$1451,0))</f>
        <v>1</v>
      </c>
      <c r="AF327" t="b">
        <f>ISNUMBER(MATCH(G327,Sheet3!$G$6:$G$240,0))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ISNUMBER(MATCH(G328,Sheet3!$C$6:$C$1451,0))</f>
        <v>1</v>
      </c>
      <c r="AF328" t="b">
        <f>ISNUMBER(MATCH(G328,Sheet3!$G$6:$G$240,0))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ISNUMBER(MATCH(G329,Sheet3!$C$6:$C$1451,0))</f>
        <v>0</v>
      </c>
      <c r="AF329" t="b">
        <f>ISNUMBER(MATCH(G329,Sheet3!$G$6:$G$240,0))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ISNUMBER(MATCH(G330,Sheet3!$C$6:$C$1451,0))</f>
        <v>0</v>
      </c>
      <c r="AF330" t="b">
        <f>ISNUMBER(MATCH(G330,Sheet3!$G$6:$G$240,0))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ISNUMBER(MATCH(G331,Sheet3!$C$6:$C$1451,0))</f>
        <v>1</v>
      </c>
      <c r="AF331" t="b">
        <f>ISNUMBER(MATCH(G331,Sheet3!$G$6:$G$240,0))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ISNUMBER(MATCH(G332,Sheet3!$C$6:$C$1451,0))</f>
        <v>1</v>
      </c>
      <c r="AF332" t="b">
        <f>ISNUMBER(MATCH(G332,Sheet3!$G$6:$G$240,0))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ISNUMBER(MATCH(G333,Sheet3!$C$6:$C$1451,0))</f>
        <v>1</v>
      </c>
      <c r="AF333" t="b">
        <f>ISNUMBER(MATCH(G333,Sheet3!$G$6:$G$240,0))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ISNUMBER(MATCH(G334,Sheet3!$C$6:$C$1451,0))</f>
        <v>1</v>
      </c>
      <c r="AF334" t="b">
        <f>ISNUMBER(MATCH(G334,Sheet3!$G$6:$G$240,0))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ISNUMBER(MATCH(G335,Sheet3!$C$6:$C$1451,0))</f>
        <v>1</v>
      </c>
      <c r="AF335" t="b">
        <f>ISNUMBER(MATCH(G335,Sheet3!$G$6:$G$240,0))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ISNUMBER(MATCH(G336,Sheet3!$C$6:$C$1451,0))</f>
        <v>1</v>
      </c>
      <c r="AF336" t="b">
        <f>ISNUMBER(MATCH(G336,Sheet3!$G$6:$G$240,0))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ISNUMBER(MATCH(G337,Sheet3!$C$6:$C$1451,0))</f>
        <v>0</v>
      </c>
      <c r="AF337" t="b">
        <f>ISNUMBER(MATCH(G337,Sheet3!$G$6:$G$240,0))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ISNUMBER(MATCH(G338,Sheet3!$C$6:$C$1451,0))</f>
        <v>0</v>
      </c>
      <c r="AF338" t="b">
        <f>ISNUMBER(MATCH(G338,Sheet3!$G$6:$G$240,0))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ISNUMBER(MATCH(G339,Sheet3!$C$6:$C$1451,0))</f>
        <v>1</v>
      </c>
      <c r="AF339" t="b">
        <f>ISNUMBER(MATCH(G339,Sheet3!$G$6:$G$240,0))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ISNUMBER(MATCH(G340,Sheet3!$C$6:$C$1451,0))</f>
        <v>1</v>
      </c>
      <c r="AF340" t="b">
        <f>ISNUMBER(MATCH(G340,Sheet3!$G$6:$G$240,0))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ISNUMBER(MATCH(G341,Sheet3!$C$6:$C$1451,0))</f>
        <v>1</v>
      </c>
      <c r="AF341" t="b">
        <f>ISNUMBER(MATCH(G341,Sheet3!$G$6:$G$240,0))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ISNUMBER(MATCH(G342,Sheet3!$C$6:$C$1451,0))</f>
        <v>0</v>
      </c>
      <c r="AF342" t="b">
        <f>ISNUMBER(MATCH(G342,Sheet3!$G$6:$G$240,0))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ISNUMBER(MATCH(G343,Sheet3!$C$6:$C$1451,0))</f>
        <v>0</v>
      </c>
      <c r="AF343" t="b">
        <f>ISNUMBER(MATCH(G343,Sheet3!$G$6:$G$240,0))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ISNUMBER(MATCH(G344,Sheet3!$C$6:$C$1451,0))</f>
        <v>0</v>
      </c>
      <c r="AF344" t="b">
        <f>ISNUMBER(MATCH(G344,Sheet3!$G$6:$G$240,0))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ISNUMBER(MATCH(G345,Sheet3!$C$6:$C$1451,0))</f>
        <v>0</v>
      </c>
      <c r="AF345" t="b">
        <f>ISNUMBER(MATCH(G345,Sheet3!$G$6:$G$240,0))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ISNUMBER(MATCH(G346,Sheet3!$C$6:$C$1451,0))</f>
        <v>0</v>
      </c>
      <c r="AF346" t="b">
        <f>ISNUMBER(MATCH(G346,Sheet3!$G$6:$G$240,0))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ISNUMBER(MATCH(G347,Sheet3!$C$6:$C$1451,0))</f>
        <v>1</v>
      </c>
      <c r="AF347" t="b">
        <f>ISNUMBER(MATCH(G347,Sheet3!$G$6:$G$240,0))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ISNUMBER(MATCH(G348,Sheet3!$C$6:$C$1451,0))</f>
        <v>1</v>
      </c>
      <c r="AF348" t="b">
        <f>ISNUMBER(MATCH(G348,Sheet3!$G$6:$G$240,0))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ISNUMBER(MATCH(G349,Sheet3!$C$6:$C$1451,0))</f>
        <v>1</v>
      </c>
      <c r="AF349" t="b">
        <f>ISNUMBER(MATCH(G349,Sheet3!$G$6:$G$240,0))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ISNUMBER(MATCH(G350,Sheet3!$C$6:$C$1451,0))</f>
        <v>1</v>
      </c>
      <c r="AF350" t="b">
        <f>ISNUMBER(MATCH(G350,Sheet3!$G$6:$G$240,0))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ISNUMBER(MATCH(G351,Sheet3!$C$6:$C$1451,0))</f>
        <v>1</v>
      </c>
      <c r="AF351" t="b">
        <f>ISNUMBER(MATCH(G351,Sheet3!$G$6:$G$240,0))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ISNUMBER(MATCH(G352,Sheet3!$C$6:$C$1451,0))</f>
        <v>1</v>
      </c>
      <c r="AF352" t="b">
        <f>ISNUMBER(MATCH(G352,Sheet3!$G$6:$G$240,0))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ISNUMBER(MATCH(G353,Sheet3!$C$6:$C$1451,0))</f>
        <v>1</v>
      </c>
      <c r="AF353" t="b">
        <f>ISNUMBER(MATCH(G353,Sheet3!$G$6:$G$240,0))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ISNUMBER(MATCH(G354,Sheet3!$C$6:$C$1451,0))</f>
        <v>0</v>
      </c>
      <c r="AF354" t="b">
        <f>ISNUMBER(MATCH(G354,Sheet3!$G$6:$G$240,0))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ISNUMBER(MATCH(G355,Sheet3!$C$6:$C$1451,0))</f>
        <v>0</v>
      </c>
      <c r="AF355" t="b">
        <f>ISNUMBER(MATCH(G355,Sheet3!$G$6:$G$240,0))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ISNUMBER(MATCH(G356,Sheet3!$C$6:$C$1451,0))</f>
        <v>0</v>
      </c>
      <c r="AF356" t="b">
        <f>ISNUMBER(MATCH(G356,Sheet3!$G$6:$G$240,0))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ISNUMBER(MATCH(G357,Sheet3!$C$6:$C$1451,0))</f>
        <v>0</v>
      </c>
      <c r="AF357" t="b">
        <f>ISNUMBER(MATCH(G357,Sheet3!$G$6:$G$240,0))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ISNUMBER(MATCH(G358,Sheet3!$C$6:$C$1451,0))</f>
        <v>0</v>
      </c>
      <c r="AF358" t="b">
        <f>ISNUMBER(MATCH(G358,Sheet3!$G$6:$G$240,0))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ISNUMBER(MATCH(G359,Sheet3!$C$6:$C$1451,0))</f>
        <v>0</v>
      </c>
      <c r="AF359" t="b">
        <f>ISNUMBER(MATCH(G359,Sheet3!$G$6:$G$240,0))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ISNUMBER(MATCH(G360,Sheet3!$C$6:$C$1451,0))</f>
        <v>0</v>
      </c>
      <c r="AF360" t="b">
        <f>ISNUMBER(MATCH(G360,Sheet3!$G$6:$G$240,0))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ISNUMBER(MATCH(G361,Sheet3!$C$6:$C$1451,0))</f>
        <v>0</v>
      </c>
      <c r="AF361" t="b">
        <f>ISNUMBER(MATCH(G361,Sheet3!$G$6:$G$240,0))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ISNUMBER(MATCH(G362,Sheet3!$C$6:$C$1451,0))</f>
        <v>1</v>
      </c>
      <c r="AF362" t="b">
        <f>ISNUMBER(MATCH(G362,Sheet3!$G$6:$G$240,0))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ISNUMBER(MATCH(G363,Sheet3!$C$6:$C$1451,0))</f>
        <v>1</v>
      </c>
      <c r="AF363" t="b">
        <f>ISNUMBER(MATCH(G363,Sheet3!$G$6:$G$240,0))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ISNUMBER(MATCH(G364,Sheet3!$C$6:$C$1451,0))</f>
        <v>1</v>
      </c>
      <c r="AF364" t="b">
        <f>ISNUMBER(MATCH(G364,Sheet3!$G$6:$G$240,0))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ISNUMBER(MATCH(G365,Sheet3!$C$6:$C$1451,0))</f>
        <v>1</v>
      </c>
      <c r="AF365" t="b">
        <f>ISNUMBER(MATCH(G365,Sheet3!$G$6:$G$240,0))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ISNUMBER(MATCH(G366,Sheet3!$C$6:$C$1451,0))</f>
        <v>1</v>
      </c>
      <c r="AF366" t="b">
        <f>ISNUMBER(MATCH(G366,Sheet3!$G$6:$G$240,0))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ISNUMBER(MATCH(G367,Sheet3!$C$6:$C$1451,0))</f>
        <v>1</v>
      </c>
      <c r="AF367" t="b">
        <f>ISNUMBER(MATCH(G367,Sheet3!$G$6:$G$240,0))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ISNUMBER(MATCH(G368,Sheet3!$C$6:$C$1451,0))</f>
        <v>1</v>
      </c>
      <c r="AF368" t="b">
        <f>ISNUMBER(MATCH(G368,Sheet3!$G$6:$G$240,0))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ISNUMBER(MATCH(G369,Sheet3!$C$6:$C$1451,0))</f>
        <v>0</v>
      </c>
      <c r="AF369" t="b">
        <f>ISNUMBER(MATCH(G369,Sheet3!$G$6:$G$240,0))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ISNUMBER(MATCH(G370,Sheet3!$C$6:$C$1451,0))</f>
        <v>0</v>
      </c>
      <c r="AF370" t="b">
        <f>ISNUMBER(MATCH(G370,Sheet3!$G$6:$G$240,0))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ISNUMBER(MATCH(G371,Sheet3!$C$6:$C$1451,0))</f>
        <v>1</v>
      </c>
      <c r="AF371" t="b">
        <f>ISNUMBER(MATCH(G371,Sheet3!$G$6:$G$240,0))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ISNUMBER(MATCH(G372,Sheet3!$C$6:$C$1451,0))</f>
        <v>1</v>
      </c>
      <c r="AF372" t="b">
        <f>ISNUMBER(MATCH(G372,Sheet3!$G$6:$G$240,0))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ISNUMBER(MATCH(G373,Sheet3!$C$6:$C$1451,0))</f>
        <v>1</v>
      </c>
      <c r="AF373" t="b">
        <f>ISNUMBER(MATCH(G373,Sheet3!$G$6:$G$240,0))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ISNUMBER(MATCH(G374,Sheet3!$C$6:$C$1451,0))</f>
        <v>0</v>
      </c>
      <c r="AF374" t="b">
        <f>ISNUMBER(MATCH(G374,Sheet3!$G$6:$G$240,0))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ISNUMBER(MATCH(G375,Sheet3!$C$6:$C$1451,0))</f>
        <v>1</v>
      </c>
      <c r="AF375" t="b">
        <f>ISNUMBER(MATCH(G375,Sheet3!$G$6:$G$240,0))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ISNUMBER(MATCH(G376,Sheet3!$C$6:$C$1451,0))</f>
        <v>1</v>
      </c>
      <c r="AF376" t="b">
        <f>ISNUMBER(MATCH(G376,Sheet3!$G$6:$G$240,0))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ISNUMBER(MATCH(G377,Sheet3!$C$6:$C$1451,0))</f>
        <v>1</v>
      </c>
      <c r="AF377" t="b">
        <f>ISNUMBER(MATCH(G377,Sheet3!$G$6:$G$240,0))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ISNUMBER(MATCH(G378,Sheet3!$C$6:$C$1451,0))</f>
        <v>1</v>
      </c>
      <c r="AF378" t="b">
        <f>ISNUMBER(MATCH(G378,Sheet3!$G$6:$G$240,0))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ISNUMBER(MATCH(G379,Sheet3!$C$6:$C$1451,0))</f>
        <v>0</v>
      </c>
      <c r="AF379" t="b">
        <f>ISNUMBER(MATCH(G379,Sheet3!$G$6:$G$240,0))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ISNUMBER(MATCH(G380,Sheet3!$C$6:$C$1451,0))</f>
        <v>0</v>
      </c>
      <c r="AF380" t="b">
        <f>ISNUMBER(MATCH(G380,Sheet3!$G$6:$G$240,0))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ISNUMBER(MATCH(G381,Sheet3!$C$6:$C$1451,0))</f>
        <v>0</v>
      </c>
      <c r="AF381" t="b">
        <f>ISNUMBER(MATCH(G381,Sheet3!$G$6:$G$240,0))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ISNUMBER(MATCH(G382,Sheet3!$C$6:$C$1451,0))</f>
        <v>1</v>
      </c>
      <c r="AF382" t="b">
        <f>ISNUMBER(MATCH(G382,Sheet3!$G$6:$G$240,0))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ISNUMBER(MATCH(G383,Sheet3!$C$6:$C$1451,0))</f>
        <v>1</v>
      </c>
      <c r="AF383" t="b">
        <f>ISNUMBER(MATCH(G383,Sheet3!$G$6:$G$240,0))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ISNUMBER(MATCH(G384,Sheet3!$C$6:$C$1451,0))</f>
        <v>1</v>
      </c>
      <c r="AF384" t="b">
        <f>ISNUMBER(MATCH(G384,Sheet3!$G$6:$G$240,0))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ISNUMBER(MATCH(G385,Sheet3!$C$6:$C$1451,0))</f>
        <v>1</v>
      </c>
      <c r="AF385" t="b">
        <f>ISNUMBER(MATCH(G385,Sheet3!$G$6:$G$240,0))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ISNUMBER(MATCH(G386,Sheet3!$C$6:$C$1451,0))</f>
        <v>1</v>
      </c>
      <c r="AF386" t="b">
        <f>ISNUMBER(MATCH(G386,Sheet3!$G$6:$G$240,0))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ISNUMBER(MATCH(G387,Sheet3!$C$6:$C$1451,0))</f>
        <v>1</v>
      </c>
      <c r="AF387" t="b">
        <f>ISNUMBER(MATCH(G387,Sheet3!$G$6:$G$240,0))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ISNUMBER(MATCH(G388,Sheet3!$C$6:$C$1451,0))</f>
        <v>1</v>
      </c>
      <c r="AF388" t="b">
        <f>ISNUMBER(MATCH(G388,Sheet3!$G$6:$G$240,0))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ISNUMBER(MATCH(G389,Sheet3!$C$6:$C$1451,0))</f>
        <v>0</v>
      </c>
      <c r="AF389" t="b">
        <f>ISNUMBER(MATCH(G389,Sheet3!$G$6:$G$240,0))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ISNUMBER(MATCH(G390,Sheet3!$C$6:$C$1451,0))</f>
        <v>1</v>
      </c>
      <c r="AF390" t="b">
        <f>ISNUMBER(MATCH(G390,Sheet3!$G$6:$G$240,0))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ISNUMBER(MATCH(G391,Sheet3!$C$6:$C$1451,0))</f>
        <v>1</v>
      </c>
      <c r="AF391" t="b">
        <f>ISNUMBER(MATCH(G391,Sheet3!$G$6:$G$240,0))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ISNUMBER(MATCH(G392,Sheet3!$C$6:$C$1451,0))</f>
        <v>0</v>
      </c>
      <c r="AF392" t="b">
        <f>ISNUMBER(MATCH(G392,Sheet3!$G$6:$G$240,0))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ISNUMBER(MATCH(G393,Sheet3!$C$6:$C$1451,0))</f>
        <v>1</v>
      </c>
      <c r="AF393" t="b">
        <f>ISNUMBER(MATCH(G393,Sheet3!$G$6:$G$240,0))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ISNUMBER(MATCH(G394,Sheet3!$C$6:$C$1451,0))</f>
        <v>1</v>
      </c>
      <c r="AF394" t="b">
        <f>ISNUMBER(MATCH(G394,Sheet3!$G$6:$G$240,0))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ISNUMBER(MATCH(G395,Sheet3!$C$6:$C$1451,0))</f>
        <v>1</v>
      </c>
      <c r="AF395" t="b">
        <f>ISNUMBER(MATCH(G395,Sheet3!$G$6:$G$240,0))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ISNUMBER(MATCH(G396,Sheet3!$C$6:$C$1451,0))</f>
        <v>1</v>
      </c>
      <c r="AF396" t="b">
        <f>ISNUMBER(MATCH(G396,Sheet3!$G$6:$G$240,0))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ISNUMBER(MATCH(G397,Sheet3!$C$6:$C$1451,0))</f>
        <v>1</v>
      </c>
      <c r="AF397" t="b">
        <f>ISNUMBER(MATCH(G397,Sheet3!$G$6:$G$240,0))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ISNUMBER(MATCH(G398,Sheet3!$C$6:$C$1451,0))</f>
        <v>1</v>
      </c>
      <c r="AF398" t="b">
        <f>ISNUMBER(MATCH(G398,Sheet3!$G$6:$G$240,0))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ISNUMBER(MATCH(G399,Sheet3!$C$6:$C$1451,0))</f>
        <v>1</v>
      </c>
      <c r="AF399" t="b">
        <f>ISNUMBER(MATCH(G399,Sheet3!$G$6:$G$240,0))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ISNUMBER(MATCH(G400,Sheet3!$C$6:$C$1451,0))</f>
        <v>1</v>
      </c>
      <c r="AF400" t="b">
        <f>ISNUMBER(MATCH(G400,Sheet3!$G$6:$G$240,0))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ISNUMBER(MATCH(G401,Sheet3!$C$6:$C$1451,0))</f>
        <v>1</v>
      </c>
      <c r="AF401" t="b">
        <f>ISNUMBER(MATCH(G401,Sheet3!$G$6:$G$240,0))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ISNUMBER(MATCH(G402,Sheet3!$C$6:$C$1451,0))</f>
        <v>1</v>
      </c>
      <c r="AF402" t="b">
        <f>ISNUMBER(MATCH(G402,Sheet3!$G$6:$G$240,0))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ISNUMBER(MATCH(G403,Sheet3!$C$6:$C$1451,0))</f>
        <v>1</v>
      </c>
      <c r="AF403" t="b">
        <f>ISNUMBER(MATCH(G403,Sheet3!$G$6:$G$240,0))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ISNUMBER(MATCH(G404,Sheet3!$C$6:$C$1451,0))</f>
        <v>1</v>
      </c>
      <c r="AF404" t="b">
        <f>ISNUMBER(MATCH(G404,Sheet3!$G$6:$G$240,0))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ISNUMBER(MATCH(G405,Sheet3!$C$6:$C$1451,0))</f>
        <v>1</v>
      </c>
      <c r="AF405" t="b">
        <f>ISNUMBER(MATCH(G405,Sheet3!$G$6:$G$240,0))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ISNUMBER(MATCH(G406,Sheet3!$C$6:$C$1451,0))</f>
        <v>1</v>
      </c>
      <c r="AF406" t="b">
        <f>ISNUMBER(MATCH(G406,Sheet3!$G$6:$G$240,0))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ISNUMBER(MATCH(G407,Sheet3!$C$6:$C$1451,0))</f>
        <v>1</v>
      </c>
      <c r="AF407" t="b">
        <f>ISNUMBER(MATCH(G407,Sheet3!$G$6:$G$240,0))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ISNUMBER(MATCH(G408,Sheet3!$C$6:$C$1451,0))</f>
        <v>1</v>
      </c>
      <c r="AF408" t="b">
        <f>ISNUMBER(MATCH(G408,Sheet3!$G$6:$G$240,0))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ISNUMBER(MATCH(G409,Sheet3!$C$6:$C$1451,0))</f>
        <v>1</v>
      </c>
      <c r="AF409" t="b">
        <f>ISNUMBER(MATCH(G409,Sheet3!$G$6:$G$240,0))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ISNUMBER(MATCH(G410,Sheet3!$C$6:$C$1451,0))</f>
        <v>1</v>
      </c>
      <c r="AF410" t="b">
        <f>ISNUMBER(MATCH(G410,Sheet3!$G$6:$G$240,0))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ISNUMBER(MATCH(G411,Sheet3!$C$6:$C$1451,0))</f>
        <v>1</v>
      </c>
      <c r="AF411" t="b">
        <f>ISNUMBER(MATCH(G411,Sheet3!$G$6:$G$240,0))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ISNUMBER(MATCH(G412,Sheet3!$C$6:$C$1451,0))</f>
        <v>0</v>
      </c>
      <c r="AF412" t="b">
        <f>ISNUMBER(MATCH(G412,Sheet3!$G$6:$G$240,0))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ISNUMBER(MATCH(G413,Sheet3!$C$6:$C$1451,0))</f>
        <v>0</v>
      </c>
      <c r="AF413" t="b">
        <f>ISNUMBER(MATCH(G413,Sheet3!$G$6:$G$240,0))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ISNUMBER(MATCH(G414,Sheet3!$C$6:$C$1451,0))</f>
        <v>1</v>
      </c>
      <c r="AF414" t="b">
        <f>ISNUMBER(MATCH(G414,Sheet3!$G$6:$G$240,0))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ISNUMBER(MATCH(G415,Sheet3!$C$6:$C$1451,0))</f>
        <v>0</v>
      </c>
      <c r="AF415" t="b">
        <f>ISNUMBER(MATCH(G415,Sheet3!$G$6:$G$240,0))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ISNUMBER(MATCH(G416,Sheet3!$C$6:$C$1451,0))</f>
        <v>0</v>
      </c>
      <c r="AF416" t="b">
        <f>ISNUMBER(MATCH(G416,Sheet3!$G$6:$G$240,0))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ISNUMBER(MATCH(G417,Sheet3!$C$6:$C$1451,0))</f>
        <v>0</v>
      </c>
      <c r="AF417" t="b">
        <f>ISNUMBER(MATCH(G417,Sheet3!$G$6:$G$240,0))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ISNUMBER(MATCH(G418,Sheet3!$C$6:$C$1451,0))</f>
        <v>0</v>
      </c>
      <c r="AF418" t="b">
        <f>ISNUMBER(MATCH(G418,Sheet3!$G$6:$G$240,0))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ISNUMBER(MATCH(G419,Sheet3!$C$6:$C$1451,0))</f>
        <v>0</v>
      </c>
      <c r="AF419" t="b">
        <f>ISNUMBER(MATCH(G419,Sheet3!$G$6:$G$240,0))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ISNUMBER(MATCH(G420,Sheet3!$C$6:$C$1451,0))</f>
        <v>0</v>
      </c>
      <c r="AF420" t="b">
        <f>ISNUMBER(MATCH(G420,Sheet3!$G$6:$G$240,0))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ISNUMBER(MATCH(G421,Sheet3!$C$6:$C$1451,0))</f>
        <v>0</v>
      </c>
      <c r="AF421" t="b">
        <f>ISNUMBER(MATCH(G421,Sheet3!$G$6:$G$240,0))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ISNUMBER(MATCH(G422,Sheet3!$C$6:$C$1451,0))</f>
        <v>0</v>
      </c>
      <c r="AF422" t="b">
        <f>ISNUMBER(MATCH(G422,Sheet3!$G$6:$G$240,0))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ISNUMBER(MATCH(G423,Sheet3!$C$6:$C$1451,0))</f>
        <v>0</v>
      </c>
      <c r="AF423" t="b">
        <f>ISNUMBER(MATCH(G423,Sheet3!$G$6:$G$240,0))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ISNUMBER(MATCH(G424,Sheet3!$C$6:$C$1451,0))</f>
        <v>0</v>
      </c>
      <c r="AF424" t="b">
        <f>ISNUMBER(MATCH(G424,Sheet3!$G$6:$G$240,0))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ISNUMBER(MATCH(G425,Sheet3!$C$6:$C$1451,0))</f>
        <v>0</v>
      </c>
      <c r="AF425" t="b">
        <f>ISNUMBER(MATCH(G425,Sheet3!$G$6:$G$240,0))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ISNUMBER(MATCH(G426,Sheet3!$C$6:$C$1451,0))</f>
        <v>0</v>
      </c>
      <c r="AF426" t="b">
        <f>ISNUMBER(MATCH(G426,Sheet3!$G$6:$G$240,0))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ISNUMBER(MATCH(G427,Sheet3!$C$6:$C$1451,0))</f>
        <v>0</v>
      </c>
      <c r="AF427" t="b">
        <f>ISNUMBER(MATCH(G427,Sheet3!$G$6:$G$240,0))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ISNUMBER(MATCH(G428,Sheet3!$C$6:$C$1451,0))</f>
        <v>0</v>
      </c>
      <c r="AF428" t="b">
        <f>ISNUMBER(MATCH(G428,Sheet3!$G$6:$G$240,0))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ISNUMBER(MATCH(G429,Sheet3!$C$6:$C$1451,0))</f>
        <v>0</v>
      </c>
      <c r="AF429" t="b">
        <f>ISNUMBER(MATCH(G429,Sheet3!$G$6:$G$240,0))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ISNUMBER(MATCH(G430,Sheet3!$C$6:$C$1451,0))</f>
        <v>0</v>
      </c>
      <c r="AF430" t="b">
        <f>ISNUMBER(MATCH(G430,Sheet3!$G$6:$G$240,0))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ISNUMBER(MATCH(G431,Sheet3!$C$6:$C$1451,0))</f>
        <v>0</v>
      </c>
      <c r="AF431" t="b">
        <f>ISNUMBER(MATCH(G431,Sheet3!$G$6:$G$240,0))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ISNUMBER(MATCH(G432,Sheet3!$C$6:$C$1451,0))</f>
        <v>0</v>
      </c>
      <c r="AF432" t="b">
        <f>ISNUMBER(MATCH(G432,Sheet3!$G$6:$G$240,0))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ISNUMBER(MATCH(G433,Sheet3!$C$6:$C$1451,0))</f>
        <v>0</v>
      </c>
      <c r="AF433" t="b">
        <f>ISNUMBER(MATCH(G433,Sheet3!$G$6:$G$240,0))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ISNUMBER(MATCH(G434,Sheet3!$C$6:$C$1451,0))</f>
        <v>0</v>
      </c>
      <c r="AF434" t="b">
        <f>ISNUMBER(MATCH(G434,Sheet3!$G$6:$G$240,0))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ISNUMBER(MATCH(G435,Sheet3!$C$6:$C$1451,0))</f>
        <v>0</v>
      </c>
      <c r="AF435" t="b">
        <f>ISNUMBER(MATCH(G435,Sheet3!$G$6:$G$240,0))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ISNUMBER(MATCH(G436,Sheet3!$C$6:$C$1451,0))</f>
        <v>0</v>
      </c>
      <c r="AF436" t="b">
        <f>ISNUMBER(MATCH(G436,Sheet3!$G$6:$G$240,0))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ISNUMBER(MATCH(G437,Sheet3!$C$6:$C$1451,0))</f>
        <v>0</v>
      </c>
      <c r="AF437" t="b">
        <f>ISNUMBER(MATCH(G437,Sheet3!$G$6:$G$240,0))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ISNUMBER(MATCH(G438,Sheet3!$C$6:$C$1451,0))</f>
        <v>0</v>
      </c>
      <c r="AF438" t="b">
        <f>ISNUMBER(MATCH(G438,Sheet3!$G$6:$G$240,0))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ISNUMBER(MATCH(G439,Sheet3!$C$6:$C$1451,0))</f>
        <v>0</v>
      </c>
      <c r="AF439" t="b">
        <f>ISNUMBER(MATCH(G439,Sheet3!$G$6:$G$240,0))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ISNUMBER(MATCH(G440,Sheet3!$C$6:$C$1451,0))</f>
        <v>0</v>
      </c>
      <c r="AF440" t="b">
        <f>ISNUMBER(MATCH(G440,Sheet3!$G$6:$G$240,0))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ISNUMBER(MATCH(G441,Sheet3!$C$6:$C$1451,0))</f>
        <v>0</v>
      </c>
      <c r="AF441" t="b">
        <f>ISNUMBER(MATCH(G441,Sheet3!$G$6:$G$240,0))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ISNUMBER(MATCH(G442,Sheet3!$C$6:$C$1451,0))</f>
        <v>0</v>
      </c>
      <c r="AF442" t="b">
        <f>ISNUMBER(MATCH(G442,Sheet3!$G$6:$G$240,0))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ISNUMBER(MATCH(G443,Sheet3!$C$6:$C$1451,0))</f>
        <v>0</v>
      </c>
      <c r="AF443" t="b">
        <f>ISNUMBER(MATCH(G443,Sheet3!$G$6:$G$240,0))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ISNUMBER(MATCH(G444,Sheet3!$C$6:$C$1451,0))</f>
        <v>0</v>
      </c>
      <c r="AF444" t="b">
        <f>ISNUMBER(MATCH(G444,Sheet3!$G$6:$G$240,0))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ISNUMBER(MATCH(G445,Sheet3!$C$6:$C$1451,0))</f>
        <v>0</v>
      </c>
      <c r="AF445" t="b">
        <f>ISNUMBER(MATCH(G445,Sheet3!$G$6:$G$240,0))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ISNUMBER(MATCH(G446,Sheet3!$C$6:$C$1451,0))</f>
        <v>0</v>
      </c>
      <c r="AF446" t="b">
        <f>ISNUMBER(MATCH(G446,Sheet3!$G$6:$G$240,0))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ISNUMBER(MATCH(G447,Sheet3!$C$6:$C$1451,0))</f>
        <v>0</v>
      </c>
      <c r="AF447" t="b">
        <f>ISNUMBER(MATCH(G447,Sheet3!$G$6:$G$240,0))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ISNUMBER(MATCH(G448,Sheet3!$C$6:$C$1451,0))</f>
        <v>0</v>
      </c>
      <c r="AF448" t="b">
        <f>ISNUMBER(MATCH(G448,Sheet3!$G$6:$G$240,0))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ISNUMBER(MATCH(G449,Sheet3!$C$6:$C$1451,0))</f>
        <v>0</v>
      </c>
      <c r="AF449" t="b">
        <f>ISNUMBER(MATCH(G449,Sheet3!$G$6:$G$240,0))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ISNUMBER(MATCH(G450,Sheet3!$C$6:$C$1451,0))</f>
        <v>0</v>
      </c>
      <c r="AF450" t="b">
        <f>ISNUMBER(MATCH(G450,Sheet3!$G$6:$G$240,0))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ISNUMBER(MATCH(G451,Sheet3!$C$6:$C$1451,0))</f>
        <v>1</v>
      </c>
      <c r="AF451" t="b">
        <f>ISNUMBER(MATCH(G451,Sheet3!$G$6:$G$240,0))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ISNUMBER(MATCH(G452,Sheet3!$C$6:$C$1451,0))</f>
        <v>1</v>
      </c>
      <c r="AF452" t="b">
        <f>ISNUMBER(MATCH(G452,Sheet3!$G$6:$G$240,0))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ISNUMBER(MATCH(G453,Sheet3!$C$6:$C$1451,0))</f>
        <v>1</v>
      </c>
      <c r="AF453" t="b">
        <f>ISNUMBER(MATCH(G453,Sheet3!$G$6:$G$240,0))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ISNUMBER(MATCH(G454,Sheet3!$C$6:$C$1451,0))</f>
        <v>0</v>
      </c>
      <c r="AF454" t="b">
        <f>ISNUMBER(MATCH(G454,Sheet3!$G$6:$G$240,0))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ISNUMBER(MATCH(G455,Sheet3!$C$6:$C$1451,0))</f>
        <v>0</v>
      </c>
      <c r="AF455" t="b">
        <f>ISNUMBER(MATCH(G455,Sheet3!$G$6:$G$240,0))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ISNUMBER(MATCH(G456,Sheet3!$C$6:$C$1451,0))</f>
        <v>0</v>
      </c>
      <c r="AF456" t="b">
        <f>ISNUMBER(MATCH(G456,Sheet3!$G$6:$G$240,0))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ISNUMBER(MATCH(G457,Sheet3!$C$6:$C$1451,0))</f>
        <v>1</v>
      </c>
      <c r="AF457" t="b">
        <f>ISNUMBER(MATCH(G457,Sheet3!$G$6:$G$240,0))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ISNUMBER(MATCH(G458,Sheet3!$C$6:$C$1451,0))</f>
        <v>1</v>
      </c>
      <c r="AF458" t="b">
        <f>ISNUMBER(MATCH(G458,Sheet3!$G$6:$G$240,0))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ISNUMBER(MATCH(G459,Sheet3!$C$6:$C$1451,0))</f>
        <v>1</v>
      </c>
      <c r="AF459" t="b">
        <f>ISNUMBER(MATCH(G459,Sheet3!$G$6:$G$240,0))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ISNUMBER(MATCH(G460,Sheet3!$C$6:$C$1451,0))</f>
        <v>0</v>
      </c>
      <c r="AF460" t="b">
        <f>ISNUMBER(MATCH(G460,Sheet3!$G$6:$G$240,0))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ISNUMBER(MATCH(G461,Sheet3!$C$6:$C$1451,0))</f>
        <v>0</v>
      </c>
      <c r="AF461" t="b">
        <f>ISNUMBER(MATCH(G461,Sheet3!$G$6:$G$240,0))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ISNUMBER(MATCH(G462,Sheet3!$C$6:$C$1451,0))</f>
        <v>0</v>
      </c>
      <c r="AF462" t="b">
        <f>ISNUMBER(MATCH(G462,Sheet3!$G$6:$G$240,0))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ISNUMBER(MATCH(G463,Sheet3!$C$6:$C$1451,0))</f>
        <v>1</v>
      </c>
      <c r="AF463" t="b">
        <f>ISNUMBER(MATCH(G463,Sheet3!$G$6:$G$240,0))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ISNUMBER(MATCH(G464,Sheet3!$C$6:$C$1451,0))</f>
        <v>1</v>
      </c>
      <c r="AF464" t="b">
        <f>ISNUMBER(MATCH(G464,Sheet3!$G$6:$G$240,0))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ISNUMBER(MATCH(G465,Sheet3!$C$6:$C$1451,0))</f>
        <v>1</v>
      </c>
      <c r="AF465" t="b">
        <f>ISNUMBER(MATCH(G465,Sheet3!$G$6:$G$240,0))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ISNUMBER(MATCH(G466,Sheet3!$C$6:$C$1451,0))</f>
        <v>1</v>
      </c>
      <c r="AF466" t="b">
        <f>ISNUMBER(MATCH(G466,Sheet3!$G$6:$G$240,0))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ISNUMBER(MATCH(G467,Sheet3!$C$6:$C$1451,0))</f>
        <v>1</v>
      </c>
      <c r="AF467" t="b">
        <f>ISNUMBER(MATCH(G467,Sheet3!$G$6:$G$240,0))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ISNUMBER(MATCH(G468,Sheet3!$C$6:$C$1451,0))</f>
        <v>1</v>
      </c>
      <c r="AF468" t="b">
        <f>ISNUMBER(MATCH(G468,Sheet3!$G$6:$G$240,0))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ISNUMBER(MATCH(G469,Sheet3!$C$6:$C$1451,0))</f>
        <v>0</v>
      </c>
      <c r="AF469" t="b">
        <f>ISNUMBER(MATCH(G469,Sheet3!$G$6:$G$240,0))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ISNUMBER(MATCH(G470,Sheet3!$C$6:$C$1451,0))</f>
        <v>0</v>
      </c>
      <c r="AF470" t="b">
        <f>ISNUMBER(MATCH(G470,Sheet3!$G$6:$G$240,0))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ISNUMBER(MATCH(G471,Sheet3!$C$6:$C$1451,0))</f>
        <v>0</v>
      </c>
      <c r="AF471" t="b">
        <f>ISNUMBER(MATCH(G471,Sheet3!$G$6:$G$240,0))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ISNUMBER(MATCH(G472,Sheet3!$C$6:$C$1451,0))</f>
        <v>0</v>
      </c>
      <c r="AF472" t="b">
        <f>ISNUMBER(MATCH(G472,Sheet3!$G$6:$G$240,0))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ISNUMBER(MATCH(G473,Sheet3!$C$6:$C$1451,0))</f>
        <v>0</v>
      </c>
      <c r="AF473" t="b">
        <f>ISNUMBER(MATCH(G473,Sheet3!$G$6:$G$240,0))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ISNUMBER(MATCH(G474,Sheet3!$C$6:$C$1451,0))</f>
        <v>0</v>
      </c>
      <c r="AF474" t="b">
        <f>ISNUMBER(MATCH(G474,Sheet3!$G$6:$G$240,0))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ISNUMBER(MATCH(G475,Sheet3!$C$6:$C$1451,0))</f>
        <v>1</v>
      </c>
      <c r="AF475" t="b">
        <f>ISNUMBER(MATCH(G475,Sheet3!$G$6:$G$240,0))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ISNUMBER(MATCH(G476,Sheet3!$C$6:$C$1451,0))</f>
        <v>1</v>
      </c>
      <c r="AF476" t="b">
        <f>ISNUMBER(MATCH(G476,Sheet3!$G$6:$G$240,0))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ISNUMBER(MATCH(G477,Sheet3!$C$6:$C$1451,0))</f>
        <v>1</v>
      </c>
      <c r="AF477" t="b">
        <f>ISNUMBER(MATCH(G477,Sheet3!$G$6:$G$240,0))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ISNUMBER(MATCH(G478,Sheet3!$C$6:$C$1451,0))</f>
        <v>1</v>
      </c>
      <c r="AF478" t="b">
        <f>ISNUMBER(MATCH(G478,Sheet3!$G$6:$G$240,0))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ISNUMBER(MATCH(G479,Sheet3!$C$6:$C$1451,0))</f>
        <v>1</v>
      </c>
      <c r="AF479" t="b">
        <f>ISNUMBER(MATCH(G479,Sheet3!$G$6:$G$240,0))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ISNUMBER(MATCH(G480,Sheet3!$C$6:$C$1451,0))</f>
        <v>1</v>
      </c>
      <c r="AF480" t="b">
        <f>ISNUMBER(MATCH(G480,Sheet3!$G$6:$G$240,0))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ISNUMBER(MATCH(G481,Sheet3!$C$6:$C$1451,0))</f>
        <v>0</v>
      </c>
      <c r="AF481" t="b">
        <f>ISNUMBER(MATCH(G481,Sheet3!$G$6:$G$240,0))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ISNUMBER(MATCH(G482,Sheet3!$C$6:$C$1451,0))</f>
        <v>0</v>
      </c>
      <c r="AF482" t="b">
        <f>ISNUMBER(MATCH(G482,Sheet3!$G$6:$G$240,0))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ISNUMBER(MATCH(G483,Sheet3!$C$6:$C$1451,0))</f>
        <v>0</v>
      </c>
      <c r="AF483" t="b">
        <f>ISNUMBER(MATCH(G483,Sheet3!$G$6:$G$240,0))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ISNUMBER(MATCH(G484,Sheet3!$C$6:$C$1451,0))</f>
        <v>1</v>
      </c>
      <c r="AF484" t="b">
        <f>ISNUMBER(MATCH(G484,Sheet3!$G$6:$G$240,0))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ISNUMBER(MATCH(G485,Sheet3!$C$6:$C$1451,0))</f>
        <v>1</v>
      </c>
      <c r="AF485" t="b">
        <f>ISNUMBER(MATCH(G485,Sheet3!$G$6:$G$240,0))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ISNUMBER(MATCH(G486,Sheet3!$C$6:$C$1451,0))</f>
        <v>1</v>
      </c>
      <c r="AF486" t="b">
        <f>ISNUMBER(MATCH(G486,Sheet3!$G$6:$G$240,0))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ISNUMBER(MATCH(G487,Sheet3!$C$6:$C$1451,0))</f>
        <v>1</v>
      </c>
      <c r="AF487" t="b">
        <f>ISNUMBER(MATCH(G487,Sheet3!$G$6:$G$240,0))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ISNUMBER(MATCH(G488,Sheet3!$C$6:$C$1451,0))</f>
        <v>1</v>
      </c>
      <c r="AF488" t="b">
        <f>ISNUMBER(MATCH(G488,Sheet3!$G$6:$G$240,0))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ISNUMBER(MATCH(G489,Sheet3!$C$6:$C$1451,0))</f>
        <v>1</v>
      </c>
      <c r="AF489" t="b">
        <f>ISNUMBER(MATCH(G489,Sheet3!$G$6:$G$240,0))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ISNUMBER(MATCH(G490,Sheet3!$C$6:$C$1451,0))</f>
        <v>1</v>
      </c>
      <c r="AF490" t="b">
        <f>ISNUMBER(MATCH(G490,Sheet3!$G$6:$G$240,0))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ISNUMBER(MATCH(G491,Sheet3!$C$6:$C$1451,0))</f>
        <v>1</v>
      </c>
      <c r="AF491" t="b">
        <f>ISNUMBER(MATCH(G491,Sheet3!$G$6:$G$240,0))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ISNUMBER(MATCH(G492,Sheet3!$C$6:$C$1451,0))</f>
        <v>1</v>
      </c>
      <c r="AF492" t="b">
        <f>ISNUMBER(MATCH(G492,Sheet3!$G$6:$G$240,0))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ISNUMBER(MATCH(G493,Sheet3!$C$6:$C$1451,0))</f>
        <v>1</v>
      </c>
      <c r="AF493" t="b">
        <f>ISNUMBER(MATCH(G493,Sheet3!$G$6:$G$240,0))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ISNUMBER(MATCH(G494,Sheet3!$C$6:$C$1451,0))</f>
        <v>1</v>
      </c>
      <c r="AF494" t="b">
        <f>ISNUMBER(MATCH(G494,Sheet3!$G$6:$G$240,0))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ISNUMBER(MATCH(G495,Sheet3!$C$6:$C$1451,0))</f>
        <v>1</v>
      </c>
      <c r="AF495" t="b">
        <f>ISNUMBER(MATCH(G495,Sheet3!$G$6:$G$240,0))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ISNUMBER(MATCH(G496,Sheet3!$C$6:$C$1451,0))</f>
        <v>0</v>
      </c>
      <c r="AF496" t="b">
        <f>ISNUMBER(MATCH(G496,Sheet3!$G$6:$G$240,0))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ISNUMBER(MATCH(G497,Sheet3!$C$6:$C$1451,0))</f>
        <v>0</v>
      </c>
      <c r="AF497" t="b">
        <f>ISNUMBER(MATCH(G497,Sheet3!$G$6:$G$240,0))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ISNUMBER(MATCH(G498,Sheet3!$C$6:$C$1451,0))</f>
        <v>1</v>
      </c>
      <c r="AF498" t="b">
        <f>ISNUMBER(MATCH(G498,Sheet3!$G$6:$G$240,0))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ISNUMBER(MATCH(G499,Sheet3!$C$6:$C$1451,0))</f>
        <v>1</v>
      </c>
      <c r="AF499" t="b">
        <f>ISNUMBER(MATCH(G499,Sheet3!$G$6:$G$240,0))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ISNUMBER(MATCH(G500,Sheet3!$C$6:$C$1451,0))</f>
        <v>1</v>
      </c>
      <c r="AF500" t="b">
        <f>ISNUMBER(MATCH(G500,Sheet3!$G$6:$G$240,0))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ISNUMBER(MATCH(G501,Sheet3!$C$6:$C$1451,0))</f>
        <v>1</v>
      </c>
      <c r="AF501" t="b">
        <f>ISNUMBER(MATCH(G501,Sheet3!$G$6:$G$240,0))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ISNUMBER(MATCH(G502,Sheet3!$C$6:$C$1451,0))</f>
        <v>1</v>
      </c>
      <c r="AF502" t="b">
        <f>ISNUMBER(MATCH(G502,Sheet3!$G$6:$G$240,0))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ISNUMBER(MATCH(G503,Sheet3!$C$6:$C$1451,0))</f>
        <v>1</v>
      </c>
      <c r="AF503" t="b">
        <f>ISNUMBER(MATCH(G503,Sheet3!$G$6:$G$240,0))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ISNUMBER(MATCH(G504,Sheet3!$C$6:$C$1451,0))</f>
        <v>1</v>
      </c>
      <c r="AF504" t="b">
        <f>ISNUMBER(MATCH(G504,Sheet3!$G$6:$G$240,0))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ISNUMBER(MATCH(G505,Sheet3!$C$6:$C$1451,0))</f>
        <v>1</v>
      </c>
      <c r="AF505" t="b">
        <f>ISNUMBER(MATCH(G505,Sheet3!$G$6:$G$240,0))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ISNUMBER(MATCH(G506,Sheet3!$C$6:$C$1451,0))</f>
        <v>1</v>
      </c>
      <c r="AF506" t="b">
        <f>ISNUMBER(MATCH(G506,Sheet3!$G$6:$G$240,0))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ISNUMBER(MATCH(G507,Sheet3!$C$6:$C$1451,0))</f>
        <v>1</v>
      </c>
      <c r="AF507" t="b">
        <f>ISNUMBER(MATCH(G507,Sheet3!$G$6:$G$240,0))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ISNUMBER(MATCH(G508,Sheet3!$C$6:$C$1451,0))</f>
        <v>1</v>
      </c>
      <c r="AF508" t="b">
        <f>ISNUMBER(MATCH(G508,Sheet3!$G$6:$G$240,0))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ISNUMBER(MATCH(G509,Sheet3!$C$6:$C$1451,0))</f>
        <v>1</v>
      </c>
      <c r="AF509" t="b">
        <f>ISNUMBER(MATCH(G509,Sheet3!$G$6:$G$240,0))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ISNUMBER(MATCH(G510,Sheet3!$C$6:$C$1451,0))</f>
        <v>1</v>
      </c>
      <c r="AF510" t="b">
        <f>ISNUMBER(MATCH(G510,Sheet3!$G$6:$G$240,0))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ISNUMBER(MATCH(G511,Sheet3!$C$6:$C$1451,0))</f>
        <v>1</v>
      </c>
      <c r="AF511" t="b">
        <f>ISNUMBER(MATCH(G511,Sheet3!$G$6:$G$240,0))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ISNUMBER(MATCH(G512,Sheet3!$C$6:$C$1451,0))</f>
        <v>0</v>
      </c>
      <c r="AF512" t="b">
        <f>ISNUMBER(MATCH(G512,Sheet3!$G$6:$G$240,0))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ISNUMBER(MATCH(G513,Sheet3!$C$6:$C$1451,0))</f>
        <v>1</v>
      </c>
      <c r="AF513" t="b">
        <f>ISNUMBER(MATCH(G513,Sheet3!$G$6:$G$240,0))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ISNUMBER(MATCH(G514,Sheet3!$C$6:$C$1451,0))</f>
        <v>1</v>
      </c>
      <c r="AF514" t="b">
        <f>ISNUMBER(MATCH(G514,Sheet3!$G$6:$G$240,0))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ISNUMBER(MATCH(G515,Sheet3!$C$6:$C$1451,0))</f>
        <v>1</v>
      </c>
      <c r="AF515" t="b">
        <f>ISNUMBER(MATCH(G515,Sheet3!$G$6:$G$240,0))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ISNUMBER(MATCH(G516,Sheet3!$C$6:$C$1451,0))</f>
        <v>1</v>
      </c>
      <c r="AF516" t="b">
        <f>ISNUMBER(MATCH(G516,Sheet3!$G$6:$G$240,0))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ISNUMBER(MATCH(G517,Sheet3!$C$6:$C$1451,0))</f>
        <v>1</v>
      </c>
      <c r="AF517" t="b">
        <f>ISNUMBER(MATCH(G517,Sheet3!$G$6:$G$240,0))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ISNUMBER(MATCH(G518,Sheet3!$C$6:$C$1451,0))</f>
        <v>0</v>
      </c>
      <c r="AF518" t="b">
        <f>ISNUMBER(MATCH(G518,Sheet3!$G$6:$G$240,0))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ISNUMBER(MATCH(G519,Sheet3!$C$6:$C$1451,0))</f>
        <v>0</v>
      </c>
      <c r="AF519" t="b">
        <f>ISNUMBER(MATCH(G519,Sheet3!$G$6:$G$240,0))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ISNUMBER(MATCH(G520,Sheet3!$C$6:$C$1451,0))</f>
        <v>1</v>
      </c>
      <c r="AF520" t="b">
        <f>ISNUMBER(MATCH(G520,Sheet3!$G$6:$G$240,0))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ISNUMBER(MATCH(G521,Sheet3!$C$6:$C$1451,0))</f>
        <v>1</v>
      </c>
      <c r="AF521" t="b">
        <f>ISNUMBER(MATCH(G521,Sheet3!$G$6:$G$240,0))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ISNUMBER(MATCH(G522,Sheet3!$C$6:$C$1451,0))</f>
        <v>1</v>
      </c>
      <c r="AF522" t="b">
        <f>ISNUMBER(MATCH(G522,Sheet3!$G$6:$G$240,0))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ISNUMBER(MATCH(G523,Sheet3!$C$6:$C$1451,0))</f>
        <v>1</v>
      </c>
      <c r="AF523" t="b">
        <f>ISNUMBER(MATCH(G523,Sheet3!$G$6:$G$240,0))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ISNUMBER(MATCH(G524,Sheet3!$C$6:$C$1451,0))</f>
        <v>0</v>
      </c>
      <c r="AF524" t="b">
        <f>ISNUMBER(MATCH(G524,Sheet3!$G$6:$G$240,0))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ISNUMBER(MATCH(G525,Sheet3!$C$6:$C$1451,0))</f>
        <v>0</v>
      </c>
      <c r="AF525" t="b">
        <f>ISNUMBER(MATCH(G525,Sheet3!$G$6:$G$240,0))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ISNUMBER(MATCH(G526,Sheet3!$C$6:$C$1451,0))</f>
        <v>0</v>
      </c>
      <c r="AF526" t="b">
        <f>ISNUMBER(MATCH(G526,Sheet3!$G$6:$G$240,0))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ISNUMBER(MATCH(G527,Sheet3!$C$6:$C$1451,0))</f>
        <v>1</v>
      </c>
      <c r="AF527" t="b">
        <f>ISNUMBER(MATCH(G527,Sheet3!$G$6:$G$240,0))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ISNUMBER(MATCH(G528,Sheet3!$C$6:$C$1451,0))</f>
        <v>1</v>
      </c>
      <c r="AF528" t="b">
        <f>ISNUMBER(MATCH(G528,Sheet3!$G$6:$G$240,0))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ISNUMBER(MATCH(G529,Sheet3!$C$6:$C$1451,0))</f>
        <v>1</v>
      </c>
      <c r="AF529" t="b">
        <f>ISNUMBER(MATCH(G529,Sheet3!$G$6:$G$240,0))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ISNUMBER(MATCH(G530,Sheet3!$C$6:$C$1451,0))</f>
        <v>1</v>
      </c>
      <c r="AF530" t="b">
        <f>ISNUMBER(MATCH(G530,Sheet3!$G$6:$G$240,0))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ISNUMBER(MATCH(G531,Sheet3!$C$6:$C$1451,0))</f>
        <v>0</v>
      </c>
      <c r="AF531" t="b">
        <f>ISNUMBER(MATCH(G531,Sheet3!$G$6:$G$240,0))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ISNUMBER(MATCH(G532,Sheet3!$C$6:$C$1451,0))</f>
        <v>0</v>
      </c>
      <c r="AF532" t="b">
        <f>ISNUMBER(MATCH(G532,Sheet3!$G$6:$G$240,0))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ISNUMBER(MATCH(G533,Sheet3!$C$6:$C$1451,0))</f>
        <v>0</v>
      </c>
      <c r="AF533" t="b">
        <f>ISNUMBER(MATCH(G533,Sheet3!$G$6:$G$240,0))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ISNUMBER(MATCH(G534,Sheet3!$C$6:$C$1451,0))</f>
        <v>0</v>
      </c>
      <c r="AF534" t="b">
        <f>ISNUMBER(MATCH(G534,Sheet3!$G$6:$G$240,0))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ISNUMBER(MATCH(G535,Sheet3!$C$6:$C$1451,0))</f>
        <v>0</v>
      </c>
      <c r="AF535" t="b">
        <f>ISNUMBER(MATCH(G535,Sheet3!$G$6:$G$240,0))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ISNUMBER(MATCH(G536,Sheet3!$C$6:$C$1451,0))</f>
        <v>0</v>
      </c>
      <c r="AF536" t="b">
        <f>ISNUMBER(MATCH(G536,Sheet3!$G$6:$G$240,0))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ISNUMBER(MATCH(G537,Sheet3!$C$6:$C$1451,0))</f>
        <v>0</v>
      </c>
      <c r="AF537" t="b">
        <f>ISNUMBER(MATCH(G537,Sheet3!$G$6:$G$240,0))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ISNUMBER(MATCH(G538,Sheet3!$C$6:$C$1451,0))</f>
        <v>0</v>
      </c>
      <c r="AF538" t="b">
        <f>ISNUMBER(MATCH(G538,Sheet3!$G$6:$G$240,0))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ISNUMBER(MATCH(G539,Sheet3!$C$6:$C$1451,0))</f>
        <v>0</v>
      </c>
      <c r="AF539" t="b">
        <f>ISNUMBER(MATCH(G539,Sheet3!$G$6:$G$240,0))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ISNUMBER(MATCH(G540,Sheet3!$C$6:$C$1451,0))</f>
        <v>0</v>
      </c>
      <c r="AF540" t="b">
        <f>ISNUMBER(MATCH(G540,Sheet3!$G$6:$G$240,0))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ISNUMBER(MATCH(G541,Sheet3!$C$6:$C$1451,0))</f>
        <v>0</v>
      </c>
      <c r="AF541" t="b">
        <f>ISNUMBER(MATCH(G541,Sheet3!$G$6:$G$240,0))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ISNUMBER(MATCH(G542,Sheet3!$C$6:$C$1451,0))</f>
        <v>0</v>
      </c>
      <c r="AF542" t="b">
        <f>ISNUMBER(MATCH(G542,Sheet3!$G$6:$G$240,0))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ISNUMBER(MATCH(G543,Sheet3!$C$6:$C$1451,0))</f>
        <v>0</v>
      </c>
      <c r="AF543" t="b">
        <f>ISNUMBER(MATCH(G543,Sheet3!$G$6:$G$240,0))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ISNUMBER(MATCH(G544,Sheet3!$C$6:$C$1451,0))</f>
        <v>0</v>
      </c>
      <c r="AF544" t="b">
        <f>ISNUMBER(MATCH(G544,Sheet3!$G$6:$G$240,0))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ISNUMBER(MATCH(G545,Sheet3!$C$6:$C$1451,0))</f>
        <v>0</v>
      </c>
      <c r="AF545" t="b">
        <f>ISNUMBER(MATCH(G545,Sheet3!$G$6:$G$240,0))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ISNUMBER(MATCH(G546,Sheet3!$C$6:$C$1451,0))</f>
        <v>0</v>
      </c>
      <c r="AF546" t="b">
        <f>ISNUMBER(MATCH(G546,Sheet3!$G$6:$G$240,0))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ISNUMBER(MATCH(G547,Sheet3!$C$6:$C$1451,0))</f>
        <v>0</v>
      </c>
      <c r="AF547" t="b">
        <f>ISNUMBER(MATCH(G547,Sheet3!$G$6:$G$240,0))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ISNUMBER(MATCH(G548,Sheet3!$C$6:$C$1451,0))</f>
        <v>0</v>
      </c>
      <c r="AF548" t="b">
        <f>ISNUMBER(MATCH(G548,Sheet3!$G$6:$G$240,0))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ISNUMBER(MATCH(G549,Sheet3!$C$6:$C$1451,0))</f>
        <v>0</v>
      </c>
      <c r="AF549" t="b">
        <f>ISNUMBER(MATCH(G549,Sheet3!$G$6:$G$240,0))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ISNUMBER(MATCH(G550,Sheet3!$C$6:$C$1451,0))</f>
        <v>0</v>
      </c>
      <c r="AF550" t="b">
        <f>ISNUMBER(MATCH(G550,Sheet3!$G$6:$G$240,0))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ISNUMBER(MATCH(G551,Sheet3!$C$6:$C$1451,0))</f>
        <v>0</v>
      </c>
      <c r="AF551" t="b">
        <f>ISNUMBER(MATCH(G551,Sheet3!$G$6:$G$240,0))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ISNUMBER(MATCH(G552,Sheet3!$C$6:$C$1451,0))</f>
        <v>0</v>
      </c>
      <c r="AF552" t="b">
        <f>ISNUMBER(MATCH(G552,Sheet3!$G$6:$G$240,0))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ISNUMBER(MATCH(G553,Sheet3!$C$6:$C$1451,0))</f>
        <v>0</v>
      </c>
      <c r="AF553" t="b">
        <f>ISNUMBER(MATCH(G553,Sheet3!$G$6:$G$240,0))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ISNUMBER(MATCH(G554,Sheet3!$C$6:$C$1451,0))</f>
        <v>0</v>
      </c>
      <c r="AF554" t="b">
        <f>ISNUMBER(MATCH(G554,Sheet3!$G$6:$G$240,0))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ISNUMBER(MATCH(G555,Sheet3!$C$6:$C$1451,0))</f>
        <v>0</v>
      </c>
      <c r="AF555" t="b">
        <f>ISNUMBER(MATCH(G555,Sheet3!$G$6:$G$240,0))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ISNUMBER(MATCH(G556,Sheet3!$C$6:$C$1451,0))</f>
        <v>0</v>
      </c>
      <c r="AF556" t="b">
        <f>ISNUMBER(MATCH(G556,Sheet3!$G$6:$G$240,0))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ISNUMBER(MATCH(G557,Sheet3!$C$6:$C$1451,0))</f>
        <v>0</v>
      </c>
      <c r="AF557" t="b">
        <f>ISNUMBER(MATCH(G557,Sheet3!$G$6:$G$240,0))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ISNUMBER(MATCH(G558,Sheet3!$C$6:$C$1451,0))</f>
        <v>0</v>
      </c>
      <c r="AF558" t="b">
        <f>ISNUMBER(MATCH(G558,Sheet3!$G$6:$G$240,0))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ISNUMBER(MATCH(G559,Sheet3!$C$6:$C$1451,0))</f>
        <v>0</v>
      </c>
      <c r="AF559" t="b">
        <f>ISNUMBER(MATCH(G559,Sheet3!$G$6:$G$240,0))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ISNUMBER(MATCH(G560,Sheet3!$C$6:$C$1451,0))</f>
        <v>0</v>
      </c>
      <c r="AF560" t="b">
        <f>ISNUMBER(MATCH(G560,Sheet3!$G$6:$G$240,0))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ISNUMBER(MATCH(G561,Sheet3!$C$6:$C$1451,0))</f>
        <v>0</v>
      </c>
      <c r="AF561" t="b">
        <f>ISNUMBER(MATCH(G561,Sheet3!$G$6:$G$240,0))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ISNUMBER(MATCH(G562,Sheet3!$C$6:$C$1451,0))</f>
        <v>0</v>
      </c>
      <c r="AF562" t="b">
        <f>ISNUMBER(MATCH(G562,Sheet3!$G$6:$G$240,0))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ISNUMBER(MATCH(G563,Sheet3!$C$6:$C$1451,0))</f>
        <v>0</v>
      </c>
      <c r="AF563" t="b">
        <f>ISNUMBER(MATCH(G563,Sheet3!$G$6:$G$240,0))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ISNUMBER(MATCH(G564,Sheet3!$C$6:$C$1451,0))</f>
        <v>0</v>
      </c>
      <c r="AF564" t="b">
        <f>ISNUMBER(MATCH(G564,Sheet3!$G$6:$G$240,0))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ISNUMBER(MATCH(G565,Sheet3!$C$6:$C$1451,0))</f>
        <v>0</v>
      </c>
      <c r="AF565" t="b">
        <f>ISNUMBER(MATCH(G565,Sheet3!$G$6:$G$240,0))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ISNUMBER(MATCH(G566,Sheet3!$C$6:$C$1451,0))</f>
        <v>0</v>
      </c>
      <c r="AF566" t="b">
        <f>ISNUMBER(MATCH(G566,Sheet3!$G$6:$G$240,0))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ISNUMBER(MATCH(G567,Sheet3!$C$6:$C$1451,0))</f>
        <v>1</v>
      </c>
      <c r="AF567" t="b">
        <f>ISNUMBER(MATCH(G567,Sheet3!$G$6:$G$240,0))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ISNUMBER(MATCH(G568,Sheet3!$C$6:$C$1451,0))</f>
        <v>1</v>
      </c>
      <c r="AF568" t="b">
        <f>ISNUMBER(MATCH(G568,Sheet3!$G$6:$G$240,0))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ISNUMBER(MATCH(G569,Sheet3!$C$6:$C$1451,0))</f>
        <v>0</v>
      </c>
      <c r="AF569" t="b">
        <f>ISNUMBER(MATCH(G569,Sheet3!$G$6:$G$240,0))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ISNUMBER(MATCH(G570,Sheet3!$C$6:$C$1451,0))</f>
        <v>1</v>
      </c>
      <c r="AF570" t="b">
        <f>ISNUMBER(MATCH(G570,Sheet3!$G$6:$G$240,0))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ISNUMBER(MATCH(G571,Sheet3!$C$6:$C$1451,0))</f>
        <v>1</v>
      </c>
      <c r="AF571" t="b">
        <f>ISNUMBER(MATCH(G571,Sheet3!$G$6:$G$240,0))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ISNUMBER(MATCH(G572,Sheet3!$C$6:$C$1451,0))</f>
        <v>0</v>
      </c>
      <c r="AF572" t="b">
        <f>ISNUMBER(MATCH(G572,Sheet3!$G$6:$G$240,0))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ISNUMBER(MATCH(G573,Sheet3!$C$6:$C$1451,0))</f>
        <v>1</v>
      </c>
      <c r="AF573" t="b">
        <f>ISNUMBER(MATCH(G573,Sheet3!$G$6:$G$240,0))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ISNUMBER(MATCH(G574,Sheet3!$C$6:$C$1451,0))</f>
        <v>1</v>
      </c>
      <c r="AF574" t="b">
        <f>ISNUMBER(MATCH(G574,Sheet3!$G$6:$G$240,0))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ISNUMBER(MATCH(G575,Sheet3!$C$6:$C$1451,0))</f>
        <v>0</v>
      </c>
      <c r="AF575" t="b">
        <f>ISNUMBER(MATCH(G575,Sheet3!$G$6:$G$240,0))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ISNUMBER(MATCH(G576,Sheet3!$C$6:$C$1451,0))</f>
        <v>1</v>
      </c>
      <c r="AF576" t="b">
        <f>ISNUMBER(MATCH(G576,Sheet3!$G$6:$G$240,0))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ISNUMBER(MATCH(G577,Sheet3!$C$6:$C$1451,0))</f>
        <v>1</v>
      </c>
      <c r="AF577" t="b">
        <f>ISNUMBER(MATCH(G577,Sheet3!$G$6:$G$240,0))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ISNUMBER(MATCH(G578,Sheet3!$C$6:$C$1451,0))</f>
        <v>0</v>
      </c>
      <c r="AF578" t="b">
        <f>ISNUMBER(MATCH(G578,Sheet3!$G$6:$G$240,0))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ISNUMBER(MATCH(G579,Sheet3!$C$6:$C$1451,0))</f>
        <v>0</v>
      </c>
      <c r="AF579" t="b">
        <f>ISNUMBER(MATCH(G579,Sheet3!$G$6:$G$240,0))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ISNUMBER(MATCH(G580,Sheet3!$C$6:$C$1451,0))</f>
        <v>1</v>
      </c>
      <c r="AF580" t="b">
        <f>ISNUMBER(MATCH(G580,Sheet3!$G$6:$G$240,0))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ISNUMBER(MATCH(G581,Sheet3!$C$6:$C$1451,0))</f>
        <v>1</v>
      </c>
      <c r="AF581" t="b">
        <f>ISNUMBER(MATCH(G581,Sheet3!$G$6:$G$240,0))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ISNUMBER(MATCH(G582,Sheet3!$C$6:$C$1451,0))</f>
        <v>1</v>
      </c>
      <c r="AF582" t="b">
        <f>ISNUMBER(MATCH(G582,Sheet3!$G$6:$G$240,0))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ISNUMBER(MATCH(G583,Sheet3!$C$6:$C$1451,0))</f>
        <v>1</v>
      </c>
      <c r="AF583" t="b">
        <f>ISNUMBER(MATCH(G583,Sheet3!$G$6:$G$240,0))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ISNUMBER(MATCH(G584,Sheet3!$C$6:$C$1451,0))</f>
        <v>1</v>
      </c>
      <c r="AF584" t="b">
        <f>ISNUMBER(MATCH(G584,Sheet3!$G$6:$G$240,0))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ISNUMBER(MATCH(G585,Sheet3!$C$6:$C$1451,0))</f>
        <v>1</v>
      </c>
      <c r="AF585" t="b">
        <f>ISNUMBER(MATCH(G585,Sheet3!$G$6:$G$240,0))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ISNUMBER(MATCH(G586,Sheet3!$C$6:$C$1451,0))</f>
        <v>1</v>
      </c>
      <c r="AF586" t="b">
        <f>ISNUMBER(MATCH(G586,Sheet3!$G$6:$G$240,0))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ISNUMBER(MATCH(G587,Sheet3!$C$6:$C$1451,0))</f>
        <v>1</v>
      </c>
      <c r="AF587" t="b">
        <f>ISNUMBER(MATCH(G587,Sheet3!$G$6:$G$240,0))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ISNUMBER(MATCH(G588,Sheet3!$C$6:$C$1451,0))</f>
        <v>0</v>
      </c>
      <c r="AF588" t="b">
        <f>ISNUMBER(MATCH(G588,Sheet3!$G$6:$G$240,0))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ISNUMBER(MATCH(G589,Sheet3!$C$6:$C$1451,0))</f>
        <v>1</v>
      </c>
      <c r="AF589" t="b">
        <f>ISNUMBER(MATCH(G589,Sheet3!$G$6:$G$240,0))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ISNUMBER(MATCH(G590,Sheet3!$C$6:$C$1451,0))</f>
        <v>1</v>
      </c>
      <c r="AF590" t="b">
        <f>ISNUMBER(MATCH(G590,Sheet3!$G$6:$G$240,0))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ISNUMBER(MATCH(G591,Sheet3!$C$6:$C$1451,0))</f>
        <v>0</v>
      </c>
      <c r="AF591" t="b">
        <f>ISNUMBER(MATCH(G591,Sheet3!$G$6:$G$240,0))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ISNUMBER(MATCH(G592,Sheet3!$C$6:$C$1451,0))</f>
        <v>1</v>
      </c>
      <c r="AF592" t="b">
        <f>ISNUMBER(MATCH(G592,Sheet3!$G$6:$G$240,0))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ISNUMBER(MATCH(G593,Sheet3!$C$6:$C$1451,0))</f>
        <v>1</v>
      </c>
      <c r="AF593" t="b">
        <f>ISNUMBER(MATCH(G593,Sheet3!$G$6:$G$240,0))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ISNUMBER(MATCH(G594,Sheet3!$C$6:$C$1451,0))</f>
        <v>0</v>
      </c>
      <c r="AF594" t="b">
        <f>ISNUMBER(MATCH(G594,Sheet3!$G$6:$G$240,0))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ISNUMBER(MATCH(G595,Sheet3!$C$6:$C$1451,0))</f>
        <v>1</v>
      </c>
      <c r="AF595" t="b">
        <f>ISNUMBER(MATCH(G595,Sheet3!$G$6:$G$240,0))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ISNUMBER(MATCH(G596,Sheet3!$C$6:$C$1451,0))</f>
        <v>1</v>
      </c>
      <c r="AF596" t="b">
        <f>ISNUMBER(MATCH(G596,Sheet3!$G$6:$G$240,0))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ISNUMBER(MATCH(G597,Sheet3!$C$6:$C$1451,0))</f>
        <v>0</v>
      </c>
      <c r="AF597" t="b">
        <f>ISNUMBER(MATCH(G597,Sheet3!$G$6:$G$240,0))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ISNUMBER(MATCH(G598,Sheet3!$C$6:$C$1451,0))</f>
        <v>1</v>
      </c>
      <c r="AF598" t="b">
        <f>ISNUMBER(MATCH(G598,Sheet3!$G$6:$G$240,0))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ISNUMBER(MATCH(G599,Sheet3!$C$6:$C$1451,0))</f>
        <v>1</v>
      </c>
      <c r="AF599" t="b">
        <f>ISNUMBER(MATCH(G599,Sheet3!$G$6:$G$240,0))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ISNUMBER(MATCH(G600,Sheet3!$C$6:$C$1451,0))</f>
        <v>0</v>
      </c>
      <c r="AF600" t="b">
        <f>ISNUMBER(MATCH(G600,Sheet3!$G$6:$G$240,0))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ISNUMBER(MATCH(G601,Sheet3!$C$6:$C$1451,0))</f>
        <v>0</v>
      </c>
      <c r="AF601" t="b">
        <f>ISNUMBER(MATCH(G601,Sheet3!$G$6:$G$240,0))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ISNUMBER(MATCH(G602,Sheet3!$C$6:$C$1451,0))</f>
        <v>0</v>
      </c>
      <c r="AF602" t="b">
        <f>ISNUMBER(MATCH(G602,Sheet3!$G$6:$G$240,0))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ISNUMBER(MATCH(G603,Sheet3!$C$6:$C$1451,0))</f>
        <v>0</v>
      </c>
      <c r="AF603" t="b">
        <f>ISNUMBER(MATCH(G603,Sheet3!$G$6:$G$240,0))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ISNUMBER(MATCH(G604,Sheet3!$C$6:$C$1451,0))</f>
        <v>0</v>
      </c>
      <c r="AF604" t="b">
        <f>ISNUMBER(MATCH(G604,Sheet3!$G$6:$G$240,0))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ISNUMBER(MATCH(G605,Sheet3!$C$6:$C$1451,0))</f>
        <v>0</v>
      </c>
      <c r="AF605" t="b">
        <f>ISNUMBER(MATCH(G605,Sheet3!$G$6:$G$240,0))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ISNUMBER(MATCH(G606,Sheet3!$C$6:$C$1451,0))</f>
        <v>0</v>
      </c>
      <c r="AF606" t="b">
        <f>ISNUMBER(MATCH(G606,Sheet3!$G$6:$G$240,0))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ISNUMBER(MATCH(G607,Sheet3!$C$6:$C$1451,0))</f>
        <v>0</v>
      </c>
      <c r="AF607" t="b">
        <f>ISNUMBER(MATCH(G607,Sheet3!$G$6:$G$240,0))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ISNUMBER(MATCH(G608,Sheet3!$C$6:$C$1451,0))</f>
        <v>0</v>
      </c>
      <c r="AF608" t="b">
        <f>ISNUMBER(MATCH(G608,Sheet3!$G$6:$G$240,0))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ISNUMBER(MATCH(G609,Sheet3!$C$6:$C$1451,0))</f>
        <v>0</v>
      </c>
      <c r="AF609" t="b">
        <f>ISNUMBER(MATCH(G609,Sheet3!$G$6:$G$240,0))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ISNUMBER(MATCH(G610,Sheet3!$C$6:$C$1451,0))</f>
        <v>0</v>
      </c>
      <c r="AF610" t="b">
        <f>ISNUMBER(MATCH(G610,Sheet3!$G$6:$G$240,0))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ISNUMBER(MATCH(G611,Sheet3!$C$6:$C$1451,0))</f>
        <v>0</v>
      </c>
      <c r="AF611" t="b">
        <f>ISNUMBER(MATCH(G611,Sheet3!$G$6:$G$240,0))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ISNUMBER(MATCH(G612,Sheet3!$C$6:$C$1451,0))</f>
        <v>0</v>
      </c>
      <c r="AF612" t="b">
        <f>ISNUMBER(MATCH(G612,Sheet3!$G$6:$G$240,0))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ISNUMBER(MATCH(G613,Sheet3!$C$6:$C$1451,0))</f>
        <v>0</v>
      </c>
      <c r="AF613" t="b">
        <f>ISNUMBER(MATCH(G613,Sheet3!$G$6:$G$240,0))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ISNUMBER(MATCH(G614,Sheet3!$C$6:$C$1451,0))</f>
        <v>0</v>
      </c>
      <c r="AF614" t="b">
        <f>ISNUMBER(MATCH(G614,Sheet3!$G$6:$G$240,0))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ISNUMBER(MATCH(G615,Sheet3!$C$6:$C$1451,0))</f>
        <v>0</v>
      </c>
      <c r="AF615" t="b">
        <f>ISNUMBER(MATCH(G615,Sheet3!$G$6:$G$240,0))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ISNUMBER(MATCH(G616,Sheet3!$C$6:$C$1451,0))</f>
        <v>0</v>
      </c>
      <c r="AF616" t="b">
        <f>ISNUMBER(MATCH(G616,Sheet3!$G$6:$G$240,0))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ISNUMBER(MATCH(G617,Sheet3!$C$6:$C$1451,0))</f>
        <v>0</v>
      </c>
      <c r="AF617" t="b">
        <f>ISNUMBER(MATCH(G617,Sheet3!$G$6:$G$240,0))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ISNUMBER(MATCH(G618,Sheet3!$C$6:$C$1451,0))</f>
        <v>0</v>
      </c>
      <c r="AF618" t="b">
        <f>ISNUMBER(MATCH(G618,Sheet3!$G$6:$G$240,0))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ISNUMBER(MATCH(G619,Sheet3!$C$6:$C$1451,0))</f>
        <v>0</v>
      </c>
      <c r="AF619" t="b">
        <f>ISNUMBER(MATCH(G619,Sheet3!$G$6:$G$240,0))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ISNUMBER(MATCH(G620,Sheet3!$C$6:$C$1451,0))</f>
        <v>0</v>
      </c>
      <c r="AF620" t="b">
        <f>ISNUMBER(MATCH(G620,Sheet3!$G$6:$G$240,0))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ISNUMBER(MATCH(G621,Sheet3!$C$6:$C$1451,0))</f>
        <v>0</v>
      </c>
      <c r="AF621" t="b">
        <f>ISNUMBER(MATCH(G621,Sheet3!$G$6:$G$240,0))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ISNUMBER(MATCH(G622,Sheet3!$C$6:$C$1451,0))</f>
        <v>0</v>
      </c>
      <c r="AF622" t="b">
        <f>ISNUMBER(MATCH(G622,Sheet3!$G$6:$G$240,0))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ISNUMBER(MATCH(G623,Sheet3!$C$6:$C$1451,0))</f>
        <v>0</v>
      </c>
      <c r="AF623" t="b">
        <f>ISNUMBER(MATCH(G623,Sheet3!$G$6:$G$240,0))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ISNUMBER(MATCH(G624,Sheet3!$C$6:$C$1451,0))</f>
        <v>0</v>
      </c>
      <c r="AF624" t="b">
        <f>ISNUMBER(MATCH(G624,Sheet3!$G$6:$G$240,0))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ISNUMBER(MATCH(G625,Sheet3!$C$6:$C$1451,0))</f>
        <v>0</v>
      </c>
      <c r="AF625" t="b">
        <f>ISNUMBER(MATCH(G625,Sheet3!$G$6:$G$240,0))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ISNUMBER(MATCH(G626,Sheet3!$C$6:$C$1451,0))</f>
        <v>0</v>
      </c>
      <c r="AF626" t="b">
        <f>ISNUMBER(MATCH(G626,Sheet3!$G$6:$G$240,0))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ISNUMBER(MATCH(G627,Sheet3!$C$6:$C$1451,0))</f>
        <v>0</v>
      </c>
      <c r="AF627" t="b">
        <f>ISNUMBER(MATCH(G627,Sheet3!$G$6:$G$240,0))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ISNUMBER(MATCH(G628,Sheet3!$C$6:$C$1451,0))</f>
        <v>0</v>
      </c>
      <c r="AF628" t="b">
        <f>ISNUMBER(MATCH(G628,Sheet3!$G$6:$G$240,0))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ISNUMBER(MATCH(G629,Sheet3!$C$6:$C$1451,0))</f>
        <v>0</v>
      </c>
      <c r="AF629" t="b">
        <f>ISNUMBER(MATCH(G629,Sheet3!$G$6:$G$240,0))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ISNUMBER(MATCH(G630,Sheet3!$C$6:$C$1451,0))</f>
        <v>0</v>
      </c>
      <c r="AF630" t="b">
        <f>ISNUMBER(MATCH(G630,Sheet3!$G$6:$G$240,0))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ISNUMBER(MATCH(G631,Sheet3!$C$6:$C$1451,0))</f>
        <v>0</v>
      </c>
      <c r="AF631" t="b">
        <f>ISNUMBER(MATCH(G631,Sheet3!$G$6:$G$240,0))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ISNUMBER(MATCH(G632,Sheet3!$C$6:$C$1451,0))</f>
        <v>0</v>
      </c>
      <c r="AF632" t="b">
        <f>ISNUMBER(MATCH(G632,Sheet3!$G$6:$G$240,0))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ISNUMBER(MATCH(G633,Sheet3!$C$6:$C$1451,0))</f>
        <v>0</v>
      </c>
      <c r="AF633" t="b">
        <f>ISNUMBER(MATCH(G633,Sheet3!$G$6:$G$240,0))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ISNUMBER(MATCH(G634,Sheet3!$C$6:$C$1451,0))</f>
        <v>0</v>
      </c>
      <c r="AF634" t="b">
        <f>ISNUMBER(MATCH(G634,Sheet3!$G$6:$G$240,0))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ISNUMBER(MATCH(G635,Sheet3!$C$6:$C$1451,0))</f>
        <v>0</v>
      </c>
      <c r="AF635" t="b">
        <f>ISNUMBER(MATCH(G635,Sheet3!$G$6:$G$240,0))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ISNUMBER(MATCH(G636,Sheet3!$C$6:$C$1451,0))</f>
        <v>0</v>
      </c>
      <c r="AF636" t="b">
        <f>ISNUMBER(MATCH(G636,Sheet3!$G$6:$G$240,0))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ISNUMBER(MATCH(G637,Sheet3!$C$6:$C$1451,0))</f>
        <v>0</v>
      </c>
      <c r="AF637" t="b">
        <f>ISNUMBER(MATCH(G637,Sheet3!$G$6:$G$240,0))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ISNUMBER(MATCH(G638,Sheet3!$C$6:$C$1451,0))</f>
        <v>0</v>
      </c>
      <c r="AF638" t="b">
        <f>ISNUMBER(MATCH(G638,Sheet3!$G$6:$G$240,0))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ISNUMBER(MATCH(G639,Sheet3!$C$6:$C$1451,0))</f>
        <v>0</v>
      </c>
      <c r="AF639" t="b">
        <f>ISNUMBER(MATCH(G639,Sheet3!$G$6:$G$240,0))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ISNUMBER(MATCH(G640,Sheet3!$C$6:$C$1451,0))</f>
        <v>0</v>
      </c>
      <c r="AF640" t="b">
        <f>ISNUMBER(MATCH(G640,Sheet3!$G$6:$G$240,0))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ISNUMBER(MATCH(G641,Sheet3!$C$6:$C$1451,0))</f>
        <v>0</v>
      </c>
      <c r="AF641" t="b">
        <f>ISNUMBER(MATCH(G641,Sheet3!$G$6:$G$240,0))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ISNUMBER(MATCH(G642,Sheet3!$C$6:$C$1451,0))</f>
        <v>0</v>
      </c>
      <c r="AF642" t="b">
        <f>ISNUMBER(MATCH(G642,Sheet3!$G$6:$G$240,0))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ISNUMBER(MATCH(G643,Sheet3!$C$6:$C$1451,0))</f>
        <v>0</v>
      </c>
      <c r="AF643" t="b">
        <f>ISNUMBER(MATCH(G643,Sheet3!$G$6:$G$240,0))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ISNUMBER(MATCH(G644,Sheet3!$C$6:$C$1451,0))</f>
        <v>0</v>
      </c>
      <c r="AF644" t="b">
        <f>ISNUMBER(MATCH(G644,Sheet3!$G$6:$G$240,0))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ISNUMBER(MATCH(G645,Sheet3!$C$6:$C$1451,0))</f>
        <v>0</v>
      </c>
      <c r="AF645" t="b">
        <f>ISNUMBER(MATCH(G645,Sheet3!$G$6:$G$240,0))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ISNUMBER(MATCH(G646,Sheet3!$C$6:$C$1451,0))</f>
        <v>0</v>
      </c>
      <c r="AF646" t="b">
        <f>ISNUMBER(MATCH(G646,Sheet3!$G$6:$G$240,0))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ISNUMBER(MATCH(G647,Sheet3!$C$6:$C$1451,0))</f>
        <v>0</v>
      </c>
      <c r="AF647" t="b">
        <f>ISNUMBER(MATCH(G647,Sheet3!$G$6:$G$240,0))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ISNUMBER(MATCH(G648,Sheet3!$C$6:$C$1451,0))</f>
        <v>0</v>
      </c>
      <c r="AF648" t="b">
        <f>ISNUMBER(MATCH(G648,Sheet3!$G$6:$G$240,0))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ISNUMBER(MATCH(G649,Sheet3!$C$6:$C$1451,0))</f>
        <v>0</v>
      </c>
      <c r="AF649" t="b">
        <f>ISNUMBER(MATCH(G649,Sheet3!$G$6:$G$240,0))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ISNUMBER(MATCH(G650,Sheet3!$C$6:$C$1451,0))</f>
        <v>0</v>
      </c>
      <c r="AF650" t="b">
        <f>ISNUMBER(MATCH(G650,Sheet3!$G$6:$G$240,0))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ISNUMBER(MATCH(G651,Sheet3!$C$6:$C$1451,0))</f>
        <v>0</v>
      </c>
      <c r="AF651" t="b">
        <f>ISNUMBER(MATCH(G651,Sheet3!$G$6:$G$240,0))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ISNUMBER(MATCH(G652,Sheet3!$C$6:$C$1451,0))</f>
        <v>0</v>
      </c>
      <c r="AF652" t="b">
        <f>ISNUMBER(MATCH(G652,Sheet3!$G$6:$G$240,0))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ISNUMBER(MATCH(G653,Sheet3!$C$6:$C$1451,0))</f>
        <v>1</v>
      </c>
      <c r="AF653" t="b">
        <f>ISNUMBER(MATCH(G653,Sheet3!$G$6:$G$240,0))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ISNUMBER(MATCH(G654,Sheet3!$C$6:$C$1451,0))</f>
        <v>1</v>
      </c>
      <c r="AF654" t="b">
        <f>ISNUMBER(MATCH(G654,Sheet3!$G$6:$G$240,0))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ISNUMBER(MATCH(G655,Sheet3!$C$6:$C$1451,0))</f>
        <v>1</v>
      </c>
      <c r="AF655" t="b">
        <f>ISNUMBER(MATCH(G655,Sheet3!$G$6:$G$240,0))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ISNUMBER(MATCH(G656,Sheet3!$C$6:$C$1451,0))</f>
        <v>0</v>
      </c>
      <c r="AF656" t="b">
        <f>ISNUMBER(MATCH(G656,Sheet3!$G$6:$G$240,0))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ISNUMBER(MATCH(G657,Sheet3!$C$6:$C$1451,0))</f>
        <v>0</v>
      </c>
      <c r="AF657" t="b">
        <f>ISNUMBER(MATCH(G657,Sheet3!$G$6:$G$240,0))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ISNUMBER(MATCH(G658,Sheet3!$C$6:$C$1451,0))</f>
        <v>0</v>
      </c>
      <c r="AF658" t="b">
        <f>ISNUMBER(MATCH(G658,Sheet3!$G$6:$G$240,0))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ISNUMBER(MATCH(G659,Sheet3!$C$6:$C$1451,0))</f>
        <v>0</v>
      </c>
      <c r="AF659" t="b">
        <f>ISNUMBER(MATCH(G659,Sheet3!$G$6:$G$240,0))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ISNUMBER(MATCH(G660,Sheet3!$C$6:$C$1451,0))</f>
        <v>0</v>
      </c>
      <c r="AF660" t="b">
        <f>ISNUMBER(MATCH(G660,Sheet3!$G$6:$G$240,0))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ISNUMBER(MATCH(G661,Sheet3!$C$6:$C$1451,0))</f>
        <v>0</v>
      </c>
      <c r="AF661" t="b">
        <f>ISNUMBER(MATCH(G661,Sheet3!$G$6:$G$240,0))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ISNUMBER(MATCH(G662,Sheet3!$C$6:$C$1451,0))</f>
        <v>1</v>
      </c>
      <c r="AF662" t="b">
        <f>ISNUMBER(MATCH(G662,Sheet3!$G$6:$G$240,0))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ISNUMBER(MATCH(G663,Sheet3!$C$6:$C$1451,0))</f>
        <v>1</v>
      </c>
      <c r="AF663" t="b">
        <f>ISNUMBER(MATCH(G663,Sheet3!$G$6:$G$240,0))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ISNUMBER(MATCH(G664,Sheet3!$C$6:$C$1451,0))</f>
        <v>1</v>
      </c>
      <c r="AF664" t="b">
        <f>ISNUMBER(MATCH(G664,Sheet3!$G$6:$G$240,0))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ISNUMBER(MATCH(G665,Sheet3!$C$6:$C$1451,0))</f>
        <v>1</v>
      </c>
      <c r="AF665" t="b">
        <f>ISNUMBER(MATCH(G665,Sheet3!$G$6:$G$240,0))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ISNUMBER(MATCH(G666,Sheet3!$C$6:$C$1451,0))</f>
        <v>1</v>
      </c>
      <c r="AF666" t="b">
        <f>ISNUMBER(MATCH(G666,Sheet3!$G$6:$G$240,0))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ISNUMBER(MATCH(G667,Sheet3!$C$6:$C$1451,0))</f>
        <v>1</v>
      </c>
      <c r="AF667" t="b">
        <f>ISNUMBER(MATCH(G667,Sheet3!$G$6:$G$240,0))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ISNUMBER(MATCH(G668,Sheet3!$C$6:$C$1451,0))</f>
        <v>0</v>
      </c>
      <c r="AF668" t="b">
        <f>ISNUMBER(MATCH(G668,Sheet3!$G$6:$G$240,0))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ISNUMBER(MATCH(G669,Sheet3!$C$6:$C$1451,0))</f>
        <v>0</v>
      </c>
      <c r="AF669" t="b">
        <f>ISNUMBER(MATCH(G669,Sheet3!$G$6:$G$240,0))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ISNUMBER(MATCH(G670,Sheet3!$C$6:$C$1451,0))</f>
        <v>0</v>
      </c>
      <c r="AF670" t="b">
        <f>ISNUMBER(MATCH(G670,Sheet3!$G$6:$G$240,0))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ISNUMBER(MATCH(G671,Sheet3!$C$6:$C$1451,0))</f>
        <v>0</v>
      </c>
      <c r="AF671" t="b">
        <f>ISNUMBER(MATCH(G671,Sheet3!$G$6:$G$240,0))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ISNUMBER(MATCH(G672,Sheet3!$C$6:$C$1451,0))</f>
        <v>0</v>
      </c>
      <c r="AF672" t="b">
        <f>ISNUMBER(MATCH(G672,Sheet3!$G$6:$G$240,0))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ISNUMBER(MATCH(G673,Sheet3!$C$6:$C$1451,0))</f>
        <v>0</v>
      </c>
      <c r="AF673" t="b">
        <f>ISNUMBER(MATCH(G673,Sheet3!$G$6:$G$240,0))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ISNUMBER(MATCH(G674,Sheet3!$C$6:$C$1451,0))</f>
        <v>0</v>
      </c>
      <c r="AF674" t="b">
        <f>ISNUMBER(MATCH(G674,Sheet3!$G$6:$G$240,0))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ISNUMBER(MATCH(G675,Sheet3!$C$6:$C$1451,0))</f>
        <v>0</v>
      </c>
      <c r="AF675" t="b">
        <f>ISNUMBER(MATCH(G675,Sheet3!$G$6:$G$240,0))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ISNUMBER(MATCH(G676,Sheet3!$C$6:$C$1451,0))</f>
        <v>0</v>
      </c>
      <c r="AF676" t="b">
        <f>ISNUMBER(MATCH(G676,Sheet3!$G$6:$G$240,0))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ISNUMBER(MATCH(G677,Sheet3!$C$6:$C$1451,0))</f>
        <v>0</v>
      </c>
      <c r="AF677" t="b">
        <f>ISNUMBER(MATCH(G677,Sheet3!$G$6:$G$240,0))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ISNUMBER(MATCH(G678,Sheet3!$C$6:$C$1451,0))</f>
        <v>0</v>
      </c>
      <c r="AF678" t="b">
        <f>ISNUMBER(MATCH(G678,Sheet3!$G$6:$G$240,0))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ISNUMBER(MATCH(G679,Sheet3!$C$6:$C$1451,0))</f>
        <v>0</v>
      </c>
      <c r="AF679" t="b">
        <f>ISNUMBER(MATCH(G679,Sheet3!$G$6:$G$240,0))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ISNUMBER(MATCH(G680,Sheet3!$C$6:$C$1451,0))</f>
        <v>0</v>
      </c>
      <c r="AF680" t="b">
        <f>ISNUMBER(MATCH(G680,Sheet3!$G$6:$G$240,0))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ISNUMBER(MATCH(G681,Sheet3!$C$6:$C$1451,0))</f>
        <v>0</v>
      </c>
      <c r="AF681" t="b">
        <f>ISNUMBER(MATCH(G681,Sheet3!$G$6:$G$240,0))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ISNUMBER(MATCH(G682,Sheet3!$C$6:$C$1451,0))</f>
        <v>0</v>
      </c>
      <c r="AF682" t="b">
        <f>ISNUMBER(MATCH(G682,Sheet3!$G$6:$G$240,0))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ISNUMBER(MATCH(G683,Sheet3!$C$6:$C$1451,0))</f>
        <v>0</v>
      </c>
      <c r="AF683" t="b">
        <f>ISNUMBER(MATCH(G683,Sheet3!$G$6:$G$240,0))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ISNUMBER(MATCH(G684,Sheet3!$C$6:$C$1451,0))</f>
        <v>1</v>
      </c>
      <c r="AF684" t="b">
        <f>ISNUMBER(MATCH(G684,Sheet3!$G$6:$G$240,0))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ISNUMBER(MATCH(G685,Sheet3!$C$6:$C$1451,0))</f>
        <v>1</v>
      </c>
      <c r="AF685" t="b">
        <f>ISNUMBER(MATCH(G685,Sheet3!$G$6:$G$240,0))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ISNUMBER(MATCH(G686,Sheet3!$C$6:$C$1451,0))</f>
        <v>1</v>
      </c>
      <c r="AF686" t="b">
        <f>ISNUMBER(MATCH(G686,Sheet3!$G$6:$G$240,0))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ISNUMBER(MATCH(G687,Sheet3!$C$6:$C$1451,0))</f>
        <v>1</v>
      </c>
      <c r="AF687" t="b">
        <f>ISNUMBER(MATCH(G687,Sheet3!$G$6:$G$240,0))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ISNUMBER(MATCH(G688,Sheet3!$C$6:$C$1451,0))</f>
        <v>1</v>
      </c>
      <c r="AF688" t="b">
        <f>ISNUMBER(MATCH(G688,Sheet3!$G$6:$G$240,0))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ISNUMBER(MATCH(G689,Sheet3!$C$6:$C$1451,0))</f>
        <v>1</v>
      </c>
      <c r="AF689" t="b">
        <f>ISNUMBER(MATCH(G689,Sheet3!$G$6:$G$240,0))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ISNUMBER(MATCH(G690,Sheet3!$C$6:$C$1451,0))</f>
        <v>0</v>
      </c>
      <c r="AF690" t="b">
        <f>ISNUMBER(MATCH(G690,Sheet3!$G$6:$G$240,0))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ISNUMBER(MATCH(G691,Sheet3!$C$6:$C$1451,0))</f>
        <v>0</v>
      </c>
      <c r="AF691" t="b">
        <f>ISNUMBER(MATCH(G691,Sheet3!$G$6:$G$240,0))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ISNUMBER(MATCH(G692,Sheet3!$C$6:$C$1451,0))</f>
        <v>0</v>
      </c>
      <c r="AF692" t="b">
        <f>ISNUMBER(MATCH(G692,Sheet3!$G$6:$G$240,0))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ISNUMBER(MATCH(G693,Sheet3!$C$6:$C$1451,0))</f>
        <v>0</v>
      </c>
      <c r="AF693" t="b">
        <f>ISNUMBER(MATCH(G693,Sheet3!$G$6:$G$240,0))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ISNUMBER(MATCH(G694,Sheet3!$C$6:$C$1451,0))</f>
        <v>0</v>
      </c>
      <c r="AF694" t="b">
        <f>ISNUMBER(MATCH(G694,Sheet3!$G$6:$G$240,0))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ISNUMBER(MATCH(G695,Sheet3!$C$6:$C$1451,0))</f>
        <v>1</v>
      </c>
      <c r="AF695" t="b">
        <f>ISNUMBER(MATCH(G695,Sheet3!$G$6:$G$240,0))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ISNUMBER(MATCH(G696,Sheet3!$C$6:$C$1451,0))</f>
        <v>1</v>
      </c>
      <c r="AF696" t="b">
        <f>ISNUMBER(MATCH(G696,Sheet3!$G$6:$G$240,0))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ISNUMBER(MATCH(G697,Sheet3!$C$6:$C$1451,0))</f>
        <v>1</v>
      </c>
      <c r="AF697" t="b">
        <f>ISNUMBER(MATCH(G697,Sheet3!$G$6:$G$240,0))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ISNUMBER(MATCH(G698,Sheet3!$C$6:$C$1451,0))</f>
        <v>1</v>
      </c>
      <c r="AF698" t="b">
        <f>ISNUMBER(MATCH(G698,Sheet3!$G$6:$G$240,0))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ISNUMBER(MATCH(G699,Sheet3!$C$6:$C$1451,0))</f>
        <v>1</v>
      </c>
      <c r="AF699" t="b">
        <f>ISNUMBER(MATCH(G699,Sheet3!$G$6:$G$240,0))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ISNUMBER(MATCH(G700,Sheet3!$C$6:$C$1451,0))</f>
        <v>1</v>
      </c>
      <c r="AF700" t="b">
        <f>ISNUMBER(MATCH(G700,Sheet3!$G$6:$G$240,0))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ISNUMBER(MATCH(G701,Sheet3!$C$6:$C$1451,0))</f>
        <v>1</v>
      </c>
      <c r="AF701" t="b">
        <f>ISNUMBER(MATCH(G701,Sheet3!$G$6:$G$240,0))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ISNUMBER(MATCH(G702,Sheet3!$C$6:$C$1451,0))</f>
        <v>1</v>
      </c>
      <c r="AF702" t="b">
        <f>ISNUMBER(MATCH(G702,Sheet3!$G$6:$G$240,0))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ISNUMBER(MATCH(G703,Sheet3!$C$6:$C$1451,0))</f>
        <v>1</v>
      </c>
      <c r="AF703" t="b">
        <f>ISNUMBER(MATCH(G703,Sheet3!$G$6:$G$240,0))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ISNUMBER(MATCH(G704,Sheet3!$C$6:$C$1451,0))</f>
        <v>1</v>
      </c>
      <c r="AF704" t="b">
        <f>ISNUMBER(MATCH(G704,Sheet3!$G$6:$G$240,0))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ISNUMBER(MATCH(G705,Sheet3!$C$6:$C$1451,0))</f>
        <v>0</v>
      </c>
      <c r="AF705" t="b">
        <f>ISNUMBER(MATCH(G705,Sheet3!$G$6:$G$240,0))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ISNUMBER(MATCH(G706,Sheet3!$C$6:$C$1451,0))</f>
        <v>0</v>
      </c>
      <c r="AF706" t="b">
        <f>ISNUMBER(MATCH(G706,Sheet3!$G$6:$G$240,0))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ISNUMBER(MATCH(G707,Sheet3!$C$6:$C$1451,0))</f>
        <v>0</v>
      </c>
      <c r="AF707" t="b">
        <f>ISNUMBER(MATCH(G707,Sheet3!$G$6:$G$240,0))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ISNUMBER(MATCH(G708,Sheet3!$C$6:$C$1451,0))</f>
        <v>1</v>
      </c>
      <c r="AF708" t="b">
        <f>ISNUMBER(MATCH(G708,Sheet3!$G$6:$G$240,0))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ISNUMBER(MATCH(G709,Sheet3!$C$6:$C$1451,0))</f>
        <v>1</v>
      </c>
      <c r="AF709" t="b">
        <f>ISNUMBER(MATCH(G709,Sheet3!$G$6:$G$240,0))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ISNUMBER(MATCH(G710,Sheet3!$C$6:$C$1451,0))</f>
        <v>1</v>
      </c>
      <c r="AF710" t="b">
        <f>ISNUMBER(MATCH(G710,Sheet3!$G$6:$G$240,0))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ISNUMBER(MATCH(G711,Sheet3!$C$6:$C$1451,0))</f>
        <v>1</v>
      </c>
      <c r="AF711" t="b">
        <f>ISNUMBER(MATCH(G711,Sheet3!$G$6:$G$240,0))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ISNUMBER(MATCH(G712,Sheet3!$C$6:$C$1451,0))</f>
        <v>1</v>
      </c>
      <c r="AF712" t="b">
        <f>ISNUMBER(MATCH(G712,Sheet3!$G$6:$G$240,0))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ISNUMBER(MATCH(G713,Sheet3!$C$6:$C$1451,0))</f>
        <v>1</v>
      </c>
      <c r="AF713" t="b">
        <f>ISNUMBER(MATCH(G713,Sheet3!$G$6:$G$240,0))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ISNUMBER(MATCH(G714,Sheet3!$C$6:$C$1451,0))</f>
        <v>1</v>
      </c>
      <c r="AF714" t="b">
        <f>ISNUMBER(MATCH(G714,Sheet3!$G$6:$G$240,0))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ISNUMBER(MATCH(G715,Sheet3!$C$6:$C$1451,0))</f>
        <v>1</v>
      </c>
      <c r="AF715" t="b">
        <f>ISNUMBER(MATCH(G715,Sheet3!$G$6:$G$240,0))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ISNUMBER(MATCH(G716,Sheet3!$C$6:$C$1451,0))</f>
        <v>1</v>
      </c>
      <c r="AF716" t="b">
        <f>ISNUMBER(MATCH(G716,Sheet3!$G$6:$G$240,0))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ISNUMBER(MATCH(G717,Sheet3!$C$6:$C$1451,0))</f>
        <v>1</v>
      </c>
      <c r="AF717" t="b">
        <f>ISNUMBER(MATCH(G717,Sheet3!$G$6:$G$240,0))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ISNUMBER(MATCH(G718,Sheet3!$C$6:$C$1451,0))</f>
        <v>1</v>
      </c>
      <c r="AF718" t="b">
        <f>ISNUMBER(MATCH(G718,Sheet3!$G$6:$G$240,0))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ISNUMBER(MATCH(G719,Sheet3!$C$6:$C$1451,0))</f>
        <v>1</v>
      </c>
      <c r="AF719" t="b">
        <f>ISNUMBER(MATCH(G719,Sheet3!$G$6:$G$240,0))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ISNUMBER(MATCH(G720,Sheet3!$C$6:$C$1451,0))</f>
        <v>1</v>
      </c>
      <c r="AF720" t="b">
        <f>ISNUMBER(MATCH(G720,Sheet3!$G$6:$G$240,0))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ISNUMBER(MATCH(G721,Sheet3!$C$6:$C$1451,0))</f>
        <v>1</v>
      </c>
      <c r="AF721" t="b">
        <f>ISNUMBER(MATCH(G721,Sheet3!$G$6:$G$240,0))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ISNUMBER(MATCH(G722,Sheet3!$C$6:$C$1451,0))</f>
        <v>1</v>
      </c>
      <c r="AF722" t="b">
        <f>ISNUMBER(MATCH(G722,Sheet3!$G$6:$G$240,0))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ISNUMBER(MATCH(G723,Sheet3!$C$6:$C$1451,0))</f>
        <v>1</v>
      </c>
      <c r="AF723" t="b">
        <f>ISNUMBER(MATCH(G723,Sheet3!$G$6:$G$240,0))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ISNUMBER(MATCH(G724,Sheet3!$C$6:$C$1451,0))</f>
        <v>1</v>
      </c>
      <c r="AF724" t="b">
        <f>ISNUMBER(MATCH(G724,Sheet3!$G$6:$G$240,0))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ISNUMBER(MATCH(G725,Sheet3!$C$6:$C$1451,0))</f>
        <v>1</v>
      </c>
      <c r="AF725" t="b">
        <f>ISNUMBER(MATCH(G725,Sheet3!$G$6:$G$240,0))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ISNUMBER(MATCH(G726,Sheet3!$C$6:$C$1451,0))</f>
        <v>0</v>
      </c>
      <c r="AF726" t="b">
        <f>ISNUMBER(MATCH(G726,Sheet3!$G$6:$G$240,0))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ISNUMBER(MATCH(G727,Sheet3!$C$6:$C$1451,0))</f>
        <v>1</v>
      </c>
      <c r="AF727" t="b">
        <f>ISNUMBER(MATCH(G727,Sheet3!$G$6:$G$240,0))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ISNUMBER(MATCH(G728,Sheet3!$C$6:$C$1451,0))</f>
        <v>1</v>
      </c>
      <c r="AF728" t="b">
        <f>ISNUMBER(MATCH(G728,Sheet3!$G$6:$G$240,0))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ISNUMBER(MATCH(G729,Sheet3!$C$6:$C$1451,0))</f>
        <v>1</v>
      </c>
      <c r="AF729" t="b">
        <f>ISNUMBER(MATCH(G729,Sheet3!$G$6:$G$240,0))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ISNUMBER(MATCH(G730,Sheet3!$C$6:$C$1451,0))</f>
        <v>0</v>
      </c>
      <c r="AF730" t="b">
        <f>ISNUMBER(MATCH(G730,Sheet3!$G$6:$G$240,0))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ISNUMBER(MATCH(G731,Sheet3!$C$6:$C$1451,0))</f>
        <v>0</v>
      </c>
      <c r="AF731" t="b">
        <f>ISNUMBER(MATCH(G731,Sheet3!$G$6:$G$240,0))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ISNUMBER(MATCH(G732,Sheet3!$C$6:$C$1451,0))</f>
        <v>0</v>
      </c>
      <c r="AF732" t="b">
        <f>ISNUMBER(MATCH(G732,Sheet3!$G$6:$G$240,0))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ISNUMBER(MATCH(G733,Sheet3!$C$6:$C$1451,0))</f>
        <v>0</v>
      </c>
      <c r="AF733" t="b">
        <f>ISNUMBER(MATCH(G733,Sheet3!$G$6:$G$240,0))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ISNUMBER(MATCH(G734,Sheet3!$C$6:$C$1451,0))</f>
        <v>0</v>
      </c>
      <c r="AF734" t="b">
        <f>ISNUMBER(MATCH(G734,Sheet3!$G$6:$G$240,0))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ISNUMBER(MATCH(G735,Sheet3!$C$6:$C$1451,0))</f>
        <v>0</v>
      </c>
      <c r="AF735" t="b">
        <f>ISNUMBER(MATCH(G735,Sheet3!$G$6:$G$240,0))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ISNUMBER(MATCH(G736,Sheet3!$C$6:$C$1451,0))</f>
        <v>0</v>
      </c>
      <c r="AF736" t="b">
        <f>ISNUMBER(MATCH(G736,Sheet3!$G$6:$G$240,0))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ISNUMBER(MATCH(G737,Sheet3!$C$6:$C$1451,0))</f>
        <v>0</v>
      </c>
      <c r="AF737" t="b">
        <f>ISNUMBER(MATCH(G737,Sheet3!$G$6:$G$240,0))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ISNUMBER(MATCH(G738,Sheet3!$C$6:$C$1451,0))</f>
        <v>0</v>
      </c>
      <c r="AF738" t="b">
        <f>ISNUMBER(MATCH(G738,Sheet3!$G$6:$G$240,0))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ISNUMBER(MATCH(G739,Sheet3!$C$6:$C$1451,0))</f>
        <v>0</v>
      </c>
      <c r="AF739" t="b">
        <f>ISNUMBER(MATCH(G739,Sheet3!$G$6:$G$240,0))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ISNUMBER(MATCH(G740,Sheet3!$C$6:$C$1451,0))</f>
        <v>0</v>
      </c>
      <c r="AF740" t="b">
        <f>ISNUMBER(MATCH(G740,Sheet3!$G$6:$G$240,0))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ISNUMBER(MATCH(G741,Sheet3!$C$6:$C$1451,0))</f>
        <v>0</v>
      </c>
      <c r="AF741" t="b">
        <f>ISNUMBER(MATCH(G741,Sheet3!$G$6:$G$240,0))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ISNUMBER(MATCH(G742,Sheet3!$C$6:$C$1451,0))</f>
        <v>1</v>
      </c>
      <c r="AF742" t="b">
        <f>ISNUMBER(MATCH(G742,Sheet3!$G$6:$G$240,0))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ISNUMBER(MATCH(G743,Sheet3!$C$6:$C$1451,0))</f>
        <v>1</v>
      </c>
      <c r="AF743" t="b">
        <f>ISNUMBER(MATCH(G743,Sheet3!$G$6:$G$240,0))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ISNUMBER(MATCH(G744,Sheet3!$C$6:$C$1451,0))</f>
        <v>1</v>
      </c>
      <c r="AF744" t="b">
        <f>ISNUMBER(MATCH(G744,Sheet3!$G$6:$G$240,0))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ISNUMBER(MATCH(G745,Sheet3!$C$6:$C$1451,0))</f>
        <v>1</v>
      </c>
      <c r="AF745" t="b">
        <f>ISNUMBER(MATCH(G745,Sheet3!$G$6:$G$240,0))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ISNUMBER(MATCH(G746,Sheet3!$C$6:$C$1451,0))</f>
        <v>0</v>
      </c>
      <c r="AF746" t="b">
        <f>ISNUMBER(MATCH(G746,Sheet3!$G$6:$G$240,0))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ISNUMBER(MATCH(G747,Sheet3!$C$6:$C$1451,0))</f>
        <v>0</v>
      </c>
      <c r="AF747" t="b">
        <f>ISNUMBER(MATCH(G747,Sheet3!$G$6:$G$240,0))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ISNUMBER(MATCH(G748,Sheet3!$C$6:$C$1451,0))</f>
        <v>0</v>
      </c>
      <c r="AF748" t="b">
        <f>ISNUMBER(MATCH(G748,Sheet3!$G$6:$G$240,0))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ISNUMBER(MATCH(G749,Sheet3!$C$6:$C$1451,0))</f>
        <v>0</v>
      </c>
      <c r="AF749" t="b">
        <f>ISNUMBER(MATCH(G749,Sheet3!$G$6:$G$240,0))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ISNUMBER(MATCH(G750,Sheet3!$C$6:$C$1451,0))</f>
        <v>0</v>
      </c>
      <c r="AF750" t="b">
        <f>ISNUMBER(MATCH(G750,Sheet3!$G$6:$G$240,0))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ISNUMBER(MATCH(G751,Sheet3!$C$6:$C$1451,0))</f>
        <v>0</v>
      </c>
      <c r="AF751" t="b">
        <f>ISNUMBER(MATCH(G751,Sheet3!$G$6:$G$240,0))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ISNUMBER(MATCH(G752,Sheet3!$C$6:$C$1451,0))</f>
        <v>0</v>
      </c>
      <c r="AF752" t="b">
        <f>ISNUMBER(MATCH(G752,Sheet3!$G$6:$G$240,0))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ISNUMBER(MATCH(G753,Sheet3!$C$6:$C$1451,0))</f>
        <v>0</v>
      </c>
      <c r="AF753" t="b">
        <f>ISNUMBER(MATCH(G753,Sheet3!$G$6:$G$240,0))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ISNUMBER(MATCH(G754,Sheet3!$C$6:$C$1451,0))</f>
        <v>0</v>
      </c>
      <c r="AF754" t="b">
        <f>ISNUMBER(MATCH(G754,Sheet3!$G$6:$G$240,0))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ISNUMBER(MATCH(G755,Sheet3!$C$6:$C$1451,0))</f>
        <v>0</v>
      </c>
      <c r="AF755" t="b">
        <f>ISNUMBER(MATCH(G755,Sheet3!$G$6:$G$240,0))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ISNUMBER(MATCH(G756,Sheet3!$C$6:$C$1451,0))</f>
        <v>0</v>
      </c>
      <c r="AF756" t="b">
        <f>ISNUMBER(MATCH(G756,Sheet3!$G$6:$G$240,0))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ISNUMBER(MATCH(G757,Sheet3!$C$6:$C$1451,0))</f>
        <v>0</v>
      </c>
      <c r="AF757" t="b">
        <f>ISNUMBER(MATCH(G757,Sheet3!$G$6:$G$240,0))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ISNUMBER(MATCH(G758,Sheet3!$C$6:$C$1451,0))</f>
        <v>0</v>
      </c>
      <c r="AF758" t="b">
        <f>ISNUMBER(MATCH(G758,Sheet3!$G$6:$G$240,0))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ISNUMBER(MATCH(G759,Sheet3!$C$6:$C$1451,0))</f>
        <v>0</v>
      </c>
      <c r="AF759" t="b">
        <f>ISNUMBER(MATCH(G759,Sheet3!$G$6:$G$240,0))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ISNUMBER(MATCH(G760,Sheet3!$C$6:$C$1451,0))</f>
        <v>0</v>
      </c>
      <c r="AF760" t="b">
        <f>ISNUMBER(MATCH(G760,Sheet3!$G$6:$G$240,0))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ISNUMBER(MATCH(G761,Sheet3!$C$6:$C$1451,0))</f>
        <v>0</v>
      </c>
      <c r="AF761" t="b">
        <f>ISNUMBER(MATCH(G761,Sheet3!$G$6:$G$240,0))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ISNUMBER(MATCH(G762,Sheet3!$C$6:$C$1451,0))</f>
        <v>1</v>
      </c>
      <c r="AF762" t="b">
        <f>ISNUMBER(MATCH(G762,Sheet3!$G$6:$G$240,0))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ISNUMBER(MATCH(G763,Sheet3!$C$6:$C$1451,0))</f>
        <v>1</v>
      </c>
      <c r="AF763" t="b">
        <f>ISNUMBER(MATCH(G763,Sheet3!$G$6:$G$240,0))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ISNUMBER(MATCH(G764,Sheet3!$C$6:$C$1451,0))</f>
        <v>1</v>
      </c>
      <c r="AF764" t="b">
        <f>ISNUMBER(MATCH(G764,Sheet3!$G$6:$G$240,0))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ISNUMBER(MATCH(G765,Sheet3!$C$6:$C$1451,0))</f>
        <v>0</v>
      </c>
      <c r="AF765" t="b">
        <f>ISNUMBER(MATCH(G765,Sheet3!$G$6:$G$240,0))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ISNUMBER(MATCH(G766,Sheet3!$C$6:$C$1451,0))</f>
        <v>1</v>
      </c>
      <c r="AF766" t="b">
        <f>ISNUMBER(MATCH(G766,Sheet3!$G$6:$G$240,0))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ISNUMBER(MATCH(G767,Sheet3!$C$6:$C$1451,0))</f>
        <v>1</v>
      </c>
      <c r="AF767" t="b">
        <f>ISNUMBER(MATCH(G767,Sheet3!$G$6:$G$240,0))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ISNUMBER(MATCH(G768,Sheet3!$C$6:$C$1451,0))</f>
        <v>0</v>
      </c>
      <c r="AF768" t="b">
        <f>ISNUMBER(MATCH(G768,Sheet3!$G$6:$G$240,0))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ISNUMBER(MATCH(G769,Sheet3!$C$6:$C$1451,0))</f>
        <v>0</v>
      </c>
      <c r="AF769" t="b">
        <f>ISNUMBER(MATCH(G769,Sheet3!$G$6:$G$240,0))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ISNUMBER(MATCH(G770,Sheet3!$C$6:$C$1451,0))</f>
        <v>1</v>
      </c>
      <c r="AF770" t="b">
        <f>ISNUMBER(MATCH(G770,Sheet3!$G$6:$G$240,0))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ISNUMBER(MATCH(G771,Sheet3!$C$6:$C$1451,0))</f>
        <v>1</v>
      </c>
      <c r="AF771" t="b">
        <f>ISNUMBER(MATCH(G771,Sheet3!$G$6:$G$240,0))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ISNUMBER(MATCH(G772,Sheet3!$C$6:$C$1451,0))</f>
        <v>0</v>
      </c>
      <c r="AF772" t="b">
        <f>ISNUMBER(MATCH(G772,Sheet3!$G$6:$G$240,0))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ISNUMBER(MATCH(G773,Sheet3!$C$6:$C$1451,0))</f>
        <v>1</v>
      </c>
      <c r="AF773" t="b">
        <f>ISNUMBER(MATCH(G773,Sheet3!$G$6:$G$240,0))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ISNUMBER(MATCH(G774,Sheet3!$C$6:$C$1451,0))</f>
        <v>1</v>
      </c>
      <c r="AF774" t="b">
        <f>ISNUMBER(MATCH(G774,Sheet3!$G$6:$G$240,0))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ISNUMBER(MATCH(G775,Sheet3!$C$6:$C$1451,0))</f>
        <v>1</v>
      </c>
      <c r="AF775" t="b">
        <f>ISNUMBER(MATCH(G775,Sheet3!$G$6:$G$240,0))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ISNUMBER(MATCH(G776,Sheet3!$C$6:$C$1451,0))</f>
        <v>1</v>
      </c>
      <c r="AF776" t="b">
        <f>ISNUMBER(MATCH(G776,Sheet3!$G$6:$G$240,0))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ISNUMBER(MATCH(G777,Sheet3!$C$6:$C$1451,0))</f>
        <v>0</v>
      </c>
      <c r="AF777" t="b">
        <f>ISNUMBER(MATCH(G777,Sheet3!$G$6:$G$240,0))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ISNUMBER(MATCH(G778,Sheet3!$C$6:$C$1451,0))</f>
        <v>0</v>
      </c>
      <c r="AF778" t="b">
        <f>ISNUMBER(MATCH(G778,Sheet3!$G$6:$G$240,0))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ISNUMBER(MATCH(G779,Sheet3!$C$6:$C$1451,0))</f>
        <v>0</v>
      </c>
      <c r="AF779" t="b">
        <f>ISNUMBER(MATCH(G779,Sheet3!$G$6:$G$240,0))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ISNUMBER(MATCH(G780,Sheet3!$C$6:$C$1451,0))</f>
        <v>0</v>
      </c>
      <c r="AF780" t="b">
        <f>ISNUMBER(MATCH(G780,Sheet3!$G$6:$G$240,0))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ISNUMBER(MATCH(G781,Sheet3!$C$6:$C$1451,0))</f>
        <v>1</v>
      </c>
      <c r="AF781" t="b">
        <f>ISNUMBER(MATCH(G781,Sheet3!$G$6:$G$240,0))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ISNUMBER(MATCH(G782,Sheet3!$C$6:$C$1451,0))</f>
        <v>1</v>
      </c>
      <c r="AF782" t="b">
        <f>ISNUMBER(MATCH(G782,Sheet3!$G$6:$G$240,0))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ISNUMBER(MATCH(G783,Sheet3!$C$6:$C$1451,0))</f>
        <v>1</v>
      </c>
      <c r="AF783" t="b">
        <f>ISNUMBER(MATCH(G783,Sheet3!$G$6:$G$240,0))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ISNUMBER(MATCH(G784,Sheet3!$C$6:$C$1451,0))</f>
        <v>1</v>
      </c>
      <c r="AF784" t="b">
        <f>ISNUMBER(MATCH(G784,Sheet3!$G$6:$G$240,0))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ISNUMBER(MATCH(G785,Sheet3!$C$6:$C$1451,0))</f>
        <v>1</v>
      </c>
      <c r="AF785" t="b">
        <f>ISNUMBER(MATCH(G785,Sheet3!$G$6:$G$240,0))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ISNUMBER(MATCH(G786,Sheet3!$C$6:$C$1451,0))</f>
        <v>1</v>
      </c>
      <c r="AF786" t="b">
        <f>ISNUMBER(MATCH(G786,Sheet3!$G$6:$G$240,0))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ISNUMBER(MATCH(G787,Sheet3!$C$6:$C$1451,0))</f>
        <v>1</v>
      </c>
      <c r="AF787" t="b">
        <f>ISNUMBER(MATCH(G787,Sheet3!$G$6:$G$240,0))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ISNUMBER(MATCH(G788,Sheet3!$C$6:$C$1451,0))</f>
        <v>1</v>
      </c>
      <c r="AF788" t="b">
        <f>ISNUMBER(MATCH(G788,Sheet3!$G$6:$G$240,0))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ISNUMBER(MATCH(G789,Sheet3!$C$6:$C$1451,0))</f>
        <v>0</v>
      </c>
      <c r="AF789" t="b">
        <f>ISNUMBER(MATCH(G789,Sheet3!$G$6:$G$240,0))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ISNUMBER(MATCH(G790,Sheet3!$C$6:$C$1451,0))</f>
        <v>0</v>
      </c>
      <c r="AF790" t="b">
        <f>ISNUMBER(MATCH(G790,Sheet3!$G$6:$G$240,0))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ISNUMBER(MATCH(G791,Sheet3!$C$6:$C$1451,0))</f>
        <v>0</v>
      </c>
      <c r="AF791" t="b">
        <f>ISNUMBER(MATCH(G791,Sheet3!$G$6:$G$240,0))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ISNUMBER(MATCH(G792,Sheet3!$C$6:$C$1451,0))</f>
        <v>0</v>
      </c>
      <c r="AF792" t="b">
        <f>ISNUMBER(MATCH(G792,Sheet3!$G$6:$G$240,0))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ISNUMBER(MATCH(G793,Sheet3!$C$6:$C$1451,0))</f>
        <v>0</v>
      </c>
      <c r="AF793" t="b">
        <f>ISNUMBER(MATCH(G793,Sheet3!$G$6:$G$240,0))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ISNUMBER(MATCH(G794,Sheet3!$C$6:$C$1451,0))</f>
        <v>0</v>
      </c>
      <c r="AF794" t="b">
        <f>ISNUMBER(MATCH(G794,Sheet3!$G$6:$G$240,0))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ISNUMBER(MATCH(G795,Sheet3!$C$6:$C$1451,0))</f>
        <v>1</v>
      </c>
      <c r="AF795" t="b">
        <f>ISNUMBER(MATCH(G795,Sheet3!$G$6:$G$240,0))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ISNUMBER(MATCH(G796,Sheet3!$C$6:$C$1451,0))</f>
        <v>1</v>
      </c>
      <c r="AF796" t="b">
        <f>ISNUMBER(MATCH(G796,Sheet3!$G$6:$G$240,0))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ISNUMBER(MATCH(G797,Sheet3!$C$6:$C$1451,0))</f>
        <v>1</v>
      </c>
      <c r="AF797" t="b">
        <f>ISNUMBER(MATCH(G797,Sheet3!$G$6:$G$240,0))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ISNUMBER(MATCH(G798,Sheet3!$C$6:$C$1451,0))</f>
        <v>1</v>
      </c>
      <c r="AF798" t="b">
        <f>ISNUMBER(MATCH(G798,Sheet3!$G$6:$G$240,0))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ISNUMBER(MATCH(G799,Sheet3!$C$6:$C$1451,0))</f>
        <v>1</v>
      </c>
      <c r="AF799" t="b">
        <f>ISNUMBER(MATCH(G799,Sheet3!$G$6:$G$240,0))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ISNUMBER(MATCH(G800,Sheet3!$C$6:$C$1451,0))</f>
        <v>1</v>
      </c>
      <c r="AF800" t="b">
        <f>ISNUMBER(MATCH(G800,Sheet3!$G$6:$G$240,0))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ISNUMBER(MATCH(G801,Sheet3!$C$6:$C$1451,0))</f>
        <v>1</v>
      </c>
      <c r="AF801" t="b">
        <f>ISNUMBER(MATCH(G801,Sheet3!$G$6:$G$240,0))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ISNUMBER(MATCH(G802,Sheet3!$C$6:$C$1451,0))</f>
        <v>1</v>
      </c>
      <c r="AF802" t="b">
        <f>ISNUMBER(MATCH(G802,Sheet3!$G$6:$G$240,0))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ISNUMBER(MATCH(G803,Sheet3!$C$6:$C$1451,0))</f>
        <v>1</v>
      </c>
      <c r="AF803" t="b">
        <f>ISNUMBER(MATCH(G803,Sheet3!$G$6:$G$240,0))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ISNUMBER(MATCH(G804,Sheet3!$C$6:$C$1451,0))</f>
        <v>1</v>
      </c>
      <c r="AF804" t="b">
        <f>ISNUMBER(MATCH(G804,Sheet3!$G$6:$G$240,0))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ISNUMBER(MATCH(G805,Sheet3!$C$6:$C$1451,0))</f>
        <v>1</v>
      </c>
      <c r="AF805" t="b">
        <f>ISNUMBER(MATCH(G805,Sheet3!$G$6:$G$240,0))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ISNUMBER(MATCH(G806,Sheet3!$C$6:$C$1451,0))</f>
        <v>0</v>
      </c>
      <c r="AF806" t="b">
        <f>ISNUMBER(MATCH(G806,Sheet3!$G$6:$G$240,0))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ISNUMBER(MATCH(G807,Sheet3!$C$6:$C$1451,0))</f>
        <v>0</v>
      </c>
      <c r="AF807" t="b">
        <f>ISNUMBER(MATCH(G807,Sheet3!$G$6:$G$240,0))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ISNUMBER(MATCH(G808,Sheet3!$C$6:$C$1451,0))</f>
        <v>0</v>
      </c>
      <c r="AF808" t="b">
        <f>ISNUMBER(MATCH(G808,Sheet3!$G$6:$G$240,0))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ISNUMBER(MATCH(G809,Sheet3!$C$6:$C$1451,0))</f>
        <v>0</v>
      </c>
      <c r="AF809" t="b">
        <f>ISNUMBER(MATCH(G809,Sheet3!$G$6:$G$240,0))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ISNUMBER(MATCH(G810,Sheet3!$C$6:$C$1451,0))</f>
        <v>0</v>
      </c>
      <c r="AF810" t="b">
        <f>ISNUMBER(MATCH(G810,Sheet3!$G$6:$G$240,0))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ISNUMBER(MATCH(G811,Sheet3!$C$6:$C$1451,0))</f>
        <v>0</v>
      </c>
      <c r="AF811" t="b">
        <f>ISNUMBER(MATCH(G811,Sheet3!$G$6:$G$240,0))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ISNUMBER(MATCH(G812,Sheet3!$C$6:$C$1451,0))</f>
        <v>1</v>
      </c>
      <c r="AF812" t="b">
        <f>ISNUMBER(MATCH(G812,Sheet3!$G$6:$G$240,0))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ISNUMBER(MATCH(G813,Sheet3!$C$6:$C$1451,0))</f>
        <v>1</v>
      </c>
      <c r="AF813" t="b">
        <f>ISNUMBER(MATCH(G813,Sheet3!$G$6:$G$240,0))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ISNUMBER(MATCH(G814,Sheet3!$C$6:$C$1451,0))</f>
        <v>1</v>
      </c>
      <c r="AF814" t="b">
        <f>ISNUMBER(MATCH(G814,Sheet3!$G$6:$G$240,0))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ISNUMBER(MATCH(G815,Sheet3!$C$6:$C$1451,0))</f>
        <v>1</v>
      </c>
      <c r="AF815" t="b">
        <f>ISNUMBER(MATCH(G815,Sheet3!$G$6:$G$240,0))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ISNUMBER(MATCH(G816,Sheet3!$C$6:$C$1451,0))</f>
        <v>1</v>
      </c>
      <c r="AF816" t="b">
        <f>ISNUMBER(MATCH(G816,Sheet3!$G$6:$G$240,0))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ISNUMBER(MATCH(G817,Sheet3!$C$6:$C$1451,0))</f>
        <v>0</v>
      </c>
      <c r="AF817" t="b">
        <f>ISNUMBER(MATCH(G817,Sheet3!$G$6:$G$240,0))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ISNUMBER(MATCH(G818,Sheet3!$C$6:$C$1451,0))</f>
        <v>0</v>
      </c>
      <c r="AF818" t="b">
        <f>ISNUMBER(MATCH(G818,Sheet3!$G$6:$G$240,0))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ISNUMBER(MATCH(G819,Sheet3!$C$6:$C$1451,0))</f>
        <v>0</v>
      </c>
      <c r="AF819" t="b">
        <f>ISNUMBER(MATCH(G819,Sheet3!$G$6:$G$240,0))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ISNUMBER(MATCH(G820,Sheet3!$C$6:$C$1451,0))</f>
        <v>0</v>
      </c>
      <c r="AF820" t="b">
        <f>ISNUMBER(MATCH(G820,Sheet3!$G$6:$G$240,0))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ISNUMBER(MATCH(G821,Sheet3!$C$6:$C$1451,0))</f>
        <v>1</v>
      </c>
      <c r="AF821" t="b">
        <f>ISNUMBER(MATCH(G821,Sheet3!$G$6:$G$240,0))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ISNUMBER(MATCH(G822,Sheet3!$C$6:$C$1451,0))</f>
        <v>1</v>
      </c>
      <c r="AF822" t="b">
        <f>ISNUMBER(MATCH(G822,Sheet3!$G$6:$G$240,0))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ISNUMBER(MATCH(G823,Sheet3!$C$6:$C$1451,0))</f>
        <v>1</v>
      </c>
      <c r="AF823" t="b">
        <f>ISNUMBER(MATCH(G823,Sheet3!$G$6:$G$240,0))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ISNUMBER(MATCH(G824,Sheet3!$C$6:$C$1451,0))</f>
        <v>1</v>
      </c>
      <c r="AF824" t="b">
        <f>ISNUMBER(MATCH(G824,Sheet3!$G$6:$G$240,0))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ISNUMBER(MATCH(G825,Sheet3!$C$6:$C$1451,0))</f>
        <v>1</v>
      </c>
      <c r="AF825" t="b">
        <f>ISNUMBER(MATCH(G825,Sheet3!$G$6:$G$240,0))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ISNUMBER(MATCH(G826,Sheet3!$C$6:$C$1451,0))</f>
        <v>1</v>
      </c>
      <c r="AF826" t="b">
        <f>ISNUMBER(MATCH(G826,Sheet3!$G$6:$G$240,0))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ISNUMBER(MATCH(G827,Sheet3!$C$6:$C$1451,0))</f>
        <v>1</v>
      </c>
      <c r="AF827" t="b">
        <f>ISNUMBER(MATCH(G827,Sheet3!$G$6:$G$240,0))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ISNUMBER(MATCH(G828,Sheet3!$C$6:$C$1451,0))</f>
        <v>1</v>
      </c>
      <c r="AF828" t="b">
        <f>ISNUMBER(MATCH(G828,Sheet3!$G$6:$G$240,0))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ISNUMBER(MATCH(G829,Sheet3!$C$6:$C$1451,0))</f>
        <v>1</v>
      </c>
      <c r="AF829" t="b">
        <f>ISNUMBER(MATCH(G829,Sheet3!$G$6:$G$240,0))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ISNUMBER(MATCH(G830,Sheet3!$C$6:$C$1451,0))</f>
        <v>1</v>
      </c>
      <c r="AF830" t="b">
        <f>ISNUMBER(MATCH(G830,Sheet3!$G$6:$G$240,0))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ISNUMBER(MATCH(G831,Sheet3!$C$6:$C$1451,0))</f>
        <v>1</v>
      </c>
      <c r="AF831" t="b">
        <f>ISNUMBER(MATCH(G831,Sheet3!$G$6:$G$240,0))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ISNUMBER(MATCH(G832,Sheet3!$C$6:$C$1451,0))</f>
        <v>1</v>
      </c>
      <c r="AF832" t="b">
        <f>ISNUMBER(MATCH(G832,Sheet3!$G$6:$G$240,0))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ISNUMBER(MATCH(G833,Sheet3!$C$6:$C$1451,0))</f>
        <v>1</v>
      </c>
      <c r="AF833" t="b">
        <f>ISNUMBER(MATCH(G833,Sheet3!$G$6:$G$240,0))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ISNUMBER(MATCH(G834,Sheet3!$C$6:$C$1451,0))</f>
        <v>1</v>
      </c>
      <c r="AF834" t="b">
        <f>ISNUMBER(MATCH(G834,Sheet3!$G$6:$G$240,0))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ISNUMBER(MATCH(G835,Sheet3!$C$6:$C$1451,0))</f>
        <v>1</v>
      </c>
      <c r="AF835" t="b">
        <f>ISNUMBER(MATCH(G835,Sheet3!$G$6:$G$240,0))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ISNUMBER(MATCH(G836,Sheet3!$C$6:$C$1451,0))</f>
        <v>1</v>
      </c>
      <c r="AF836" t="b">
        <f>ISNUMBER(MATCH(G836,Sheet3!$G$6:$G$240,0))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ISNUMBER(MATCH(G837,Sheet3!$C$6:$C$1451,0))</f>
        <v>1</v>
      </c>
      <c r="AF837" t="b">
        <f>ISNUMBER(MATCH(G837,Sheet3!$G$6:$G$240,0))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ISNUMBER(MATCH(G838,Sheet3!$C$6:$C$1451,0))</f>
        <v>1</v>
      </c>
      <c r="AF838" t="b">
        <f>ISNUMBER(MATCH(G838,Sheet3!$G$6:$G$240,0))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ISNUMBER(MATCH(G839,Sheet3!$C$6:$C$1451,0))</f>
        <v>1</v>
      </c>
      <c r="AF839" t="b">
        <f>ISNUMBER(MATCH(G839,Sheet3!$G$6:$G$240,0))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ISNUMBER(MATCH(G840,Sheet3!$C$6:$C$1451,0))</f>
        <v>1</v>
      </c>
      <c r="AF840" t="b">
        <f>ISNUMBER(MATCH(G840,Sheet3!$G$6:$G$240,0))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ISNUMBER(MATCH(G841,Sheet3!$C$6:$C$1451,0))</f>
        <v>1</v>
      </c>
      <c r="AF841" t="b">
        <f>ISNUMBER(MATCH(G841,Sheet3!$G$6:$G$240,0))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ISNUMBER(MATCH(G842,Sheet3!$C$6:$C$1451,0))</f>
        <v>1</v>
      </c>
      <c r="AF842" t="b">
        <f>ISNUMBER(MATCH(G842,Sheet3!$G$6:$G$240,0))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ISNUMBER(MATCH(G843,Sheet3!$C$6:$C$1451,0))</f>
        <v>0</v>
      </c>
      <c r="AF843" t="b">
        <f>ISNUMBER(MATCH(G843,Sheet3!$G$6:$G$240,0))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ISNUMBER(MATCH(G844,Sheet3!$C$6:$C$1451,0))</f>
        <v>0</v>
      </c>
      <c r="AF844" t="b">
        <f>ISNUMBER(MATCH(G844,Sheet3!$G$6:$G$240,0))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ISNUMBER(MATCH(G845,Sheet3!$C$6:$C$1451,0))</f>
        <v>0</v>
      </c>
      <c r="AF845" t="b">
        <f>ISNUMBER(MATCH(G845,Sheet3!$G$6:$G$240,0))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ISNUMBER(MATCH(G846,Sheet3!$C$6:$C$1451,0))</f>
        <v>0</v>
      </c>
      <c r="AF846" t="b">
        <f>ISNUMBER(MATCH(G846,Sheet3!$G$6:$G$240,0))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ISNUMBER(MATCH(G847,Sheet3!$C$6:$C$1451,0))</f>
        <v>0</v>
      </c>
      <c r="AF847" t="b">
        <f>ISNUMBER(MATCH(G847,Sheet3!$G$6:$G$240,0))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ISNUMBER(MATCH(G848,Sheet3!$C$6:$C$1451,0))</f>
        <v>1</v>
      </c>
      <c r="AF848" t="b">
        <f>ISNUMBER(MATCH(G848,Sheet3!$G$6:$G$240,0))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ISNUMBER(MATCH(G849,Sheet3!$C$6:$C$1451,0))</f>
        <v>1</v>
      </c>
      <c r="AF849" t="b">
        <f>ISNUMBER(MATCH(G849,Sheet3!$G$6:$G$240,0))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ISNUMBER(MATCH(G850,Sheet3!$C$6:$C$1451,0))</f>
        <v>1</v>
      </c>
      <c r="AF850" t="b">
        <f>ISNUMBER(MATCH(G850,Sheet3!$G$6:$G$240,0))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ISNUMBER(MATCH(G851,Sheet3!$C$6:$C$1451,0))</f>
        <v>1</v>
      </c>
      <c r="AF851" t="b">
        <f>ISNUMBER(MATCH(G851,Sheet3!$G$6:$G$240,0))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ISNUMBER(MATCH(G852,Sheet3!$C$6:$C$1451,0))</f>
        <v>1</v>
      </c>
      <c r="AF852" t="b">
        <f>ISNUMBER(MATCH(G852,Sheet3!$G$6:$G$240,0))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ISNUMBER(MATCH(G853,Sheet3!$C$6:$C$1451,0))</f>
        <v>1</v>
      </c>
      <c r="AF853" t="b">
        <f>ISNUMBER(MATCH(G853,Sheet3!$G$6:$G$240,0))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ISNUMBER(MATCH(G854,Sheet3!$C$6:$C$1451,0))</f>
        <v>1</v>
      </c>
      <c r="AF854" t="b">
        <f>ISNUMBER(MATCH(G854,Sheet3!$G$6:$G$240,0))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ISNUMBER(MATCH(G855,Sheet3!$C$6:$C$1451,0))</f>
        <v>1</v>
      </c>
      <c r="AF855" t="b">
        <f>ISNUMBER(MATCH(G855,Sheet3!$G$6:$G$240,0))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ISNUMBER(MATCH(G856,Sheet3!$C$6:$C$1451,0))</f>
        <v>1</v>
      </c>
      <c r="AF856" t="b">
        <f>ISNUMBER(MATCH(G856,Sheet3!$G$6:$G$240,0))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ISNUMBER(MATCH(G857,Sheet3!$C$6:$C$1451,0))</f>
        <v>1</v>
      </c>
      <c r="AF857" t="b">
        <f>ISNUMBER(MATCH(G857,Sheet3!$G$6:$G$240,0))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ISNUMBER(MATCH(G858,Sheet3!$C$6:$C$1451,0))</f>
        <v>0</v>
      </c>
      <c r="AF858" t="b">
        <f>ISNUMBER(MATCH(G858,Sheet3!$G$6:$G$240,0))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ISNUMBER(MATCH(G859,Sheet3!$C$6:$C$1451,0))</f>
        <v>0</v>
      </c>
      <c r="AF859" t="b">
        <f>ISNUMBER(MATCH(G859,Sheet3!$G$6:$G$240,0))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ISNUMBER(MATCH(G860,Sheet3!$C$6:$C$1451,0))</f>
        <v>0</v>
      </c>
      <c r="AF860" t="b">
        <f>ISNUMBER(MATCH(G860,Sheet3!$G$6:$G$240,0))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ISNUMBER(MATCH(G861,Sheet3!$C$6:$C$1451,0))</f>
        <v>1</v>
      </c>
      <c r="AF861" t="b">
        <f>ISNUMBER(MATCH(G861,Sheet3!$G$6:$G$240,0))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ISNUMBER(MATCH(G862,Sheet3!$C$6:$C$1451,0))</f>
        <v>1</v>
      </c>
      <c r="AF862" t="b">
        <f>ISNUMBER(MATCH(G862,Sheet3!$G$6:$G$240,0))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ISNUMBER(MATCH(G863,Sheet3!$C$6:$C$1451,0))</f>
        <v>1</v>
      </c>
      <c r="AF863" t="b">
        <f>ISNUMBER(MATCH(G863,Sheet3!$G$6:$G$240,0))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ISNUMBER(MATCH(G864,Sheet3!$C$6:$C$1451,0))</f>
        <v>1</v>
      </c>
      <c r="AF864" t="b">
        <f>ISNUMBER(MATCH(G864,Sheet3!$G$6:$G$240,0))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ISNUMBER(MATCH(G865,Sheet3!$C$6:$C$1451,0))</f>
        <v>1</v>
      </c>
      <c r="AF865" t="b">
        <f>ISNUMBER(MATCH(G865,Sheet3!$G$6:$G$240,0))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ISNUMBER(MATCH(G866,Sheet3!$C$6:$C$1451,0))</f>
        <v>1</v>
      </c>
      <c r="AF866" t="b">
        <f>ISNUMBER(MATCH(G866,Sheet3!$G$6:$G$240,0))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ISNUMBER(MATCH(G867,Sheet3!$C$6:$C$1451,0))</f>
        <v>1</v>
      </c>
      <c r="AF867" t="b">
        <f>ISNUMBER(MATCH(G867,Sheet3!$G$6:$G$240,0))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ISNUMBER(MATCH(G868,Sheet3!$C$6:$C$1451,0))</f>
        <v>1</v>
      </c>
      <c r="AF868" t="b">
        <f>ISNUMBER(MATCH(G868,Sheet3!$G$6:$G$240,0))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ISNUMBER(MATCH(G869,Sheet3!$C$6:$C$1451,0))</f>
        <v>0</v>
      </c>
      <c r="AF869" t="b">
        <f>ISNUMBER(MATCH(G869,Sheet3!$G$6:$G$240,0))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ISNUMBER(MATCH(G870,Sheet3!$C$6:$C$1451,0))</f>
        <v>0</v>
      </c>
      <c r="AF870" t="b">
        <f>ISNUMBER(MATCH(G870,Sheet3!$G$6:$G$240,0))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ISNUMBER(MATCH(G871,Sheet3!$C$6:$C$1451,0))</f>
        <v>0</v>
      </c>
      <c r="AF871" t="b">
        <f>ISNUMBER(MATCH(G871,Sheet3!$G$6:$G$240,0))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ISNUMBER(MATCH(G872,Sheet3!$C$6:$C$1451,0))</f>
        <v>0</v>
      </c>
      <c r="AF872" t="b">
        <f>ISNUMBER(MATCH(G872,Sheet3!$G$6:$G$240,0))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ISNUMBER(MATCH(G873,Sheet3!$C$6:$C$1451,0))</f>
        <v>0</v>
      </c>
      <c r="AF873" t="b">
        <f>ISNUMBER(MATCH(G873,Sheet3!$G$6:$G$240,0))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ISNUMBER(MATCH(G874,Sheet3!$C$6:$C$1451,0))</f>
        <v>1</v>
      </c>
      <c r="AF874" t="b">
        <f>ISNUMBER(MATCH(G874,Sheet3!$G$6:$G$240,0))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ISNUMBER(MATCH(G875,Sheet3!$C$6:$C$1451,0))</f>
        <v>1</v>
      </c>
      <c r="AF875" t="b">
        <f>ISNUMBER(MATCH(G875,Sheet3!$G$6:$G$240,0))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ISNUMBER(MATCH(G876,Sheet3!$C$6:$C$1451,0))</f>
        <v>1</v>
      </c>
      <c r="AF876" t="b">
        <f>ISNUMBER(MATCH(G876,Sheet3!$G$6:$G$240,0))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ISNUMBER(MATCH(G877,Sheet3!$C$6:$C$1451,0))</f>
        <v>1</v>
      </c>
      <c r="AF877" t="b">
        <f>ISNUMBER(MATCH(G877,Sheet3!$G$6:$G$240,0))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ISNUMBER(MATCH(G878,Sheet3!$C$6:$C$1451,0))</f>
        <v>1</v>
      </c>
      <c r="AF878" t="b">
        <f>ISNUMBER(MATCH(G878,Sheet3!$G$6:$G$240,0))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ISNUMBER(MATCH(G879,Sheet3!$C$6:$C$1451,0))</f>
        <v>0</v>
      </c>
      <c r="AF879" t="b">
        <f>ISNUMBER(MATCH(G879,Sheet3!$G$6:$G$240,0))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ISNUMBER(MATCH(G880,Sheet3!$C$6:$C$1451,0))</f>
        <v>0</v>
      </c>
      <c r="AF880" t="b">
        <f>ISNUMBER(MATCH(G880,Sheet3!$G$6:$G$240,0))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ISNUMBER(MATCH(G881,Sheet3!$C$6:$C$1451,0))</f>
        <v>0</v>
      </c>
      <c r="AF881" t="b">
        <f>ISNUMBER(MATCH(G881,Sheet3!$G$6:$G$240,0))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ISNUMBER(MATCH(G882,Sheet3!$C$6:$C$1451,0))</f>
        <v>0</v>
      </c>
      <c r="AF882" t="b">
        <f>ISNUMBER(MATCH(G882,Sheet3!$G$6:$G$240,0))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ISNUMBER(MATCH(G883,Sheet3!$C$6:$C$1451,0))</f>
        <v>1</v>
      </c>
      <c r="AF883" t="b">
        <f>ISNUMBER(MATCH(G883,Sheet3!$G$6:$G$240,0))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ISNUMBER(MATCH(G884,Sheet3!$C$6:$C$1451,0))</f>
        <v>1</v>
      </c>
      <c r="AF884" t="b">
        <f>ISNUMBER(MATCH(G884,Sheet3!$G$6:$G$240,0))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ISNUMBER(MATCH(G885,Sheet3!$C$6:$C$1451,0))</f>
        <v>1</v>
      </c>
      <c r="AF885" t="b">
        <f>ISNUMBER(MATCH(G885,Sheet3!$G$6:$G$240,0))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ISNUMBER(MATCH(G886,Sheet3!$C$6:$C$1451,0))</f>
        <v>1</v>
      </c>
      <c r="AF886" t="b">
        <f>ISNUMBER(MATCH(G886,Sheet3!$G$6:$G$240,0))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ISNUMBER(MATCH(G887,Sheet3!$C$6:$C$1451,0))</f>
        <v>1</v>
      </c>
      <c r="AF887" t="b">
        <f>ISNUMBER(MATCH(G887,Sheet3!$G$6:$G$240,0))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ISNUMBER(MATCH(G888,Sheet3!$C$6:$C$1451,0))</f>
        <v>1</v>
      </c>
      <c r="AF888" t="b">
        <f>ISNUMBER(MATCH(G888,Sheet3!$G$6:$G$240,0))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ISNUMBER(MATCH(G889,Sheet3!$C$6:$C$1451,0))</f>
        <v>1</v>
      </c>
      <c r="AF889" t="b">
        <f>ISNUMBER(MATCH(G889,Sheet3!$G$6:$G$240,0))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ISNUMBER(MATCH(G890,Sheet3!$C$6:$C$1451,0))</f>
        <v>1</v>
      </c>
      <c r="AF890" t="b">
        <f>ISNUMBER(MATCH(G890,Sheet3!$G$6:$G$240,0))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ISNUMBER(MATCH(G891,Sheet3!$C$6:$C$1451,0))</f>
        <v>1</v>
      </c>
      <c r="AF891" t="b">
        <f>ISNUMBER(MATCH(G891,Sheet3!$G$6:$G$240,0))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ISNUMBER(MATCH(G892,Sheet3!$C$6:$C$1451,0))</f>
        <v>1</v>
      </c>
      <c r="AF892" t="b">
        <f>ISNUMBER(MATCH(G892,Sheet3!$G$6:$G$240,0))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ISNUMBER(MATCH(G893,Sheet3!$C$6:$C$1451,0))</f>
        <v>1</v>
      </c>
      <c r="AF893" t="b">
        <f>ISNUMBER(MATCH(G893,Sheet3!$G$6:$G$240,0))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ISNUMBER(MATCH(G894,Sheet3!$C$6:$C$1451,0))</f>
        <v>1</v>
      </c>
      <c r="AF894" t="b">
        <f>ISNUMBER(MATCH(G894,Sheet3!$G$6:$G$240,0))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ISNUMBER(MATCH(G895,Sheet3!$C$6:$C$1451,0))</f>
        <v>1</v>
      </c>
      <c r="AF895" t="b">
        <f>ISNUMBER(MATCH(G895,Sheet3!$G$6:$G$240,0))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ISNUMBER(MATCH(G896,Sheet3!$C$6:$C$1451,0))</f>
        <v>0</v>
      </c>
      <c r="AF896" t="b">
        <f>ISNUMBER(MATCH(G896,Sheet3!$G$6:$G$240,0))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ISNUMBER(MATCH(G897,Sheet3!$C$6:$C$1451,0))</f>
        <v>1</v>
      </c>
      <c r="AF897" t="b">
        <f>ISNUMBER(MATCH(G897,Sheet3!$G$6:$G$240,0))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ISNUMBER(MATCH(G898,Sheet3!$C$6:$C$1451,0))</f>
        <v>1</v>
      </c>
      <c r="AF898" t="b">
        <f>ISNUMBER(MATCH(G898,Sheet3!$G$6:$G$240,0))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ISNUMBER(MATCH(G899,Sheet3!$C$6:$C$1451,0))</f>
        <v>1</v>
      </c>
      <c r="AF899" t="b">
        <f>ISNUMBER(MATCH(G899,Sheet3!$G$6:$G$240,0))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ISNUMBER(MATCH(G900,Sheet3!$C$6:$C$1451,0))</f>
        <v>1</v>
      </c>
      <c r="AF900" t="b">
        <f>ISNUMBER(MATCH(G900,Sheet3!$G$6:$G$240,0))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ISNUMBER(MATCH(G901,Sheet3!$C$6:$C$1451,0))</f>
        <v>1</v>
      </c>
      <c r="AF901" t="b">
        <f>ISNUMBER(MATCH(G901,Sheet3!$G$6:$G$240,0))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ISNUMBER(MATCH(G902,Sheet3!$C$6:$C$1451,0))</f>
        <v>1</v>
      </c>
      <c r="AF902" t="b">
        <f>ISNUMBER(MATCH(G902,Sheet3!$G$6:$G$240,0))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ISNUMBER(MATCH(G903,Sheet3!$C$6:$C$1451,0))</f>
        <v>1</v>
      </c>
      <c r="AF903" t="b">
        <f>ISNUMBER(MATCH(G903,Sheet3!$G$6:$G$240,0))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ISNUMBER(MATCH(G904,Sheet3!$C$6:$C$1451,0))</f>
        <v>0</v>
      </c>
      <c r="AF904" t="b">
        <f>ISNUMBER(MATCH(G904,Sheet3!$G$6:$G$240,0))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ISNUMBER(MATCH(G905,Sheet3!$C$6:$C$1451,0))</f>
        <v>1</v>
      </c>
      <c r="AF905" t="b">
        <f>ISNUMBER(MATCH(G905,Sheet3!$G$6:$G$240,0))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ISNUMBER(MATCH(G906,Sheet3!$C$6:$C$1451,0))</f>
        <v>0</v>
      </c>
      <c r="AF906" t="b">
        <f>ISNUMBER(MATCH(G906,Sheet3!$G$6:$G$240,0))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ISNUMBER(MATCH(G907,Sheet3!$C$6:$C$1451,0))</f>
        <v>1</v>
      </c>
      <c r="AF907" t="b">
        <f>ISNUMBER(MATCH(G907,Sheet3!$G$6:$G$240,0))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ISNUMBER(MATCH(G908,Sheet3!$C$6:$C$1451,0))</f>
        <v>1</v>
      </c>
      <c r="AF908" t="b">
        <f>ISNUMBER(MATCH(G908,Sheet3!$G$6:$G$240,0))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ISNUMBER(MATCH(G909,Sheet3!$C$6:$C$1451,0))</f>
        <v>1</v>
      </c>
      <c r="AF909" t="b">
        <f>ISNUMBER(MATCH(G909,Sheet3!$G$6:$G$240,0))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ISNUMBER(MATCH(G910,Sheet3!$C$6:$C$1451,0))</f>
        <v>1</v>
      </c>
      <c r="AF910" t="b">
        <f>ISNUMBER(MATCH(G910,Sheet3!$G$6:$G$240,0))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ISNUMBER(MATCH(G911,Sheet3!$C$6:$C$1451,0))</f>
        <v>1</v>
      </c>
      <c r="AF911" t="b">
        <f>ISNUMBER(MATCH(G911,Sheet3!$G$6:$G$240,0))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ISNUMBER(MATCH(G912,Sheet3!$C$6:$C$1451,0))</f>
        <v>1</v>
      </c>
      <c r="AF912" t="b">
        <f>ISNUMBER(MATCH(G912,Sheet3!$G$6:$G$240,0))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ISNUMBER(MATCH(G913,Sheet3!$C$6:$C$1451,0))</f>
        <v>1</v>
      </c>
      <c r="AF913" t="b">
        <f>ISNUMBER(MATCH(G913,Sheet3!$G$6:$G$240,0))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ISNUMBER(MATCH(G914,Sheet3!$C$6:$C$1451,0))</f>
        <v>1</v>
      </c>
      <c r="AF914" t="b">
        <f>ISNUMBER(MATCH(G914,Sheet3!$G$6:$G$240,0))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ISNUMBER(MATCH(G915,Sheet3!$C$6:$C$1451,0))</f>
        <v>1</v>
      </c>
      <c r="AF915" t="b">
        <f>ISNUMBER(MATCH(G915,Sheet3!$G$6:$G$240,0))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ISNUMBER(MATCH(G916,Sheet3!$C$6:$C$1451,0))</f>
        <v>1</v>
      </c>
      <c r="AF916" t="b">
        <f>ISNUMBER(MATCH(G916,Sheet3!$G$6:$G$240,0))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ISNUMBER(MATCH(G917,Sheet3!$C$6:$C$1451,0))</f>
        <v>0</v>
      </c>
      <c r="AF917" t="b">
        <f>ISNUMBER(MATCH(G917,Sheet3!$G$6:$G$240,0))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ISNUMBER(MATCH(G918,Sheet3!$C$6:$C$1451,0))</f>
        <v>1</v>
      </c>
      <c r="AF918" t="b">
        <f>ISNUMBER(MATCH(G918,Sheet3!$G$6:$G$240,0))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ISNUMBER(MATCH(G919,Sheet3!$C$6:$C$1451,0))</f>
        <v>1</v>
      </c>
      <c r="AF919" t="b">
        <f>ISNUMBER(MATCH(G919,Sheet3!$G$6:$G$240,0))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ISNUMBER(MATCH(G920,Sheet3!$C$6:$C$1451,0))</f>
        <v>1</v>
      </c>
      <c r="AF920" t="b">
        <f>ISNUMBER(MATCH(G920,Sheet3!$G$6:$G$240,0))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ISNUMBER(MATCH(G921,Sheet3!$C$6:$C$1451,0))</f>
        <v>0</v>
      </c>
      <c r="AF921" t="b">
        <f>ISNUMBER(MATCH(G921,Sheet3!$G$6:$G$240,0))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ISNUMBER(MATCH(G922,Sheet3!$C$6:$C$1451,0))</f>
        <v>0</v>
      </c>
      <c r="AF922" t="b">
        <f>ISNUMBER(MATCH(G922,Sheet3!$G$6:$G$240,0))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ISNUMBER(MATCH(G923,Sheet3!$C$6:$C$1451,0))</f>
        <v>0</v>
      </c>
      <c r="AF923" t="b">
        <f>ISNUMBER(MATCH(G923,Sheet3!$G$6:$G$240,0))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ISNUMBER(MATCH(G924,Sheet3!$C$6:$C$1451,0))</f>
        <v>0</v>
      </c>
      <c r="AF924" t="b">
        <f>ISNUMBER(MATCH(G924,Sheet3!$G$6:$G$240,0))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ISNUMBER(MATCH(G925,Sheet3!$C$6:$C$1451,0))</f>
        <v>0</v>
      </c>
      <c r="AF925" t="b">
        <f>ISNUMBER(MATCH(G925,Sheet3!$G$6:$G$240,0))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ISNUMBER(MATCH(G926,Sheet3!$C$6:$C$1451,0))</f>
        <v>1</v>
      </c>
      <c r="AF926" t="b">
        <f>ISNUMBER(MATCH(G926,Sheet3!$G$6:$G$240,0))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ISNUMBER(MATCH(G927,Sheet3!$C$6:$C$1451,0))</f>
        <v>1</v>
      </c>
      <c r="AF927" t="b">
        <f>ISNUMBER(MATCH(G927,Sheet3!$G$6:$G$240,0))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ISNUMBER(MATCH(G928,Sheet3!$C$6:$C$1451,0))</f>
        <v>1</v>
      </c>
      <c r="AF928" t="b">
        <f>ISNUMBER(MATCH(G928,Sheet3!$G$6:$G$240,0))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ISNUMBER(MATCH(G929,Sheet3!$C$6:$C$1451,0))</f>
        <v>1</v>
      </c>
      <c r="AF929" t="b">
        <f>ISNUMBER(MATCH(G929,Sheet3!$G$6:$G$240,0))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ISNUMBER(MATCH(G930,Sheet3!$C$6:$C$1451,0))</f>
        <v>1</v>
      </c>
      <c r="AF930" t="b">
        <f>ISNUMBER(MATCH(G930,Sheet3!$G$6:$G$240,0))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ISNUMBER(MATCH(G931,Sheet3!$C$6:$C$1451,0))</f>
        <v>1</v>
      </c>
      <c r="AF931" t="b">
        <f>ISNUMBER(MATCH(G931,Sheet3!$G$6:$G$240,0))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ISNUMBER(MATCH(G932,Sheet3!$C$6:$C$1451,0))</f>
        <v>0</v>
      </c>
      <c r="AF932" t="b">
        <f>ISNUMBER(MATCH(G932,Sheet3!$G$6:$G$240,0))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ISNUMBER(MATCH(G933,Sheet3!$C$6:$C$1451,0))</f>
        <v>0</v>
      </c>
      <c r="AF933" t="b">
        <f>ISNUMBER(MATCH(G933,Sheet3!$G$6:$G$240,0))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ISNUMBER(MATCH(G934,Sheet3!$C$6:$C$1451,0))</f>
        <v>0</v>
      </c>
      <c r="AF934" t="b">
        <f>ISNUMBER(MATCH(G934,Sheet3!$G$6:$G$240,0))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ISNUMBER(MATCH(G935,Sheet3!$C$6:$C$1451,0))</f>
        <v>1</v>
      </c>
      <c r="AF935" t="b">
        <f>ISNUMBER(MATCH(G935,Sheet3!$G$6:$G$240,0))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ISNUMBER(MATCH(G936,Sheet3!$C$6:$C$1451,0))</f>
        <v>1</v>
      </c>
      <c r="AF936" t="b">
        <f>ISNUMBER(MATCH(G936,Sheet3!$G$6:$G$240,0))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ISNUMBER(MATCH(G937,Sheet3!$C$6:$C$1451,0))</f>
        <v>1</v>
      </c>
      <c r="AF937" t="b">
        <f>ISNUMBER(MATCH(G937,Sheet3!$G$6:$G$240,0))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ISNUMBER(MATCH(G938,Sheet3!$C$6:$C$1451,0))</f>
        <v>1</v>
      </c>
      <c r="AF938" t="b">
        <f>ISNUMBER(MATCH(G938,Sheet3!$G$6:$G$240,0))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ISNUMBER(MATCH(G939,Sheet3!$C$6:$C$1451,0))</f>
        <v>1</v>
      </c>
      <c r="AF939" t="b">
        <f>ISNUMBER(MATCH(G939,Sheet3!$G$6:$G$240,0))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ISNUMBER(MATCH(G940,Sheet3!$C$6:$C$1451,0))</f>
        <v>1</v>
      </c>
      <c r="AF940" t="b">
        <f>ISNUMBER(MATCH(G940,Sheet3!$G$6:$G$240,0))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ISNUMBER(MATCH(G941,Sheet3!$C$6:$C$1451,0))</f>
        <v>1</v>
      </c>
      <c r="AF941" t="b">
        <f>ISNUMBER(MATCH(G941,Sheet3!$G$6:$G$240,0))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ISNUMBER(MATCH(G942,Sheet3!$C$6:$C$1451,0))</f>
        <v>1</v>
      </c>
      <c r="AF942" t="b">
        <f>ISNUMBER(MATCH(G942,Sheet3!$G$6:$G$240,0))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ISNUMBER(MATCH(G943,Sheet3!$C$6:$C$1451,0))</f>
        <v>1</v>
      </c>
      <c r="AF943" t="b">
        <f>ISNUMBER(MATCH(G943,Sheet3!$G$6:$G$240,0))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ISNUMBER(MATCH(G944,Sheet3!$C$6:$C$1451,0))</f>
        <v>1</v>
      </c>
      <c r="AF944" t="b">
        <f>ISNUMBER(MATCH(G944,Sheet3!$G$6:$G$240,0))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ISNUMBER(MATCH(G945,Sheet3!$C$6:$C$1451,0))</f>
        <v>1</v>
      </c>
      <c r="AF945" t="b">
        <f>ISNUMBER(MATCH(G945,Sheet3!$G$6:$G$240,0))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ISNUMBER(MATCH(G946,Sheet3!$C$6:$C$1451,0))</f>
        <v>1</v>
      </c>
      <c r="AF946" t="b">
        <f>ISNUMBER(MATCH(G946,Sheet3!$G$6:$G$240,0))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ISNUMBER(MATCH(G947,Sheet3!$C$6:$C$1451,0))</f>
        <v>1</v>
      </c>
      <c r="AF947" t="b">
        <f>ISNUMBER(MATCH(G947,Sheet3!$G$6:$G$240,0))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ISNUMBER(MATCH(G948,Sheet3!$C$6:$C$1451,0))</f>
        <v>1</v>
      </c>
      <c r="AF948" t="b">
        <f>ISNUMBER(MATCH(G948,Sheet3!$G$6:$G$240,0))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ISNUMBER(MATCH(G949,Sheet3!$C$6:$C$1451,0))</f>
        <v>1</v>
      </c>
      <c r="AF949" t="b">
        <f>ISNUMBER(MATCH(G949,Sheet3!$G$6:$G$240,0))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ISNUMBER(MATCH(G950,Sheet3!$C$6:$C$1451,0))</f>
        <v>1</v>
      </c>
      <c r="AF950" t="b">
        <f>ISNUMBER(MATCH(G950,Sheet3!$G$6:$G$240,0))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ISNUMBER(MATCH(G951,Sheet3!$C$6:$C$1451,0))</f>
        <v>1</v>
      </c>
      <c r="AF951" t="b">
        <f>ISNUMBER(MATCH(G951,Sheet3!$G$6:$G$240,0))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ISNUMBER(MATCH(G952,Sheet3!$C$6:$C$1451,0))</f>
        <v>1</v>
      </c>
      <c r="AF952" t="b">
        <f>ISNUMBER(MATCH(G952,Sheet3!$G$6:$G$240,0))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ISNUMBER(MATCH(G953,Sheet3!$C$6:$C$1451,0))</f>
        <v>1</v>
      </c>
      <c r="AF953" t="b">
        <f>ISNUMBER(MATCH(G953,Sheet3!$G$6:$G$240,0))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ISNUMBER(MATCH(G954,Sheet3!$C$6:$C$1451,0))</f>
        <v>1</v>
      </c>
      <c r="AF954" t="b">
        <f>ISNUMBER(MATCH(G954,Sheet3!$G$6:$G$240,0))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ISNUMBER(MATCH(G955,Sheet3!$C$6:$C$1451,0))</f>
        <v>1</v>
      </c>
      <c r="AF955" t="b">
        <f>ISNUMBER(MATCH(G955,Sheet3!$G$6:$G$240,0))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ISNUMBER(MATCH(G956,Sheet3!$C$6:$C$1451,0))</f>
        <v>0</v>
      </c>
      <c r="AF956" t="b">
        <f>ISNUMBER(MATCH(G956,Sheet3!$G$6:$G$240,0))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ISNUMBER(MATCH(G957,Sheet3!$C$6:$C$1451,0))</f>
        <v>0</v>
      </c>
      <c r="AF957" t="b">
        <f>ISNUMBER(MATCH(G957,Sheet3!$G$6:$G$240,0))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ISNUMBER(MATCH(G958,Sheet3!$C$6:$C$1451,0))</f>
        <v>0</v>
      </c>
      <c r="AF958" t="b">
        <f>ISNUMBER(MATCH(G958,Sheet3!$G$6:$G$240,0))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ISNUMBER(MATCH(G959,Sheet3!$C$6:$C$1451,0))</f>
        <v>0</v>
      </c>
      <c r="AF959" t="b">
        <f>ISNUMBER(MATCH(G959,Sheet3!$G$6:$G$240,0))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ISNUMBER(MATCH(G960,Sheet3!$C$6:$C$1451,0))</f>
        <v>1</v>
      </c>
      <c r="AF960" t="b">
        <f>ISNUMBER(MATCH(G960,Sheet3!$G$6:$G$240,0))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ISNUMBER(MATCH(G961,Sheet3!$C$6:$C$1451,0))</f>
        <v>1</v>
      </c>
      <c r="AF961" t="b">
        <f>ISNUMBER(MATCH(G961,Sheet3!$G$6:$G$240,0))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ISNUMBER(MATCH(G962,Sheet3!$C$6:$C$1451,0))</f>
        <v>1</v>
      </c>
      <c r="AF962" t="b">
        <f>ISNUMBER(MATCH(G962,Sheet3!$G$6:$G$240,0))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ISNUMBER(MATCH(G963,Sheet3!$C$6:$C$1451,0))</f>
        <v>0</v>
      </c>
      <c r="AF963" t="b">
        <f>ISNUMBER(MATCH(G963,Sheet3!$G$6:$G$240,0))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ISNUMBER(MATCH(G964,Sheet3!$C$6:$C$1451,0))</f>
        <v>0</v>
      </c>
      <c r="AF964" t="b">
        <f>ISNUMBER(MATCH(G964,Sheet3!$G$6:$G$240,0))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ISNUMBER(MATCH(G965,Sheet3!$C$6:$C$1451,0))</f>
        <v>1</v>
      </c>
      <c r="AF965" t="b">
        <f>ISNUMBER(MATCH(G965,Sheet3!$G$6:$G$240,0))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ISNUMBER(MATCH(G966,Sheet3!$C$6:$C$1451,0))</f>
        <v>1</v>
      </c>
      <c r="AF966" t="b">
        <f>ISNUMBER(MATCH(G966,Sheet3!$G$6:$G$240,0))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ISNUMBER(MATCH(G967,Sheet3!$C$6:$C$1451,0))</f>
        <v>1</v>
      </c>
      <c r="AF967" t="b">
        <f>ISNUMBER(MATCH(G967,Sheet3!$G$6:$G$240,0))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ISNUMBER(MATCH(G968,Sheet3!$C$6:$C$1451,0))</f>
        <v>1</v>
      </c>
      <c r="AF968" t="b">
        <f>ISNUMBER(MATCH(G968,Sheet3!$G$6:$G$240,0))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ISNUMBER(MATCH(G969,Sheet3!$C$6:$C$1451,0))</f>
        <v>1</v>
      </c>
      <c r="AF969" t="b">
        <f>ISNUMBER(MATCH(G969,Sheet3!$G$6:$G$240,0))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ISNUMBER(MATCH(G970,Sheet3!$C$6:$C$1451,0))</f>
        <v>1</v>
      </c>
      <c r="AF970" t="b">
        <f>ISNUMBER(MATCH(G970,Sheet3!$G$6:$G$240,0))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ISNUMBER(MATCH(G971,Sheet3!$C$6:$C$1451,0))</f>
        <v>1</v>
      </c>
      <c r="AF971" t="b">
        <f>ISNUMBER(MATCH(G971,Sheet3!$G$6:$G$240,0))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ISNUMBER(MATCH(G972,Sheet3!$C$6:$C$1451,0))</f>
        <v>1</v>
      </c>
      <c r="AF972" t="b">
        <f>ISNUMBER(MATCH(G972,Sheet3!$G$6:$G$240,0))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ISNUMBER(MATCH(G973,Sheet3!$C$6:$C$1451,0))</f>
        <v>0</v>
      </c>
      <c r="AF973" t="b">
        <f>ISNUMBER(MATCH(G973,Sheet3!$G$6:$G$240,0))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ISNUMBER(MATCH(G974,Sheet3!$C$6:$C$1451,0))</f>
        <v>0</v>
      </c>
      <c r="AF974" t="b">
        <f>ISNUMBER(MATCH(G974,Sheet3!$G$6:$G$240,0))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ISNUMBER(MATCH(G975,Sheet3!$C$6:$C$1451,0))</f>
        <v>0</v>
      </c>
      <c r="AF975" t="b">
        <f>ISNUMBER(MATCH(G975,Sheet3!$G$6:$G$240,0))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ISNUMBER(MATCH(G976,Sheet3!$C$6:$C$1451,0))</f>
        <v>0</v>
      </c>
      <c r="AF976" t="b">
        <f>ISNUMBER(MATCH(G976,Sheet3!$G$6:$G$240,0))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ISNUMBER(MATCH(G977,Sheet3!$C$6:$C$1451,0))</f>
        <v>1</v>
      </c>
      <c r="AF977" t="b">
        <f>ISNUMBER(MATCH(G977,Sheet3!$G$6:$G$240,0))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ISNUMBER(MATCH(G978,Sheet3!$C$6:$C$1451,0))</f>
        <v>1</v>
      </c>
      <c r="AF978" t="b">
        <f>ISNUMBER(MATCH(G978,Sheet3!$G$6:$G$240,0))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ISNUMBER(MATCH(G979,Sheet3!$C$6:$C$1451,0))</f>
        <v>1</v>
      </c>
      <c r="AF979" t="b">
        <f>ISNUMBER(MATCH(G979,Sheet3!$G$6:$G$240,0))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ISNUMBER(MATCH(G980,Sheet3!$C$6:$C$1451,0))</f>
        <v>0</v>
      </c>
      <c r="AF980" t="b">
        <f>ISNUMBER(MATCH(G980,Sheet3!$G$6:$G$240,0))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ISNUMBER(MATCH(G981,Sheet3!$C$6:$C$1451,0))</f>
        <v>1</v>
      </c>
      <c r="AF981" t="b">
        <f>ISNUMBER(MATCH(G981,Sheet3!$G$6:$G$240,0))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ISNUMBER(MATCH(G982,Sheet3!$C$6:$C$1451,0))</f>
        <v>1</v>
      </c>
      <c r="AF982" t="b">
        <f>ISNUMBER(MATCH(G982,Sheet3!$G$6:$G$240,0))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ISNUMBER(MATCH(G983,Sheet3!$C$6:$C$1451,0))</f>
        <v>1</v>
      </c>
      <c r="AF983" t="b">
        <f>ISNUMBER(MATCH(G983,Sheet3!$G$6:$G$240,0))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ISNUMBER(MATCH(G984,Sheet3!$C$6:$C$1451,0))</f>
        <v>1</v>
      </c>
      <c r="AF984" t="b">
        <f>ISNUMBER(MATCH(G984,Sheet3!$G$6:$G$240,0))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ISNUMBER(MATCH(G985,Sheet3!$C$6:$C$1451,0))</f>
        <v>0</v>
      </c>
      <c r="AF985" t="b">
        <f>ISNUMBER(MATCH(G985,Sheet3!$G$6:$G$240,0))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ISNUMBER(MATCH(G986,Sheet3!$C$6:$C$1451,0))</f>
        <v>0</v>
      </c>
      <c r="AF986" t="b">
        <f>ISNUMBER(MATCH(G986,Sheet3!$G$6:$G$240,0))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ISNUMBER(MATCH(G987,Sheet3!$C$6:$C$1451,0))</f>
        <v>0</v>
      </c>
      <c r="AF987" t="b">
        <f>ISNUMBER(MATCH(G987,Sheet3!$G$6:$G$240,0))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ISNUMBER(MATCH(G988,Sheet3!$C$6:$C$1451,0))</f>
        <v>0</v>
      </c>
      <c r="AF988" t="b">
        <f>ISNUMBER(MATCH(G988,Sheet3!$G$6:$G$240,0))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ISNUMBER(MATCH(G989,Sheet3!$C$6:$C$1451,0))</f>
        <v>0</v>
      </c>
      <c r="AF989" t="b">
        <f>ISNUMBER(MATCH(G989,Sheet3!$G$6:$G$240,0))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ISNUMBER(MATCH(G990,Sheet3!$C$6:$C$1451,0))</f>
        <v>0</v>
      </c>
      <c r="AF990" t="b">
        <f>ISNUMBER(MATCH(G990,Sheet3!$G$6:$G$240,0))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ISNUMBER(MATCH(G991,Sheet3!$C$6:$C$1451,0))</f>
        <v>1</v>
      </c>
      <c r="AF991" t="b">
        <f>ISNUMBER(MATCH(G991,Sheet3!$G$6:$G$240,0))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ISNUMBER(MATCH(G992,Sheet3!$C$6:$C$1451,0))</f>
        <v>1</v>
      </c>
      <c r="AF992" t="b">
        <f>ISNUMBER(MATCH(G992,Sheet3!$G$6:$G$240,0))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ISNUMBER(MATCH(G993,Sheet3!$C$6:$C$1451,0))</f>
        <v>0</v>
      </c>
      <c r="AF993" t="b">
        <f>ISNUMBER(MATCH(G993,Sheet3!$G$6:$G$240,0))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ISNUMBER(MATCH(G994,Sheet3!$C$6:$C$1451,0))</f>
        <v>0</v>
      </c>
      <c r="AF994" t="b">
        <f>ISNUMBER(MATCH(G994,Sheet3!$G$6:$G$240,0))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ISNUMBER(MATCH(G995,Sheet3!$C$6:$C$1451,0))</f>
        <v>0</v>
      </c>
      <c r="AF995" t="b">
        <f>ISNUMBER(MATCH(G995,Sheet3!$G$6:$G$240,0))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ISNUMBER(MATCH(G996,Sheet3!$C$6:$C$1451,0))</f>
        <v>0</v>
      </c>
      <c r="AF996" t="b">
        <f>ISNUMBER(MATCH(G996,Sheet3!$G$6:$G$240,0))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ISNUMBER(MATCH(G997,Sheet3!$C$6:$C$1451,0))</f>
        <v>0</v>
      </c>
      <c r="AF997" t="b">
        <f>ISNUMBER(MATCH(G997,Sheet3!$G$6:$G$240,0))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ISNUMBER(MATCH(G998,Sheet3!$C$6:$C$1451,0))</f>
        <v>0</v>
      </c>
      <c r="AF998" t="b">
        <f>ISNUMBER(MATCH(G998,Sheet3!$G$6:$G$240,0))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ISNUMBER(MATCH(G999,Sheet3!$C$6:$C$1451,0))</f>
        <v>1</v>
      </c>
      <c r="AF999" t="b">
        <f>ISNUMBER(MATCH(G999,Sheet3!$G$6:$G$240,0))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ISNUMBER(MATCH(G1000,Sheet3!$C$6:$C$1451,0))</f>
        <v>1</v>
      </c>
      <c r="AF1000" t="b">
        <f>ISNUMBER(MATCH(G1000,Sheet3!$G$6:$G$240,0))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ISNUMBER(MATCH(G1001,Sheet3!$C$6:$C$1451,0))</f>
        <v>1</v>
      </c>
      <c r="AF1001" t="b">
        <f>ISNUMBER(MATCH(G1001,Sheet3!$G$6:$G$240,0))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ISNUMBER(MATCH(G1002,Sheet3!$C$6:$C$1451,0))</f>
        <v>1</v>
      </c>
      <c r="AF1002" t="b">
        <f>ISNUMBER(MATCH(G1002,Sheet3!$G$6:$G$240,0))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ISNUMBER(MATCH(G1003,Sheet3!$C$6:$C$1451,0))</f>
        <v>1</v>
      </c>
      <c r="AF1003" t="b">
        <f>ISNUMBER(MATCH(G1003,Sheet3!$G$6:$G$240,0))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ISNUMBER(MATCH(G1004,Sheet3!$C$6:$C$1451,0))</f>
        <v>1</v>
      </c>
      <c r="AF1004" t="b">
        <f>ISNUMBER(MATCH(G1004,Sheet3!$G$6:$G$240,0))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ISNUMBER(MATCH(G1005,Sheet3!$C$6:$C$1451,0))</f>
        <v>1</v>
      </c>
      <c r="AF1005" t="b">
        <f>ISNUMBER(MATCH(G1005,Sheet3!$G$6:$G$240,0))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ISNUMBER(MATCH(G1006,Sheet3!$C$6:$C$1451,0))</f>
        <v>1</v>
      </c>
      <c r="AF1006" t="b">
        <f>ISNUMBER(MATCH(G1006,Sheet3!$G$6:$G$240,0))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ISNUMBER(MATCH(G1007,Sheet3!$C$6:$C$1451,0))</f>
        <v>1</v>
      </c>
      <c r="AF1007" t="b">
        <f>ISNUMBER(MATCH(G1007,Sheet3!$G$6:$G$240,0))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ISNUMBER(MATCH(G1008,Sheet3!$C$6:$C$1451,0))</f>
        <v>1</v>
      </c>
      <c r="AF1008" t="b">
        <f>ISNUMBER(MATCH(G1008,Sheet3!$G$6:$G$240,0))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ISNUMBER(MATCH(G1009,Sheet3!$C$6:$C$1451,0))</f>
        <v>1</v>
      </c>
      <c r="AF1009" t="b">
        <f>ISNUMBER(MATCH(G1009,Sheet3!$G$6:$G$240,0))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ISNUMBER(MATCH(G1010,Sheet3!$C$6:$C$1451,0))</f>
        <v>1</v>
      </c>
      <c r="AF1010" t="b">
        <f>ISNUMBER(MATCH(G1010,Sheet3!$G$6:$G$240,0))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ISNUMBER(MATCH(G1011,Sheet3!$C$6:$C$1451,0))</f>
        <v>1</v>
      </c>
      <c r="AF1011" t="b">
        <f>ISNUMBER(MATCH(G1011,Sheet3!$G$6:$G$240,0))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ISNUMBER(MATCH(G1012,Sheet3!$C$6:$C$1451,0))</f>
        <v>1</v>
      </c>
      <c r="AF1012" t="b">
        <f>ISNUMBER(MATCH(G1012,Sheet3!$G$6:$G$240,0))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ISNUMBER(MATCH(G1013,Sheet3!$C$6:$C$1451,0))</f>
        <v>1</v>
      </c>
      <c r="AF1013" t="b">
        <f>ISNUMBER(MATCH(G1013,Sheet3!$G$6:$G$240,0))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ISNUMBER(MATCH(G1014,Sheet3!$C$6:$C$1451,0))</f>
        <v>1</v>
      </c>
      <c r="AF1014" t="b">
        <f>ISNUMBER(MATCH(G1014,Sheet3!$G$6:$G$240,0))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ISNUMBER(MATCH(G1015,Sheet3!$C$6:$C$1451,0))</f>
        <v>1</v>
      </c>
      <c r="AF1015" t="b">
        <f>ISNUMBER(MATCH(G1015,Sheet3!$G$6:$G$240,0))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ISNUMBER(MATCH(G1016,Sheet3!$C$6:$C$1451,0))</f>
        <v>1</v>
      </c>
      <c r="AF1016" t="b">
        <f>ISNUMBER(MATCH(G1016,Sheet3!$G$6:$G$240,0))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ISNUMBER(MATCH(G1017,Sheet3!$C$6:$C$1451,0))</f>
        <v>1</v>
      </c>
      <c r="AF1017" t="b">
        <f>ISNUMBER(MATCH(G1017,Sheet3!$G$6:$G$240,0))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ISNUMBER(MATCH(G1018,Sheet3!$C$6:$C$1451,0))</f>
        <v>1</v>
      </c>
      <c r="AF1018" t="b">
        <f>ISNUMBER(MATCH(G1018,Sheet3!$G$6:$G$240,0))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ISNUMBER(MATCH(G1019,Sheet3!$C$6:$C$1451,0))</f>
        <v>1</v>
      </c>
      <c r="AF1019" t="b">
        <f>ISNUMBER(MATCH(G1019,Sheet3!$G$6:$G$240,0))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ISNUMBER(MATCH(G1020,Sheet3!$C$6:$C$1451,0))</f>
        <v>1</v>
      </c>
      <c r="AF1020" t="b">
        <f>ISNUMBER(MATCH(G1020,Sheet3!$G$6:$G$240,0))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ISNUMBER(MATCH(G1021,Sheet3!$C$6:$C$1451,0))</f>
        <v>1</v>
      </c>
      <c r="AF1021" t="b">
        <f>ISNUMBER(MATCH(G1021,Sheet3!$G$6:$G$240,0))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ISNUMBER(MATCH(G1022,Sheet3!$C$6:$C$1451,0))</f>
        <v>1</v>
      </c>
      <c r="AF1022" t="b">
        <f>ISNUMBER(MATCH(G1022,Sheet3!$G$6:$G$240,0))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ISNUMBER(MATCH(G1023,Sheet3!$C$6:$C$1451,0))</f>
        <v>1</v>
      </c>
      <c r="AF1023" t="b">
        <f>ISNUMBER(MATCH(G1023,Sheet3!$G$6:$G$240,0))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ISNUMBER(MATCH(G1024,Sheet3!$C$6:$C$1451,0))</f>
        <v>1</v>
      </c>
      <c r="AF1024" t="b">
        <f>ISNUMBER(MATCH(G1024,Sheet3!$G$6:$G$240,0))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ISNUMBER(MATCH(G1025,Sheet3!$C$6:$C$1451,0))</f>
        <v>1</v>
      </c>
      <c r="AF1025" t="b">
        <f>ISNUMBER(MATCH(G1025,Sheet3!$G$6:$G$240,0))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ISNUMBER(MATCH(G1026,Sheet3!$C$6:$C$1451,0))</f>
        <v>1</v>
      </c>
      <c r="AF1026" t="b">
        <f>ISNUMBER(MATCH(G1026,Sheet3!$G$6:$G$240,0))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ISNUMBER(MATCH(G1027,Sheet3!$C$6:$C$1451,0))</f>
        <v>1</v>
      </c>
      <c r="AF1027" t="b">
        <f>ISNUMBER(MATCH(G1027,Sheet3!$G$6:$G$240,0))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ISNUMBER(MATCH(G1028,Sheet3!$C$6:$C$1451,0))</f>
        <v>1</v>
      </c>
      <c r="AF1028" t="b">
        <f>ISNUMBER(MATCH(G1028,Sheet3!$G$6:$G$240,0))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ISNUMBER(MATCH(G1029,Sheet3!$C$6:$C$1451,0))</f>
        <v>1</v>
      </c>
      <c r="AF1029" t="b">
        <f>ISNUMBER(MATCH(G1029,Sheet3!$G$6:$G$240,0))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ISNUMBER(MATCH(G1030,Sheet3!$C$6:$C$1451,0))</f>
        <v>1</v>
      </c>
      <c r="AF1030" t="b">
        <f>ISNUMBER(MATCH(G1030,Sheet3!$G$6:$G$240,0))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ISNUMBER(MATCH(G1031,Sheet3!$C$6:$C$1451,0))</f>
        <v>0</v>
      </c>
      <c r="AF1031" t="b">
        <f>ISNUMBER(MATCH(G1031,Sheet3!$G$6:$G$240,0))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ISNUMBER(MATCH(G1032,Sheet3!$C$6:$C$1451,0))</f>
        <v>1</v>
      </c>
      <c r="AF1032" t="b">
        <f>ISNUMBER(MATCH(G1032,Sheet3!$G$6:$G$240,0))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ISNUMBER(MATCH(G1033,Sheet3!$C$6:$C$1451,0))</f>
        <v>1</v>
      </c>
      <c r="AF1033" t="b">
        <f>ISNUMBER(MATCH(G1033,Sheet3!$G$6:$G$240,0))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ISNUMBER(MATCH(G1034,Sheet3!$C$6:$C$1451,0))</f>
        <v>1</v>
      </c>
      <c r="AF1034" t="b">
        <f>ISNUMBER(MATCH(G1034,Sheet3!$G$6:$G$240,0))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ISNUMBER(MATCH(G1035,Sheet3!$C$6:$C$1451,0))</f>
        <v>0</v>
      </c>
      <c r="AF1035" t="b">
        <f>ISNUMBER(MATCH(G1035,Sheet3!$G$6:$G$240,0))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ISNUMBER(MATCH(G1036,Sheet3!$C$6:$C$1451,0))</f>
        <v>0</v>
      </c>
      <c r="AF1036" t="b">
        <f>ISNUMBER(MATCH(G1036,Sheet3!$G$6:$G$240,0))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ISNUMBER(MATCH(G1037,Sheet3!$C$6:$C$1451,0))</f>
        <v>0</v>
      </c>
      <c r="AF1037" t="b">
        <f>ISNUMBER(MATCH(G1037,Sheet3!$G$6:$G$240,0))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ISNUMBER(MATCH(G1038,Sheet3!$C$6:$C$1451,0))</f>
        <v>0</v>
      </c>
      <c r="AF1038" t="b">
        <f>ISNUMBER(MATCH(G1038,Sheet3!$G$6:$G$240,0))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ISNUMBER(MATCH(G1039,Sheet3!$C$6:$C$1451,0))</f>
        <v>0</v>
      </c>
      <c r="AF1039" t="b">
        <f>ISNUMBER(MATCH(G1039,Sheet3!$G$6:$G$240,0))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ISNUMBER(MATCH(G1040,Sheet3!$C$6:$C$1451,0))</f>
        <v>0</v>
      </c>
      <c r="AF1040" t="b">
        <f>ISNUMBER(MATCH(G1040,Sheet3!$G$6:$G$240,0))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ISNUMBER(MATCH(G1041,Sheet3!$C$6:$C$1451,0))</f>
        <v>0</v>
      </c>
      <c r="AF1041" t="b">
        <f>ISNUMBER(MATCH(G1041,Sheet3!$G$6:$G$240,0))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ISNUMBER(MATCH(G1042,Sheet3!$C$6:$C$1451,0))</f>
        <v>0</v>
      </c>
      <c r="AF1042" t="b">
        <f>ISNUMBER(MATCH(G1042,Sheet3!$G$6:$G$240,0))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ISNUMBER(MATCH(G1043,Sheet3!$C$6:$C$1451,0))</f>
        <v>1</v>
      </c>
      <c r="AF1043" t="b">
        <f>ISNUMBER(MATCH(G1043,Sheet3!$G$6:$G$240,0))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ISNUMBER(MATCH(G1044,Sheet3!$C$6:$C$1451,0))</f>
        <v>0</v>
      </c>
      <c r="AF1044" t="b">
        <f>ISNUMBER(MATCH(G1044,Sheet3!$G$6:$G$240,0))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ISNUMBER(MATCH(G1045,Sheet3!$C$6:$C$1451,0))</f>
        <v>0</v>
      </c>
      <c r="AF1045" t="b">
        <f>ISNUMBER(MATCH(G1045,Sheet3!$G$6:$G$240,0))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ISNUMBER(MATCH(G1046,Sheet3!$C$6:$C$1451,0))</f>
        <v>0</v>
      </c>
      <c r="AF1046" t="b">
        <f>ISNUMBER(MATCH(G1046,Sheet3!$G$6:$G$240,0))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ISNUMBER(MATCH(G1047,Sheet3!$C$6:$C$1451,0))</f>
        <v>0</v>
      </c>
      <c r="AF1047" t="b">
        <f>ISNUMBER(MATCH(G1047,Sheet3!$G$6:$G$240,0))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ISNUMBER(MATCH(G1048,Sheet3!$C$6:$C$1451,0))</f>
        <v>0</v>
      </c>
      <c r="AF1048" t="b">
        <f>ISNUMBER(MATCH(G1048,Sheet3!$G$6:$G$240,0))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ISNUMBER(MATCH(G1049,Sheet3!$C$6:$C$1451,0))</f>
        <v>0</v>
      </c>
      <c r="AF1049" t="b">
        <f>ISNUMBER(MATCH(G1049,Sheet3!$G$6:$G$240,0))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ISNUMBER(MATCH(G1050,Sheet3!$C$6:$C$1451,0))</f>
        <v>0</v>
      </c>
      <c r="AF1050" t="b">
        <f>ISNUMBER(MATCH(G1050,Sheet3!$G$6:$G$240,0))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ISNUMBER(MATCH(G1051,Sheet3!$C$6:$C$1451,0))</f>
        <v>0</v>
      </c>
      <c r="AF1051" t="b">
        <f>ISNUMBER(MATCH(G1051,Sheet3!$G$6:$G$240,0))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ISNUMBER(MATCH(G1052,Sheet3!$C$6:$C$1451,0))</f>
        <v>0</v>
      </c>
      <c r="AF1052" t="b">
        <f>ISNUMBER(MATCH(G1052,Sheet3!$G$6:$G$240,0))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ISNUMBER(MATCH(G1053,Sheet3!$C$6:$C$1451,0))</f>
        <v>0</v>
      </c>
      <c r="AF1053" t="b">
        <f>ISNUMBER(MATCH(G1053,Sheet3!$G$6:$G$240,0))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ISNUMBER(MATCH(G1054,Sheet3!$C$6:$C$1451,0))</f>
        <v>0</v>
      </c>
      <c r="AF1054" t="b">
        <f>ISNUMBER(MATCH(G1054,Sheet3!$G$6:$G$240,0))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ISNUMBER(MATCH(G1055,Sheet3!$C$6:$C$1451,0))</f>
        <v>0</v>
      </c>
      <c r="AF1055" t="b">
        <f>ISNUMBER(MATCH(G1055,Sheet3!$G$6:$G$240,0))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ISNUMBER(MATCH(G1056,Sheet3!$C$6:$C$1451,0))</f>
        <v>0</v>
      </c>
      <c r="AF1056" t="b">
        <f>ISNUMBER(MATCH(G1056,Sheet3!$G$6:$G$240,0))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ISNUMBER(MATCH(G1057,Sheet3!$C$6:$C$1451,0))</f>
        <v>0</v>
      </c>
      <c r="AF1057" t="b">
        <f>ISNUMBER(MATCH(G1057,Sheet3!$G$6:$G$240,0))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ISNUMBER(MATCH(G1058,Sheet3!$C$6:$C$1451,0))</f>
        <v>1</v>
      </c>
      <c r="AF1058" t="b">
        <f>ISNUMBER(MATCH(G1058,Sheet3!$G$6:$G$240,0))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ISNUMBER(MATCH(G1059,Sheet3!$C$6:$C$1451,0))</f>
        <v>1</v>
      </c>
      <c r="AF1059" t="b">
        <f>ISNUMBER(MATCH(G1059,Sheet3!$G$6:$G$240,0))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ISNUMBER(MATCH(G1060,Sheet3!$C$6:$C$1451,0))</f>
        <v>1</v>
      </c>
      <c r="AF1060" t="b">
        <f>ISNUMBER(MATCH(G1060,Sheet3!$G$6:$G$240,0))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ISNUMBER(MATCH(G1061,Sheet3!$C$6:$C$1451,0))</f>
        <v>1</v>
      </c>
      <c r="AF1061" t="b">
        <f>ISNUMBER(MATCH(G1061,Sheet3!$G$6:$G$240,0))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ISNUMBER(MATCH(G1062,Sheet3!$C$6:$C$1451,0))</f>
        <v>0</v>
      </c>
      <c r="AF1062" t="b">
        <f>ISNUMBER(MATCH(G1062,Sheet3!$G$6:$G$240,0))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ISNUMBER(MATCH(G1063,Sheet3!$C$6:$C$1451,0))</f>
        <v>0</v>
      </c>
      <c r="AF1063" t="b">
        <f>ISNUMBER(MATCH(G1063,Sheet3!$G$6:$G$240,0))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ISNUMBER(MATCH(G1064,Sheet3!$C$6:$C$1451,0))</f>
        <v>0</v>
      </c>
      <c r="AF1064" t="b">
        <f>ISNUMBER(MATCH(G1064,Sheet3!$G$6:$G$240,0))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ISNUMBER(MATCH(G1065,Sheet3!$C$6:$C$1451,0))</f>
        <v>0</v>
      </c>
      <c r="AF1065" t="b">
        <f>ISNUMBER(MATCH(G1065,Sheet3!$G$6:$G$240,0))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ISNUMBER(MATCH(G1066,Sheet3!$C$6:$C$1451,0))</f>
        <v>0</v>
      </c>
      <c r="AF1066" t="b">
        <f>ISNUMBER(MATCH(G1066,Sheet3!$G$6:$G$240,0))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ISNUMBER(MATCH(G1067,Sheet3!$C$6:$C$1451,0))</f>
        <v>0</v>
      </c>
      <c r="AF1067" t="b">
        <f>ISNUMBER(MATCH(G1067,Sheet3!$G$6:$G$240,0))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ISNUMBER(MATCH(G1068,Sheet3!$C$6:$C$1451,0))</f>
        <v>0</v>
      </c>
      <c r="AF1068" t="b">
        <f>ISNUMBER(MATCH(G1068,Sheet3!$G$6:$G$240,0))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ISNUMBER(MATCH(G1069,Sheet3!$C$6:$C$1451,0))</f>
        <v>0</v>
      </c>
      <c r="AF1069" t="b">
        <f>ISNUMBER(MATCH(G1069,Sheet3!$G$6:$G$240,0))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ISNUMBER(MATCH(G1070,Sheet3!$C$6:$C$1451,0))</f>
        <v>1</v>
      </c>
      <c r="AF1070" t="b">
        <f>ISNUMBER(MATCH(G1070,Sheet3!$G$6:$G$240,0))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ISNUMBER(MATCH(G1071,Sheet3!$C$6:$C$1451,0))</f>
        <v>1</v>
      </c>
      <c r="AF1071" t="b">
        <f>ISNUMBER(MATCH(G1071,Sheet3!$G$6:$G$240,0))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ISNUMBER(MATCH(G1072,Sheet3!$C$6:$C$1451,0))</f>
        <v>1</v>
      </c>
      <c r="AF1072" t="b">
        <f>ISNUMBER(MATCH(G1072,Sheet3!$G$6:$G$240,0))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ISNUMBER(MATCH(G1073,Sheet3!$C$6:$C$1451,0))</f>
        <v>1</v>
      </c>
      <c r="AF1073" t="b">
        <f>ISNUMBER(MATCH(G1073,Sheet3!$G$6:$G$240,0))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ISNUMBER(MATCH(G1074,Sheet3!$C$6:$C$1451,0))</f>
        <v>1</v>
      </c>
      <c r="AF1074" t="b">
        <f>ISNUMBER(MATCH(G1074,Sheet3!$G$6:$G$240,0))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ISNUMBER(MATCH(G1075,Sheet3!$C$6:$C$1451,0))</f>
        <v>1</v>
      </c>
      <c r="AF1075" t="b">
        <f>ISNUMBER(MATCH(G1075,Sheet3!$G$6:$G$240,0))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ISNUMBER(MATCH(G1076,Sheet3!$C$6:$C$1451,0))</f>
        <v>0</v>
      </c>
      <c r="AF1076" t="b">
        <f>ISNUMBER(MATCH(G1076,Sheet3!$G$6:$G$240,0))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ISNUMBER(MATCH(G1077,Sheet3!$C$6:$C$1451,0))</f>
        <v>0</v>
      </c>
      <c r="AF1077" t="b">
        <f>ISNUMBER(MATCH(G1077,Sheet3!$G$6:$G$240,0))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ISNUMBER(MATCH(G1078,Sheet3!$C$6:$C$1451,0))</f>
        <v>0</v>
      </c>
      <c r="AF1078" t="b">
        <f>ISNUMBER(MATCH(G1078,Sheet3!$G$6:$G$240,0))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ISNUMBER(MATCH(G1079,Sheet3!$C$6:$C$1451,0))</f>
        <v>0</v>
      </c>
      <c r="AF1079" t="b">
        <f>ISNUMBER(MATCH(G1079,Sheet3!$G$6:$G$240,0))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ISNUMBER(MATCH(G1080,Sheet3!$C$6:$C$1451,0))</f>
        <v>0</v>
      </c>
      <c r="AF1080" t="b">
        <f>ISNUMBER(MATCH(G1080,Sheet3!$G$6:$G$240,0))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ISNUMBER(MATCH(G1081,Sheet3!$C$6:$C$1451,0))</f>
        <v>0</v>
      </c>
      <c r="AF1081" t="b">
        <f>ISNUMBER(MATCH(G1081,Sheet3!$G$6:$G$240,0))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ISNUMBER(MATCH(G1082,Sheet3!$C$6:$C$1451,0))</f>
        <v>0</v>
      </c>
      <c r="AF1082" t="b">
        <f>ISNUMBER(MATCH(G1082,Sheet3!$G$6:$G$240,0))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ISNUMBER(MATCH(G1083,Sheet3!$C$6:$C$1451,0))</f>
        <v>0</v>
      </c>
      <c r="AF1083" t="b">
        <f>ISNUMBER(MATCH(G1083,Sheet3!$G$6:$G$240,0))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ISNUMBER(MATCH(G1084,Sheet3!$C$6:$C$1451,0))</f>
        <v>0</v>
      </c>
      <c r="AF1084" t="b">
        <f>ISNUMBER(MATCH(G1084,Sheet3!$G$6:$G$240,0))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ISNUMBER(MATCH(G1085,Sheet3!$C$6:$C$1451,0))</f>
        <v>0</v>
      </c>
      <c r="AF1085" t="b">
        <f>ISNUMBER(MATCH(G1085,Sheet3!$G$6:$G$240,0))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ISNUMBER(MATCH(G1086,Sheet3!$C$6:$C$1451,0))</f>
        <v>0</v>
      </c>
      <c r="AF1086" t="b">
        <f>ISNUMBER(MATCH(G1086,Sheet3!$G$6:$G$240,0))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ISNUMBER(MATCH(G1087,Sheet3!$C$6:$C$1451,0))</f>
        <v>0</v>
      </c>
      <c r="AF1087" t="b">
        <f>ISNUMBER(MATCH(G1087,Sheet3!$G$6:$G$240,0))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ISNUMBER(MATCH(G1088,Sheet3!$C$6:$C$1451,0))</f>
        <v>0</v>
      </c>
      <c r="AF1088" t="b">
        <f>ISNUMBER(MATCH(G1088,Sheet3!$G$6:$G$240,0))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ISNUMBER(MATCH(G1089,Sheet3!$C$6:$C$1451,0))</f>
        <v>0</v>
      </c>
      <c r="AF1089" t="b">
        <f>ISNUMBER(MATCH(G1089,Sheet3!$G$6:$G$240,0))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ISNUMBER(MATCH(G1090,Sheet3!$C$6:$C$1451,0))</f>
        <v>0</v>
      </c>
      <c r="AF1090" t="b">
        <f>ISNUMBER(MATCH(G1090,Sheet3!$G$6:$G$240,0))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ISNUMBER(MATCH(G1091,Sheet3!$C$6:$C$1451,0))</f>
        <v>0</v>
      </c>
      <c r="AF1091" t="b">
        <f>ISNUMBER(MATCH(G1091,Sheet3!$G$6:$G$240,0))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ISNUMBER(MATCH(G1092,Sheet3!$C$6:$C$1451,0))</f>
        <v>0</v>
      </c>
      <c r="AF1092" t="b">
        <f>ISNUMBER(MATCH(G1092,Sheet3!$G$6:$G$240,0))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ISNUMBER(MATCH(G1093,Sheet3!$C$6:$C$1451,0))</f>
        <v>0</v>
      </c>
      <c r="AF1093" t="b">
        <f>ISNUMBER(MATCH(G1093,Sheet3!$G$6:$G$240,0))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ISNUMBER(MATCH(G1094,Sheet3!$C$6:$C$1451,0))</f>
        <v>0</v>
      </c>
      <c r="AF1094" t="b">
        <f>ISNUMBER(MATCH(G1094,Sheet3!$G$6:$G$240,0))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ISNUMBER(MATCH(G1095,Sheet3!$C$6:$C$1451,0))</f>
        <v>0</v>
      </c>
      <c r="AF1095" t="b">
        <f>ISNUMBER(MATCH(G1095,Sheet3!$G$6:$G$240,0))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ISNUMBER(MATCH(G1096,Sheet3!$C$6:$C$1451,0))</f>
        <v>0</v>
      </c>
      <c r="AF1096" t="b">
        <f>ISNUMBER(MATCH(G1096,Sheet3!$G$6:$G$240,0))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ISNUMBER(MATCH(G1097,Sheet3!$C$6:$C$1451,0))</f>
        <v>0</v>
      </c>
      <c r="AF1097" t="b">
        <f>ISNUMBER(MATCH(G1097,Sheet3!$G$6:$G$240,0))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ISNUMBER(MATCH(G1098,Sheet3!$C$6:$C$1451,0))</f>
        <v>1</v>
      </c>
      <c r="AF1098" t="b">
        <f>ISNUMBER(MATCH(G1098,Sheet3!$G$6:$G$240,0))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ISNUMBER(MATCH(G1099,Sheet3!$C$6:$C$1451,0))</f>
        <v>1</v>
      </c>
      <c r="AF1099" t="b">
        <f>ISNUMBER(MATCH(G1099,Sheet3!$G$6:$G$240,0))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ISNUMBER(MATCH(G1100,Sheet3!$C$6:$C$1451,0))</f>
        <v>1</v>
      </c>
      <c r="AF1100" t="b">
        <f>ISNUMBER(MATCH(G1100,Sheet3!$G$6:$G$240,0))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ISNUMBER(MATCH(G1101,Sheet3!$C$6:$C$1451,0))</f>
        <v>0</v>
      </c>
      <c r="AF1101" t="b">
        <f>ISNUMBER(MATCH(G1101,Sheet3!$G$6:$G$240,0))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ISNUMBER(MATCH(G1102,Sheet3!$C$6:$C$1451,0))</f>
        <v>0</v>
      </c>
      <c r="AF1102" t="b">
        <f>ISNUMBER(MATCH(G1102,Sheet3!$G$6:$G$240,0))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ISNUMBER(MATCH(G1103,Sheet3!$C$6:$C$1451,0))</f>
        <v>0</v>
      </c>
      <c r="AF1103" t="b">
        <f>ISNUMBER(MATCH(G1103,Sheet3!$G$6:$G$240,0))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ISNUMBER(MATCH(G1104,Sheet3!$C$6:$C$1451,0))</f>
        <v>0</v>
      </c>
      <c r="AF1104" t="b">
        <f>ISNUMBER(MATCH(G1104,Sheet3!$G$6:$G$240,0))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ISNUMBER(MATCH(G1105,Sheet3!$C$6:$C$1451,0))</f>
        <v>0</v>
      </c>
      <c r="AF1105" t="b">
        <f>ISNUMBER(MATCH(G1105,Sheet3!$G$6:$G$240,0))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ISNUMBER(MATCH(G1106,Sheet3!$C$6:$C$1451,0))</f>
        <v>0</v>
      </c>
      <c r="AF1106" t="b">
        <f>ISNUMBER(MATCH(G1106,Sheet3!$G$6:$G$240,0))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ISNUMBER(MATCH(G1107,Sheet3!$C$6:$C$1451,0))</f>
        <v>0</v>
      </c>
      <c r="AF1107" t="b">
        <f>ISNUMBER(MATCH(G1107,Sheet3!$G$6:$G$240,0))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ISNUMBER(MATCH(G1108,Sheet3!$C$6:$C$1451,0))</f>
        <v>0</v>
      </c>
      <c r="AF1108" t="b">
        <f>ISNUMBER(MATCH(G1108,Sheet3!$G$6:$G$240,0))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ISNUMBER(MATCH(G1109,Sheet3!$C$6:$C$1451,0))</f>
        <v>0</v>
      </c>
      <c r="AF1109" t="b">
        <f>ISNUMBER(MATCH(G1109,Sheet3!$G$6:$G$240,0))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ISNUMBER(MATCH(G1110,Sheet3!$C$6:$C$1451,0))</f>
        <v>0</v>
      </c>
      <c r="AF1110" t="b">
        <f>ISNUMBER(MATCH(G1110,Sheet3!$G$6:$G$240,0))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ISNUMBER(MATCH(G1111,Sheet3!$C$6:$C$1451,0))</f>
        <v>0</v>
      </c>
      <c r="AF1111" t="b">
        <f>ISNUMBER(MATCH(G1111,Sheet3!$G$6:$G$240,0))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ISNUMBER(MATCH(G1112,Sheet3!$C$6:$C$1451,0))</f>
        <v>0</v>
      </c>
      <c r="AF1112" t="b">
        <f>ISNUMBER(MATCH(G1112,Sheet3!$G$6:$G$240,0))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ISNUMBER(MATCH(G1113,Sheet3!$C$6:$C$1451,0))</f>
        <v>0</v>
      </c>
      <c r="AF1113" t="b">
        <f>ISNUMBER(MATCH(G1113,Sheet3!$G$6:$G$240,0))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ISNUMBER(MATCH(G1114,Sheet3!$C$6:$C$1451,0))</f>
        <v>0</v>
      </c>
      <c r="AF1114" t="b">
        <f>ISNUMBER(MATCH(G1114,Sheet3!$G$6:$G$240,0))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ISNUMBER(MATCH(G1115,Sheet3!$C$6:$C$1451,0))</f>
        <v>0</v>
      </c>
      <c r="AF1115" t="b">
        <f>ISNUMBER(MATCH(G1115,Sheet3!$G$6:$G$240,0))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ISNUMBER(MATCH(G1116,Sheet3!$C$6:$C$1451,0))</f>
        <v>0</v>
      </c>
      <c r="AF1116" t="b">
        <f>ISNUMBER(MATCH(G1116,Sheet3!$G$6:$G$240,0))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ISNUMBER(MATCH(G1117,Sheet3!$C$6:$C$1451,0))</f>
        <v>0</v>
      </c>
      <c r="AF1117" t="b">
        <f>ISNUMBER(MATCH(G1117,Sheet3!$G$6:$G$240,0))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ISNUMBER(MATCH(G1118,Sheet3!$C$6:$C$1451,0))</f>
        <v>0</v>
      </c>
      <c r="AF1118" t="b">
        <f>ISNUMBER(MATCH(G1118,Sheet3!$G$6:$G$240,0))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ISNUMBER(MATCH(G1119,Sheet3!$C$6:$C$1451,0))</f>
        <v>1</v>
      </c>
      <c r="AF1119" t="b">
        <f>ISNUMBER(MATCH(G1119,Sheet3!$G$6:$G$240,0))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ISNUMBER(MATCH(G1120,Sheet3!$C$6:$C$1451,0))</f>
        <v>1</v>
      </c>
      <c r="AF1120" t="b">
        <f>ISNUMBER(MATCH(G1120,Sheet3!$G$6:$G$240,0))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ISNUMBER(MATCH(G1121,Sheet3!$C$6:$C$1451,0))</f>
        <v>1</v>
      </c>
      <c r="AF1121" t="b">
        <f>ISNUMBER(MATCH(G1121,Sheet3!$G$6:$G$240,0))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ISNUMBER(MATCH(G1122,Sheet3!$C$6:$C$1451,0))</f>
        <v>0</v>
      </c>
      <c r="AF1122" t="b">
        <f>ISNUMBER(MATCH(G1122,Sheet3!$G$6:$G$240,0))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ISNUMBER(MATCH(G1123,Sheet3!$C$6:$C$1451,0))</f>
        <v>0</v>
      </c>
      <c r="AF1123" t="b">
        <f>ISNUMBER(MATCH(G1123,Sheet3!$G$6:$G$240,0))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ISNUMBER(MATCH(G1124,Sheet3!$C$6:$C$1451,0))</f>
        <v>0</v>
      </c>
      <c r="AF1124" t="b">
        <f>ISNUMBER(MATCH(G1124,Sheet3!$G$6:$G$240,0))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ISNUMBER(MATCH(G1125,Sheet3!$C$6:$C$1451,0))</f>
        <v>1</v>
      </c>
      <c r="AF1125" t="b">
        <f>ISNUMBER(MATCH(G1125,Sheet3!$G$6:$G$240,0))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ISNUMBER(MATCH(G1126,Sheet3!$C$6:$C$1451,0))</f>
        <v>1</v>
      </c>
      <c r="AF1126" t="b">
        <f>ISNUMBER(MATCH(G1126,Sheet3!$G$6:$G$240,0))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ISNUMBER(MATCH(G1127,Sheet3!$C$6:$C$1451,0))</f>
        <v>1</v>
      </c>
      <c r="AF1127" t="b">
        <f>ISNUMBER(MATCH(G1127,Sheet3!$G$6:$G$240,0))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ISNUMBER(MATCH(G1128,Sheet3!$C$6:$C$1451,0))</f>
        <v>1</v>
      </c>
      <c r="AF1128" t="b">
        <f>ISNUMBER(MATCH(G1128,Sheet3!$G$6:$G$240,0))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ISNUMBER(MATCH(G1129,Sheet3!$C$6:$C$1451,0))</f>
        <v>1</v>
      </c>
      <c r="AF1129" t="b">
        <f>ISNUMBER(MATCH(G1129,Sheet3!$G$6:$G$240,0))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ISNUMBER(MATCH(G1130,Sheet3!$C$6:$C$1451,0))</f>
        <v>1</v>
      </c>
      <c r="AF1130" t="b">
        <f>ISNUMBER(MATCH(G1130,Sheet3!$G$6:$G$240,0))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ISNUMBER(MATCH(G1131,Sheet3!$C$6:$C$1451,0))</f>
        <v>0</v>
      </c>
      <c r="AF1131" t="b">
        <f>ISNUMBER(MATCH(G1131,Sheet3!$G$6:$G$240,0))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ISNUMBER(MATCH(G1132,Sheet3!$C$6:$C$1451,0))</f>
        <v>0</v>
      </c>
      <c r="AF1132" t="b">
        <f>ISNUMBER(MATCH(G1132,Sheet3!$G$6:$G$240,0))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ISNUMBER(MATCH(G1133,Sheet3!$C$6:$C$1451,0))</f>
        <v>1</v>
      </c>
      <c r="AF1133" t="b">
        <f>ISNUMBER(MATCH(G1133,Sheet3!$G$6:$G$240,0))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ISNUMBER(MATCH(G1134,Sheet3!$C$6:$C$1451,0))</f>
        <v>1</v>
      </c>
      <c r="AF1134" t="b">
        <f>ISNUMBER(MATCH(G1134,Sheet3!$G$6:$G$240,0))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ISNUMBER(MATCH(G1135,Sheet3!$C$6:$C$1451,0))</f>
        <v>1</v>
      </c>
      <c r="AF1135" t="b">
        <f>ISNUMBER(MATCH(G1135,Sheet3!$G$6:$G$240,0))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ISNUMBER(MATCH(G1136,Sheet3!$C$6:$C$1451,0))</f>
        <v>1</v>
      </c>
      <c r="AF1136" t="b">
        <f>ISNUMBER(MATCH(G1136,Sheet3!$G$6:$G$240,0))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ISNUMBER(MATCH(G1137,Sheet3!$C$6:$C$1451,0))</f>
        <v>1</v>
      </c>
      <c r="AF1137" t="b">
        <f>ISNUMBER(MATCH(G1137,Sheet3!$G$6:$G$240,0))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ISNUMBER(MATCH(G1138,Sheet3!$C$6:$C$1451,0))</f>
        <v>1</v>
      </c>
      <c r="AF1138" t="b">
        <f>ISNUMBER(MATCH(G1138,Sheet3!$G$6:$G$240,0))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ISNUMBER(MATCH(G1139,Sheet3!$C$6:$C$1451,0))</f>
        <v>1</v>
      </c>
      <c r="AF1139" t="b">
        <f>ISNUMBER(MATCH(G1139,Sheet3!$G$6:$G$240,0))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ISNUMBER(MATCH(G1140,Sheet3!$C$6:$C$1451,0))</f>
        <v>1</v>
      </c>
      <c r="AF1140" t="b">
        <f>ISNUMBER(MATCH(G1140,Sheet3!$G$6:$G$240,0))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ISNUMBER(MATCH(G1141,Sheet3!$C$6:$C$1451,0))</f>
        <v>1</v>
      </c>
      <c r="AF1141" t="b">
        <f>ISNUMBER(MATCH(G1141,Sheet3!$G$6:$G$240,0))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ISNUMBER(MATCH(G1142,Sheet3!$C$6:$C$1451,0))</f>
        <v>1</v>
      </c>
      <c r="AF1142" t="b">
        <f>ISNUMBER(MATCH(G1142,Sheet3!$G$6:$G$240,0))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ISNUMBER(MATCH(G1143,Sheet3!$C$6:$C$1451,0))</f>
        <v>1</v>
      </c>
      <c r="AF1143" t="b">
        <f>ISNUMBER(MATCH(G1143,Sheet3!$G$6:$G$240,0))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ISNUMBER(MATCH(G1144,Sheet3!$C$6:$C$1451,0))</f>
        <v>1</v>
      </c>
      <c r="AF1144" t="b">
        <f>ISNUMBER(MATCH(G1144,Sheet3!$G$6:$G$240,0))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ISNUMBER(MATCH(G1145,Sheet3!$C$6:$C$1451,0))</f>
        <v>1</v>
      </c>
      <c r="AF1145" t="b">
        <f>ISNUMBER(MATCH(G1145,Sheet3!$G$6:$G$240,0))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ISNUMBER(MATCH(G1146,Sheet3!$C$6:$C$1451,0))</f>
        <v>1</v>
      </c>
      <c r="AF1146" t="b">
        <f>ISNUMBER(MATCH(G1146,Sheet3!$G$6:$G$240,0))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ISNUMBER(MATCH(G1147,Sheet3!$C$6:$C$1451,0))</f>
        <v>1</v>
      </c>
      <c r="AF1147" t="b">
        <f>ISNUMBER(MATCH(G1147,Sheet3!$G$6:$G$240,0))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ISNUMBER(MATCH(G1148,Sheet3!$C$6:$C$1451,0))</f>
        <v>1</v>
      </c>
      <c r="AF1148" t="b">
        <f>ISNUMBER(MATCH(G1148,Sheet3!$G$6:$G$240,0))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ISNUMBER(MATCH(G1149,Sheet3!$C$6:$C$1451,0))</f>
        <v>1</v>
      </c>
      <c r="AF1149" t="b">
        <f>ISNUMBER(MATCH(G1149,Sheet3!$G$6:$G$240,0))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ISNUMBER(MATCH(G1150,Sheet3!$C$6:$C$1451,0))</f>
        <v>1</v>
      </c>
      <c r="AF1150" t="b">
        <f>ISNUMBER(MATCH(G1150,Sheet3!$G$6:$G$240,0))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ISNUMBER(MATCH(G1151,Sheet3!$C$6:$C$1451,0))</f>
        <v>1</v>
      </c>
      <c r="AF1151" t="b">
        <f>ISNUMBER(MATCH(G1151,Sheet3!$G$6:$G$240,0))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ISNUMBER(MATCH(G1152,Sheet3!$C$6:$C$1451,0))</f>
        <v>0</v>
      </c>
      <c r="AF1152" t="b">
        <f>ISNUMBER(MATCH(G1152,Sheet3!$G$6:$G$240,0))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ISNUMBER(MATCH(G1153,Sheet3!$C$6:$C$1451,0))</f>
        <v>1</v>
      </c>
      <c r="AF1153" t="b">
        <f>ISNUMBER(MATCH(G1153,Sheet3!$G$6:$G$240,0))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ISNUMBER(MATCH(G1154,Sheet3!$C$6:$C$1451,0))</f>
        <v>1</v>
      </c>
      <c r="AF1154" t="b">
        <f>ISNUMBER(MATCH(G1154,Sheet3!$G$6:$G$240,0))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ISNUMBER(MATCH(G1155,Sheet3!$C$6:$C$1451,0))</f>
        <v>1</v>
      </c>
      <c r="AF1155" t="b">
        <f>ISNUMBER(MATCH(G1155,Sheet3!$G$6:$G$240,0))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ISNUMBER(MATCH(G1156,Sheet3!$C$6:$C$1451,0))</f>
        <v>0</v>
      </c>
      <c r="AF1156" t="b">
        <f>ISNUMBER(MATCH(G1156,Sheet3!$G$6:$G$240,0))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ISNUMBER(MATCH(G1157,Sheet3!$C$6:$C$1451,0))</f>
        <v>0</v>
      </c>
      <c r="AF1157" t="b">
        <f>ISNUMBER(MATCH(G1157,Sheet3!$G$6:$G$240,0))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ISNUMBER(MATCH(G1158,Sheet3!$C$6:$C$1451,0))</f>
        <v>0</v>
      </c>
      <c r="AF1158" t="b">
        <f>ISNUMBER(MATCH(G1158,Sheet3!$G$6:$G$240,0))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ISNUMBER(MATCH(G1159,Sheet3!$C$6:$C$1451,0))</f>
        <v>0</v>
      </c>
      <c r="AF1159" t="b">
        <f>ISNUMBER(MATCH(G1159,Sheet3!$G$6:$G$240,0))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ISNUMBER(MATCH(G1160,Sheet3!$C$6:$C$1451,0))</f>
        <v>0</v>
      </c>
      <c r="AF1160" t="b">
        <f>ISNUMBER(MATCH(G1160,Sheet3!$G$6:$G$240,0))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ISNUMBER(MATCH(G1161,Sheet3!$C$6:$C$1451,0))</f>
        <v>1</v>
      </c>
      <c r="AF1161" t="b">
        <f>ISNUMBER(MATCH(G1161,Sheet3!$G$6:$G$240,0))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ISNUMBER(MATCH(G1162,Sheet3!$C$6:$C$1451,0))</f>
        <v>1</v>
      </c>
      <c r="AF1162" t="b">
        <f>ISNUMBER(MATCH(G1162,Sheet3!$G$6:$G$240,0))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ISNUMBER(MATCH(G1163,Sheet3!$C$6:$C$1451,0))</f>
        <v>1</v>
      </c>
      <c r="AF1163" t="b">
        <f>ISNUMBER(MATCH(G1163,Sheet3!$G$6:$G$240,0))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ISNUMBER(MATCH(G1164,Sheet3!$C$6:$C$1451,0))</f>
        <v>0</v>
      </c>
      <c r="AF1164" t="b">
        <f>ISNUMBER(MATCH(G1164,Sheet3!$G$6:$G$240,0))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ISNUMBER(MATCH(G1165,Sheet3!$C$6:$C$1451,0))</f>
        <v>1</v>
      </c>
      <c r="AF1165" t="b">
        <f>ISNUMBER(MATCH(G1165,Sheet3!$G$6:$G$240,0))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ISNUMBER(MATCH(G1166,Sheet3!$C$6:$C$1451,0))</f>
        <v>0</v>
      </c>
      <c r="AF1166" t="b">
        <f>ISNUMBER(MATCH(G1166,Sheet3!$G$6:$G$240,0))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ISNUMBER(MATCH(G1167,Sheet3!$C$6:$C$1451,0))</f>
        <v>0</v>
      </c>
      <c r="AF1167" t="b">
        <f>ISNUMBER(MATCH(G1167,Sheet3!$G$6:$G$240,0))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ISNUMBER(MATCH(G1168,Sheet3!$C$6:$C$1451,0))</f>
        <v>0</v>
      </c>
      <c r="AF1168" t="b">
        <f>ISNUMBER(MATCH(G1168,Sheet3!$G$6:$G$240,0))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ISNUMBER(MATCH(G1169,Sheet3!$C$6:$C$1451,0))</f>
        <v>0</v>
      </c>
      <c r="AF1169" t="b">
        <f>ISNUMBER(MATCH(G1169,Sheet3!$G$6:$G$240,0))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ISNUMBER(MATCH(G1170,Sheet3!$C$6:$C$1451,0))</f>
        <v>0</v>
      </c>
      <c r="AF1170" t="b">
        <f>ISNUMBER(MATCH(G1170,Sheet3!$G$6:$G$240,0))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ISNUMBER(MATCH(G1171,Sheet3!$C$6:$C$1451,0))</f>
        <v>0</v>
      </c>
      <c r="AF1171" t="b">
        <f>ISNUMBER(MATCH(G1171,Sheet3!$G$6:$G$240,0))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ISNUMBER(MATCH(G1172,Sheet3!$C$6:$C$1451,0))</f>
        <v>0</v>
      </c>
      <c r="AF1172" t="b">
        <f>ISNUMBER(MATCH(G1172,Sheet3!$G$6:$G$240,0))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ISNUMBER(MATCH(G1173,Sheet3!$C$6:$C$1451,0))</f>
        <v>0</v>
      </c>
      <c r="AF1173" t="b">
        <f>ISNUMBER(MATCH(G1173,Sheet3!$G$6:$G$240,0))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ISNUMBER(MATCH(G1174,Sheet3!$C$6:$C$1451,0))</f>
        <v>0</v>
      </c>
      <c r="AF1174" t="b">
        <f>ISNUMBER(MATCH(G1174,Sheet3!$G$6:$G$240,0))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ISNUMBER(MATCH(G1175,Sheet3!$C$6:$C$1451,0))</f>
        <v>0</v>
      </c>
      <c r="AF1175" t="b">
        <f>ISNUMBER(MATCH(G1175,Sheet3!$G$6:$G$240,0))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ISNUMBER(MATCH(G1176,Sheet3!$C$6:$C$1451,0))</f>
        <v>0</v>
      </c>
      <c r="AF1176" t="b">
        <f>ISNUMBER(MATCH(G1176,Sheet3!$G$6:$G$240,0))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ISNUMBER(MATCH(G1177,Sheet3!$C$6:$C$1451,0))</f>
        <v>0</v>
      </c>
      <c r="AF1177" t="b">
        <f>ISNUMBER(MATCH(G1177,Sheet3!$G$6:$G$240,0))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ISNUMBER(MATCH(G1178,Sheet3!$C$6:$C$1451,0))</f>
        <v>0</v>
      </c>
      <c r="AF1178" t="b">
        <f>ISNUMBER(MATCH(G1178,Sheet3!$G$6:$G$240,0))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ISNUMBER(MATCH(G1179,Sheet3!$C$6:$C$1451,0))</f>
        <v>0</v>
      </c>
      <c r="AF1179" t="b">
        <f>ISNUMBER(MATCH(G1179,Sheet3!$G$6:$G$240,0))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ISNUMBER(MATCH(G1180,Sheet3!$C$6:$C$1451,0))</f>
        <v>0</v>
      </c>
      <c r="AF1180" t="b">
        <f>ISNUMBER(MATCH(G1180,Sheet3!$G$6:$G$240,0))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ISNUMBER(MATCH(G1181,Sheet3!$C$6:$C$1451,0))</f>
        <v>0</v>
      </c>
      <c r="AF1181" t="b">
        <f>ISNUMBER(MATCH(G1181,Sheet3!$G$6:$G$240,0))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ISNUMBER(MATCH(G1182,Sheet3!$C$6:$C$1451,0))</f>
        <v>0</v>
      </c>
      <c r="AF1182" t="b">
        <f>ISNUMBER(MATCH(G1182,Sheet3!$G$6:$G$240,0))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ISNUMBER(MATCH(G1183,Sheet3!$C$6:$C$1451,0))</f>
        <v>0</v>
      </c>
      <c r="AF1183" t="b">
        <f>ISNUMBER(MATCH(G1183,Sheet3!$G$6:$G$240,0))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ISNUMBER(MATCH(G1184,Sheet3!$C$6:$C$1451,0))</f>
        <v>0</v>
      </c>
      <c r="AF1184" t="b">
        <f>ISNUMBER(MATCH(G1184,Sheet3!$G$6:$G$240,0))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ISNUMBER(MATCH(G1185,Sheet3!$C$6:$C$1451,0))</f>
        <v>0</v>
      </c>
      <c r="AF1185" t="b">
        <f>ISNUMBER(MATCH(G1185,Sheet3!$G$6:$G$240,0))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ISNUMBER(MATCH(G1186,Sheet3!$C$6:$C$1451,0))</f>
        <v>0</v>
      </c>
      <c r="AF1186" t="b">
        <f>ISNUMBER(MATCH(G1186,Sheet3!$G$6:$G$240,0))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ISNUMBER(MATCH(G1187,Sheet3!$C$6:$C$1451,0))</f>
        <v>0</v>
      </c>
      <c r="AF1187" t="b">
        <f>ISNUMBER(MATCH(G1187,Sheet3!$G$6:$G$240,0))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ISNUMBER(MATCH(G1188,Sheet3!$C$6:$C$1451,0))</f>
        <v>0</v>
      </c>
      <c r="AF1188" t="b">
        <f>ISNUMBER(MATCH(G1188,Sheet3!$G$6:$G$240,0))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ISNUMBER(MATCH(G1189,Sheet3!$C$6:$C$1451,0))</f>
        <v>0</v>
      </c>
      <c r="AF1189" t="b">
        <f>ISNUMBER(MATCH(G1189,Sheet3!$G$6:$G$240,0))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ISNUMBER(MATCH(G1190,Sheet3!$C$6:$C$1451,0))</f>
        <v>0</v>
      </c>
      <c r="AF1190" t="b">
        <f>ISNUMBER(MATCH(G1190,Sheet3!$G$6:$G$240,0))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ISNUMBER(MATCH(G1191,Sheet3!$C$6:$C$1451,0))</f>
        <v>0</v>
      </c>
      <c r="AF1191" t="b">
        <f>ISNUMBER(MATCH(G1191,Sheet3!$G$6:$G$240,0))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ISNUMBER(MATCH(G1192,Sheet3!$C$6:$C$1451,0))</f>
        <v>0</v>
      </c>
      <c r="AF1192" t="b">
        <f>ISNUMBER(MATCH(G1192,Sheet3!$G$6:$G$240,0))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ISNUMBER(MATCH(G1193,Sheet3!$C$6:$C$1451,0))</f>
        <v>0</v>
      </c>
      <c r="AF1193" t="b">
        <f>ISNUMBER(MATCH(G1193,Sheet3!$G$6:$G$240,0))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ISNUMBER(MATCH(G1194,Sheet3!$C$6:$C$1451,0))</f>
        <v>1</v>
      </c>
      <c r="AF1194" t="b">
        <f>ISNUMBER(MATCH(G1194,Sheet3!$G$6:$G$240,0))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ISNUMBER(MATCH(G1195,Sheet3!$C$6:$C$1451,0))</f>
        <v>1</v>
      </c>
      <c r="AF1195" t="b">
        <f>ISNUMBER(MATCH(G1195,Sheet3!$G$6:$G$240,0))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ISNUMBER(MATCH(G1196,Sheet3!$C$6:$C$1451,0))</f>
        <v>1</v>
      </c>
      <c r="AF1196" t="b">
        <f>ISNUMBER(MATCH(G1196,Sheet3!$G$6:$G$240,0))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ISNUMBER(MATCH(G1197,Sheet3!$C$6:$C$1451,0))</f>
        <v>1</v>
      </c>
      <c r="AF1197" t="b">
        <f>ISNUMBER(MATCH(G1197,Sheet3!$G$6:$G$240,0))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ISNUMBER(MATCH(G1198,Sheet3!$C$6:$C$1451,0))</f>
        <v>0</v>
      </c>
      <c r="AF1198" t="b">
        <f>ISNUMBER(MATCH(G1198,Sheet3!$G$6:$G$240,0))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ISNUMBER(MATCH(G1199,Sheet3!$C$6:$C$1451,0))</f>
        <v>0</v>
      </c>
      <c r="AF1199" t="b">
        <f>ISNUMBER(MATCH(G1199,Sheet3!$G$6:$G$240,0))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ISNUMBER(MATCH(G1200,Sheet3!$C$6:$C$1451,0))</f>
        <v>1</v>
      </c>
      <c r="AF1200" t="b">
        <f>ISNUMBER(MATCH(G1200,Sheet3!$G$6:$G$240,0))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ISNUMBER(MATCH(G1201,Sheet3!$C$6:$C$1451,0))</f>
        <v>1</v>
      </c>
      <c r="AF1201" t="b">
        <f>ISNUMBER(MATCH(G1201,Sheet3!$G$6:$G$240,0))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ISNUMBER(MATCH(G1202,Sheet3!$C$6:$C$1451,0))</f>
        <v>1</v>
      </c>
      <c r="AF1202" t="b">
        <f>ISNUMBER(MATCH(G1202,Sheet3!$G$6:$G$240,0))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ISNUMBER(MATCH(G1203,Sheet3!$C$6:$C$1451,0))</f>
        <v>0</v>
      </c>
      <c r="AF1203" t="b">
        <f>ISNUMBER(MATCH(G1203,Sheet3!$G$6:$G$240,0))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ISNUMBER(MATCH(G1204,Sheet3!$C$6:$C$1451,0))</f>
        <v>0</v>
      </c>
      <c r="AF1204" t="b">
        <f>ISNUMBER(MATCH(G1204,Sheet3!$G$6:$G$240,0))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ISNUMBER(MATCH(G1205,Sheet3!$C$6:$C$1451,0))</f>
        <v>1</v>
      </c>
      <c r="AF1205" t="b">
        <f>ISNUMBER(MATCH(G1205,Sheet3!$G$6:$G$240,0))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ISNUMBER(MATCH(G1206,Sheet3!$C$6:$C$1451,0))</f>
        <v>1</v>
      </c>
      <c r="AF1206" t="b">
        <f>ISNUMBER(MATCH(G1206,Sheet3!$G$6:$G$240,0))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ISNUMBER(MATCH(G1207,Sheet3!$C$6:$C$1451,0))</f>
        <v>1</v>
      </c>
      <c r="AF1207" t="b">
        <f>ISNUMBER(MATCH(G1207,Sheet3!$G$6:$G$240,0))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ISNUMBER(MATCH(G1208,Sheet3!$C$6:$C$1451,0))</f>
        <v>1</v>
      </c>
      <c r="AF1208" t="b">
        <f>ISNUMBER(MATCH(G1208,Sheet3!$G$6:$G$240,0))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ISNUMBER(MATCH(G1209,Sheet3!$C$6:$C$1451,0))</f>
        <v>1</v>
      </c>
      <c r="AF1209" t="b">
        <f>ISNUMBER(MATCH(G1209,Sheet3!$G$6:$G$240,0))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ISNUMBER(MATCH(G1210,Sheet3!$C$6:$C$1451,0))</f>
        <v>1</v>
      </c>
      <c r="AF1210" t="b">
        <f>ISNUMBER(MATCH(G1210,Sheet3!$G$6:$G$240,0))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ISNUMBER(MATCH(G1211,Sheet3!$C$6:$C$1451,0))</f>
        <v>0</v>
      </c>
      <c r="AF1211" t="b">
        <f>ISNUMBER(MATCH(G1211,Sheet3!$G$6:$G$240,0))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ISNUMBER(MATCH(G1212,Sheet3!$C$6:$C$1451,0))</f>
        <v>0</v>
      </c>
      <c r="AF1212" t="b">
        <f>ISNUMBER(MATCH(G1212,Sheet3!$G$6:$G$240,0))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ISNUMBER(MATCH(G1213,Sheet3!$C$6:$C$1451,0))</f>
        <v>1</v>
      </c>
      <c r="AF1213" t="b">
        <f>ISNUMBER(MATCH(G1213,Sheet3!$G$6:$G$240,0))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ISNUMBER(MATCH(G1214,Sheet3!$C$6:$C$1451,0))</f>
        <v>1</v>
      </c>
      <c r="AF1214" t="b">
        <f>ISNUMBER(MATCH(G1214,Sheet3!$G$6:$G$240,0))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ISNUMBER(MATCH(G1215,Sheet3!$C$6:$C$1451,0))</f>
        <v>1</v>
      </c>
      <c r="AF1215" t="b">
        <f>ISNUMBER(MATCH(G1215,Sheet3!$G$6:$G$240,0))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ISNUMBER(MATCH(G1216,Sheet3!$C$6:$C$1451,0))</f>
        <v>1</v>
      </c>
      <c r="AF1216" t="b">
        <f>ISNUMBER(MATCH(G1216,Sheet3!$G$6:$G$240,0))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ISNUMBER(MATCH(G1217,Sheet3!$C$6:$C$1451,0))</f>
        <v>0</v>
      </c>
      <c r="AF1217" t="b">
        <f>ISNUMBER(MATCH(G1217,Sheet3!$G$6:$G$240,0))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ISNUMBER(MATCH(G1218,Sheet3!$C$6:$C$1451,0))</f>
        <v>0</v>
      </c>
      <c r="AF1218" t="b">
        <f>ISNUMBER(MATCH(G1218,Sheet3!$G$6:$G$240,0))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ISNUMBER(MATCH(G1219,Sheet3!$C$6:$C$1451,0))</f>
        <v>0</v>
      </c>
      <c r="AF1219" t="b">
        <f>ISNUMBER(MATCH(G1219,Sheet3!$G$6:$G$240,0))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ISNUMBER(MATCH(G1220,Sheet3!$C$6:$C$1451,0))</f>
        <v>0</v>
      </c>
      <c r="AF1220" t="b">
        <f>ISNUMBER(MATCH(G1220,Sheet3!$G$6:$G$240,0))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ISNUMBER(MATCH(G1221,Sheet3!$C$6:$C$1451,0))</f>
        <v>0</v>
      </c>
      <c r="AF1221" t="b">
        <f>ISNUMBER(MATCH(G1221,Sheet3!$G$6:$G$240,0))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ISNUMBER(MATCH(G1222,Sheet3!$C$6:$C$1451,0))</f>
        <v>0</v>
      </c>
      <c r="AF1222" t="b">
        <f>ISNUMBER(MATCH(G1222,Sheet3!$G$6:$G$240,0))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ISNUMBER(MATCH(G1223,Sheet3!$C$6:$C$1451,0))</f>
        <v>0</v>
      </c>
      <c r="AF1223" t="b">
        <f>ISNUMBER(MATCH(G1223,Sheet3!$G$6:$G$240,0))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ISNUMBER(MATCH(G1224,Sheet3!$C$6:$C$1451,0))</f>
        <v>0</v>
      </c>
      <c r="AF1224" t="b">
        <f>ISNUMBER(MATCH(G1224,Sheet3!$G$6:$G$240,0))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ISNUMBER(MATCH(G1225,Sheet3!$C$6:$C$1451,0))</f>
        <v>0</v>
      </c>
      <c r="AF1225" t="b">
        <f>ISNUMBER(MATCH(G1225,Sheet3!$G$6:$G$240,0))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ISNUMBER(MATCH(G1226,Sheet3!$C$6:$C$1451,0))</f>
        <v>0</v>
      </c>
      <c r="AF1226" t="b">
        <f>ISNUMBER(MATCH(G1226,Sheet3!$G$6:$G$240,0))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ISNUMBER(MATCH(G1227,Sheet3!$C$6:$C$1451,0))</f>
        <v>0</v>
      </c>
      <c r="AF1227" t="b">
        <f>ISNUMBER(MATCH(G1227,Sheet3!$G$6:$G$240,0))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ISNUMBER(MATCH(G1228,Sheet3!$C$6:$C$1451,0))</f>
        <v>1</v>
      </c>
      <c r="AF1228" t="b">
        <f>ISNUMBER(MATCH(G1228,Sheet3!$G$6:$G$240,0))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ISNUMBER(MATCH(G1229,Sheet3!$C$6:$C$1451,0))</f>
        <v>1</v>
      </c>
      <c r="AF1229" t="b">
        <f>ISNUMBER(MATCH(G1229,Sheet3!$G$6:$G$240,0))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ISNUMBER(MATCH(G1230,Sheet3!$C$6:$C$1451,0))</f>
        <v>1</v>
      </c>
      <c r="AF1230" t="b">
        <f>ISNUMBER(MATCH(G1230,Sheet3!$G$6:$G$240,0))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ISNUMBER(MATCH(G1231,Sheet3!$C$6:$C$1451,0))</f>
        <v>1</v>
      </c>
      <c r="AF1231" t="b">
        <f>ISNUMBER(MATCH(G1231,Sheet3!$G$6:$G$240,0))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ISNUMBER(MATCH(G1232,Sheet3!$C$6:$C$1451,0))</f>
        <v>1</v>
      </c>
      <c r="AF1232" t="b">
        <f>ISNUMBER(MATCH(G1232,Sheet3!$G$6:$G$240,0))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ISNUMBER(MATCH(G1233,Sheet3!$C$6:$C$1451,0))</f>
        <v>1</v>
      </c>
      <c r="AF1233" t="b">
        <f>ISNUMBER(MATCH(G1233,Sheet3!$G$6:$G$240,0))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ISNUMBER(MATCH(G1234,Sheet3!$C$6:$C$1451,0))</f>
        <v>1</v>
      </c>
      <c r="AF1234" t="b">
        <f>ISNUMBER(MATCH(G1234,Sheet3!$G$6:$G$240,0))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ISNUMBER(MATCH(G1235,Sheet3!$C$6:$C$1451,0))</f>
        <v>1</v>
      </c>
      <c r="AF1235" t="b">
        <f>ISNUMBER(MATCH(G1235,Sheet3!$G$6:$G$240,0))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ISNUMBER(MATCH(G1236,Sheet3!$C$6:$C$1451,0))</f>
        <v>1</v>
      </c>
      <c r="AF1236" t="b">
        <f>ISNUMBER(MATCH(G1236,Sheet3!$G$6:$G$240,0))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ISNUMBER(MATCH(G1237,Sheet3!$C$6:$C$1451,0))</f>
        <v>1</v>
      </c>
      <c r="AF1237" t="b">
        <f>ISNUMBER(MATCH(G1237,Sheet3!$G$6:$G$240,0))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ISNUMBER(MATCH(G1238,Sheet3!$C$6:$C$1451,0))</f>
        <v>0</v>
      </c>
      <c r="AF1238" t="b">
        <f>ISNUMBER(MATCH(G1238,Sheet3!$G$6:$G$240,0))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ISNUMBER(MATCH(G1239,Sheet3!$C$6:$C$1451,0))</f>
        <v>0</v>
      </c>
      <c r="AF1239" t="b">
        <f>ISNUMBER(MATCH(G1239,Sheet3!$G$6:$G$240,0))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ISNUMBER(MATCH(G1240,Sheet3!$C$6:$C$1451,0))</f>
        <v>0</v>
      </c>
      <c r="AF1240" t="b">
        <f>ISNUMBER(MATCH(G1240,Sheet3!$G$6:$G$240,0))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ISNUMBER(MATCH(G1241,Sheet3!$C$6:$C$1451,0))</f>
        <v>0</v>
      </c>
      <c r="AF1241" t="b">
        <f>ISNUMBER(MATCH(G1241,Sheet3!$G$6:$G$240,0))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ISNUMBER(MATCH(G1242,Sheet3!$C$6:$C$1451,0))</f>
        <v>0</v>
      </c>
      <c r="AF1242" t="b">
        <f>ISNUMBER(MATCH(G1242,Sheet3!$G$6:$G$240,0))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ISNUMBER(MATCH(G1243,Sheet3!$C$6:$C$1451,0))</f>
        <v>0</v>
      </c>
      <c r="AF1243" t="b">
        <f>ISNUMBER(MATCH(G1243,Sheet3!$G$6:$G$240,0))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ISNUMBER(MATCH(G1244,Sheet3!$C$6:$C$1451,0))</f>
        <v>1</v>
      </c>
      <c r="AF1244" t="b">
        <f>ISNUMBER(MATCH(G1244,Sheet3!$G$6:$G$240,0))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ISNUMBER(MATCH(G1245,Sheet3!$C$6:$C$1451,0))</f>
        <v>1</v>
      </c>
      <c r="AF1245" t="b">
        <f>ISNUMBER(MATCH(G1245,Sheet3!$G$6:$G$240,0))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ISNUMBER(MATCH(G1246,Sheet3!$C$6:$C$1451,0))</f>
        <v>1</v>
      </c>
      <c r="AF1246" t="b">
        <f>ISNUMBER(MATCH(G1246,Sheet3!$G$6:$G$240,0))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ISNUMBER(MATCH(G1247,Sheet3!$C$6:$C$1451,0))</f>
        <v>1</v>
      </c>
      <c r="AF1247" t="b">
        <f>ISNUMBER(MATCH(G1247,Sheet3!$G$6:$G$240,0))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ISNUMBER(MATCH(G1248,Sheet3!$C$6:$C$1451,0))</f>
        <v>1</v>
      </c>
      <c r="AF1248" t="b">
        <f>ISNUMBER(MATCH(G1248,Sheet3!$G$6:$G$240,0))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124" workbookViewId="0">
      <selection activeCell="C144" sqref="C144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f>SUM([1]IndicesPerBenchmarkfam!J3:J8697)</f>
        <v>9965266516.0926342</v>
      </c>
      <c r="AB2" s="6">
        <f>SUM([1]IndicesPerBenchmarkfam!K3:K8697)</f>
        <v>30051982887.952702</v>
      </c>
      <c r="AC2" s="6">
        <f>SUM([1]IndicesPerBenchmarkfam!L3:L8697)</f>
        <v>15548496856.600794</v>
      </c>
      <c r="AD2" s="6">
        <f>SUM([1]IndicesPerBenchmarkfam!M3:M8697)</f>
        <v>63977345066.46489</v>
      </c>
      <c r="AE2" s="6">
        <f>SUM([1]IndicesPerBenchmarkfam!N3:N8697)</f>
        <v>286132872285.84955</v>
      </c>
      <c r="AF2" s="6">
        <f>SUM([1]IndicesPerBenchmarkfam!O3:O8697)</f>
        <v>27967554374.947781</v>
      </c>
      <c r="AG2" s="7">
        <f>SUM([1]IndicesPerBenchmarkfam!P3:P8697)</f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f>ROUND(AA2,0)=ROUND([1]Invoices_data!H3,0)</f>
        <v>1</v>
      </c>
      <c r="AB3" s="9" t="b">
        <f>AB2='[1]Total_SP(TS)'!N1</f>
        <v>1</v>
      </c>
      <c r="AC3" s="9" t="b">
        <f>AC2=[1]SRP!G1</f>
        <v>1</v>
      </c>
      <c r="AD3" s="9" t="b">
        <f>[1]Details_AUM_Funds!D1=AD2</f>
        <v>1</v>
      </c>
      <c r="AE3" s="10" t="b">
        <f>ROUND(AE2,0)=ROUND([1]Warrants_Certificates!H1,0)</f>
        <v>1</v>
      </c>
      <c r="AF3" s="10" t="b">
        <f>AF2=[1]Derivatives!BQ1</f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4429-1FA7-464D-AD06-241FFC831C78}">
  <sheetPr codeName="Sheet4"/>
  <dimension ref="A1:A125"/>
  <sheetViews>
    <sheetView workbookViewId="0">
      <selection activeCell="E18" sqref="E18"/>
    </sheetView>
  </sheetViews>
  <sheetFormatPr defaultRowHeight="12.75"/>
  <sheetData>
    <row r="1" spans="1:1">
      <c r="A1" s="36" t="s">
        <v>4742</v>
      </c>
    </row>
    <row r="2" spans="1:1">
      <c r="A2" s="36" t="s">
        <v>2201</v>
      </c>
    </row>
    <row r="3" spans="1:1">
      <c r="A3" s="36"/>
    </row>
    <row r="4" spans="1:1" ht="14.25">
      <c r="A4" s="39" t="s">
        <v>3874</v>
      </c>
    </row>
    <row r="5" spans="1:1">
      <c r="A5" s="36"/>
    </row>
    <row r="6" spans="1:1">
      <c r="A6" s="36" t="s">
        <v>2493</v>
      </c>
    </row>
    <row r="7" spans="1:1">
      <c r="A7" s="36"/>
    </row>
    <row r="8" spans="1:1">
      <c r="A8" s="36"/>
    </row>
    <row r="9" spans="1:1">
      <c r="A9" s="36" t="s">
        <v>2310</v>
      </c>
    </row>
    <row r="10" spans="1:1">
      <c r="A10" s="36"/>
    </row>
    <row r="11" spans="1:1">
      <c r="A11" s="36" t="s">
        <v>765</v>
      </c>
    </row>
    <row r="12" spans="1:1">
      <c r="A12" s="36" t="s">
        <v>827</v>
      </c>
    </row>
    <row r="13" spans="1:1">
      <c r="A13" s="36" t="s">
        <v>839</v>
      </c>
    </row>
    <row r="14" spans="1:1">
      <c r="A14" s="36" t="s">
        <v>1004</v>
      </c>
    </row>
    <row r="15" spans="1:1">
      <c r="A15" s="36" t="s">
        <v>995</v>
      </c>
    </row>
    <row r="16" spans="1:1">
      <c r="A16" s="36" t="s">
        <v>2090</v>
      </c>
    </row>
    <row r="17" spans="1:1">
      <c r="A17" s="36" t="s">
        <v>2117</v>
      </c>
    </row>
    <row r="18" spans="1:1">
      <c r="A18" s="36" t="s">
        <v>856</v>
      </c>
    </row>
    <row r="19" spans="1:1">
      <c r="A19" s="36" t="s">
        <v>2183</v>
      </c>
    </row>
    <row r="20" spans="1:1">
      <c r="A20" s="36" t="s">
        <v>864</v>
      </c>
    </row>
    <row r="21" spans="1:1">
      <c r="A21" s="36" t="s">
        <v>870</v>
      </c>
    </row>
    <row r="22" spans="1:1" ht="14.25">
      <c r="A22" s="39" t="s">
        <v>2432</v>
      </c>
    </row>
    <row r="23" spans="1:1" ht="14.25">
      <c r="A23" s="39" t="s">
        <v>2442</v>
      </c>
    </row>
    <row r="24" spans="1:1">
      <c r="A24" s="36" t="s">
        <v>2421</v>
      </c>
    </row>
    <row r="25" spans="1:1" ht="14.25">
      <c r="A25" s="39" t="s">
        <v>3796</v>
      </c>
    </row>
    <row r="26" spans="1:1">
      <c r="A26" s="36" t="s">
        <v>3448</v>
      </c>
    </row>
    <row r="27" spans="1:1">
      <c r="A27" s="36" t="s">
        <v>3394</v>
      </c>
    </row>
    <row r="28" spans="1:1">
      <c r="A28" s="36" t="s">
        <v>3421</v>
      </c>
    </row>
    <row r="29" spans="1:1">
      <c r="A29" s="36" t="s">
        <v>1342</v>
      </c>
    </row>
    <row r="30" spans="1:1">
      <c r="A30" s="36" t="s">
        <v>1333</v>
      </c>
    </row>
    <row r="31" spans="1:1">
      <c r="A31" s="36" t="s">
        <v>1324</v>
      </c>
    </row>
    <row r="32" spans="1:1">
      <c r="A32" s="36" t="s">
        <v>4756</v>
      </c>
    </row>
    <row r="33" spans="1:1">
      <c r="A33" s="36" t="s">
        <v>4743</v>
      </c>
    </row>
    <row r="34" spans="1:1">
      <c r="A34" s="36" t="s">
        <v>2571</v>
      </c>
    </row>
    <row r="35" spans="1:1" ht="14.25">
      <c r="A35" s="39" t="s">
        <v>929</v>
      </c>
    </row>
    <row r="36" spans="1:1">
      <c r="A36" s="36" t="s">
        <v>4744</v>
      </c>
    </row>
    <row r="37" spans="1:1" ht="14.25">
      <c r="A37" s="39" t="s">
        <v>4745</v>
      </c>
    </row>
    <row r="38" spans="1:1">
      <c r="A38" s="36" t="s">
        <v>1031</v>
      </c>
    </row>
    <row r="39" spans="1:1">
      <c r="A39" s="36" t="s">
        <v>984</v>
      </c>
    </row>
    <row r="40" spans="1:1" ht="14.25">
      <c r="A40" s="39" t="s">
        <v>1085</v>
      </c>
    </row>
    <row r="41" spans="1:1">
      <c r="A41" s="36" t="s">
        <v>979</v>
      </c>
    </row>
    <row r="42" spans="1:1">
      <c r="A42" s="36" t="s">
        <v>2388</v>
      </c>
    </row>
    <row r="43" spans="1:1">
      <c r="A43" s="36" t="s">
        <v>948</v>
      </c>
    </row>
    <row r="44" spans="1:1">
      <c r="A44" s="36" t="s">
        <v>2589</v>
      </c>
    </row>
    <row r="45" spans="1:1" ht="14.25">
      <c r="A45" s="39" t="s">
        <v>962</v>
      </c>
    </row>
    <row r="46" spans="1:1" ht="14.25">
      <c r="A46" s="39" t="s">
        <v>846</v>
      </c>
    </row>
    <row r="47" spans="1:1">
      <c r="A47" s="36" t="s">
        <v>3618</v>
      </c>
    </row>
    <row r="48" spans="1:1" ht="14.25">
      <c r="A48" s="39" t="s">
        <v>3643</v>
      </c>
    </row>
    <row r="49" spans="1:1">
      <c r="A49" s="36" t="s">
        <v>3707</v>
      </c>
    </row>
    <row r="50" spans="1:1" ht="14.25">
      <c r="A50" s="39" t="s">
        <v>4746</v>
      </c>
    </row>
    <row r="51" spans="1:1">
      <c r="A51" s="36" t="s">
        <v>2607</v>
      </c>
    </row>
    <row r="52" spans="1:1">
      <c r="A52" s="36" t="s">
        <v>1007</v>
      </c>
    </row>
    <row r="53" spans="1:1">
      <c r="A53" s="36" t="s">
        <v>2616</v>
      </c>
    </row>
    <row r="54" spans="1:1">
      <c r="A54" s="36" t="s">
        <v>2329</v>
      </c>
    </row>
    <row r="55" spans="1:1">
      <c r="A55" s="36" t="s">
        <v>3670</v>
      </c>
    </row>
    <row r="56" spans="1:1" ht="14.25">
      <c r="A56" s="39" t="s">
        <v>3679</v>
      </c>
    </row>
    <row r="57" spans="1:1">
      <c r="A57" s="36" t="s">
        <v>2331</v>
      </c>
    </row>
    <row r="58" spans="1:1">
      <c r="A58" s="36" t="s">
        <v>3652</v>
      </c>
    </row>
    <row r="59" spans="1:1">
      <c r="A59" s="36" t="s">
        <v>2352</v>
      </c>
    </row>
    <row r="60" spans="1:1">
      <c r="A60" s="36" t="s">
        <v>3661</v>
      </c>
    </row>
    <row r="61" spans="1:1">
      <c r="A61" s="36" t="s">
        <v>2367</v>
      </c>
    </row>
    <row r="62" spans="1:1">
      <c r="A62" s="36" t="s">
        <v>3341</v>
      </c>
    </row>
    <row r="63" spans="1:1">
      <c r="A63" s="36" t="s">
        <v>3478</v>
      </c>
    </row>
    <row r="64" spans="1:1">
      <c r="A64" s="36" t="s">
        <v>2341</v>
      </c>
    </row>
    <row r="65" spans="1:1">
      <c r="A65" s="36" t="s">
        <v>3632</v>
      </c>
    </row>
    <row r="66" spans="1:1">
      <c r="A66" s="36" t="s">
        <v>1058</v>
      </c>
    </row>
    <row r="67" spans="1:1">
      <c r="A67" s="36" t="s">
        <v>970</v>
      </c>
    </row>
    <row r="68" spans="1:1">
      <c r="A68" s="36" t="s">
        <v>1166</v>
      </c>
    </row>
    <row r="69" spans="1:1">
      <c r="A69" s="36" t="s">
        <v>2679</v>
      </c>
    </row>
    <row r="70" spans="1:1">
      <c r="A70" s="36" t="s">
        <v>2843</v>
      </c>
    </row>
    <row r="71" spans="1:1" ht="15">
      <c r="A71" s="40" t="s">
        <v>2792</v>
      </c>
    </row>
    <row r="72" spans="1:1" ht="14.25">
      <c r="A72" s="39" t="s">
        <v>2870</v>
      </c>
    </row>
    <row r="73" spans="1:1">
      <c r="A73" s="36" t="s">
        <v>2909</v>
      </c>
    </row>
    <row r="74" spans="1:1">
      <c r="A74" s="36" t="s">
        <v>2894</v>
      </c>
    </row>
    <row r="75" spans="1:1">
      <c r="A75" s="36" t="s">
        <v>2694</v>
      </c>
    </row>
    <row r="76" spans="1:1">
      <c r="A76" s="36" t="s">
        <v>887</v>
      </c>
    </row>
    <row r="77" spans="1:1">
      <c r="A77" s="36" t="s">
        <v>902</v>
      </c>
    </row>
    <row r="78" spans="1:1">
      <c r="A78" s="36" t="s">
        <v>4747</v>
      </c>
    </row>
    <row r="79" spans="1:1">
      <c r="A79" s="36" t="s">
        <v>2511</v>
      </c>
    </row>
    <row r="80" spans="1:1">
      <c r="A80" s="36" t="s">
        <v>1250</v>
      </c>
    </row>
    <row r="81" spans="1:1">
      <c r="A81" s="36" t="s">
        <v>1706</v>
      </c>
    </row>
    <row r="82" spans="1:1">
      <c r="A82" s="36" t="s">
        <v>4748</v>
      </c>
    </row>
    <row r="83" spans="1:1">
      <c r="A83" s="36" t="s">
        <v>2448</v>
      </c>
    </row>
    <row r="84" spans="1:1">
      <c r="A84" s="36" t="s">
        <v>2652</v>
      </c>
    </row>
    <row r="85" spans="1:1" ht="14.25">
      <c r="A85" s="39" t="s">
        <v>2580</v>
      </c>
    </row>
    <row r="86" spans="1:1">
      <c r="A86" s="36" t="s">
        <v>2544</v>
      </c>
    </row>
    <row r="87" spans="1:1">
      <c r="A87" s="36" t="s">
        <v>2099</v>
      </c>
    </row>
    <row r="88" spans="1:1">
      <c r="A88" s="36" t="s">
        <v>2108</v>
      </c>
    </row>
    <row r="89" spans="1:1">
      <c r="A89" s="36" t="s">
        <v>2598</v>
      </c>
    </row>
    <row r="90" spans="1:1" ht="14.25">
      <c r="A90" s="39" t="s">
        <v>2126</v>
      </c>
    </row>
    <row r="91" spans="1:1">
      <c r="A91" s="36" t="s">
        <v>2469</v>
      </c>
    </row>
    <row r="92" spans="1:1">
      <c r="A92" s="36" t="s">
        <v>1688</v>
      </c>
    </row>
    <row r="93" spans="1:1">
      <c r="A93" s="36" t="s">
        <v>2403</v>
      </c>
    </row>
    <row r="94" spans="1:1">
      <c r="A94" s="36" t="s">
        <v>965</v>
      </c>
    </row>
    <row r="95" spans="1:1">
      <c r="A95" s="36" t="s">
        <v>3728</v>
      </c>
    </row>
    <row r="96" spans="1:1">
      <c r="A96" s="36" t="s">
        <v>1142</v>
      </c>
    </row>
    <row r="97" spans="1:1">
      <c r="A97" s="36" t="s">
        <v>1067</v>
      </c>
    </row>
    <row r="98" spans="1:1" ht="14.25">
      <c r="A98" s="39" t="s">
        <v>941</v>
      </c>
    </row>
    <row r="99" spans="1:1">
      <c r="A99" s="36" t="s">
        <v>1202</v>
      </c>
    </row>
    <row r="100" spans="1:1">
      <c r="A100" s="36" t="s">
        <v>2634</v>
      </c>
    </row>
    <row r="101" spans="1:1" ht="14.25">
      <c r="A101" s="39" t="s">
        <v>2667</v>
      </c>
    </row>
    <row r="102" spans="1:1">
      <c r="A102" s="36" t="s">
        <v>1119</v>
      </c>
    </row>
    <row r="103" spans="1:1">
      <c r="A103" s="36" t="s">
        <v>1211</v>
      </c>
    </row>
    <row r="104" spans="1:1">
      <c r="A104" s="36" t="s">
        <v>1263</v>
      </c>
    </row>
    <row r="105" spans="1:1">
      <c r="A105" s="36" t="s">
        <v>2643</v>
      </c>
    </row>
    <row r="106" spans="1:1" ht="14.25">
      <c r="A106" s="39" t="s">
        <v>2722</v>
      </c>
    </row>
    <row r="107" spans="1:1" ht="14.25">
      <c r="A107" s="39" t="s">
        <v>2625</v>
      </c>
    </row>
    <row r="108" spans="1:1">
      <c r="A108" s="36" t="s">
        <v>1190</v>
      </c>
    </row>
    <row r="109" spans="1:1">
      <c r="A109" s="36" t="s">
        <v>1012</v>
      </c>
    </row>
    <row r="110" spans="1:1">
      <c r="A110" s="36" t="s">
        <v>917</v>
      </c>
    </row>
    <row r="111" spans="1:1" ht="15">
      <c r="A111" s="40" t="s">
        <v>4749</v>
      </c>
    </row>
    <row r="112" spans="1:1" ht="15">
      <c r="A112" s="40" t="s">
        <v>4750</v>
      </c>
    </row>
    <row r="113" spans="1:1" ht="15">
      <c r="A113" s="40" t="s">
        <v>4751</v>
      </c>
    </row>
    <row r="114" spans="1:1" ht="15">
      <c r="A114" s="40" t="s">
        <v>4752</v>
      </c>
    </row>
    <row r="115" spans="1:1" ht="15">
      <c r="A115" s="41" t="s">
        <v>4753</v>
      </c>
    </row>
    <row r="116" spans="1:1" ht="15">
      <c r="A116" s="41" t="s">
        <v>4754</v>
      </c>
    </row>
    <row r="117" spans="1:1" ht="14.25">
      <c r="A117" s="39" t="s">
        <v>2192</v>
      </c>
    </row>
    <row r="118" spans="1:1">
      <c r="A118" s="36" t="s">
        <v>1709</v>
      </c>
    </row>
    <row r="119" spans="1:1">
      <c r="A119" s="36" t="s">
        <v>2553</v>
      </c>
    </row>
    <row r="120" spans="1:1" ht="14.25">
      <c r="A120" s="39" t="s">
        <v>2562</v>
      </c>
    </row>
    <row r="121" spans="1:1">
      <c r="A121" s="36" t="s">
        <v>1284</v>
      </c>
    </row>
    <row r="122" spans="1:1">
      <c r="A122" s="36" t="s">
        <v>3329</v>
      </c>
    </row>
    <row r="123" spans="1:1" ht="14.25">
      <c r="A123" s="39" t="s">
        <v>3490</v>
      </c>
    </row>
    <row r="124" spans="1:1" ht="15">
      <c r="A124" s="42" t="s">
        <v>4755</v>
      </c>
    </row>
    <row r="125" spans="1:1" ht="14.25">
      <c r="A125" s="39" t="s">
        <v>2740</v>
      </c>
    </row>
  </sheetData>
  <conditionalFormatting sqref="A1:A21">
    <cfRule type="expression" dxfId="8" priority="3">
      <formula>$A1=TODAY()</formula>
    </cfRule>
  </conditionalFormatting>
  <conditionalFormatting sqref="A22:A70">
    <cfRule type="expression" dxfId="7" priority="1">
      <formula>$A22=TODAY()</formula>
    </cfRule>
  </conditionalFormatting>
  <conditionalFormatting sqref="A73:A125">
    <cfRule type="expression" dxfId="6" priority="2">
      <formula>$A73=TODAY()</formula>
    </cfRule>
  </conditionalFormatting>
  <conditionalFormatting sqref="A8">
    <cfRule type="expression" dxfId="5" priority="7">
      <formula>$A71=TODAY()</formula>
    </cfRule>
  </conditionalFormatting>
  <conditionalFormatting sqref="A12">
    <cfRule type="expression" dxfId="4" priority="4">
      <formula>$A26=TODAY()</formula>
    </cfRule>
  </conditionalFormatting>
  <conditionalFormatting sqref="A13">
    <cfRule type="expression" dxfId="3" priority="8">
      <formula>$A71=TODAY()</formula>
    </cfRule>
  </conditionalFormatting>
  <conditionalFormatting sqref="A32">
    <cfRule type="expression" dxfId="2" priority="6">
      <formula>$A32=TODAY()</formula>
    </cfRule>
  </conditionalFormatting>
  <conditionalFormatting sqref="A81">
    <cfRule type="expression" dxfId="1" priority="5">
      <formula>$A139=TODAY()</formula>
    </cfRule>
  </conditionalFormatting>
  <conditionalFormatting sqref="A91">
    <cfRule type="expression" dxfId="0" priority="9">
      <formula>$A136=TODAY()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2025-01-30T14:35:27Z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