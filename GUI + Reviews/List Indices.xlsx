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479" documentId="8_{E116395F-23B1-4781-867C-818128799F0D}" xr6:coauthVersionLast="47" xr6:coauthVersionMax="47" xr10:uidLastSave="{F049DA7D-64E5-49E9-AA69-C6F03453A81C}"/>
  <bookViews>
    <workbookView xWindow="-120" yWindow="-120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Sheet1!$A$4:$I$109</definedName>
    <definedName name="_xlnm._FilterDatabase" localSheetId="1" hidden="1">'To automate'!$A$7:$K$240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<sst xmlns="http://schemas.openxmlformats.org/spreadsheetml/2006/main" count="22577" uniqueCount="5197">
  <si>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</si>
  <si>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</si>
  <si>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</si>
  <si>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</si>
  <si>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</si>
  <si>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</si>
  <si>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</si>
  <si>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</si>
  <si>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</si>
  <si>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</si>
  <si>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</si>
  <si>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</si>
  <si>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</si>
  <si>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</si>
  <si>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</si>
  <si>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</si>
  <si>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</si>
  <si>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</si>
  <si>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</si>
  <si>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</si>
  <si>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</si>
  <si>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</si>
  <si>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</si>
  <si>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</si>
  <si>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</si>
  <si>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</si>
  <si>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</si>
  <si>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</si>
  <si>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</si>
  <si>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</si>
  <si>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</si>
  <si>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</si>
  <si>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</si>
  <si>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</si>
  <si>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</si>
  <si>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</si>
  <si>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</si>
  <si>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</si>
  <si>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</si>
  <si>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</si>
  <si>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</si>
  <si>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</si>
  <si>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</si>
  <si>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</si>
  <si>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</si>
  <si>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</si>
  <si>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</si>
  <si>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</si>
  <si>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</si>
  <si>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</si>
  <si>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</si>
  <si>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</si>
  <si>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</si>
  <si>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</si>
  <si>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</si>
  <si>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</si>
  <si>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</si>
  <si>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</si>
  <si>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</si>
  <si>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</si>
  <si>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</si>
  <si>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</si>
  <si>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</si>
  <si>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</si>
  <si>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</si>
  <si>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</si>
  <si>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</si>
  <si>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</si>
  <si>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</si>
  <si>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</si>
  <si>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</si>
  <si>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</si>
  <si>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</si>
  <si>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</si>
  <si>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</si>
  <si>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</si>
  <si>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</si>
  <si>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</si>
  <si>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</si>
  <si>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</si>
  <si>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</si>
  <si>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</si>
  <si>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</si>
  <si>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</si>
  <si>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</si>
  <si>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</si>
  <si>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</si>
  <si>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</si>
  <si>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</si>
  <si>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</si>
  <si>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</si>
  <si>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</si>
  <si>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</si>
  <si>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</si>
  <si>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</si>
  <si>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</si>
  <si>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</si>
  <si>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</si>
  <si>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</si>
  <si>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</si>
  <si>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</si>
  <si>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</si>
  <si>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</si>
  <si>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</si>
  <si>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</si>
  <si>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</si>
  <si>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</si>
  <si>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</si>
  <si>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</si>
  <si>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</si>
  <si>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</si>
  <si>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</si>
  <si>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</si>
  <si>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</si>
  <si>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</si>
  <si>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</si>
  <si>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</si>
  <si>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</si>
  <si>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</si>
  <si>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</si>
  <si>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</si>
  <si>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</si>
  <si>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</si>
  <si>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</si>
  <si>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</si>
  <si>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</si>
  <si>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</si>
  <si>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</si>
  <si>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</si>
  <si>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</si>
  <si>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</si>
  <si>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</si>
  <si>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</si>
  <si>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</si>
  <si>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</si>
  <si>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</si>
  <si>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</si>
  <si>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</si>
  <si>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</si>
  <si>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</si>
  <si>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</si>
  <si>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</si>
  <si>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</si>
  <si>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</si>
  <si>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</si>
  <si>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</si>
  <si>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</si>
  <si>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</si>
  <si>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</si>
  <si>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</si>
  <si>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</si>
  <si>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</si>
  <si>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</si>
  <si>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</si>
  <si>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</si>
  <si>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</si>
  <si>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</si>
  <si>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</si>
  <si>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</si>
  <si>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</si>
  <si>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</si>
  <si>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</si>
  <si>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</si>
  <si>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</si>
  <si>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</si>
  <si>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</si>
  <si>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</si>
  <si>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</si>
  <si>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</si>
  <si>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</si>
  <si>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</si>
  <si>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</si>
  <si>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</si>
  <si>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</si>
  <si>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</si>
  <si>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</si>
  <si>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</si>
  <si>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</si>
  <si>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</si>
  <si>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</si>
  <si>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</si>
  <si>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</si>
  <si>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</si>
  <si>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</si>
  <si>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</si>
  <si>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</si>
  <si>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</si>
  <si>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</si>
  <si>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</si>
  <si>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</si>
  <si>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</si>
  <si>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</si>
  <si>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</si>
  <si>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</si>
  <si>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</si>
  <si>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</si>
  <si>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</si>
  <si>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</si>
  <si>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</si>
  <si>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</si>
  <si>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</si>
  <si>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</si>
  <si>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</si>
  <si>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</si>
  <si>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</si>
  <si>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</si>
  <si>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</si>
  <si>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</si>
  <si>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</si>
  <si>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</si>
  <si>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</si>
  <si>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</si>
  <si>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</si>
  <si>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</si>
  <si>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</si>
  <si>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</si>
  <si>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</si>
  <si>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</si>
  <si>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</si>
  <si>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</si>
  <si>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</si>
  <si>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</si>
  <si>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</si>
  <si>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</si>
  <si>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</si>
  <si>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</si>
  <si>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</si>
  <si>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</si>
  <si>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</si>
  <si>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</si>
  <si>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</si>
  <si>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</si>
  <si>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</si>
  <si>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</si>
  <si>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</si>
  <si>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</si>
  <si>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</si>
  <si>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</si>
  <si>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</si>
  <si>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</si>
  <si>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</si>
  <si>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</si>
  <si>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</si>
  <si>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</si>
  <si>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</si>
  <si>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</si>
  <si>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</si>
  <si>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</si>
  <si>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</si>
  <si>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</si>
  <si>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</si>
  <si>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</si>
  <si>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</si>
  <si>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</si>
  <si>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</si>
  <si>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</si>
  <si>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</si>
  <si>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</si>
  <si>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</si>
  <si>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</si>
  <si>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</si>
  <si>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</si>
  <si>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</si>
  <si>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</si>
  <si>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</si>
  <si>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</si>
  <si>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</si>
  <si>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</si>
  <si>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</si>
  <si>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</si>
  <si>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</si>
  <si>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</si>
  <si>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</si>
  <si>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</si>
  <si>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</si>
  <si>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</si>
  <si>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</si>
  <si>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</si>
  <si>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</si>
  <si>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</si>
  <si>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</si>
  <si>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</si>
  <si>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</si>
  <si>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</si>
  <si>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</si>
  <si>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</si>
  <si>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</si>
  <si>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</si>
  <si>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</si>
  <si>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</si>
  <si>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</si>
  <si>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</si>
  <si>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</si>
  <si>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</si>
  <si>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</si>
  <si>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</si>
  <si>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</si>
  <si>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</si>
  <si>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</si>
  <si>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</si>
  <si>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</si>
  <si>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</si>
  <si>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</si>
  <si>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</si>
  <si>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</si>
  <si>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</si>
  <si>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</si>
  <si>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</si>
  <si>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</si>
  <si>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</si>
  <si>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</si>
  <si>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</si>
  <si>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</si>
  <si>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</si>
  <si>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</si>
  <si>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</si>
  <si>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</si>
  <si>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</si>
  <si>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</si>
  <si>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</si>
  <si>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</si>
  <si>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</si>
  <si>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</si>
  <si>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</si>
  <si>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</si>
  <si>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</si>
  <si>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</si>
  <si>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</si>
  <si>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</si>
  <si>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</si>
  <si>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</si>
  <si>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</si>
  <si>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</si>
  <si>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</si>
  <si>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</si>
  <si>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</si>
  <si>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</si>
  <si>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</si>
  <si>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</si>
  <si>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</si>
  <si>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</si>
  <si>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</si>
  <si>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</si>
  <si>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</si>
  <si>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</si>
  <si>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</si>
  <si>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</si>
  <si>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</si>
  <si>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</si>
  <si>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</si>
  <si>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</si>
  <si>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</si>
  <si>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</si>
  <si>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</si>
  <si>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</si>
  <si>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</si>
  <si>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</si>
  <si>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</si>
  <si>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</si>
  <si>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</si>
  <si>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</si>
  <si>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</si>
  <si>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</si>
  <si>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</si>
  <si>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</si>
  <si>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</si>
  <si>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</si>
  <si>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</si>
  <si>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</si>
  <si>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</si>
  <si>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</si>
  <si>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</si>
  <si>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</si>
  <si>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</si>
  <si>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</si>
  <si>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</si>
  <si>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</si>
  <si>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</si>
  <si>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</si>
  <si>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</si>
  <si>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</si>
  <si>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</si>
  <si>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</si>
  <si>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</si>
  <si>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</si>
  <si>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</si>
  <si>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</si>
  <si>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</si>
  <si>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</si>
  <si>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</si>
  <si>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</si>
  <si>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</si>
  <si>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</si>
  <si>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</si>
  <si>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</si>
  <si>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</si>
  <si>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</si>
  <si>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</si>
  <si>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</si>
  <si>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</si>
  <si>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</si>
  <si>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</si>
  <si>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</si>
  <si>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</si>
  <si>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</si>
  <si>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</si>
  <si>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</si>
  <si>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</si>
  <si>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</si>
  <si>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</si>
  <si>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</si>
  <si>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</si>
  <si>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</si>
  <si>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</si>
  <si>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</si>
  <si>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</si>
  <si>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</si>
  <si>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</si>
  <si>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</si>
  <si>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</si>
  <si>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</si>
  <si>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</si>
  <si>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</si>
  <si>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</si>
  <si>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</si>
  <si>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</si>
  <si>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</si>
  <si>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</si>
  <si>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</si>
  <si>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</si>
  <si>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</si>
  <si>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</si>
  <si>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</si>
  <si>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</si>
  <si>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</si>
  <si>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</si>
  <si>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</si>
  <si>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</si>
  <si>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</si>
  <si>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</si>
  <si>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</si>
  <si>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</si>
  <si>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</si>
  <si>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</si>
  <si>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</si>
  <si>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</si>
  <si>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</si>
  <si>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</si>
  <si>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</si>
  <si>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</si>
  <si>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</si>
  <si>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</si>
  <si>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</si>
  <si>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</si>
  <si>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</si>
  <si>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</si>
  <si>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</si>
  <si>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</si>
  <si>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</si>
  <si>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</si>
  <si>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</si>
  <si>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</si>
  <si>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</si>
  <si>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</si>
  <si>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</si>
  <si>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</si>
  <si>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</si>
  <si>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</si>
  <si>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</si>
  <si>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</si>
  <si>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</si>
  <si>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</si>
  <si>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</si>
  <si>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</si>
  <si>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</si>
  <si>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</si>
  <si>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</si>
  <si>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</si>
  <si>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</si>
  <si>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</si>
  <si>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</si>
  <si>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</si>
  <si>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</si>
  <si>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</si>
  <si>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</si>
  <si>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</si>
  <si>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</si>
  <si>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</si>
  <si>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</si>
  <si>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</si>
  <si>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</si>
  <si>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</si>
  <si>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</si>
  <si>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</si>
  <si>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</si>
  <si>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</si>
  <si>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</si>
  <si>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</si>
  <si>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</si>
  <si>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</si>
  <si>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</si>
  <si>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</si>
  <si>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</si>
  <si>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</si>
  <si>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</si>
  <si>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</si>
  <si>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</si>
  <si>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</si>
  <si>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</si>
  <si>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</si>
  <si>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</si>
  <si>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</si>
  <si>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</si>
  <si>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</si>
  <si>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</si>
  <si>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</si>
  <si>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</si>
  <si>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</si>
  <si>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</si>
  <si>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</si>
  <si>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</si>
  <si>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</si>
  <si>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</si>
  <si>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</si>
  <si>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</si>
  <si>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</si>
  <si>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</si>
  <si>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</si>
  <si>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</si>
  <si>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</si>
  <si>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</si>
  <si>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</si>
  <si>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</si>
  <si>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</si>
  <si>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</si>
  <si>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</si>
  <si>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</si>
  <si>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</si>
  <si>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</si>
  <si>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</si>
  <si>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</si>
  <si>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</si>
  <si>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</si>
  <si>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</si>
  <si>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</si>
  <si>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</si>
  <si>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</si>
  <si>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</si>
  <si>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</si>
  <si>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</si>
  <si>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</si>
  <si>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</si>
  <si>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</si>
  <si>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</si>
  <si>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</si>
  <si>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</si>
  <si>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</si>
  <si>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</si>
  <si>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</si>
  <si>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</si>
  <si>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</si>
  <si>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</si>
  <si>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</si>
  <si>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</si>
  <si>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</si>
  <si>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</si>
  <si>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</si>
  <si>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</si>
  <si>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</si>
  <si>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</si>
  <si>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</si>
  <si>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</si>
  <si>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</si>
  <si>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</si>
  <si>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</si>
  <si>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</si>
  <si>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</si>
  <si>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</si>
  <si>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</si>
  <si>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</si>
  <si>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</si>
  <si>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</si>
  <si>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</si>
  <si>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</si>
  <si>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</si>
  <si>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</si>
  <si>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</si>
  <si>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</si>
  <si>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</si>
  <si>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</si>
  <si>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</si>
  <si>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</si>
  <si>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</si>
  <si>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</si>
  <si>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</si>
  <si>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</si>
  <si>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</si>
  <si>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</si>
  <si>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</si>
  <si>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</si>
  <si>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</si>
  <si>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</si>
  <si>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</si>
  <si>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</si>
  <si>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</si>
  <si>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</si>
  <si>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</si>
  <si>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</si>
  <si>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</si>
  <si>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</si>
  <si>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</si>
  <si>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</si>
  <si>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</si>
  <si>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</si>
  <si>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</si>
  <si>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</si>
  <si>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</si>
  <si>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</si>
  <si>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</si>
  <si>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</si>
  <si>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</si>
  <si>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</si>
  <si>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</si>
  <si>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</si>
  <si>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</si>
  <si>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</si>
  <si>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</si>
  <si>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</si>
  <si>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</si>
  <si>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</si>
  <si>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</si>
  <si>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</si>
  <si>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</si>
  <si>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</si>
  <si>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</si>
  <si>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</si>
  <si>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</si>
  <si>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</si>
  <si>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</si>
  <si>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</si>
  <si>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</si>
  <si>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</si>
  <si>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</si>
  <si>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</si>
  <si>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</si>
  <si>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</si>
  <si>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</si>
  <si>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</si>
  <si>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</si>
  <si>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</si>
  <si>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</si>
  <si>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</si>
  <si>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</si>
  <si>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</si>
  <si>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</si>
  <si>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</si>
  <si>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</si>
  <si>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</si>
  <si>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</si>
  <si>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</si>
  <si>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</si>
  <si>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</si>
  <si>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</si>
  <si>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</si>
  <si>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</si>
  <si>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</si>
  <si>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</si>
  <si>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</si>
  <si>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</si>
  <si>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</si>
  <si>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</si>
  <si>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</si>
  <si>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</si>
  <si>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</si>
  <si>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</si>
  <si>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</si>
  <si>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</si>
  <si>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</si>
  <si>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</si>
  <si>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</si>
  <si>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</si>
  <si>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</si>
  <si>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</si>
  <si>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</si>
  <si>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</si>
  <si>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</si>
  <si>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</si>
  <si>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</si>
  <si>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</si>
  <si>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</si>
  <si>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</si>
  <si>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</si>
  <si>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</si>
  <si>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</si>
  <si>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</si>
  <si>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</si>
  <si>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</si>
  <si>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</si>
  <si>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</si>
  <si>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</si>
  <si>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</si>
  <si>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</si>
  <si>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</si>
  <si>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</si>
  <si>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</si>
  <si>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</si>
  <si>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</si>
  <si>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</si>
  <si>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</si>
  <si>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</si>
  <si>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</si>
  <si>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</si>
  <si>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</si>
  <si>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</si>
  <si>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</si>
  <si>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</si>
  <si>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</si>
  <si>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</si>
  <si>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</si>
  <si>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</si>
  <si>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</si>
  <si>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</si>
  <si>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</si>
  <si>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</si>
  <si>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</si>
  <si>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</si>
  <si>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</si>
  <si>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</si>
  <si>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</si>
  <si>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</si>
  <si>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</si>
  <si>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</si>
  <si>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</si>
  <si>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</si>
  <si>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</si>
  <si>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</si>
  <si>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</si>
  <si>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</si>
  <si>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</si>
  <si>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</si>
  <si>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</si>
  <si>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</si>
  <si>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</si>
  <si>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</si>
  <si>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</si>
  <si>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</si>
  <si>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</si>
  <si>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</si>
  <si>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</si>
  <si>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</si>
  <si>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</si>
  <si>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</si>
  <si>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</si>
  <si>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</si>
  <si>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</si>
  <si>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</si>
  <si>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</si>
  <si>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</si>
  <si>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</si>
  <si>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</si>
  <si>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</si>
  <si>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</si>
  <si>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</si>
  <si>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</si>
  <si>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</si>
  <si>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</si>
  <si>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</si>
  <si>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</si>
  <si>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</si>
  <si>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</si>
  <si>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</si>
  <si>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</si>
  <si>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</si>
  <si>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</si>
  <si>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</si>
  <si>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</si>
  <si>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</si>
  <si>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</si>
  <si>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</si>
  <si>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</si>
  <si>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</si>
  <si>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</si>
  <si>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</si>
  <si>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</si>
  <si>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</si>
  <si>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</si>
  <si>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</si>
  <si>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</si>
  <si>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</si>
  <si>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</si>
  <si>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</si>
  <si>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</si>
  <si>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</si>
  <si>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</si>
  <si>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</si>
  <si>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</si>
  <si>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</si>
  <si>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</si>
  <si>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</si>
  <si>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</si>
  <si>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</si>
  <si>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</si>
  <si>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</si>
  <si>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</si>
  <si>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</si>
  <si>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</si>
  <si>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</si>
  <si>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</si>
  <si>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</si>
  <si>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</si>
  <si>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</si>
  <si>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</si>
  <si>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</si>
  <si>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</si>
  <si>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</si>
  <si>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</si>
  <si>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</si>
  <si>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</si>
  <si>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</si>
  <si>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</si>
  <si>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</si>
  <si>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</si>
  <si>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</si>
  <si>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</si>
  <si>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</si>
  <si>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</si>
  <si>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</si>
  <si>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</si>
  <si>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</si>
  <si>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</si>
  <si>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</si>
  <si>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</si>
  <si>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</si>
  <si>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</si>
  <si>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</si>
  <si>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</si>
  <si>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</si>
  <si>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</si>
  <si>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</si>
  <si>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</si>
  <si>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</si>
  <si>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</si>
  <si>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</si>
  <si>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</si>
  <si>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</si>
  <si>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</si>
  <si>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</si>
  <si>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</si>
  <si>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</si>
  <si>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</si>
  <si>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</si>
  <si>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</si>
  <si>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</si>
  <si>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</si>
  <si>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</si>
  <si>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</si>
  <si>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</si>
  <si>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</si>
  <si>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</si>
  <si>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</si>
  <si>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</si>
  <si>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</si>
  <si>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</si>
  <si>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</si>
  <si>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</si>
  <si>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</si>
  <si>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</si>
  <si>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</si>
  <si>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</si>
  <si>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</si>
  <si>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</si>
  <si>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</si>
  <si>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</si>
  <si>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</si>
  <si>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</si>
  <si>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</si>
  <si>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</si>
  <si>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</si>
  <si>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</si>
  <si>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</si>
  <si>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</si>
  <si>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</si>
  <si>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</si>
  <si>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</si>
  <si>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</si>
  <si>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</si>
  <si>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</si>
  <si>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</si>
  <si>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</si>
  <si>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</si>
  <si>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</si>
  <si>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</si>
  <si>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</si>
  <si>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</si>
  <si>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</si>
  <si>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</si>
  <si>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</si>
  <si>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</si>
  <si>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</si>
  <si>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</si>
  <si>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</si>
  <si>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</si>
  <si>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</si>
  <si>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</si>
  <si>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</si>
  <si>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</si>
  <si>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</si>
  <si>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</si>
  <si>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</si>
  <si>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</si>
  <si>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</si>
  <si>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</si>
  <si>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</si>
  <si>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</si>
  <si>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</si>
  <si>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</si>
  <si>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</si>
  <si>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</si>
  <si>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</si>
  <si>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</si>
  <si>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</si>
  <si>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</si>
  <si>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</si>
  <si>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</si>
  <si>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</si>
  <si>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</si>
  <si>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</si>
  <si>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</si>
  <si>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</si>
  <si>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</si>
  <si>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</si>
  <si>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</si>
  <si>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</si>
  <si>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</si>
  <si>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</si>
  <si>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</si>
  <si>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</si>
  <si>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</si>
  <si>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</si>
  <si>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</si>
  <si>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</si>
  <si>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</si>
  <si>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</si>
  <si>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</si>
  <si>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</si>
  <si>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</si>
  <si>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</si>
  <si>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</si>
  <si>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</si>
  <si>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</si>
  <si>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</si>
  <si>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</si>
  <si>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</si>
  <si>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</si>
  <si>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</si>
  <si>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</si>
  <si>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</si>
  <si>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</si>
  <si>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</si>
  <si>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</si>
  <si>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</si>
  <si>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</si>
  <si>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</si>
  <si>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</si>
  <si>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</si>
  <si>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</si>
  <si>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</si>
  <si>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</si>
  <si>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</si>
  <si>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</si>
  <si>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</si>
  <si>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</si>
  <si>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</si>
  <si>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</si>
  <si>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</si>
  <si>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</si>
  <si>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</si>
  <si>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</si>
  <si>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</si>
  <si>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</si>
  <si>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</si>
  <si>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</si>
  <si>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</si>
  <si>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</si>
  <si>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</si>
  <si>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</si>
  <si>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</si>
  <si>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</si>
  <si>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</si>
  <si>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</si>
  <si>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</si>
  <si>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</si>
  <si>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</si>
  <si>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</si>
  <si>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</si>
  <si>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</si>
  <si>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</si>
  <si>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</si>
  <si>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</si>
  <si>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</si>
  <si>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</si>
  <si>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</si>
  <si>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</si>
  <si>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</si>
  <si>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</si>
  <si>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</si>
  <si>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</si>
  <si>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</si>
  <si>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</si>
  <si>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</si>
  <si>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</si>
  <si>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</si>
  <si>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</si>
  <si>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</si>
  <si>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</si>
  <si>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</si>
  <si>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</si>
  <si>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</si>
  <si>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</si>
  <si>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</si>
  <si>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</si>
  <si>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</si>
  <si>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</si>
  <si>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</si>
  <si>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</si>
  <si>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</si>
  <si>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</si>
  <si>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</si>
  <si>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</si>
  <si>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</si>
  <si>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</si>
  <si>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</si>
  <si>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</si>
  <si>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</si>
  <si>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</si>
  <si>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</si>
  <si>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</si>
  <si>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</si>
  <si>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</si>
  <si>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</si>
  <si>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</si>
  <si>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</si>
  <si>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</si>
  <si>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</si>
  <si>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</si>
  <si>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</si>
  <si>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</si>
  <si>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</si>
  <si>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</si>
  <si>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</si>
  <si>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</si>
  <si>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</si>
  <si>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</si>
  <si>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</si>
  <si>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</si>
  <si>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</si>
  <si>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</si>
  <si>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</si>
  <si>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</si>
  <si>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</si>
  <si>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</si>
  <si>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</si>
  <si>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</si>
  <si>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</si>
  <si>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</si>
  <si>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</si>
  <si>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</si>
  <si>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</si>
  <si>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</si>
  <si>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</si>
  <si>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</si>
  <si>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</si>
  <si>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</si>
  <si>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</si>
  <si>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</si>
  <si>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</si>
  <si>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</si>
  <si>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</si>
  <si>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</si>
  <si>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</si>
  <si>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</si>
  <si>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</si>
  <si>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</si>
  <si>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</si>
  <si>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</si>
  <si>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</si>
  <si>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</si>
  <si>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</si>
  <si>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</si>
  <si>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</si>
  <si>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</si>
  <si>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</si>
  <si>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</si>
  <si>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</si>
  <si>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</si>
  <si>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</si>
  <si>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</si>
  <si>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</si>
  <si>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</si>
  <si>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</si>
  <si>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</si>
  <si>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</si>
  <si>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</si>
  <si>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</si>
  <si>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</si>
  <si>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</si>
  <si>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</si>
  <si>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</si>
  <si>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</si>
  <si>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</si>
  <si>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</si>
  <si>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</si>
  <si>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</si>
  <si>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</si>
  <si>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</si>
  <si>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</si>
  <si>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</si>
  <si>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</si>
  <si>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</si>
  <si>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</si>
  <si>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</si>
  <si>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</si>
  <si>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</si>
  <si>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</si>
  <si>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</si>
  <si>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</si>
  <si>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</si>
  <si>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</si>
  <si>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</si>
  <si>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</si>
  <si>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</si>
  <si>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</si>
  <si>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</si>
  <si>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</si>
  <si>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</si>
  <si>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</si>
  <si>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</si>
  <si>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</si>
  <si>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</si>
  <si>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</si>
  <si>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</si>
  <si>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</si>
  <si>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</si>
  <si>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</si>
  <si>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</si>
  <si>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</si>
  <si>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</si>
  <si>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</si>
  <si>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</si>
  <si>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</si>
  <si>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</si>
  <si>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</si>
  <si>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</si>
  <si>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</si>
  <si>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</si>
  <si>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</si>
  <si>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</si>
  <si>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</si>
  <si>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</si>
  <si>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</si>
  <si>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</si>
  <si>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</si>
  <si>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</si>
  <si>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</si>
  <si>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</si>
  <si>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</si>
  <si>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</si>
  <si>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</si>
  <si>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</si>
  <si>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</si>
  <si>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</si>
  <si>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</si>
  <si>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</si>
  <si>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</si>
  <si>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</si>
  <si>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</si>
  <si>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</si>
  <si>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</si>
  <si>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</si>
  <si>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</si>
  <si>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</si>
  <si>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</si>
  <si>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</si>
  <si>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</si>
  <si>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</si>
  <si>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</si>
  <si>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</si>
  <si>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</si>
  <si>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</si>
  <si>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</si>
  <si>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</si>
  <si>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</si>
  <si>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</si>
  <si>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</si>
  <si>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</si>
  <si>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</si>
  <si>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</si>
  <si>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</si>
  <si>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</si>
  <si>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</si>
  <si>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</si>
  <si>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</si>
  <si>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</si>
  <si>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</si>
  <si>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</si>
  <si>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</si>
  <si>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</si>
  <si>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</si>
  <si>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</si>
  <si>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</si>
  <si>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</si>
  <si>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</si>
  <si>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</si>
  <si>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</si>
  <si>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</si>
  <si>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</si>
  <si>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</si>
  <si>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</si>
  <si>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</si>
  <si>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</si>
  <si>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</si>
  <si>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</si>
  <si>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</si>
  <si>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</si>
  <si>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</si>
  <si>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</si>
  <si>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</si>
  <si>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</si>
  <si>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</si>
  <si>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</si>
  <si>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</si>
  <si>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</si>
  <si>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</si>
  <si>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</si>
  <si>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</si>
  <si>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</si>
  <si>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</si>
  <si>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</si>
  <si>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</si>
  <si>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</si>
  <si>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</si>
  <si>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</si>
  <si>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</si>
  <si>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</si>
  <si>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</si>
  <si>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</si>
  <si>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</si>
  <si>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</si>
  <si>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</si>
  <si>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</si>
  <si>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</si>
  <si>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</si>
  <si>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</si>
  <si>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</si>
  <si>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</si>
  <si>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</si>
  <si>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</si>
  <si>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</si>
  <si>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</si>
  <si>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</si>
  <si>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</si>
  <si>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</si>
  <si>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</si>
  <si>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</si>
  <si>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</si>
  <si>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</si>
  <si>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</si>
  <si>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</si>
  <si>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</si>
  <si>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</si>
  <si>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</si>
  <si>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</si>
  <si>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</si>
  <si>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</si>
  <si>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</si>
  <si>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</si>
  <si>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</si>
  <si>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</si>
  <si>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</si>
  <si>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</si>
  <si>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</si>
  <si>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</si>
  <si>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</si>
  <si>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</si>
  <si>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</si>
  <si>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</si>
  <si>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</si>
  <si>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</si>
  <si>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</si>
  <si>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</si>
  <si>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</si>
  <si>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</si>
  <si>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</si>
  <si>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</si>
  <si>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</si>
  <si>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</si>
  <si>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</si>
  <si>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</si>
  <si>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</si>
  <si>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</si>
  <si>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</si>
  <si>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</si>
  <si>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</si>
  <si>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</si>
  <si>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</si>
  <si>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</si>
  <si>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</si>
  <si>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</si>
  <si>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</si>
  <si>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</si>
  <si>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</si>
  <si>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</si>
  <si>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</si>
  <si>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</si>
  <si>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</si>
  <si>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</si>
  <si>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</si>
  <si>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</si>
  <si>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</si>
  <si>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</si>
  <si>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</si>
  <si>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</si>
  <si>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</si>
  <si>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</si>
  <si>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</si>
  <si>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</si>
  <si>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</si>
  <si>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</si>
  <si>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</si>
  <si>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</si>
  <si>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</si>
  <si>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</si>
  <si>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</si>
  <si>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</si>
  <si>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</si>
  <si>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</si>
  <si>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</si>
  <si>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</si>
  <si>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</si>
  <si>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</si>
  <si>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</si>
  <si>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</si>
  <si>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</si>
  <si>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</si>
  <si>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</si>
  <si>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</si>
  <si>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</si>
  <si>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</si>
  <si>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</si>
  <si>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</si>
  <si>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</si>
  <si>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</si>
  <si>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</si>
  <si>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</si>
  <si>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</si>
  <si>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</si>
  <si>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</si>
  <si>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</si>
  <si>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</si>
  <si>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</si>
  <si>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</si>
  <si>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</si>
  <si>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</si>
  <si>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</si>
  <si>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</si>
  <si>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</si>
  <si>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</si>
  <si>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</si>
  <si>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</si>
  <si>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</si>
  <si>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</si>
  <si>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</si>
  <si>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</si>
  <si>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</si>
  <si>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</si>
  <si>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</si>
  <si>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</si>
  <si>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</si>
  <si>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</si>
  <si>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</si>
  <si>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</si>
  <si>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</si>
  <si>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</si>
  <si>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</si>
  <si>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</si>
  <si>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</si>
  <si>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</si>
  <si>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</si>
  <si>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</si>
  <si>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</si>
  <si>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</si>
  <si>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</si>
  <si>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</si>
  <si>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</si>
  <si>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</si>
  <si>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</si>
  <si>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</si>
  <si>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</si>
  <si>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</si>
  <si>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</si>
  <si>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</si>
  <si>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</si>
  <si>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</si>
  <si>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</si>
  <si>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</si>
  <si>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</si>
  <si>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</si>
  <si>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</si>
  <si>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</si>
  <si>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</si>
  <si>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</si>
  <si>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</si>
  <si>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</si>
  <si>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</si>
  <si>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</si>
  <si>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</si>
  <si>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</si>
  <si>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</si>
  <si>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</si>
  <si>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</si>
  <si>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</si>
  <si>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</si>
  <si>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</si>
  <si>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</si>
  <si>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</si>
  <si>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</si>
  <si>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</si>
  <si>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</si>
  <si>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</si>
  <si>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</si>
  <si>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</si>
  <si>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</si>
  <si>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</si>
  <si>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</si>
  <si>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</si>
  <si>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</si>
  <si>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</si>
  <si>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</si>
  <si>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</si>
  <si>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</si>
  <si>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</si>
  <si>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</si>
  <si>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</si>
  <si>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</si>
  <si>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</si>
  <si>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</si>
  <si>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</si>
  <si>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</si>
  <si>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</si>
  <si>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</si>
  <si>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</si>
  <si>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</si>
  <si>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</si>
  <si>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</si>
  <si>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</si>
  <si>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</si>
  <si>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</si>
  <si>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</si>
  <si>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</si>
  <si>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</si>
  <si>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</si>
  <si>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</si>
  <si>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</si>
  <si>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</si>
  <si>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</si>
  <si>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</si>
  <si>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</si>
  <si>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</si>
  <si>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</si>
  <si>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</si>
  <si>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</si>
  <si>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</si>
  <si>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</si>
  <si>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</si>
  <si>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</si>
  <si>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</si>
  <si>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</si>
  <si>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</si>
  <si>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</si>
  <si>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</si>
  <si>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</si>
  <si>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</si>
  <si>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</si>
  <si>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</si>
  <si>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</si>
  <si>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</si>
  <si>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</si>
  <si>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</si>
  <si>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</si>
  <si>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</si>
  <si>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</si>
  <si>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</si>
  <si>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</si>
  <si>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</si>
  <si>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</si>
  <si>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</si>
  <si>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</si>
  <si>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</si>
  <si>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</si>
  <si>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</si>
  <si>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</si>
  <si>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</si>
  <si>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</si>
  <si>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</si>
  <si>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</si>
  <si>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</si>
  <si>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</si>
  <si>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</si>
  <si>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</si>
  <si>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</si>
  <si>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</si>
  <si>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</si>
  <si>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</si>
  <si>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</si>
  <si>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</si>
  <si>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</si>
  <si>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</si>
  <si>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</si>
  <si>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</si>
  <si>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</si>
  <si>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</si>
  <si>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</si>
  <si>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</si>
  <si>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</si>
  <si>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</si>
  <si>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</si>
  <si>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</si>
  <si>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</si>
  <si>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</si>
  <si>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</si>
  <si>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</si>
  <si>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</si>
  <si>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</si>
  <si>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</si>
  <si>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</si>
  <si>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</si>
  <si>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</si>
  <si>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</si>
  <si>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</si>
  <si>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</si>
  <si>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</si>
  <si>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</si>
  <si>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</si>
  <si>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</si>
  <si>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</si>
  <si>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</si>
  <si>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</si>
  <si>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</si>
  <si>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</si>
  <si>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</si>
  <si>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</si>
  <si>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</si>
  <si>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</si>
  <si>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</si>
  <si>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</si>
  <si>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</si>
  <si>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</si>
  <si>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</si>
  <si>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</si>
  <si>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</si>
  <si>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</si>
  <si>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</si>
  <si>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</si>
  <si>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</si>
  <si>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</si>
  <si>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</si>
  <si>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</si>
  <si>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</si>
  <si>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</si>
  <si>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</si>
  <si>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</si>
  <si>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</si>
  <si>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</si>
  <si>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</si>
  <si>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</si>
  <si>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</si>
  <si>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</si>
  <si>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</si>
  <si>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</si>
  <si>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</si>
  <si>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</si>
  <si>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</si>
  <si>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</si>
  <si>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</si>
  <si>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</si>
  <si>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</si>
  <si>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</si>
  <si>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</si>
  <si>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</si>
  <si>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</si>
  <si>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</si>
  <si>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</si>
  <si>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</si>
  <si>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</si>
  <si>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</si>
  <si>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</si>
  <si>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</si>
  <si>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</si>
  <si>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</si>
  <si>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</si>
  <si>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</si>
  <si>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</si>
  <si>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</si>
  <si>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</si>
  <si>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</si>
  <si>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</si>
  <si>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</si>
  <si>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</si>
  <si>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</si>
  <si>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</si>
  <si>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</si>
  <si>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</si>
  <si>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</si>
  <si>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</si>
  <si>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</si>
  <si>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</si>
  <si>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</si>
  <si>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</si>
  <si>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</si>
  <si>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</si>
  <si>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</si>
  <si>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</si>
  <si>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</si>
  <si>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</si>
  <si>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</si>
  <si>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</si>
  <si>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</si>
  <si>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</si>
  <si>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</si>
  <si>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</si>
  <si>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</si>
  <si>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</si>
  <si>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</si>
  <si>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</si>
  <si>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</si>
  <si>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</si>
  <si>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</si>
  <si>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</si>
  <si>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</si>
  <si>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</si>
  <si>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</si>
  <si>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</si>
  <si>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</si>
  <si>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</si>
  <si>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</si>
  <si>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</si>
  <si>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</si>
  <si>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</si>
  <si>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</si>
  <si>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</si>
  <si>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</si>
  <si>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</si>
  <si>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</si>
  <si>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</si>
  <si>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</si>
  <si>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</si>
  <si>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</si>
  <si>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</si>
  <si>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</si>
  <si>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</si>
  <si>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</si>
  <si>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</si>
  <si>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</si>
  <si>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</si>
  <si>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</si>
  <si>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</si>
  <si>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</si>
  <si>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</si>
  <si>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</si>
  <si>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</si>
  <si>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</si>
  <si>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</si>
  <si>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</si>
  <si>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</si>
  <si>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</si>
  <si>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</si>
  <si>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</si>
  <si>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</si>
  <si>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</si>
  <si>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</si>
  <si>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</si>
  <si>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</si>
  <si>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</si>
  <si>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</si>
  <si>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</si>
  <si>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</si>
  <si>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</si>
  <si>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</si>
  <si>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</si>
  <si>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</si>
  <si>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</si>
  <si>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</si>
  <si>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</si>
  <si>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</si>
  <si>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</si>
  <si>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</si>
  <si>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</si>
  <si>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</si>
  <si>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</si>
  <si>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</si>
  <si>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</si>
  <si>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</si>
  <si>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</si>
  <si>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</si>
  <si>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</si>
  <si>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</si>
  <si>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</si>
  <si>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</si>
  <si>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</si>
  <si>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</si>
  <si>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</si>
  <si>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</si>
  <si>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</si>
  <si>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</si>
  <si>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</si>
  <si>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</si>
  <si>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</si>
  <si>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</si>
  <si>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</si>
  <si>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</si>
  <si>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</si>
  <si>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</si>
  <si>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</si>
  <si>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</si>
  <si>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</si>
  <si>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</si>
  <si>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</si>
  <si>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</si>
  <si>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</si>
  <si>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</si>
  <si>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</si>
  <si>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</si>
  <si>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</si>
  <si>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</si>
  <si>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</si>
  <si>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</si>
  <si>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</si>
  <si>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</si>
  <si>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</si>
  <si>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</si>
  <si>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</si>
  <si>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</si>
  <si>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</si>
  <si>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</si>
  <si>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</si>
  <si>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</si>
  <si>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</si>
  <si>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</si>
  <si>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</si>
  <si>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</si>
  <si>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</si>
  <si>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</si>
  <si>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</si>
  <si>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</si>
  <si>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</si>
  <si>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</si>
  <si>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</si>
  <si>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</si>
  <si>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</si>
  <si>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</si>
  <si>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</si>
  <si>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</si>
  <si>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</si>
  <si>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</si>
  <si>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</si>
  <si>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</si>
  <si>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</si>
  <si>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</si>
  <si>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</si>
  <si>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</si>
  <si>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</si>
  <si>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</si>
  <si>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</si>
  <si>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</si>
  <si>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</si>
  <si>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</si>
  <si>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</si>
  <si>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</si>
  <si>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</si>
  <si>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</si>
  <si>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</si>
  <si>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</si>
  <si>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</si>
  <si>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</si>
  <si>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</si>
  <si>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</si>
  <si>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</si>
  <si>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</si>
  <si>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</si>
  <si>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</si>
  <si>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</si>
  <si>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</si>
  <si>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</si>
  <si>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</si>
  <si>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</si>
  <si>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</si>
  <si>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</si>
  <si>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</si>
  <si>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</si>
  <si>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</si>
  <si>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</si>
  <si>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</si>
  <si>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</si>
  <si>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</si>
  <si>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</si>
  <si>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</si>
  <si>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</si>
  <si>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</si>
  <si>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</si>
  <si>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</si>
  <si>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</si>
  <si>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</si>
  <si>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</si>
  <si>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</si>
  <si>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</si>
  <si>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</si>
  <si>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</si>
  <si>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</si>
  <si>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</si>
  <si>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</si>
  <si>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</si>
  <si>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</si>
  <si>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</si>
  <si>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</si>
  <si>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</si>
  <si>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</si>
  <si>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</si>
  <si>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</si>
  <si>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</si>
  <si>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</si>
  <si>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</si>
  <si>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</si>
  <si>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</si>
  <si>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</si>
  <si>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</si>
  <si>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</si>
  <si>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</si>
  <si>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</si>
  <si>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</si>
  <si>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</si>
  <si>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</si>
  <si>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</si>
  <si>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</si>
  <si>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</si>
  <si>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</si>
  <si>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</si>
  <si>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</si>
  <si>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</si>
  <si>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</si>
  <si>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</si>
  <si>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</si>
  <si>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</si>
  <si>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</si>
  <si>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</si>
  <si>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</si>
  <si>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</si>
  <si>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</si>
  <si>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</si>
  <si>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</si>
  <si>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</si>
  <si>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</si>
  <si>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</si>
  <si>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</si>
  <si>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</si>
  <si>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</si>
  <si>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</si>
  <si>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</si>
  <si>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</si>
  <si>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</si>
  <si>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</si>
  <si>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</si>
  <si>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</si>
  <si>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</si>
  <si>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</si>
  <si>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</si>
  <si>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</si>
  <si>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</si>
  <si>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</si>
  <si>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</si>
  <si>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</si>
  <si>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</si>
  <si>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</si>
  <si>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</si>
  <si>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</si>
  <si>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</si>
  <si>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</si>
  <si>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</si>
  <si>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</si>
  <si>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</si>
  <si>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</si>
  <si>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</si>
  <si>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</si>
  <si>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</si>
  <si>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</si>
  <si>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</si>
  <si>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</si>
  <si>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</si>
  <si>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</si>
  <si>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</si>
  <si>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</si>
  <si>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</si>
  <si>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</si>
  <si>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</si>
  <si>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</si>
  <si>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</si>
  <si>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</si>
  <si>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</si>
  <si>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</si>
  <si>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</si>
  <si>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</si>
  <si>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</si>
  <si>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</si>
  <si>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</si>
  <si>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</si>
  <si>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</si>
  <si>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</si>
  <si>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</si>
  <si>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</si>
  <si>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</si>
  <si>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</si>
  <si>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</si>
  <si>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</si>
  <si>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</si>
  <si>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</si>
  <si>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</si>
  <si>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</si>
  <si>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</si>
  <si>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</si>
  <si>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</si>
  <si>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</si>
  <si>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</si>
  <si>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</si>
  <si>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</si>
  <si>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</si>
  <si>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</si>
  <si>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</si>
  <si>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</si>
  <si>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</si>
  <si>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</si>
  <si>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</si>
  <si>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</si>
  <si>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</si>
  <si>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</si>
  <si>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</si>
  <si>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</si>
  <si>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</si>
  <si>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</si>
  <si>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</si>
  <si>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</si>
  <si>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</si>
  <si>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</si>
  <si>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</si>
  <si>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</si>
  <si>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</si>
  <si>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</si>
  <si>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</si>
  <si>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</si>
  <si>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</si>
  <si>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</si>
  <si>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</si>
  <si>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</si>
  <si>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</si>
  <si>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</si>
  <si>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</si>
  <si>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</si>
  <si>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</si>
  <si>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</si>
  <si>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</si>
  <si>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</si>
  <si>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</si>
  <si>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</si>
  <si>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</si>
  <si>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</si>
  <si>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</si>
  <si>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</si>
  <si>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</si>
  <si>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</si>
  <si>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</si>
  <si>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</si>
  <si>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</si>
  <si>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</si>
  <si>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</si>
  <si>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</si>
  <si>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</si>
  <si>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</si>
  <si>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</si>
  <si>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</si>
  <si>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</si>
  <si>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</si>
  <si>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</si>
  <si>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</si>
  <si>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</si>
  <si>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</si>
  <si>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</si>
  <si>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</si>
  <si>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</si>
  <si>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</si>
  <si>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</si>
  <si>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</si>
  <si>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</si>
  <si>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</si>
  <si>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</si>
  <si>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</si>
  <si>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</si>
  <si>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</si>
  <si>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</si>
  <si>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</si>
  <si>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</si>
  <si>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</si>
  <si>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</si>
  <si>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</si>
  <si>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</si>
  <si>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</si>
  <si>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</si>
  <si>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</si>
  <si>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</si>
  <si>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</si>
  <si>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</si>
  <si>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</si>
  <si>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</si>
  <si>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</si>
  <si>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</si>
  <si>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</si>
  <si>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</si>
  <si>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</si>
  <si>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</si>
  <si>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</si>
  <si>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</si>
  <si>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</si>
  <si>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</si>
  <si>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</si>
  <si>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</si>
  <si>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</si>
  <si>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</si>
  <si>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</si>
  <si>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</si>
  <si>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</si>
  <si>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</si>
  <si>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</si>
  <si>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</si>
  <si>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</si>
  <si>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</si>
  <si>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</si>
  <si>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</si>
  <si>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</si>
  <si>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</si>
  <si>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</si>
  <si>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</si>
  <si>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</si>
  <si>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</si>
  <si>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</si>
  <si>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</si>
  <si>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</si>
  <si>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</si>
  <si>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</si>
  <si>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</si>
  <si>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</si>
  <si>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</si>
  <si>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</si>
  <si>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</si>
  <si>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</si>
  <si>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</si>
  <si>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</si>
  <si>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</si>
  <si>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</si>
  <si>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</si>
  <si>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</si>
  <si>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</si>
  <si>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</si>
  <si>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</si>
  <si>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</si>
  <si>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</si>
  <si>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</si>
  <si>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</si>
  <si>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</si>
  <si>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</si>
  <si>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</si>
  <si>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</si>
  <si>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</si>
  <si>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</si>
  <si>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</si>
  <si>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</si>
  <si>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</si>
  <si>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</si>
  <si>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</si>
  <si>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</si>
  <si>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</si>
  <si>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</si>
  <si>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</si>
  <si>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</si>
  <si>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</si>
  <si>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</si>
  <si>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</si>
  <si>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</si>
  <si>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</si>
  <si>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</si>
  <si>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</si>
  <si>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</si>
  <si>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</si>
  <si>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</si>
  <si>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</si>
  <si>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</si>
  <si>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</si>
  <si>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</si>
  <si>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</si>
  <si>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</si>
  <si>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</si>
  <si>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</si>
  <si>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</si>
  <si>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</si>
  <si>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</si>
  <si>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</si>
  <si>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</si>
  <si>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</si>
  <si>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</si>
  <si>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</si>
  <si>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</si>
  <si>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</si>
  <si>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</si>
  <si>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</si>
  <si>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</si>
  <si>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</si>
  <si>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</si>
  <si>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</si>
  <si>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</si>
  <si>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</si>
  <si>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</si>
  <si>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</si>
  <si>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</si>
  <si>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</si>
  <si>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</si>
  <si>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</si>
  <si>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</si>
  <si>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</si>
  <si>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</si>
  <si>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</si>
  <si>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</si>
  <si>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</si>
  <si>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</si>
  <si>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</si>
  <si>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</si>
  <si>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</si>
  <si>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</si>
  <si>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</si>
  <si>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</si>
  <si>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</si>
  <si>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</si>
  <si>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</si>
  <si>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</si>
  <si>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</si>
  <si>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</si>
  <si>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</si>
  <si>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</si>
  <si>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</si>
  <si>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</si>
  <si>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</si>
  <si>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</si>
  <si>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</si>
  <si>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</si>
  <si>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</si>
  <si>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</si>
  <si>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</si>
  <si>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</si>
  <si>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</si>
  <si>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</si>
  <si>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</si>
  <si>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</si>
  <si>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</si>
  <si>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</si>
  <si>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</si>
  <si>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</si>
  <si>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</si>
  <si>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</si>
  <si>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</si>
  <si>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</si>
  <si>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</si>
  <si>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</si>
  <si>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</si>
  <si>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</si>
  <si>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</si>
  <si>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</si>
  <si>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</si>
  <si>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</si>
  <si>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</si>
  <si>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</si>
  <si>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</si>
  <si>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</si>
  <si>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</si>
  <si>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</si>
  <si>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</si>
  <si>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</si>
  <si>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</si>
  <si>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</si>
  <si>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</si>
  <si>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</si>
  <si>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</si>
  <si>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</si>
  <si>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</si>
  <si>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</si>
  <si>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</si>
  <si>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</si>
  <si>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</si>
  <si>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</si>
  <si>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</si>
  <si>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</si>
  <si>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</si>
  <si>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</si>
  <si>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</si>
  <si>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</si>
  <si>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</si>
  <si>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</si>
  <si>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</si>
  <si>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</si>
  <si>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</si>
  <si>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</si>
  <si>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</si>
  <si>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</si>
  <si>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</si>
  <si>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</si>
  <si>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</si>
  <si>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</si>
  <si>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</si>
  <si>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</si>
  <si>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</si>
  <si>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</si>
  <si>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</si>
  <si>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</si>
  <si>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</si>
  <si>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</si>
  <si>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</si>
  <si>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</si>
  <si>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</si>
  <si>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</si>
  <si>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</si>
  <si>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</si>
  <si>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</si>
  <si>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</si>
  <si>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</si>
  <si>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</si>
  <si>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</si>
  <si>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</si>
  <si>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</si>
  <si>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</si>
  <si>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</si>
  <si>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</si>
  <si>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</si>
  <si>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</si>
  <si>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</si>
  <si>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</si>
  <si>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</si>
  <si>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</si>
  <si>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</si>
  <si>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</si>
  <si>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</si>
  <si>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</si>
  <si>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</si>
  <si>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</si>
  <si>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</si>
  <si>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</si>
  <si>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</si>
  <si>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</si>
  <si>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</si>
  <si>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</si>
  <si>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</si>
  <si>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</si>
  <si>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</si>
  <si>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</si>
  <si>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</si>
  <si>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</si>
  <si>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</si>
  <si>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</si>
  <si>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</si>
  <si>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</si>
  <si>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</si>
  <si>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</si>
  <si>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</si>
  <si>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</si>
  <si>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</si>
  <si>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</si>
  <si>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</si>
  <si>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</si>
  <si>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</si>
  <si>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</si>
  <si>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</si>
  <si>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</si>
  <si>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</si>
  <si>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</si>
  <si>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</si>
  <si>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</si>
  <si>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</si>
  <si>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</si>
  <si>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</si>
  <si>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</si>
  <si>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</si>
  <si>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</si>
  <si>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</si>
  <si>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</si>
  <si>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</si>
  <si>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</si>
  <si>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</si>
  <si>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</si>
  <si>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</si>
  <si>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</si>
  <si>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</si>
  <si>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</si>
  <si>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</si>
  <si>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</si>
  <si>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</si>
  <si>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</si>
  <si>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</si>
  <si>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</si>
  <si>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</si>
  <si>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</si>
  <si>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</si>
  <si>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</si>
  <si>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</si>
  <si>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</si>
  <si>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</si>
  <si>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</si>
  <si>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</si>
  <si>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</si>
  <si>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</si>
  <si>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</si>
  <si>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</si>
  <si>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</si>
  <si>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</si>
  <si>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</si>
  <si>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</si>
  <si>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</si>
  <si>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</si>
  <si>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</si>
  <si>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</si>
  <si>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</si>
  <si>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</si>
  <si>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</si>
  <si>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</si>
  <si>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</si>
  <si>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</si>
  <si>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</si>
  <si>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</si>
  <si>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</si>
  <si>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</si>
  <si>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</si>
  <si>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</si>
  <si>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</si>
  <si>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</si>
  <si>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</si>
  <si>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</si>
  <si>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</si>
  <si>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</si>
  <si>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</si>
  <si>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</si>
  <si>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</si>
  <si>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</si>
  <si>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</si>
  <si>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</si>
  <si>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</si>
  <si>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</si>
  <si>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</si>
  <si>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</si>
  <si>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</si>
  <si>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</si>
  <si>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</si>
  <si>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</si>
  <si>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</si>
  <si>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</si>
  <si>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</si>
  <si>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</si>
  <si>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</si>
  <si>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</si>
  <si>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</si>
  <si>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</si>
  <si>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</si>
  <si>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</si>
  <si>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</si>
  <si>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</si>
  <si>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</si>
  <si>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</si>
  <si>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</si>
  <si>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</si>
  <si>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</si>
  <si>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</si>
  <si>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</si>
  <si>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</si>
  <si>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</si>
  <si>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</si>
  <si>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</si>
  <si>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</si>
  <si>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</si>
  <si>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</si>
  <si>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</si>
  <si>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</si>
  <si>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</si>
  <si>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</si>
  <si>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</si>
  <si>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</si>
  <si>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</si>
  <si>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</si>
  <si>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</si>
  <si>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</si>
  <si>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</si>
  <si>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</si>
  <si>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</si>
  <si>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</si>
  <si>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</si>
  <si>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</si>
  <si>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</si>
  <si>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</si>
  <si>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</si>
  <si>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</si>
  <si>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</si>
  <si>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</si>
  <si>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</si>
  <si>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</si>
  <si>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</si>
  <si>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</si>
  <si>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</si>
  <si>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</si>
  <si>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</si>
  <si>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</si>
  <si>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</si>
  <si>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</si>
  <si>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</si>
  <si>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</si>
  <si>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</si>
  <si>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</si>
  <si>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</si>
  <si>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</si>
  <si>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</si>
  <si>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</si>
  <si>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</si>
  <si>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</si>
  <si>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</si>
  <si>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</si>
  <si>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</si>
  <si>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</si>
  <si>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</si>
  <si>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</si>
  <si>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</si>
  <si>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</si>
  <si>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</si>
  <si>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</si>
  <si>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</si>
  <si>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</si>
  <si>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</si>
  <si>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</si>
  <si>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</si>
  <si>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</si>
  <si>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</si>
  <si>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</si>
  <si>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</si>
  <si>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</si>
  <si>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</si>
  <si>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</si>
  <si>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</si>
  <si>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</si>
  <si>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</si>
  <si>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</si>
  <si>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</si>
  <si>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</si>
  <si>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</si>
  <si>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</si>
  <si>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</si>
  <si>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</si>
  <si>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</si>
  <si>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</si>
  <si>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</si>
  <si>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</si>
  <si>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</si>
  <si>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</si>
  <si>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</si>
  <si>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</si>
  <si>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</si>
  <si>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</si>
  <si>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</si>
  <si>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</si>
  <si>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</si>
  <si>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</si>
  <si>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</si>
  <si>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</si>
  <si>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</si>
  <si>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</si>
  <si>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</si>
  <si>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</si>
  <si>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</si>
  <si>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</si>
  <si>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</si>
  <si>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</si>
  <si>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</si>
  <si>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</si>
  <si>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</si>
  <si>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</si>
  <si>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</si>
  <si>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</si>
  <si>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</si>
  <si>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</si>
  <si>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</si>
  <si>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</si>
  <si>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</si>
  <si>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</si>
  <si>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</si>
  <si>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</si>
  <si>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</si>
  <si>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</si>
  <si>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</si>
  <si>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</si>
  <si>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</si>
  <si>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</si>
  <si>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</si>
  <si>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</si>
  <si>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</si>
  <si>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</si>
  <si>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</si>
  <si>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</si>
  <si>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</si>
  <si>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</si>
  <si>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</si>
  <si>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</si>
  <si>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</si>
  <si>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</si>
  <si>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</si>
  <si>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</si>
  <si>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</si>
  <si>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</si>
  <si>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</si>
  <si>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</si>
  <si>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</si>
  <si>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</si>
  <si>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</si>
  <si>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</si>
  <si>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</si>
  <si>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</si>
  <si>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</si>
  <si>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</si>
  <si>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</si>
  <si>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</si>
  <si>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</si>
  <si>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</si>
  <si>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</si>
  <si>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</si>
  <si>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</si>
  <si>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</si>
  <si>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</si>
  <si>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</si>
  <si>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</si>
  <si>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</si>
  <si>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</si>
  <si>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</si>
  <si>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</si>
  <si>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</si>
  <si>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</si>
  <si>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</si>
  <si>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</si>
  <si>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</si>
  <si>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</si>
  <si>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</si>
  <si>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</si>
  <si>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</si>
  <si>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</si>
  <si>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</si>
  <si>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</si>
  <si>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</si>
  <si>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</si>
  <si>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</si>
  <si>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</si>
  <si>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</si>
  <si>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</si>
  <si>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</si>
  <si>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</si>
  <si>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</si>
  <si>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</si>
  <si>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</si>
  <si>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</si>
  <si>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</si>
  <si>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</si>
  <si>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</si>
  <si>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</si>
  <si>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</si>
  <si>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</si>
  <si>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</si>
  <si>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</si>
  <si>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</si>
  <si>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</si>
  <si>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</si>
  <si>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</si>
  <si>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</si>
  <si>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</si>
  <si>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</si>
  <si>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</si>
  <si>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</si>
  <si>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</si>
  <si>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</si>
  <si>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</si>
  <si>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</si>
  <si>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</si>
  <si>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</si>
  <si>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</si>
  <si>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</si>
  <si>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</si>
  <si>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</si>
  <si>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</si>
  <si>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</si>
  <si>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</si>
  <si>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</si>
  <si>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</si>
  <si>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</si>
  <si>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</si>
  <si>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</si>
  <si>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</si>
  <si>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</si>
  <si>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</si>
  <si>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</si>
  <si>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</si>
  <si>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</si>
  <si>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</si>
  <si>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</si>
  <si>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</si>
  <si>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</si>
  <si>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</si>
  <si>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</si>
  <si>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</si>
  <si>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</si>
  <si>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</si>
  <si>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</si>
  <si>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</si>
  <si>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</si>
  <si>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</si>
  <si>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</si>
  <si>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</si>
  <si>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</si>
  <si>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</si>
  <si>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</si>
  <si>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</si>
  <si>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</si>
  <si>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</si>
  <si>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</si>
  <si>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</si>
  <si>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</si>
  <si>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</si>
  <si>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</si>
  <si>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</si>
  <si>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</si>
  <si>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</si>
  <si>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</si>
  <si>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</si>
  <si>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</si>
  <si>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</si>
  <si>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</si>
  <si>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</si>
  <si>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</si>
  <si>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</si>
  <si>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</si>
  <si>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</si>
  <si>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</si>
  <si>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</si>
  <si>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</si>
  <si>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</si>
  <si>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</si>
  <si>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</si>
  <si>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</si>
  <si>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</si>
  <si>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</si>
  <si>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</si>
  <si>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</si>
  <si>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</si>
  <si>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</si>
  <si>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</si>
  <si>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</si>
  <si>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</si>
  <si>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</si>
  <si>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</si>
  <si>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</si>
  <si>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</si>
  <si>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</si>
  <si>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</si>
  <si>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</si>
  <si>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</si>
  <si>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</si>
  <si>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</si>
  <si>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</si>
  <si>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</si>
  <si>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</si>
  <si>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</si>
  <si>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</si>
  <si>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</si>
  <si>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</si>
  <si>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</si>
  <si>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</si>
  <si>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</si>
  <si>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</si>
  <si>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</si>
  <si>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</si>
  <si>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</si>
  <si>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</si>
  <si>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</si>
  <si>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</si>
  <si>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</si>
  <si>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</si>
  <si>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</si>
  <si>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</si>
  <si>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</si>
  <si>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</si>
  <si>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</si>
  <si>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</si>
  <si>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</si>
  <si>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</si>
  <si>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</si>
  <si>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</si>
  <si>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</si>
  <si>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</si>
  <si>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</si>
  <si>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</si>
  <si>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</si>
  <si>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</si>
  <si>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</si>
  <si>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</si>
  <si>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</si>
  <si>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</si>
  <si>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</si>
  <si>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</si>
  <si>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</si>
  <si>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</si>
  <si>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</si>
  <si>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</si>
  <si>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</si>
  <si>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</si>
  <si>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</si>
  <si>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</si>
  <si>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</si>
  <si>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</si>
  <si>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</si>
  <si>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</si>
  <si>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</si>
  <si>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</si>
  <si>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</si>
  <si>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</si>
  <si>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</si>
  <si>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</si>
  <si>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</si>
  <si>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</si>
  <si>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</si>
  <si>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</si>
  <si>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</si>
  <si>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</si>
  <si>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</si>
  <si>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</si>
  <si>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</si>
  <si>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</si>
  <si>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</si>
  <si>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</si>
  <si>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</si>
  <si>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</si>
  <si>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</si>
  <si>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</si>
  <si>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</si>
  <si>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</si>
  <si>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</si>
  <si>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</si>
  <si>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</si>
  <si>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</si>
  <si>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</si>
  <si>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</si>
  <si>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</si>
  <si>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</si>
  <si>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</si>
  <si>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</si>
  <si>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</si>
  <si>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</si>
  <si>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</si>
  <si>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</si>
  <si>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</si>
  <si>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</si>
  <si>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</si>
  <si>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</si>
  <si>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</si>
  <si>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</si>
  <si>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</si>
  <si>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</si>
  <si>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</si>
  <si>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</si>
  <si>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</si>
  <si>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</si>
  <si>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</si>
  <si>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</si>
  <si>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</si>
  <si>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</si>
  <si>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</si>
  <si>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</si>
  <si>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</si>
  <si>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</si>
  <si>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</si>
  <si>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</si>
  <si>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</si>
  <si>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</si>
  <si>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</si>
  <si>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</si>
  <si>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</si>
  <si>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</si>
  <si>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</si>
  <si>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</si>
  <si>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</si>
  <si>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</si>
  <si>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</si>
  <si>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</si>
  <si>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</si>
  <si>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</si>
  <si>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</si>
  <si>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</si>
  <si>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</si>
  <si>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</si>
  <si>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</si>
  <si>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</si>
  <si>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</si>
  <si>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</si>
  <si>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</si>
  <si>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</si>
  <si>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</si>
  <si>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</si>
  <si>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</si>
  <si>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</si>
  <si>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</si>
  <si>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</si>
  <si>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</si>
  <si>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</si>
  <si>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</si>
  <si>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</si>
  <si>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</si>
  <si>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</si>
  <si>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</si>
  <si>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</si>
  <si>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</si>
  <si>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</si>
  <si>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</si>
  <si>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</si>
  <si>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</si>
  <si>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</si>
  <si>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</si>
  <si>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</si>
  <si>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</si>
  <si>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</si>
  <si>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</si>
  <si>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</si>
  <si>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</si>
  <si>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</si>
  <si>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</si>
  <si>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</si>
  <si>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</si>
  <si>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</si>
  <si>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</si>
  <si>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</si>
  <si>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</si>
  <si>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</si>
  <si>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</si>
  <si>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</si>
  <si>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</si>
  <si>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</si>
  <si>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</si>
  <si>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</si>
  <si>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</si>
  <si>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</si>
  <si>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</si>
  <si>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</si>
  <si>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</si>
  <si>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</si>
  <si>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</si>
  <si>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</si>
  <si>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</si>
  <si>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</si>
  <si>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</si>
  <si>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</si>
  <si>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</si>
  <si>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</si>
  <si>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</si>
  <si>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</si>
  <si>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</si>
  <si>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</si>
  <si>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</si>
  <si>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</si>
  <si>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</si>
  <si>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</si>
  <si>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</si>
  <si>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</si>
  <si>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</si>
  <si>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</si>
  <si>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</si>
  <si>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</si>
  <si>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</si>
  <si>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</si>
  <si>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</si>
  <si>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</si>
  <si>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</si>
  <si>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</si>
  <si>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</si>
  <si>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</si>
  <si>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</si>
  <si>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</si>
  <si>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</si>
  <si>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</si>
  <si>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</si>
  <si>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</si>
  <si>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</si>
  <si>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</si>
  <si>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</si>
  <si>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</si>
  <si>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</si>
  <si>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</si>
  <si>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</si>
  <si>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</si>
  <si>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</si>
  <si>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</si>
  <si>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</si>
  <si>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</si>
  <si>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</si>
  <si>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</si>
  <si>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</si>
  <si>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</si>
  <si>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</si>
  <si>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</si>
  <si>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</si>
  <si>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</si>
  <si>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</si>
  <si>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</si>
  <si>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</si>
  <si>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</si>
  <si>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</si>
  <si>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</si>
  <si>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</si>
  <si>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</si>
  <si>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</si>
  <si>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</si>
  <si>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</si>
  <si>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</si>
  <si>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</si>
  <si>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</si>
  <si>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</si>
  <si>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</si>
  <si>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</si>
  <si>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</si>
  <si>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</si>
  <si>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</si>
  <si>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</si>
  <si>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</si>
  <si>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</si>
  <si>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</si>
  <si>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</si>
  <si>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</si>
  <si>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</si>
  <si>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</si>
  <si>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</si>
  <si>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</si>
  <si>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</si>
  <si>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</si>
  <si>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</si>
  <si>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</si>
  <si>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</si>
  <si>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</si>
  <si>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</si>
  <si>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</si>
  <si>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</si>
  <si>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</si>
  <si>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</si>
  <si>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</si>
  <si>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</si>
  <si>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</si>
  <si>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</si>
  <si>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</si>
  <si>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</si>
  <si>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</si>
  <si>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</si>
  <si>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</si>
  <si>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</si>
  <si>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</si>
  <si>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</si>
  <si>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</si>
  <si>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</si>
  <si>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</si>
  <si>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</si>
  <si>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</si>
  <si>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</si>
  <si>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</si>
  <si>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</si>
  <si>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</si>
  <si>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</si>
  <si>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</si>
  <si>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</si>
  <si>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</si>
  <si>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</si>
  <si>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</si>
  <si>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</si>
  <si>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</si>
  <si>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</si>
  <si>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</si>
  <si>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</si>
  <si>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</si>
  <si>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</si>
  <si>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</si>
  <si>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</si>
  <si>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</si>
  <si>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</si>
  <si>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</si>
  <si>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</si>
  <si>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</si>
  <si>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</si>
  <si>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</si>
  <si>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</si>
  <si>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</si>
  <si>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</si>
  <si>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</si>
  <si>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</si>
  <si>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</si>
  <si>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</si>
  <si>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</si>
  <si>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</si>
  <si>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</si>
  <si>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</si>
  <si>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</si>
  <si>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</si>
  <si>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</si>
  <si>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</si>
  <si>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</si>
  <si>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</si>
  <si>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</si>
  <si>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</si>
  <si>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</si>
  <si>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</si>
  <si>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</si>
  <si>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</si>
  <si>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</si>
  <si>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</si>
  <si>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</si>
  <si>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</si>
  <si>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</si>
  <si>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</si>
  <si>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</si>
  <si>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</si>
  <si>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</si>
  <si>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</si>
  <si>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</si>
  <si>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</si>
  <si>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</si>
  <si>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</si>
  <si>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</si>
  <si>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</si>
  <si>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</si>
  <si>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</si>
  <si>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</si>
  <si>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</si>
  <si>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</si>
  <si>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</si>
  <si>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</si>
  <si>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</si>
  <si>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</si>
  <si>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</si>
  <si>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</si>
  <si>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</si>
  <si>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</si>
  <si>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</si>
  <si>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</si>
  <si>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</si>
  <si>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</si>
  <si>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</si>
  <si>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</si>
  <si>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</si>
  <si>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</si>
  <si>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</si>
  <si>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</si>
  <si>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</si>
  <si>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</si>
  <si>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</si>
  <si>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</si>
  <si>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</si>
  <si>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</si>
  <si>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</si>
  <si>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</si>
  <si>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</si>
  <si>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</si>
  <si>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</si>
  <si>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</si>
  <si>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</si>
  <si>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</si>
  <si>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</si>
  <si>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</si>
  <si>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</si>
  <si>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</si>
  <si>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</si>
  <si>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</si>
  <si>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</si>
  <si>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</si>
  <si>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</si>
  <si>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</si>
  <si>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</si>
  <si>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</si>
  <si>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</si>
  <si>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</si>
  <si>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</si>
  <si>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</si>
  <si>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</si>
  <si>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</si>
  <si>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</si>
  <si>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</si>
  <si>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</si>
  <si>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</si>
  <si>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</si>
  <si>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</si>
  <si>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</si>
  <si>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</si>
  <si>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</si>
  <si>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</si>
  <si>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</si>
  <si>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</si>
  <si>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</si>
  <si>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</si>
  <si>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</si>
  <si>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</si>
  <si>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</si>
  <si>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</si>
  <si>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</si>
  <si>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</si>
  <si>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</si>
  <si>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</si>
  <si>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</si>
  <si>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</si>
  <si>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</si>
  <si>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</si>
  <si>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</si>
  <si>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</si>
  <si>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</si>
  <si>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</si>
  <si>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</si>
  <si>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</si>
  <si>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</si>
  <si>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</si>
  <si>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</si>
  <si>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</si>
  <si>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</si>
  <si>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</si>
  <si>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</si>
  <si>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</si>
  <si>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</si>
  <si>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</si>
  <si>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</si>
  <si>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</si>
  <si>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</si>
  <si>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</si>
  <si>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</si>
  <si>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</si>
  <si>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</si>
  <si>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</si>
  <si>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</si>
  <si>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</si>
  <si>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</si>
  <si>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</si>
  <si>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</si>
  <si>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</si>
  <si>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</si>
  <si>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</si>
  <si>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</si>
  <si>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</si>
  <si>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</si>
  <si>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</si>
  <si>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</si>
  <si>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</si>
  <si>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</si>
  <si>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</si>
  <si>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</si>
  <si>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</si>
  <si>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</si>
  <si>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</si>
  <si>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</si>
  <si>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</si>
  <si>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</si>
  <si>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</si>
  <si>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</si>
  <si>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</si>
  <si>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</si>
  <si>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</si>
  <si>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</si>
  <si>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</si>
  <si>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</si>
  <si>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</si>
  <si>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</si>
  <si>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</si>
  <si>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</si>
  <si>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</si>
  <si>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</si>
  <si>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</si>
  <si>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</si>
  <si>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</si>
  <si>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</si>
  <si>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</si>
  <si>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</si>
  <si>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</si>
  <si>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</si>
  <si>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</si>
  <si>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</si>
  <si>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</si>
  <si>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</si>
  <si>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</si>
  <si>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</si>
  <si>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</si>
  <si>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</si>
  <si>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</si>
  <si>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</si>
  <si>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</si>
  <si>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</si>
  <si>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</si>
  <si>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</si>
  <si>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</si>
  <si>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</si>
  <si>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</si>
  <si>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</si>
  <si>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</si>
  <si>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</si>
  <si>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</si>
  <si>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</si>
  <si>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</si>
  <si>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</si>
  <si>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</si>
  <si>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</si>
  <si>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</si>
  <si>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</si>
  <si>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</si>
  <si>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</si>
  <si>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</si>
  <si>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</si>
  <si>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</si>
  <si>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</si>
  <si>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</si>
  <si>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</si>
  <si>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</si>
  <si>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</si>
  <si>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</si>
  <si>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</si>
  <si>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</si>
  <si>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</si>
  <si>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</si>
  <si>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</si>
  <si>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</si>
  <si>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</si>
  <si>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</si>
  <si>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</si>
  <si>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</si>
  <si>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</si>
  <si>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</si>
  <si>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</si>
  <si>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</si>
  <si>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</si>
  <si>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</si>
  <si>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</si>
  <si>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</si>
  <si>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</si>
  <si>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</si>
  <si>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</si>
  <si>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</si>
  <si>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</si>
  <si>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</si>
  <si>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</si>
  <si>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</si>
  <si>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</si>
  <si>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</si>
  <si>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</si>
  <si>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</si>
  <si>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</si>
  <si>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</si>
  <si>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</si>
  <si>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</si>
  <si>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</si>
  <si>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</si>
  <si>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</si>
  <si>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</si>
  <si>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</si>
  <si>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</si>
  <si>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</si>
  <si>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</si>
  <si>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</si>
  <si>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</si>
  <si>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</si>
  <si>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</si>
  <si>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</si>
  <si>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</si>
  <si>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</si>
  <si>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</si>
  <si>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</si>
  <si>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</si>
  <si>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</si>
  <si>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</si>
  <si>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</si>
  <si>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</si>
  <si>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</si>
  <si>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</si>
  <si>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</si>
  <si>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</si>
  <si>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</si>
  <si>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</si>
  <si>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</si>
  <si>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</si>
  <si>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</si>
  <si>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</si>
  <si>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</si>
  <si>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</si>
  <si>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</si>
  <si>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</si>
  <si>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</si>
  <si>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</si>
  <si>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</si>
  <si>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</si>
  <si>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</si>
  <si>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</si>
  <si>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</si>
  <si>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</si>
  <si>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</si>
  <si>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</si>
  <si>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</si>
  <si>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</si>
  <si>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</si>
  <si>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</si>
  <si>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</si>
  <si>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</si>
  <si>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</si>
  <si>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</si>
  <si>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</si>
  <si>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</si>
  <si>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</si>
  <si>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</si>
  <si>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</si>
  <si>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</si>
  <si>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</si>
  <si>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</si>
  <si>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</si>
  <si>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</si>
  <si>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</si>
  <si>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</si>
  <si>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</si>
  <si>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</si>
  <si>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</si>
  <si>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</si>
  <si>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</si>
  <si>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</si>
  <si>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</si>
  <si>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</si>
  <si>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</si>
  <si>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</si>
  <si>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</si>
  <si>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</si>
  <si>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</si>
  <si>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</si>
  <si>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</si>
  <si>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</si>
  <si>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</si>
  <si>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</si>
  <si>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</si>
  <si>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</si>
  <si>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</si>
  <si>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</si>
  <si>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</si>
  <si>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</si>
  <si>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</si>
  <si>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</si>
  <si>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</si>
  <si>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</si>
  <si>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</si>
  <si>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</si>
  <si>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</si>
  <si>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</si>
  <si>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</si>
  <si>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</si>
  <si>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</si>
  <si>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</si>
  <si>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</si>
  <si>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</si>
  <si>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</si>
  <si>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</si>
  <si>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</si>
  <si>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</si>
  <si>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</si>
  <si>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</si>
  <si>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</si>
  <si>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</si>
  <si>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</si>
  <si>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</si>
  <si>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</si>
  <si>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</si>
  <si>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</si>
  <si>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</si>
  <si>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</si>
  <si>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</si>
  <si>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</si>
  <si>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</si>
  <si>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</si>
  <si>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</si>
  <si>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</si>
  <si>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</si>
  <si>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</si>
  <si>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</si>
  <si>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</si>
  <si>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</si>
  <si>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</si>
  <si>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</si>
  <si>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</si>
  <si>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</si>
  <si>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</si>
  <si>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</si>
  <si>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</si>
  <si>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</si>
  <si>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</si>
  <si>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</si>
  <si>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</si>
  <si>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</si>
  <si>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</si>
  <si>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</si>
  <si>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</si>
  <si>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</si>
  <si>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</si>
  <si>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</si>
  <si>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</si>
  <si>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</si>
  <si>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</si>
  <si>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</si>
  <si>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</si>
  <si>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</si>
  <si>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</si>
  <si>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</si>
  <si>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</si>
  <si>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</si>
  <si>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</si>
  <si>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</si>
  <si>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</si>
  <si>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</si>
  <si>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</si>
  <si>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</si>
  <si>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</si>
  <si>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</si>
  <si>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</si>
  <si>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</si>
  <si>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</si>
  <si>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</si>
  <si>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</si>
  <si>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</si>
  <si>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</si>
  <si>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</si>
  <si>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</si>
  <si>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</si>
  <si>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</si>
  <si>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</si>
  <si>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</si>
  <si>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</si>
  <si>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</si>
  <si>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</si>
  <si>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</si>
  <si>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</si>
  <si>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</si>
  <si>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</si>
  <si>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</si>
  <si>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</si>
  <si>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</si>
  <si>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</si>
  <si>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</si>
  <si>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</si>
  <si>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</si>
  <si>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</si>
  <si>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</si>
  <si>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</si>
  <si>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</si>
  <si>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</si>
  <si>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</si>
  <si>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</si>
  <si>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</si>
  <si>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</si>
  <si>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</si>
  <si>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</si>
  <si>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</si>
  <si>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</si>
  <si>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</si>
  <si>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</si>
  <si>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</si>
  <si>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</si>
  <si>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</si>
  <si>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</si>
  <si>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</si>
  <si>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</si>
  <si>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</si>
  <si>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</si>
  <si>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</si>
  <si>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</si>
  <si>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</si>
  <si>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</si>
  <si>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</si>
  <si>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</si>
  <si>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</si>
  <si>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</si>
  <si>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</si>
  <si>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</si>
  <si>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</si>
  <si>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</si>
  <si>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</si>
  <si>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</si>
  <si>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</si>
  <si>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</si>
  <si>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</si>
  <si>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</si>
  <si>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</si>
  <si>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</si>
  <si>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</si>
  <si>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</si>
  <si>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</si>
  <si>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</si>
  <si>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</si>
  <si>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</si>
  <si>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</si>
  <si>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</si>
  <si>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</si>
  <si>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</si>
  <si>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</si>
  <si>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</si>
  <si>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</si>
  <si>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</si>
  <si>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</si>
  <si>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</si>
  <si>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</si>
  <si>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</si>
  <si>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</si>
  <si>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</si>
  <si>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</si>
  <si>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</si>
  <si>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</si>
  <si>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</si>
  <si>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</si>
  <si>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</si>
  <si>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</si>
  <si>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</si>
  <si>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</si>
  <si>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</si>
  <si>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</si>
  <si>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</si>
  <si>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</si>
  <si>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</si>
  <si>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</si>
  <si>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</si>
  <si>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</si>
  <si>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</si>
  <si>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</si>
  <si>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</si>
  <si>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</si>
  <si>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</si>
  <si>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</si>
  <si>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</si>
  <si>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</si>
  <si>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</si>
  <si>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</si>
  <si>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</si>
  <si>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</si>
  <si>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</si>
  <si>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</si>
  <si>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</si>
  <si>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</si>
  <si>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</si>
  <si>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</si>
  <si>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</si>
  <si>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</si>
  <si>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</si>
  <si>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</si>
  <si>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</si>
  <si>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</si>
  <si>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</si>
  <si>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</si>
  <si>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</si>
  <si>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</si>
  <si>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</si>
  <si>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</si>
  <si>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</si>
  <si>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</si>
  <si>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</si>
  <si>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</si>
  <si>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</si>
  <si>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</si>
  <si>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</si>
  <si>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</si>
  <si>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</si>
  <si>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</si>
  <si>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</si>
  <si>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</si>
  <si>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</si>
  <si>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</si>
  <si>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</si>
  <si>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</si>
  <si>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</si>
  <si>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</si>
  <si>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</si>
  <si>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</si>
  <si>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</si>
  <si>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</si>
  <si>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</si>
  <si>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</si>
  <si>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</si>
  <si>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</si>
  <si>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</si>
  <si>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</si>
  <si>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</si>
  <si>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</si>
  <si>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</si>
  <si>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</si>
  <si>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</si>
  <si>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</si>
  <si>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</si>
  <si>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</si>
  <si>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</si>
  <si>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</si>
  <si>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</si>
  <si>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</si>
  <si>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</si>
  <si>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</si>
  <si>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</si>
  <si>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</si>
  <si>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</si>
  <si>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</si>
  <si>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</si>
  <si>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</si>
  <si>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</si>
  <si>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</si>
  <si>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</si>
  <si>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</si>
  <si>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</si>
  <si>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</si>
  <si>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</si>
  <si>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</si>
  <si>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</si>
  <si>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</si>
  <si>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</si>
  <si>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</si>
  <si>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</si>
  <si>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</si>
  <si>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</si>
  <si>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</si>
  <si>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</si>
  <si>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</si>
  <si>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</si>
  <si>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</si>
  <si>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</si>
  <si>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</si>
  <si>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</si>
  <si>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</si>
  <si>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</si>
  <si>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</si>
  <si>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</si>
  <si>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</si>
  <si>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</si>
  <si>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</si>
  <si>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</si>
  <si>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</si>
  <si>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</si>
  <si>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</si>
  <si>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</si>
  <si>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</si>
  <si>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</si>
  <si>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</si>
  <si>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</si>
  <si>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</si>
  <si>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</si>
  <si>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</si>
  <si>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</si>
  <si>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</si>
  <si>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</si>
  <si>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</si>
  <si>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</si>
  <si>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</si>
  <si>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</si>
  <si>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</si>
  <si>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</si>
  <si>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</si>
  <si>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</si>
  <si>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</si>
  <si>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</si>
  <si>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</si>
  <si>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</si>
  <si>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</si>
  <si>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</si>
  <si>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</si>
  <si>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</si>
  <si>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</si>
  <si>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</si>
  <si>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</si>
  <si>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</si>
  <si>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</si>
  <si>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</si>
  <si>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</si>
  <si>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</si>
  <si>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</si>
  <si>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</si>
  <si>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</si>
  <si>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</si>
  <si>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</si>
  <si>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</si>
  <si>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</si>
  <si>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</si>
  <si>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</si>
  <si>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</si>
  <si>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</si>
  <si>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</si>
  <si>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</si>
  <si>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</si>
  <si>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</si>
  <si>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</si>
  <si>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</si>
  <si>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</si>
  <si>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</si>
  <si>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</si>
  <si>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</si>
  <si>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</si>
  <si>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</si>
  <si>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</si>
  <si>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</si>
  <si>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</si>
  <si>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</si>
  <si>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</si>
  <si>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</si>
  <si>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</si>
  <si>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</si>
  <si>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</si>
  <si>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</si>
  <si>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</si>
  <si>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</si>
  <si>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</si>
  <si>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</si>
  <si>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</si>
  <si>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</si>
  <si>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</si>
  <si>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</si>
  <si>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</si>
  <si>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</si>
  <si>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</si>
  <si>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</si>
  <si>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</si>
  <si>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</si>
  <si>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</si>
  <si>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</si>
  <si>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</si>
  <si>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</si>
  <si>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</si>
  <si>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</si>
  <si>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</si>
  <si>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</si>
  <si>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</si>
  <si>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</si>
  <si>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</si>
  <si>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</si>
  <si>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</si>
  <si>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</si>
  <si>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</si>
  <si>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</si>
  <si>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</si>
  <si>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</si>
  <si>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</si>
  <si>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</si>
  <si>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</si>
  <si>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</si>
  <si>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</si>
  <si>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</si>
  <si>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</si>
  <si>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</si>
  <si>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</si>
  <si>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</si>
  <si>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</si>
  <si>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</si>
  <si>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</si>
  <si>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</si>
  <si>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</si>
  <si>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</si>
  <si>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</si>
  <si>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</si>
  <si>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</si>
  <si>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</si>
  <si>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</si>
  <si>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</si>
  <si>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</si>
  <si>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</si>
  <si>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</si>
  <si>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</si>
  <si>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</si>
  <si>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</si>
  <si>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</si>
  <si>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</si>
  <si>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</si>
  <si>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</si>
  <si>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</si>
  <si>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</si>
  <si>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</si>
  <si>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</si>
  <si>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</si>
  <si>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</si>
  <si>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</si>
  <si>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</si>
  <si>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</si>
  <si>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</si>
  <si>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</si>
  <si>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</si>
  <si>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</si>
  <si>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</si>
  <si>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</si>
  <si>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</si>
  <si>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</si>
  <si>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</si>
  <si>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</si>
  <si>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</si>
  <si>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</si>
  <si>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</si>
  <si>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</si>
  <si>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</si>
  <si>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</si>
  <si>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</si>
  <si>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</si>
  <si>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</si>
  <si>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</si>
  <si>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</si>
  <si>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</si>
  <si>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</si>
  <si>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</si>
  <si>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</si>
  <si>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</si>
  <si>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</si>
  <si>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</si>
  <si>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</si>
  <si>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</si>
  <si>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</si>
  <si>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</si>
  <si>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</si>
  <si>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</si>
  <si>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</si>
  <si>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</si>
  <si>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</si>
  <si>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</si>
  <si>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</si>
  <si>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</si>
  <si>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</si>
  <si>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</si>
  <si>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</si>
  <si>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</si>
  <si>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</si>
  <si>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</si>
  <si>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</si>
  <si>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</si>
  <si>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</si>
  <si>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</si>
  <si>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</si>
  <si>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</si>
  <si>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</si>
  <si>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</si>
  <si>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</si>
  <si>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</si>
  <si>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</si>
  <si>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</si>
  <si>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</si>
  <si>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</si>
  <si>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</si>
  <si>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</si>
  <si>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</si>
  <si>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</si>
  <si>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</si>
  <si>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</si>
  <si>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</si>
  <si>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</si>
  <si>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</si>
  <si>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</si>
  <si>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</si>
  <si>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</si>
  <si>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</si>
  <si>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</si>
  <si>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</si>
  <si>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</si>
  <si>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</si>
  <si>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</si>
  <si>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</si>
  <si>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</si>
  <si>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</si>
  <si>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</si>
  <si>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</si>
  <si>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</si>
  <si>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</si>
  <si>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</si>
  <si>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</si>
  <si>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</si>
  <si>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</si>
  <si>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</si>
  <si>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</si>
  <si>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</si>
  <si>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</si>
  <si>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</si>
  <si>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</si>
  <si>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</si>
  <si>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</si>
  <si>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</si>
  <si>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</si>
  <si>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</si>
  <si>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</si>
  <si>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</si>
  <si>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</si>
  <si>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</si>
  <si>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</si>
  <si>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</si>
  <si>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</si>
  <si>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</si>
  <si>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</si>
  <si>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</si>
  <si>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</si>
  <si>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</si>
  <si>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</si>
  <si>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</si>
  <si>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</si>
  <si>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</si>
  <si>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</si>
  <si>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</si>
  <si>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</si>
  <si>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</si>
  <si>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</si>
  <si>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</si>
  <si>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</si>
  <si>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</si>
  <si>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</si>
  <si>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</si>
  <si>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</si>
  <si>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</si>
  <si>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</si>
  <si>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</si>
  <si>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</si>
  <si>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</si>
  <si>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</si>
  <si>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</si>
  <si>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</si>
  <si>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</si>
  <si>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</si>
  <si>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</si>
  <si>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</si>
  <si>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</si>
  <si>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</si>
  <si>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</si>
  <si>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</si>
  <si>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</si>
  <si>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</si>
  <si>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</si>
  <si>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</si>
  <si>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</si>
  <si>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</si>
  <si>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</si>
  <si>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</si>
  <si>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</si>
  <si>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</si>
  <si>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</si>
  <si>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</si>
  <si>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</si>
  <si>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</si>
  <si>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</si>
  <si>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</si>
  <si>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</si>
  <si>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</si>
  <si>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</si>
  <si>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</si>
  <si>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</si>
  <si>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</si>
  <si>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</si>
  <si>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</si>
  <si>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</si>
  <si>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</si>
  <si>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</si>
  <si>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</si>
  <si>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</si>
  <si>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</si>
  <si>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</si>
  <si>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</si>
  <si>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</si>
  <si>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</si>
  <si>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</si>
  <si>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</si>
  <si>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</si>
  <si>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</si>
  <si>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</si>
  <si>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</si>
  <si>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</si>
  <si>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</si>
  <si>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</si>
  <si>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</si>
  <si>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</si>
  <si>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</si>
  <si>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</si>
  <si>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</si>
  <si>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</si>
  <si>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</si>
  <si>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</si>
  <si>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</si>
  <si>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</si>
  <si>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</si>
  <si>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</si>
  <si>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</si>
  <si>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</si>
  <si>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</si>
  <si>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</si>
  <si>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</si>
  <si>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</si>
  <si>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</si>
  <si>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</si>
  <si>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</si>
  <si>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</si>
  <si>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</si>
  <si>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</si>
  <si>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</si>
  <si>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</si>
  <si>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</si>
  <si>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</si>
  <si>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</si>
  <si>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</si>
  <si>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</si>
  <si>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</si>
  <si>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</si>
  <si>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</si>
  <si>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</si>
  <si>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</si>
  <si>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</si>
  <si>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</si>
  <si>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</si>
  <si>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</si>
  <si>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</si>
  <si>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</si>
  <si>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</si>
  <si>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</si>
  <si>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</si>
  <si>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</si>
  <si>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</si>
  <si>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</si>
  <si>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</si>
  <si>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</si>
  <si>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</si>
  <si>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</si>
  <si>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</si>
  <si>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</si>
  <si>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</si>
  <si>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</si>
  <si>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</si>
  <si>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</si>
  <si>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</si>
  <si>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</si>
  <si>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</si>
  <si>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</si>
  <si>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</si>
  <si>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</si>
  <si>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</si>
  <si>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</si>
  <si>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</si>
  <si>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</si>
  <si>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</si>
  <si>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</si>
  <si>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</si>
  <si>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</si>
  <si>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</si>
  <si>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</si>
  <si>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</si>
  <si>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</si>
  <si>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</si>
  <si>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</si>
  <si>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</si>
  <si>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</si>
  <si>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</si>
  <si>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</si>
  <si>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</si>
  <si>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</si>
  <si>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</si>
  <si>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</si>
  <si>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</si>
  <si>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</si>
  <si>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</si>
  <si>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</si>
  <si>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</si>
  <si>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</si>
  <si>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</si>
  <si>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</si>
  <si>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</si>
  <si>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</si>
  <si>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</si>
  <si>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</si>
  <si>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</si>
  <si>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</si>
  <si>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</si>
  <si>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</si>
  <si>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</si>
  <si>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</si>
  <si>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</si>
  <si>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</si>
  <si>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</si>
  <si>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</si>
  <si>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</si>
  <si>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</si>
  <si>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</si>
  <si>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</si>
  <si>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</si>
  <si>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</si>
  <si>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</si>
  <si>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</si>
  <si>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</si>
  <si>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</si>
  <si>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</si>
  <si>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</si>
  <si>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</si>
  <si>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</si>
  <si>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</si>
  <si>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</si>
  <si>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</si>
  <si>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</si>
  <si>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</si>
  <si>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</si>
  <si>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</si>
  <si>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</si>
  <si>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</si>
  <si>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</si>
  <si>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</si>
  <si>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</si>
  <si>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</si>
  <si>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</si>
  <si>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</si>
  <si>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</si>
  <si>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</si>
  <si>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</si>
  <si>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</si>
  <si>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</si>
  <si>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</si>
  <si>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</si>
  <si>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</si>
  <si>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</si>
  <si>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</si>
  <si>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</si>
  <si>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</si>
  <si>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</si>
  <si>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</si>
  <si>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</si>
  <si>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</si>
  <si>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</si>
  <si>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</si>
  <si>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</si>
  <si>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</si>
  <si>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</si>
  <si>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</si>
  <si>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</si>
  <si>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</si>
  <si>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</si>
  <si>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</si>
  <si>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</si>
  <si>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</si>
  <si>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</si>
  <si>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</si>
  <si>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</si>
  <si>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</si>
  <si>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</si>
  <si>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</si>
  <si>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</si>
  <si>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</si>
  <si>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</si>
  <si>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</si>
  <si>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</si>
  <si>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</si>
  <si>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</si>
  <si>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</si>
  <si>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</si>
  <si>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</si>
  <si>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</si>
  <si>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</si>
  <si>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</si>
  <si>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</si>
  <si>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</si>
  <si>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</si>
  <si>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</si>
  <si>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</si>
  <si>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</si>
  <si>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</si>
  <si>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</si>
  <si>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</si>
  <si>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</si>
  <si>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</si>
  <si>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</si>
  <si>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</si>
  <si>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</si>
  <si>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</si>
  <si>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</si>
  <si>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</si>
  <si>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</si>
  <si>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</si>
  <si>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</si>
  <si>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</si>
  <si>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</si>
  <si>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</si>
  <si>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</si>
  <si>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</si>
  <si>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</si>
  <si>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</si>
  <si>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</si>
  <si>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</si>
  <si>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</si>
  <si>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</si>
  <si>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</si>
  <si>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</si>
  <si>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</si>
  <si>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</si>
  <si>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</si>
  <si>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</si>
  <si>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</si>
  <si>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</si>
  <si>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</si>
  <si>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</si>
  <si>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</si>
  <si>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</si>
  <si>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</si>
  <si>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</si>
  <si>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</si>
  <si>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</si>
  <si>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</si>
  <si>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</si>
  <si>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</si>
  <si>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</si>
  <si>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</si>
  <si>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</si>
  <si>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</si>
  <si>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</si>
  <si>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</si>
  <si>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</si>
  <si>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</si>
  <si>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</si>
  <si>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</si>
  <si>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</si>
  <si>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</si>
  <si>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</si>
  <si>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</si>
  <si>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</si>
  <si>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</si>
  <si>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</si>
  <si>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</si>
  <si>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</si>
  <si>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</si>
  <si>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</si>
  <si>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</si>
  <si>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</si>
  <si>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</si>
  <si>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</si>
  <si>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</si>
  <si>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</si>
  <si>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</si>
  <si>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</si>
  <si>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</si>
  <si>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</si>
  <si>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</si>
  <si>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</si>
  <si>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</si>
  <si>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</si>
  <si>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</si>
  <si>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</si>
  <si>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</si>
  <si>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</si>
  <si>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</si>
  <si>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</si>
  <si>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</si>
  <si>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</si>
  <si>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</si>
  <si>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</si>
  <si>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</si>
  <si>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</si>
  <si>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</si>
  <si>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</si>
  <si>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</si>
  <si>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</si>
  <si>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</si>
  <si>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</si>
  <si>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</si>
  <si>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</si>
  <si>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</si>
  <si>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</si>
  <si>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</si>
  <si>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</si>
  <si>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</si>
  <si>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</si>
  <si>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</si>
  <si>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</si>
  <si>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</si>
  <si>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</si>
  <si>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</si>
  <si>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</si>
  <si>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</si>
  <si>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</si>
  <si>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</si>
  <si>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</si>
  <si>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</si>
  <si>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</si>
  <si>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</si>
  <si>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</si>
  <si>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</si>
  <si>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</si>
  <si>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</si>
  <si>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</si>
  <si>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</si>
  <si>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</si>
  <si>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</si>
  <si>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</si>
  <si>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</si>
  <si>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</si>
  <si>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</si>
  <si>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</si>
  <si>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</si>
  <si>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</si>
  <si>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</si>
  <si>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</si>
  <si>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</si>
  <si>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</si>
  <si>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</si>
  <si>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</si>
  <si>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</si>
  <si>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</si>
  <si>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</si>
  <si>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</si>
  <si>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</si>
  <si>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</si>
  <si>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</si>
  <si>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</si>
  <si>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</si>
  <si>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</si>
  <si>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</si>
  <si>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</si>
  <si>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</si>
  <si>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</si>
  <si>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</si>
  <si>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</si>
  <si>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</si>
  <si>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</si>
  <si>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</si>
  <si>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</si>
  <si>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</si>
  <si>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</si>
  <si>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</si>
  <si>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</si>
  <si>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</si>
  <si>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</si>
  <si>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</si>
  <si>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</si>
  <si>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</si>
  <si>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</si>
  <si>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</si>
  <si>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</si>
  <si>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</si>
  <si>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</si>
  <si>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</si>
  <si>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</si>
  <si>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</si>
  <si>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</si>
  <si>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</si>
  <si>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</si>
  <si>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</si>
  <si>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</si>
  <si>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</si>
  <si>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</si>
  <si>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</si>
  <si>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</si>
  <si>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</si>
  <si>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</si>
  <si>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</si>
  <si>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</si>
  <si>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</si>
  <si>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</si>
  <si>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</si>
  <si>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</si>
  <si>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</si>
  <si>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</si>
  <si>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</si>
  <si>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</si>
  <si>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</si>
  <si>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</si>
  <si>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</si>
  <si>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</si>
  <si>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</si>
  <si>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</si>
  <si>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</si>
  <si>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</si>
  <si>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</si>
  <si>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</si>
  <si>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</si>
  <si>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</si>
  <si>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</si>
  <si>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</si>
  <si>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</si>
  <si>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</si>
  <si>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</si>
  <si>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</si>
  <si>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</si>
  <si>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</si>
  <si>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</si>
  <si>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</si>
  <si>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</si>
  <si>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</si>
  <si>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</si>
  <si>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</si>
  <si>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</si>
  <si>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</si>
  <si>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</si>
  <si>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</si>
  <si>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</si>
  <si>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</si>
  <si>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</si>
  <si>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</si>
  <si>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</si>
  <si>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</si>
  <si>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</si>
  <si>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</si>
  <si>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</si>
  <si>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</si>
  <si>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</si>
  <si>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</si>
  <si>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</si>
  <si>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</si>
  <si>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</si>
  <si>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</si>
  <si>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</si>
  <si>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</si>
  <si>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</si>
  <si>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</si>
  <si>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</si>
  <si>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</si>
  <si>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</si>
  <si>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</si>
  <si>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</si>
  <si>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</si>
  <si>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</si>
  <si>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</si>
  <si>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</si>
  <si>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</si>
  <si>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</si>
  <si>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</si>
  <si>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</si>
  <si>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</si>
  <si>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</si>
  <si>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</si>
  <si>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</si>
  <si>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</si>
  <si>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</si>
  <si>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</si>
  <si>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</si>
  <si>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</si>
  <si>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</si>
  <si>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</si>
  <si>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</si>
  <si>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</si>
  <si>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</si>
  <si>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</si>
  <si>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</si>
  <si>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</si>
  <si>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</si>
  <si>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</si>
  <si>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</si>
  <si>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</si>
  <si>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</si>
  <si>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</si>
  <si>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</si>
  <si>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</si>
  <si>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</si>
  <si>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</si>
  <si>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</si>
  <si>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</si>
  <si>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</si>
  <si>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</si>
  <si>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</si>
  <si>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</si>
  <si>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</si>
  <si>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</si>
  <si>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</si>
  <si>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</si>
  <si>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</si>
  <si>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</si>
  <si>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</si>
  <si>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</si>
  <si>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</si>
  <si>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</si>
  <si>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</si>
  <si>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</si>
  <si>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</si>
  <si>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</si>
  <si>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</si>
  <si>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</si>
  <si>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</si>
  <si>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</si>
  <si>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</si>
  <si>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</si>
  <si>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</si>
  <si>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</si>
  <si>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</si>
  <si>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</si>
  <si>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</si>
  <si>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</si>
  <si>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</si>
  <si>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</si>
  <si>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</si>
  <si>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</si>
  <si>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</si>
  <si>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</si>
  <si>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</si>
  <si>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</si>
  <si>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</si>
  <si>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</si>
  <si>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</si>
  <si>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</si>
  <si>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</si>
  <si>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</si>
  <si>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</si>
  <si>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</si>
  <si>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</si>
  <si>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</si>
  <si>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</si>
  <si>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</si>
  <si>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</si>
  <si>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</si>
  <si>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</si>
  <si>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</si>
  <si>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</si>
  <si>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</si>
  <si>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</si>
  <si>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</si>
  <si>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</si>
  <si>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</si>
  <si>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</si>
  <si>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</si>
  <si>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</si>
  <si>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</si>
  <si>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</si>
  <si>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</si>
  <si>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</si>
  <si>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</si>
  <si>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</si>
  <si>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</si>
  <si>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</si>
  <si>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</si>
  <si>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</si>
  <si>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</si>
  <si>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</si>
  <si>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</si>
  <si>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</si>
  <si>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</si>
  <si>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</si>
  <si>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</si>
  <si>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</si>
  <si>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</si>
  <si>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</si>
  <si>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</si>
  <si>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</si>
  <si>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</si>
  <si>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</si>
  <si>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</si>
  <si>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</si>
  <si>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</si>
  <si>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</si>
  <si>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</si>
  <si>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</si>
  <si>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</si>
  <si>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</si>
  <si>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</si>
  <si>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</si>
  <si>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</si>
  <si>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</si>
  <si>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</si>
  <si>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</si>
  <si>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</si>
  <si>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</si>
  <si>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</si>
  <si>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</si>
  <si>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</si>
  <si>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</si>
  <si>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</si>
  <si>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</si>
  <si>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</si>
  <si>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</si>
  <si>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</si>
  <si>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</si>
  <si>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</si>
  <si>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</si>
  <si>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</si>
  <si>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</si>
  <si>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</si>
  <si>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</si>
  <si>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</si>
  <si>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</si>
  <si>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</si>
  <si>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</si>
  <si>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</si>
  <si>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</si>
  <si>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</si>
  <si>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</si>
  <si>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</si>
  <si>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</si>
  <si>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</si>
  <si>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</si>
  <si>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</si>
  <si>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</si>
  <si>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</si>
  <si>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</si>
  <si>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</si>
  <si>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</si>
  <si>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</si>
  <si>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</si>
  <si>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</si>
  <si>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</si>
  <si>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</si>
  <si>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</si>
  <si>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</si>
  <si>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</si>
  <si>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</si>
  <si>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</si>
  <si>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</si>
  <si>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</si>
  <si>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</si>
  <si>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</si>
  <si>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</si>
  <si>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</si>
  <si>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</si>
  <si>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</si>
  <si>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</si>
  <si>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</si>
  <si>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</si>
  <si>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</si>
  <si>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</si>
  <si>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</si>
  <si>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</si>
  <si>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</si>
  <si>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</si>
  <si>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</si>
  <si>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</si>
  <si>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</si>
  <si>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</si>
  <si>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</si>
  <si>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</si>
  <si>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</si>
  <si>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</si>
  <si>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</si>
  <si>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</si>
  <si>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</si>
  <si>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</si>
  <si>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</si>
  <si>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</si>
  <si>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</si>
  <si>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</si>
  <si>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</si>
  <si>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</si>
  <si>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</si>
  <si>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</si>
  <si>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</si>
  <si>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</si>
  <si>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</si>
  <si>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</si>
  <si>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</si>
  <si>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</si>
  <si>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</si>
  <si>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</si>
  <si>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</si>
  <si>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</si>
  <si>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</si>
  <si>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</si>
  <si>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</si>
  <si>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</si>
  <si>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</si>
  <si>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</si>
  <si>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</si>
  <si>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</si>
  <si>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</si>
  <si>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</si>
  <si>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</si>
  <si>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</si>
  <si>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</si>
  <si>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</si>
  <si>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</si>
  <si>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</si>
  <si>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</si>
  <si>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</si>
  <si>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</si>
  <si>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</si>
  <si>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</si>
  <si>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</si>
  <si>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</si>
  <si>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</si>
  <si>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</si>
  <si>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</si>
  <si>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</si>
  <si>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</si>
  <si>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</si>
  <si>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</si>
  <si>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</si>
  <si>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</si>
  <si>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</si>
  <si>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</si>
  <si>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</si>
  <si>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</si>
  <si>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</si>
  <si>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</si>
  <si>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</si>
  <si>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</si>
  <si>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</si>
  <si>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</si>
  <si>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</si>
  <si>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</si>
  <si>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</si>
  <si>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</si>
  <si>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</si>
  <si>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</si>
  <si>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</si>
  <si>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</si>
  <si>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</si>
  <si>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</si>
  <si>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</si>
  <si>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</si>
  <si>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</si>
  <si>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</si>
  <si>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</si>
  <si>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</si>
  <si>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</si>
  <si>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</si>
  <si>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</si>
  <si>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</si>
  <si>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</si>
  <si>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</si>
  <si>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</si>
  <si>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</si>
  <si>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</si>
  <si>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</si>
  <si>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</si>
  <si>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</si>
  <si>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</si>
  <si>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</si>
  <si>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</si>
  <si>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</si>
  <si>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</si>
  <si>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</si>
  <si>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</si>
  <si>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</si>
  <si>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</si>
  <si>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</si>
  <si>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</si>
  <si>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</si>
  <si>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</si>
  <si>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</si>
  <si>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</si>
  <si>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</si>
  <si>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</si>
  <si>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</si>
  <si>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</si>
  <si>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</si>
  <si>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</si>
  <si>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</si>
  <si>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</si>
  <si>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</si>
  <si>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</si>
  <si>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</si>
  <si>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</si>
  <si>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</si>
  <si>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</si>
  <si>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</si>
  <si>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</si>
  <si>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</si>
  <si>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</si>
  <si>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</si>
  <si>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</si>
  <si>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</si>
  <si>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</si>
  <si>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</si>
  <si>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</si>
  <si>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</si>
  <si>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</si>
  <si>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</si>
  <si>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</si>
  <si>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</si>
  <si>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</si>
  <si>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</si>
  <si>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</si>
  <si>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</si>
  <si>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</si>
  <si>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</si>
  <si>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</si>
  <si>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</si>
  <si>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</si>
  <si>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</si>
  <si>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</si>
  <si>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</si>
  <si>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</si>
  <si>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</si>
  <si>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</si>
  <si>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</si>
  <si>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</si>
  <si>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</si>
  <si>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</si>
  <si>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</si>
  <si>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</si>
  <si>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</si>
  <si>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</si>
  <si>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</si>
  <si>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</si>
  <si>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</si>
  <si>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</si>
  <si>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</si>
  <si>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</si>
  <si>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</si>
  <si>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</si>
  <si>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</si>
  <si>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</si>
  <si>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</si>
  <si>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</si>
  <si>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</si>
  <si>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</si>
  <si>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</si>
  <si>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</si>
  <si>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</si>
  <si>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</si>
  <si>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</si>
  <si>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</si>
  <si>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</si>
  <si>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</si>
  <si>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</si>
  <si>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</si>
  <si>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</si>
  <si>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</si>
  <si>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</si>
  <si>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</si>
  <si>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</si>
  <si>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</si>
  <si>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</si>
  <si>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</si>
  <si>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</si>
  <si>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</si>
  <si>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</si>
  <si>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</si>
  <si>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</si>
  <si>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</si>
  <si>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</si>
  <si>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</si>
  <si>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</si>
  <si>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</si>
  <si>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</si>
  <si>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</si>
  <si>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</si>
  <si>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</si>
  <si>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</si>
  <si>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</si>
  <si>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</si>
  <si>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</si>
  <si>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</si>
  <si>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</si>
  <si>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</si>
  <si>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</si>
  <si>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</si>
  <si>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</si>
  <si>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</si>
  <si>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</si>
  <si>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</si>
  <si>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</si>
  <si>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</si>
  <si>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</si>
  <si>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</si>
  <si>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</si>
  <si>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</si>
  <si>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</si>
  <si>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</si>
  <si>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</si>
  <si>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</si>
  <si>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</si>
  <si>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</si>
  <si>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</si>
  <si>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</si>
  <si>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</si>
  <si>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</si>
  <si>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</si>
  <si>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</si>
  <si>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</si>
  <si>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</si>
  <si>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</si>
  <si>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</si>
  <si>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</si>
  <si>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</si>
  <si>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</si>
  <si>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</si>
  <si>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</si>
  <si>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</si>
  <si>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</si>
  <si>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</si>
  <si>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</si>
  <si>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</si>
  <si>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</si>
  <si>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</si>
  <si>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</si>
  <si>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</si>
  <si>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</si>
  <si>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</si>
  <si>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</si>
  <si>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</si>
  <si>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</si>
  <si>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</si>
  <si>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</si>
  <si>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</si>
  <si>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</si>
  <si>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</si>
  <si>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</si>
  <si>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</si>
  <si>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</si>
  <si>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</si>
  <si>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</si>
  <si>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</si>
  <si>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</si>
  <si>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</si>
  <si>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</si>
  <si>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</si>
  <si>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</si>
  <si>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</si>
  <si>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</si>
  <si>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</si>
  <si>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</si>
  <si>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</si>
  <si>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</si>
  <si>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</si>
  <si>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</si>
  <si>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</si>
  <si>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</si>
  <si>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</si>
  <si>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</si>
  <si>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</si>
  <si>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</si>
  <si>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</si>
  <si>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</si>
  <si>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</si>
  <si>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</si>
  <si>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</si>
  <si>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</si>
  <si>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</si>
  <si>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</si>
  <si>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</si>
  <si>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</si>
  <si>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</si>
  <si>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</si>
  <si>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</si>
  <si>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</si>
  <si>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</si>
  <si>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</si>
  <si>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</si>
  <si>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</si>
  <si>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</si>
  <si>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</si>
  <si>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</si>
  <si>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</si>
  <si>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</si>
  <si>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</si>
  <si>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</si>
  <si>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</si>
  <si>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</si>
  <si>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</si>
  <si>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</si>
  <si>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</si>
  <si>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</si>
  <si>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</si>
  <si>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</si>
  <si>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</si>
  <si>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</si>
  <si>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</si>
  <si>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</si>
  <si>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</si>
  <si>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</si>
  <si>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</si>
  <si>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</si>
  <si>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</si>
  <si>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</si>
  <si>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</si>
  <si>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</si>
  <si>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</si>
  <si>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</si>
  <si>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</si>
  <si>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</si>
  <si>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</si>
  <si>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</si>
  <si>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</si>
  <si>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</si>
  <si>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</si>
  <si>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</si>
  <si>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</si>
  <si>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</si>
  <si>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</si>
  <si>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</si>
  <si>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</si>
  <si>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</si>
  <si>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</si>
  <si>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</si>
  <si>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</si>
  <si>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</si>
  <si>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</si>
  <si>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</si>
  <si>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</si>
  <si>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</si>
  <si>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</si>
  <si>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</si>
  <si>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</si>
  <si>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</si>
  <si>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</si>
  <si>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</si>
  <si>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</si>
  <si>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</si>
  <si>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</si>
  <si>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</si>
  <si>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</si>
  <si>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</si>
  <si>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</si>
  <si>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</si>
  <si>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</si>
  <si>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</si>
  <si>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</si>
  <si>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</si>
  <si>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</si>
  <si>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</si>
  <si>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</si>
  <si>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</si>
  <si>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</si>
  <si>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</si>
  <si>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</si>
  <si>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</si>
  <si>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</si>
  <si>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</si>
  <si>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</si>
  <si>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</si>
  <si>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</si>
  <si>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</si>
  <si>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</si>
  <si>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</si>
  <si>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</si>
  <si>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</si>
  <si>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</si>
  <si>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</si>
  <si>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</si>
  <si>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</si>
  <si>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</si>
  <si>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</si>
  <si>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</si>
  <si>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</si>
  <si>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</si>
  <si>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</si>
  <si>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</si>
  <si>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</si>
  <si>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</si>
  <si>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</si>
  <si>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</si>
  <si>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</si>
  <si>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</si>
  <si>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</si>
  <si>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</si>
  <si>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</si>
  <si>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</si>
  <si>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</si>
  <si>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</si>
  <si>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</si>
  <si>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</si>
  <si>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</si>
  <si>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</si>
  <si>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</si>
  <si>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</si>
  <si>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</si>
  <si>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</si>
  <si>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</si>
  <si>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</si>
  <si>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</si>
  <si>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</si>
  <si>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</si>
  <si>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</si>
  <si>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</si>
  <si>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</si>
  <si>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</si>
  <si>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</si>
  <si>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</si>
  <si>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</si>
  <si>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</si>
  <si>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</si>
  <si>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</si>
  <si>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</si>
  <si>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</si>
  <si>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</si>
  <si>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</si>
  <si>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</si>
  <si>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</si>
  <si>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</si>
  <si>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</si>
  <si>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</si>
  <si>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</si>
  <si>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</si>
  <si>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</si>
  <si>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</si>
  <si>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</si>
  <si>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</si>
  <si>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</si>
  <si>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</si>
  <si>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</si>
  <si>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</si>
  <si>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</si>
  <si>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</si>
  <si>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</si>
  <si>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</si>
  <si>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</si>
  <si>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</si>
  <si>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</si>
  <si>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</si>
  <si>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</si>
  <si>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</si>
  <si>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</si>
  <si>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</si>
  <si>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</si>
  <si>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</si>
  <si>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</si>
  <si>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</si>
  <si>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</si>
  <si>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</si>
  <si>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</si>
  <si>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</si>
  <si>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</si>
  <si>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</si>
  <si>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</si>
  <si>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</si>
  <si>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</si>
  <si>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</si>
  <si>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</si>
  <si>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</si>
  <si>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</si>
  <si>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</si>
  <si>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</si>
  <si>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</si>
  <si>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</si>
  <si>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</si>
  <si>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</si>
  <si>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</si>
  <si>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</si>
  <si>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</si>
  <si>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</si>
  <si>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</si>
  <si>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</si>
  <si>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</si>
  <si>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</si>
  <si>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</si>
  <si>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</si>
  <si>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</si>
  <si>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</si>
  <si>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</si>
  <si>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</si>
  <si>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</si>
  <si>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</si>
  <si>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</si>
  <si>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</si>
  <si>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</si>
  <si>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</si>
  <si>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</si>
  <si>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</si>
  <si>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</si>
  <si>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</si>
  <si>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</si>
  <si>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</si>
  <si>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</si>
  <si>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</si>
  <si>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</si>
  <si>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</si>
  <si>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</si>
  <si>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</si>
  <si>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</si>
  <si>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</si>
  <si>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</si>
  <si>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</si>
  <si>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</si>
  <si>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</si>
  <si>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</si>
  <si>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</si>
  <si>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</si>
  <si>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</si>
  <si>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</si>
  <si>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</si>
  <si>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</si>
  <si>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</si>
  <si>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</si>
  <si>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</si>
  <si>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</si>
  <si>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</si>
  <si>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</si>
  <si>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</si>
  <si>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</si>
  <si>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</si>
  <si>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</si>
  <si>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</si>
  <si>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</si>
  <si>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</si>
  <si>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</si>
  <si>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</si>
  <si>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</si>
  <si>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</si>
  <si>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</si>
  <si>
    <t>Wait for Amanda/Edwin</t>
  </si>
  <si>
    <t>Practice Index</t>
  </si>
  <si>
    <t>Free Float Market Cap</t>
  </si>
  <si>
    <t>ENX Oslo Bors</t>
  </si>
  <si>
    <t>AS500;EU500;NA500</t>
  </si>
  <si>
    <t>EUADP</t>
  </si>
  <si>
    <t>EN Europe Aerospace and Defense PR</t>
  </si>
  <si>
    <t>Non-Market Cap</t>
  </si>
  <si>
    <t>Euronext Low Carbon 100 Europe PAB</t>
  </si>
  <si>
    <t>Effective</t>
  </si>
  <si>
    <t>Cut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</si>
</sst>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4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47">
      <pivotArea collapsedLevelsAreSubtotals="1" fieldPosition="0">
        <references count="1">
          <reference field="7" count="0"/>
        </references>
      </pivotArea>
    </format>
    <format dxfId="46">
      <pivotArea dataOnly="0" labelOnly="1" fieldPosition="0">
        <references count="1">
          <reference field="7" count="0"/>
        </references>
      </pivotArea>
    </format>
    <format dxfId="45">
      <pivotArea collapsedLevelsAreSubtotals="1" fieldPosition="0">
        <references count="1">
          <reference field="7" count="1">
            <x v="6"/>
          </reference>
        </references>
      </pivotArea>
    </format>
    <format dxfId="44">
      <pivotArea dataOnly="0" labelOnly="1" fieldPosition="0">
        <references count="1">
          <reference field="7" count="1">
            <x v="6"/>
          </reference>
        </references>
      </pivotArea>
    </format>
    <format dxfId="43">
      <pivotArea dataOnly="0" labelOnly="1" grandRow="1" outline="0" fieldPosition="0"/>
    </format>
    <format dxfId="42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1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0">
      <pivotArea field="7" type="button" dataOnly="0" labelOnly="1" outline="0" axis="axisRow" fieldPosition="0"/>
    </format>
    <format dxfId="39">
      <pivotArea dataOnly="0" labelOnly="1" outline="0" axis="axisValues" fieldPosition="0"/>
    </format>
    <format dxfId="38">
      <pivotArea grandRow="1" outline="0" collapsedLevelsAreSubtotals="1" fieldPosition="0"/>
    </format>
    <format dxfId="37">
      <pivotArea dataOnly="0" labelOnly="1" grandRow="1" outline="0" fieldPosition="0"/>
    </format>
    <format dxfId="36">
      <pivotArea grandRow="1" outline="0" collapsedLevelsAreSubtotals="1" fieldPosition="0"/>
    </format>
    <format dxfId="3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dataOnly="0" labelOnly="1" outline="0" axis="axisValues" fieldPosition="0"/>
    </format>
    <format dxfId="62">
      <pivotArea grandRow="1" outline="0" fieldPosition="0"/>
    </format>
    <format dxfId="61">
      <pivotArea dataOnly="0" labelOnly="1" grandRow="1" outline="0" fieldPosition="0"/>
    </format>
    <format dxfId="60">
      <pivotArea dataOnly="0" labelOnly="1" grandRow="1" outline="0" fieldPosition="0"/>
    </format>
    <format dxfId="59">
      <pivotArea grandRow="1" outline="0" fieldPosition="0"/>
    </format>
    <format dxfId="58">
      <pivotArea dataOnly="0" labelOnly="1" grandRow="1" outline="0" fieldPosition="0"/>
    </format>
    <format dxfId="57">
      <pivotArea outline="0" fieldPosition="0"/>
    </format>
    <format dxfId="56">
      <pivotArea dataOnly="0" labelOnly="1" grandRow="1" outline="0" fieldPosition="0"/>
    </format>
    <format dxfId="55">
      <pivotArea grandRow="1" outline="0" fieldPosition="0"/>
    </format>
    <format dxfId="54">
      <pivotArea dataOnly="0" labelOnly="1" grandRow="1" outline="0" fieldPosition="0"/>
    </format>
    <format dxfId="53">
      <pivotArea dataOnly="0" labelOnly="1" outline="0" axis="axisValues" fieldPosition="0"/>
    </format>
    <format dxfId="52">
      <pivotArea field="0" type="button" dataOnly="0" labelOnly="1" outline="0" axis="axisRow" fieldPosition="0"/>
    </format>
    <format dxfId="51">
      <pivotArea field="0" type="button" dataOnly="0" labelOnly="1" outline="0" axis="axisRow" fieldPosition="0"/>
    </format>
    <format dxfId="50">
      <pivotArea field="0" type="button" dataOnly="0" labelOnly="1" outline="0" axis="axisRow" fieldPosition="0"/>
    </format>
    <format dxfId="49">
      <pivotArea dataOnly="0" labelOnly="1" outline="0" axis="axisValues" fieldPosition="0"/>
    </format>
    <format dxfId="48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73">
      <pivotArea outline="0" collapsedLevelsAreSubtotals="1" fieldPosition="0"/>
    </format>
    <format dxfId="72">
      <pivotArea dataOnly="0" labelOnly="1" fieldPosition="0">
        <references count="1">
          <reference field="5" count="0"/>
        </references>
      </pivotArea>
    </format>
    <format dxfId="71">
      <pivotArea dataOnly="0" labelOnly="1" grandRow="1" outline="0" fieldPosition="0"/>
    </format>
    <format dxfId="70">
      <pivotArea collapsedLevelsAreSubtotals="1" fieldPosition="0">
        <references count="1">
          <reference field="5" count="0"/>
        </references>
      </pivotArea>
    </format>
    <format dxfId="69">
      <pivotArea grandRow="1" outline="0" collapsedLevelsAreSubtotals="1" fieldPosition="0"/>
    </format>
    <format dxfId="68">
      <pivotArea field="5" type="button" dataOnly="0" labelOnly="1" outline="0" axis="axisRow" fieldPosition="0"/>
    </format>
    <format dxfId="6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92">
      <pivotArea dataOnly="0" labelOnly="1" outline="0" axis="axisValues" fieldPosition="0"/>
    </format>
    <format dxfId="91">
      <pivotArea dataOnly="0" labelOnly="1" outline="0" axis="axisValues" fieldPosition="0"/>
    </format>
    <format dxfId="90">
      <pivotArea dataOnly="0" labelOnly="1" outline="0" axis="axisValues" fieldPosition="0"/>
    </format>
    <format dxfId="89">
      <pivotArea dataOnly="0" labelOnly="1" outline="0" axis="axisValues" fieldPosition="0"/>
    </format>
    <format dxfId="88">
      <pivotArea grandRow="1" outline="0" fieldPosition="0"/>
    </format>
    <format dxfId="87">
      <pivotArea dataOnly="0" labelOnly="1" grandRow="1" outline="0" fieldPosition="0"/>
    </format>
    <format dxfId="86">
      <pivotArea grandRow="1" outline="0" fieldPosition="0"/>
    </format>
    <format dxfId="85">
      <pivotArea dataOnly="0" labelOnly="1" grandRow="1" outline="0" fieldPosition="0"/>
    </format>
    <format dxfId="84">
      <pivotArea dataOnly="0" labelOnly="1" grandRow="1" outline="0" fieldPosition="0"/>
    </format>
    <format dxfId="83">
      <pivotArea grandRow="1" outline="0" fieldPosition="0"/>
    </format>
    <format dxfId="82">
      <pivotArea dataOnly="0" labelOnly="1" grandRow="1" outline="0" fieldPosition="0"/>
    </format>
    <format dxfId="81">
      <pivotArea outline="0" fieldPosition="0"/>
    </format>
    <format dxfId="80">
      <pivotArea dataOnly="0" labelOnly="1" grandRow="1" outline="0" fieldPosition="0"/>
    </format>
    <format dxfId="79">
      <pivotArea dataOnly="0" labelOnly="1" outline="0" axis="axisValues" fieldPosition="0"/>
    </format>
    <format dxfId="78">
      <pivotArea dataOnly="0" labelOnly="1" outline="0" axis="axisValues" fieldPosition="0"/>
    </format>
    <format dxfId="77">
      <pivotArea field="1" type="button" dataOnly="0" labelOnly="1" outline="0" axis="axisRow" fieldPosition="0"/>
    </format>
    <format dxfId="76">
      <pivotArea outline="0" fieldPosition="0"/>
    </format>
    <format dxfId="75">
      <pivotArea grandRow="1" outline="0" fieldPosition="0"/>
    </format>
    <format dxfId="7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17">
      <pivotArea dataOnly="0" labelOnly="1" outline="0" axis="axisValues" fieldPosition="0"/>
    </format>
    <format dxfId="116">
      <pivotArea dataOnly="0" labelOnly="1" outline="0" axis="axisValues" fieldPosition="0"/>
    </format>
    <format dxfId="115">
      <pivotArea dataOnly="0" labelOnly="1" outline="0" axis="axisValues" fieldPosition="0"/>
    </format>
    <format dxfId="114">
      <pivotArea dataOnly="0" labelOnly="1" outline="0" axis="axisValues" fieldPosition="0"/>
    </format>
    <format dxfId="113">
      <pivotArea grandRow="1" outline="0" fieldPosition="0"/>
    </format>
    <format dxfId="112">
      <pivotArea dataOnly="0" labelOnly="1" grandRow="1" outline="0" fieldPosition="0"/>
    </format>
    <format dxfId="111">
      <pivotArea grandRow="1" outline="0" fieldPosition="0"/>
    </format>
    <format dxfId="110">
      <pivotArea dataOnly="0" labelOnly="1" grandRow="1" outline="0" fieldPosition="0"/>
    </format>
    <format dxfId="109">
      <pivotArea dataOnly="0" labelOnly="1" grandRow="1" outline="0" fieldPosition="0"/>
    </format>
    <format dxfId="108">
      <pivotArea grandRow="1" outline="0" fieldPosition="0"/>
    </format>
    <format dxfId="107">
      <pivotArea dataOnly="0" labelOnly="1" grandRow="1" outline="0" fieldPosition="0"/>
    </format>
    <format dxfId="106">
      <pivotArea outline="0" fieldPosition="0"/>
    </format>
    <format dxfId="105">
      <pivotArea dataOnly="0" labelOnly="1" grandRow="1" outline="0" fieldPosition="0"/>
    </format>
    <format dxfId="104">
      <pivotArea dataOnly="0" labelOnly="1" outline="0" axis="axisValues" fieldPosition="0"/>
    </format>
    <format dxfId="103">
      <pivotArea dataOnly="0" labelOnly="1" outline="0" axis="axisValues" fieldPosition="0"/>
    </format>
    <format dxfId="102">
      <pivotArea field="1" type="button" dataOnly="0" labelOnly="1" outline="0"/>
    </format>
    <format dxfId="101">
      <pivotArea outline="0" fieldPosition="0"/>
    </format>
    <format dxfId="100">
      <pivotArea grandRow="1" outline="0" fieldPosition="0"/>
    </format>
    <format dxfId="99">
      <pivotArea dataOnly="0" labelOnly="1" grandRow="1" outline="0" fieldPosition="0"/>
    </format>
    <format dxfId="98">
      <pivotArea field="0" type="button" dataOnly="0" labelOnly="1" outline="0" axis="axisRow" fieldPosition="0"/>
    </format>
    <format dxfId="97">
      <pivotArea field="0" type="button" dataOnly="0" labelOnly="1" outline="0" axis="axisRow" fieldPosition="0"/>
    </format>
    <format dxfId="96">
      <pivotArea collapsedLevelsAreSubtotals="1" fieldPosition="0">
        <references count="1">
          <reference field="0" count="1">
            <x v="1073"/>
          </reference>
        </references>
      </pivotArea>
    </format>
    <format dxfId="95">
      <pivotArea grandRow="1" outline="0" collapsedLevelsAreSubtotals="1" fieldPosition="0"/>
    </format>
    <format dxfId="94">
      <pivotArea dataOnly="0" labelOnly="1" fieldPosition="0">
        <references count="1">
          <reference field="0" count="1">
            <x v="1073"/>
          </reference>
        </references>
      </pivotArea>
    </format>
    <format dxfId="93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124">
      <pivotArea outline="0" collapsedLevelsAreSubtotals="1" fieldPosition="0"/>
    </format>
    <format dxfId="123">
      <pivotArea field="3" type="button" dataOnly="0" labelOnly="1" outline="0" axis="axisRow" fieldPosition="0"/>
    </format>
    <format dxfId="122">
      <pivotArea dataOnly="0" labelOnly="1" outline="0" axis="axisValues" fieldPosition="0"/>
    </format>
    <format dxfId="121">
      <pivotArea dataOnly="0" labelOnly="1" fieldPosition="0">
        <references count="1">
          <reference field="3" count="0"/>
        </references>
      </pivotArea>
    </format>
    <format dxfId="120">
      <pivotArea dataOnly="0" labelOnly="1" grandRow="1" outline="0" fieldPosition="0"/>
    </format>
    <format dxfId="119">
      <pivotArea collapsedLevelsAreSubtotals="1" fieldPosition="0">
        <references count="1">
          <reference field="3" count="1">
            <x v="2"/>
          </reference>
        </references>
      </pivotArea>
    </format>
    <format dxfId="118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44">
      <pivotArea dataOnly="0" labelOnly="1" outline="0" axis="axisValues" fieldPosition="0"/>
    </format>
    <format dxfId="143">
      <pivotArea dataOnly="0" labelOnly="1" outline="0" axis="axisValues" fieldPosition="0"/>
    </format>
    <format dxfId="142">
      <pivotArea dataOnly="0" labelOnly="1" outline="0" axis="axisValues" fieldPosition="0"/>
    </format>
    <format dxfId="141">
      <pivotArea dataOnly="0" labelOnly="1" outline="0" axis="axisValues" fieldPosition="0"/>
    </format>
    <format dxfId="140">
      <pivotArea grandRow="1" outline="0" fieldPosition="0"/>
    </format>
    <format dxfId="139">
      <pivotArea dataOnly="0" labelOnly="1" grandRow="1" outline="0" fieldPosition="0"/>
    </format>
    <format dxfId="138">
      <pivotArea grandRow="1" outline="0" fieldPosition="0"/>
    </format>
    <format dxfId="137">
      <pivotArea dataOnly="0" labelOnly="1" grandRow="1" outline="0" fieldPosition="0"/>
    </format>
    <format dxfId="136">
      <pivotArea dataOnly="0" labelOnly="1" grandRow="1" outline="0" fieldPosition="0"/>
    </format>
    <format dxfId="135">
      <pivotArea grandRow="1" outline="0" fieldPosition="0"/>
    </format>
    <format dxfId="134">
      <pivotArea dataOnly="0" labelOnly="1" grandRow="1" outline="0" fieldPosition="0"/>
    </format>
    <format dxfId="133">
      <pivotArea outline="0" fieldPosition="0"/>
    </format>
    <format dxfId="132">
      <pivotArea dataOnly="0" labelOnly="1" grandRow="1" outline="0" fieldPosition="0"/>
    </format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field="1" type="button" dataOnly="0" labelOnly="1" outline="0" axis="axisRow" fieldPosition="0"/>
    </format>
    <format dxfId="128">
      <pivotArea outline="0" fieldPosition="0"/>
    </format>
    <format dxfId="127">
      <pivotArea grandRow="1" outline="0" fieldPosition="0"/>
    </format>
    <format dxfId="126">
      <pivotArea dataOnly="0" labelOnly="1" grandRow="1" outline="0" fieldPosition="0"/>
    </format>
    <format dxfId="125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dimension ref="A1:I109"/>
  <sheetViews>
    <sheetView tabSelected="1" topLeftCell="A86" workbookViewId="0">
      <selection activeCell="I109" sqref="I109"/>
    </sheetView>
  </sheetViews>
  <sheetFormatPr defaultRowHeight="12.75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>
      <c r="A1" t="s">
        <v>5183</v>
      </c>
      <c r="C1" t="s">
        <v>5195</v>
      </c>
      <c r="D1" s="40">
        <v>45825</v>
      </c>
    </row>
    <row r="2" spans="1:9">
      <c r="A2" s="82" t="s">
        <v>5184</v>
      </c>
      <c r="C2" t="s">
        <v>5196</v>
      </c>
      <c r="D2" s="40">
        <v>45831</v>
      </c>
    </row>
    <row r="3" spans="1:9">
      <c r="A3" s="82" t="s">
        <v>5185</v>
      </c>
    </row>
    <row r="4" spans="1:9" ht="1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9" t="s">
        <v>5025</v>
      </c>
    </row>
    <row r="10" spans="1:9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9" t="s">
        <v>5186</v>
      </c>
    </row>
    <row r="11" spans="1:9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9" t="s">
        <v>5186</v>
      </c>
    </row>
    <row r="12" spans="1:9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>
        <v>1</v>
      </c>
    </row>
    <row r="14" spans="1:9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>
        <v>1</v>
      </c>
    </row>
    <row r="16" spans="1:9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>
        <v>1</v>
      </c>
    </row>
    <row r="17" spans="2:9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9">
        <v>1</v>
      </c>
    </row>
    <row r="21" spans="2:9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9">
        <v>1</v>
      </c>
    </row>
    <row r="22" spans="2:9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9">
        <v>1</v>
      </c>
    </row>
    <row r="23" spans="2:9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9">
        <v>1</v>
      </c>
    </row>
    <row r="24" spans="2:9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9">
        <v>1</v>
      </c>
    </row>
    <row r="25" spans="2:9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9">
        <v>1</v>
      </c>
    </row>
    <row r="27" spans="2:9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9">
        <v>1</v>
      </c>
    </row>
    <row r="28" spans="2:9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>
        <v>1</v>
      </c>
    </row>
    <row r="29" spans="2:9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9">
        <v>1</v>
      </c>
    </row>
    <row r="30" spans="2:9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9" t="s">
        <v>5187</v>
      </c>
    </row>
    <row r="31" spans="2:9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9">
        <v>1</v>
      </c>
    </row>
    <row r="32" spans="2:9">
      <c r="B32" t="s">
        <v>1211</v>
      </c>
      <c r="C32" t="s">
        <v>1212</v>
      </c>
      <c r="D32" t="s">
        <v>2768</v>
      </c>
      <c r="E32" t="s">
        <v>5188</v>
      </c>
      <c r="F32">
        <v>0</v>
      </c>
      <c r="G32">
        <v>0</v>
      </c>
      <c r="H32" t="s">
        <v>5026</v>
      </c>
    </row>
    <row r="33" spans="2:9">
      <c r="B33" t="s">
        <v>607</v>
      </c>
      <c r="C33" t="s">
        <v>608</v>
      </c>
      <c r="D33" t="s">
        <v>5189</v>
      </c>
      <c r="E33" t="s">
        <v>5188</v>
      </c>
      <c r="F33">
        <v>0</v>
      </c>
      <c r="G33">
        <v>0</v>
      </c>
      <c r="H33" t="s">
        <v>5079</v>
      </c>
    </row>
    <row r="34" spans="2:9">
      <c r="B34" t="s">
        <v>631</v>
      </c>
      <c r="C34" t="s">
        <v>632</v>
      </c>
      <c r="D34" t="s">
        <v>5189</v>
      </c>
      <c r="E34" t="s">
        <v>5188</v>
      </c>
      <c r="F34">
        <v>0</v>
      </c>
      <c r="G34">
        <v>0</v>
      </c>
      <c r="H34" t="s">
        <v>5079</v>
      </c>
    </row>
    <row r="35" spans="2:9">
      <c r="B35" t="s">
        <v>635</v>
      </c>
      <c r="C35" t="s">
        <v>636</v>
      </c>
      <c r="D35" t="s">
        <v>5189</v>
      </c>
      <c r="E35" t="s">
        <v>5188</v>
      </c>
      <c r="F35">
        <v>0</v>
      </c>
      <c r="G35">
        <v>0</v>
      </c>
      <c r="H35" t="s">
        <v>5026</v>
      </c>
    </row>
    <row r="36" spans="2:9">
      <c r="B36" t="s">
        <v>611</v>
      </c>
      <c r="C36" t="s">
        <v>612</v>
      </c>
      <c r="D36" t="s">
        <v>5189</v>
      </c>
      <c r="E36" t="s">
        <v>5188</v>
      </c>
      <c r="F36">
        <v>0</v>
      </c>
      <c r="G36">
        <v>0</v>
      </c>
      <c r="H36" t="s">
        <v>5079</v>
      </c>
    </row>
    <row r="37" spans="2:9">
      <c r="B37" t="s">
        <v>603</v>
      </c>
      <c r="C37" t="s">
        <v>604</v>
      </c>
      <c r="D37" t="s">
        <v>5189</v>
      </c>
      <c r="E37" t="s">
        <v>5188</v>
      </c>
      <c r="F37">
        <v>0</v>
      </c>
      <c r="G37">
        <v>0</v>
      </c>
      <c r="H37" t="s">
        <v>5079</v>
      </c>
    </row>
    <row r="38" spans="2:9">
      <c r="B38" t="s">
        <v>870</v>
      </c>
      <c r="C38" t="s">
        <v>871</v>
      </c>
      <c r="D38" t="s">
        <v>5190</v>
      </c>
      <c r="E38" t="s">
        <v>5188</v>
      </c>
      <c r="F38">
        <v>0</v>
      </c>
      <c r="G38">
        <v>0</v>
      </c>
      <c r="H38" t="s">
        <v>5026</v>
      </c>
    </row>
    <row r="39" spans="2:9">
      <c r="B39" t="s">
        <v>856</v>
      </c>
      <c r="C39" t="s">
        <v>857</v>
      </c>
      <c r="D39" t="s">
        <v>5175</v>
      </c>
      <c r="E39" t="s">
        <v>5188</v>
      </c>
      <c r="F39">
        <v>0</v>
      </c>
      <c r="G39">
        <v>0</v>
      </c>
      <c r="H39" t="s">
        <v>5026</v>
      </c>
    </row>
    <row r="40" spans="2:9">
      <c r="B40" t="s">
        <v>2183</v>
      </c>
      <c r="C40" t="s">
        <v>2184</v>
      </c>
      <c r="D40" t="s">
        <v>5175</v>
      </c>
      <c r="E40" t="s">
        <v>5188</v>
      </c>
      <c r="F40">
        <v>0</v>
      </c>
      <c r="G40">
        <v>0</v>
      </c>
      <c r="H40" t="s">
        <v>5026</v>
      </c>
    </row>
    <row r="41" spans="2:9">
      <c r="B41" t="s">
        <v>864</v>
      </c>
      <c r="C41" t="s">
        <v>865</v>
      </c>
      <c r="D41" t="s">
        <v>5190</v>
      </c>
      <c r="E41" t="s">
        <v>5188</v>
      </c>
      <c r="F41">
        <v>0</v>
      </c>
      <c r="G41">
        <v>0</v>
      </c>
      <c r="H41" t="s">
        <v>5026</v>
      </c>
    </row>
    <row r="42" spans="2:9">
      <c r="B42" t="s">
        <v>2117</v>
      </c>
      <c r="C42" t="s">
        <v>4779</v>
      </c>
      <c r="D42" t="s">
        <v>5090</v>
      </c>
      <c r="E42" t="s">
        <v>5188</v>
      </c>
      <c r="F42">
        <v>0</v>
      </c>
      <c r="G42">
        <v>0</v>
      </c>
      <c r="H42" t="s">
        <v>5026</v>
      </c>
    </row>
    <row r="43" spans="2:9">
      <c r="B43" t="s">
        <v>2090</v>
      </c>
      <c r="C43" t="s">
        <v>4780</v>
      </c>
      <c r="D43" t="s">
        <v>5087</v>
      </c>
      <c r="E43" t="s">
        <v>5188</v>
      </c>
      <c r="F43">
        <v>0</v>
      </c>
      <c r="G43">
        <v>0</v>
      </c>
      <c r="H43" t="s">
        <v>5026</v>
      </c>
    </row>
    <row r="44" spans="2:9">
      <c r="B44" t="s">
        <v>1925</v>
      </c>
      <c r="C44" t="s">
        <v>1926</v>
      </c>
      <c r="D44">
        <v>0</v>
      </c>
      <c r="E44" t="s">
        <v>5188</v>
      </c>
      <c r="F44">
        <v>0</v>
      </c>
      <c r="G44">
        <v>0</v>
      </c>
      <c r="H44" t="s">
        <v>5026</v>
      </c>
      <c r="I44">
        <v>1</v>
      </c>
    </row>
    <row r="45" spans="2:9">
      <c r="B45" t="s">
        <v>1879</v>
      </c>
      <c r="C45" t="s">
        <v>1880</v>
      </c>
      <c r="D45">
        <v>0</v>
      </c>
      <c r="E45" t="s">
        <v>5188</v>
      </c>
      <c r="F45">
        <v>0</v>
      </c>
      <c r="G45">
        <v>0</v>
      </c>
      <c r="H45" t="s">
        <v>5026</v>
      </c>
      <c r="I45">
        <v>1</v>
      </c>
    </row>
    <row r="46" spans="2:9">
      <c r="B46" t="s">
        <v>1888</v>
      </c>
      <c r="C46" t="s">
        <v>1889</v>
      </c>
      <c r="D46">
        <v>0</v>
      </c>
      <c r="E46" t="s">
        <v>5188</v>
      </c>
      <c r="F46">
        <v>0</v>
      </c>
      <c r="G46">
        <v>0</v>
      </c>
      <c r="H46" t="s">
        <v>5026</v>
      </c>
      <c r="I46">
        <v>1</v>
      </c>
    </row>
    <row r="47" spans="2:9">
      <c r="B47" t="s">
        <v>1838</v>
      </c>
      <c r="C47" t="s">
        <v>1839</v>
      </c>
      <c r="D47">
        <v>0</v>
      </c>
      <c r="E47" t="s">
        <v>5188</v>
      </c>
      <c r="F47">
        <v>0</v>
      </c>
      <c r="G47">
        <v>0</v>
      </c>
      <c r="H47" t="s">
        <v>5026</v>
      </c>
      <c r="I47">
        <v>1</v>
      </c>
    </row>
    <row r="48" spans="2:9">
      <c r="B48" t="s">
        <v>1916</v>
      </c>
      <c r="C48" t="s">
        <v>1917</v>
      </c>
      <c r="D48">
        <v>0</v>
      </c>
      <c r="E48" t="s">
        <v>5188</v>
      </c>
      <c r="F48">
        <v>0</v>
      </c>
      <c r="G48">
        <v>0</v>
      </c>
      <c r="H48" t="s">
        <v>5026</v>
      </c>
      <c r="I48">
        <v>1</v>
      </c>
    </row>
    <row r="49" spans="2:9">
      <c r="B49" t="s">
        <v>1907</v>
      </c>
      <c r="C49" t="s">
        <v>1908</v>
      </c>
      <c r="D49">
        <v>0</v>
      </c>
      <c r="E49" t="s">
        <v>5188</v>
      </c>
      <c r="F49">
        <v>0</v>
      </c>
      <c r="G49">
        <v>0</v>
      </c>
      <c r="H49" t="s">
        <v>5026</v>
      </c>
      <c r="I49">
        <v>1</v>
      </c>
    </row>
    <row r="50" spans="2:9">
      <c r="B50" t="s">
        <v>1856</v>
      </c>
      <c r="C50" t="s">
        <v>1857</v>
      </c>
      <c r="D50">
        <v>0</v>
      </c>
      <c r="E50" t="s">
        <v>5188</v>
      </c>
      <c r="F50">
        <v>0</v>
      </c>
      <c r="G50">
        <v>0</v>
      </c>
      <c r="H50" t="s">
        <v>5026</v>
      </c>
      <c r="I50">
        <v>1</v>
      </c>
    </row>
    <row r="51" spans="2:9">
      <c r="B51" t="s">
        <v>1898</v>
      </c>
      <c r="C51" t="s">
        <v>1899</v>
      </c>
      <c r="D51">
        <v>0</v>
      </c>
      <c r="E51" t="s">
        <v>5188</v>
      </c>
      <c r="F51">
        <v>0</v>
      </c>
      <c r="G51">
        <v>0</v>
      </c>
      <c r="H51" t="s">
        <v>5026</v>
      </c>
      <c r="I51">
        <v>1</v>
      </c>
    </row>
    <row r="52" spans="2:9">
      <c r="B52" t="s">
        <v>1870</v>
      </c>
      <c r="C52" t="s">
        <v>1871</v>
      </c>
      <c r="D52">
        <v>0</v>
      </c>
      <c r="E52" t="s">
        <v>5188</v>
      </c>
      <c r="F52">
        <v>0</v>
      </c>
      <c r="G52">
        <v>0</v>
      </c>
      <c r="H52" t="s">
        <v>5026</v>
      </c>
      <c r="I52">
        <v>1</v>
      </c>
    </row>
    <row r="53" spans="2:9">
      <c r="B53" t="s">
        <v>1847</v>
      </c>
      <c r="C53" t="s">
        <v>1848</v>
      </c>
      <c r="D53">
        <v>0</v>
      </c>
      <c r="E53" t="s">
        <v>5188</v>
      </c>
      <c r="F53">
        <v>0</v>
      </c>
      <c r="G53">
        <v>0</v>
      </c>
      <c r="H53" t="s">
        <v>5026</v>
      </c>
      <c r="I53">
        <v>1</v>
      </c>
    </row>
    <row r="54" spans="2:9">
      <c r="B54" t="s">
        <v>1829</v>
      </c>
      <c r="C54" t="s">
        <v>1830</v>
      </c>
      <c r="D54">
        <v>0</v>
      </c>
      <c r="E54" t="s">
        <v>5188</v>
      </c>
      <c r="F54">
        <v>0</v>
      </c>
      <c r="G54">
        <v>0</v>
      </c>
      <c r="H54" t="s">
        <v>5026</v>
      </c>
      <c r="I54">
        <v>1</v>
      </c>
    </row>
    <row r="55" spans="2:9">
      <c r="B55" t="s">
        <v>1859</v>
      </c>
      <c r="C55" t="s">
        <v>1860</v>
      </c>
      <c r="D55">
        <v>0</v>
      </c>
      <c r="E55" t="s">
        <v>5188</v>
      </c>
      <c r="F55">
        <v>0</v>
      </c>
      <c r="G55">
        <v>0</v>
      </c>
      <c r="H55" t="s">
        <v>5026</v>
      </c>
      <c r="I55">
        <v>1</v>
      </c>
    </row>
    <row r="56" spans="2:9">
      <c r="B56" t="s">
        <v>2924</v>
      </c>
      <c r="C56" t="s">
        <v>2925</v>
      </c>
      <c r="D56" t="s">
        <v>5175</v>
      </c>
      <c r="E56" t="s">
        <v>5188</v>
      </c>
      <c r="F56">
        <v>0</v>
      </c>
      <c r="G56">
        <v>0</v>
      </c>
      <c r="H56" t="s">
        <v>5026</v>
      </c>
    </row>
    <row r="57" spans="2:9">
      <c r="B57" t="s">
        <v>1727</v>
      </c>
      <c r="C57" t="s">
        <v>1728</v>
      </c>
      <c r="D57">
        <v>0</v>
      </c>
      <c r="E57" t="s">
        <v>5188</v>
      </c>
      <c r="F57">
        <v>0</v>
      </c>
      <c r="G57">
        <v>0</v>
      </c>
      <c r="H57" t="s">
        <v>5026</v>
      </c>
      <c r="I57">
        <v>1</v>
      </c>
    </row>
    <row r="58" spans="2:9">
      <c r="B58" t="s">
        <v>1782</v>
      </c>
      <c r="C58" t="s">
        <v>1783</v>
      </c>
      <c r="D58">
        <v>0</v>
      </c>
      <c r="E58" t="s">
        <v>5188</v>
      </c>
      <c r="F58">
        <v>0</v>
      </c>
      <c r="G58">
        <v>0</v>
      </c>
      <c r="H58" t="s">
        <v>5026</v>
      </c>
      <c r="I58">
        <v>1</v>
      </c>
    </row>
    <row r="59" spans="2:9">
      <c r="B59" t="s">
        <v>1773</v>
      </c>
      <c r="C59" t="s">
        <v>1774</v>
      </c>
      <c r="D59">
        <v>0</v>
      </c>
      <c r="E59" t="s">
        <v>5188</v>
      </c>
      <c r="F59">
        <v>0</v>
      </c>
      <c r="G59">
        <v>0</v>
      </c>
      <c r="H59" t="s">
        <v>5026</v>
      </c>
      <c r="I59">
        <v>1</v>
      </c>
    </row>
    <row r="60" spans="2:9">
      <c r="B60" t="s">
        <v>1810</v>
      </c>
      <c r="C60" t="s">
        <v>1811</v>
      </c>
      <c r="D60">
        <v>0</v>
      </c>
      <c r="E60" t="s">
        <v>5188</v>
      </c>
      <c r="F60">
        <v>0</v>
      </c>
      <c r="G60">
        <v>0</v>
      </c>
      <c r="H60" t="s">
        <v>5026</v>
      </c>
      <c r="I60">
        <v>1</v>
      </c>
    </row>
    <row r="61" spans="2:9">
      <c r="B61" t="s">
        <v>1801</v>
      </c>
      <c r="C61" t="s">
        <v>1802</v>
      </c>
      <c r="D61">
        <v>0</v>
      </c>
      <c r="E61" t="s">
        <v>5188</v>
      </c>
      <c r="F61">
        <v>0</v>
      </c>
      <c r="G61">
        <v>0</v>
      </c>
      <c r="H61" t="s">
        <v>5026</v>
      </c>
      <c r="I61">
        <v>1</v>
      </c>
    </row>
    <row r="62" spans="2:9">
      <c r="B62" t="s">
        <v>1791</v>
      </c>
      <c r="C62" t="s">
        <v>1792</v>
      </c>
      <c r="D62">
        <v>0</v>
      </c>
      <c r="E62" t="s">
        <v>5188</v>
      </c>
      <c r="F62">
        <v>0</v>
      </c>
      <c r="G62">
        <v>0</v>
      </c>
      <c r="H62" t="s">
        <v>5026</v>
      </c>
      <c r="I62">
        <v>1</v>
      </c>
    </row>
    <row r="63" spans="2:9">
      <c r="B63" t="s">
        <v>1764</v>
      </c>
      <c r="C63" t="s">
        <v>1765</v>
      </c>
      <c r="D63">
        <v>0</v>
      </c>
      <c r="E63" t="s">
        <v>5188</v>
      </c>
      <c r="F63">
        <v>0</v>
      </c>
      <c r="G63">
        <v>0</v>
      </c>
      <c r="H63" t="s">
        <v>5026</v>
      </c>
      <c r="I63">
        <v>1</v>
      </c>
    </row>
    <row r="64" spans="2:9">
      <c r="B64" t="s">
        <v>1745</v>
      </c>
      <c r="C64" t="s">
        <v>1746</v>
      </c>
      <c r="D64">
        <v>0</v>
      </c>
      <c r="E64" t="s">
        <v>5188</v>
      </c>
      <c r="F64">
        <v>0</v>
      </c>
      <c r="G64">
        <v>0</v>
      </c>
      <c r="H64" t="s">
        <v>5026</v>
      </c>
      <c r="I64">
        <v>1</v>
      </c>
    </row>
    <row r="65" spans="2:9">
      <c r="B65" t="s">
        <v>1736</v>
      </c>
      <c r="C65" t="s">
        <v>1737</v>
      </c>
      <c r="D65">
        <v>0</v>
      </c>
      <c r="E65" t="s">
        <v>5188</v>
      </c>
      <c r="F65">
        <v>0</v>
      </c>
      <c r="G65">
        <v>0</v>
      </c>
      <c r="H65" t="s">
        <v>5026</v>
      </c>
      <c r="I65">
        <v>1</v>
      </c>
    </row>
    <row r="66" spans="2:9">
      <c r="B66" t="s">
        <v>1718</v>
      </c>
      <c r="C66" t="s">
        <v>1719</v>
      </c>
      <c r="D66">
        <v>0</v>
      </c>
      <c r="E66" t="s">
        <v>5188</v>
      </c>
      <c r="F66">
        <v>0</v>
      </c>
      <c r="G66">
        <v>0</v>
      </c>
      <c r="H66" t="s">
        <v>5026</v>
      </c>
      <c r="I66">
        <v>1</v>
      </c>
    </row>
    <row r="67" spans="2:9">
      <c r="B67" t="s">
        <v>1755</v>
      </c>
      <c r="C67" t="s">
        <v>1756</v>
      </c>
      <c r="D67">
        <v>0</v>
      </c>
      <c r="E67" t="s">
        <v>5188</v>
      </c>
      <c r="F67">
        <v>0</v>
      </c>
      <c r="G67">
        <v>0</v>
      </c>
      <c r="H67" t="s">
        <v>5026</v>
      </c>
      <c r="I67">
        <v>1</v>
      </c>
    </row>
    <row r="68" spans="2:9">
      <c r="B68" t="s">
        <v>1820</v>
      </c>
      <c r="C68" t="s">
        <v>1821</v>
      </c>
      <c r="D68">
        <v>0</v>
      </c>
      <c r="E68" t="s">
        <v>5188</v>
      </c>
      <c r="F68">
        <v>0</v>
      </c>
      <c r="G68">
        <v>0</v>
      </c>
      <c r="H68" t="s">
        <v>5026</v>
      </c>
      <c r="I68">
        <v>1</v>
      </c>
    </row>
    <row r="69" spans="2:9">
      <c r="B69" t="s">
        <v>5191</v>
      </c>
      <c r="C69" t="s">
        <v>5192</v>
      </c>
      <c r="D69" t="s">
        <v>1810</v>
      </c>
      <c r="E69" t="s">
        <v>5188</v>
      </c>
      <c r="F69">
        <v>0</v>
      </c>
      <c r="G69">
        <v>0</v>
      </c>
      <c r="H69" t="s">
        <v>5026</v>
      </c>
    </row>
    <row r="70" spans="2:9">
      <c r="B70" s="55" t="s">
        <v>1644</v>
      </c>
      <c r="C70" t="s">
        <v>1645</v>
      </c>
      <c r="D70" t="s">
        <v>995</v>
      </c>
      <c r="E70" t="s">
        <v>5188</v>
      </c>
      <c r="I70">
        <v>1</v>
      </c>
    </row>
    <row r="71" spans="2:9">
      <c r="B71" s="55" t="s">
        <v>1652</v>
      </c>
      <c r="C71" t="s">
        <v>1653</v>
      </c>
      <c r="D71" t="s">
        <v>995</v>
      </c>
      <c r="E71" t="s">
        <v>5188</v>
      </c>
      <c r="I71">
        <v>1</v>
      </c>
    </row>
    <row r="72" spans="2:9">
      <c r="B72" s="55" t="s">
        <v>1640</v>
      </c>
      <c r="C72" t="s">
        <v>1641</v>
      </c>
      <c r="D72" t="s">
        <v>995</v>
      </c>
      <c r="E72" t="s">
        <v>5188</v>
      </c>
      <c r="I72">
        <v>1</v>
      </c>
    </row>
    <row r="73" spans="2:9">
      <c r="B73" s="55" t="s">
        <v>1658</v>
      </c>
      <c r="C73" t="s">
        <v>1659</v>
      </c>
      <c r="D73" t="s">
        <v>995</v>
      </c>
      <c r="E73" t="s">
        <v>5188</v>
      </c>
      <c r="I73">
        <v>1</v>
      </c>
    </row>
    <row r="74" spans="2:9">
      <c r="B74" s="55" t="s">
        <v>1650</v>
      </c>
      <c r="C74" t="s">
        <v>1651</v>
      </c>
      <c r="D74" t="s">
        <v>995</v>
      </c>
      <c r="E74" t="s">
        <v>5188</v>
      </c>
      <c r="I74">
        <v>1</v>
      </c>
    </row>
    <row r="75" spans="2:9">
      <c r="B75" s="55" t="s">
        <v>1654</v>
      </c>
      <c r="C75" t="s">
        <v>1655</v>
      </c>
      <c r="D75" t="s">
        <v>995</v>
      </c>
      <c r="E75" t="s">
        <v>5188</v>
      </c>
      <c r="I75">
        <v>1</v>
      </c>
    </row>
    <row r="76" spans="2:9">
      <c r="B76" s="55" t="s">
        <v>1642</v>
      </c>
      <c r="C76" t="s">
        <v>1643</v>
      </c>
      <c r="D76" t="s">
        <v>995</v>
      </c>
      <c r="E76" t="s">
        <v>5188</v>
      </c>
      <c r="I76">
        <v>1</v>
      </c>
    </row>
    <row r="77" spans="2:9">
      <c r="B77" s="55" t="s">
        <v>1648</v>
      </c>
      <c r="C77" t="s">
        <v>1649</v>
      </c>
      <c r="D77" t="s">
        <v>995</v>
      </c>
      <c r="E77" t="s">
        <v>5188</v>
      </c>
      <c r="I77">
        <v>1</v>
      </c>
    </row>
    <row r="78" spans="2:9">
      <c r="B78" s="55" t="s">
        <v>1646</v>
      </c>
      <c r="C78" t="s">
        <v>1647</v>
      </c>
      <c r="D78" t="s">
        <v>995</v>
      </c>
      <c r="E78" t="s">
        <v>5188</v>
      </c>
      <c r="I78">
        <v>1</v>
      </c>
    </row>
    <row r="79" spans="2:9">
      <c r="B79" s="55" t="s">
        <v>1656</v>
      </c>
      <c r="C79" t="s">
        <v>4264</v>
      </c>
      <c r="D79" t="s">
        <v>995</v>
      </c>
      <c r="E79" t="s">
        <v>5188</v>
      </c>
      <c r="I79">
        <v>1</v>
      </c>
    </row>
    <row r="80" spans="2:9">
      <c r="B80" s="55" t="s">
        <v>1486</v>
      </c>
      <c r="C80" t="s">
        <v>4271</v>
      </c>
      <c r="D80" s="15" t="s">
        <v>5090</v>
      </c>
      <c r="E80" t="s">
        <v>5188</v>
      </c>
      <c r="I80">
        <v>1</v>
      </c>
    </row>
    <row r="81" spans="2:9">
      <c r="B81" s="55" t="s">
        <v>1531</v>
      </c>
      <c r="C81" t="s">
        <v>4280</v>
      </c>
      <c r="D81" s="15" t="s">
        <v>5090</v>
      </c>
      <c r="E81" t="s">
        <v>5188</v>
      </c>
      <c r="I81">
        <v>1</v>
      </c>
    </row>
    <row r="82" spans="2:9">
      <c r="B82" s="55" t="s">
        <v>1540</v>
      </c>
      <c r="C82" t="s">
        <v>4276</v>
      </c>
      <c r="D82" s="15" t="s">
        <v>5090</v>
      </c>
      <c r="E82" t="s">
        <v>5188</v>
      </c>
      <c r="I82">
        <v>1</v>
      </c>
    </row>
    <row r="83" spans="2:9">
      <c r="B83" s="55" t="s">
        <v>1549</v>
      </c>
      <c r="C83" t="s">
        <v>1550</v>
      </c>
      <c r="D83" s="15" t="s">
        <v>5090</v>
      </c>
      <c r="E83" t="s">
        <v>5188</v>
      </c>
      <c r="I83">
        <v>1</v>
      </c>
    </row>
    <row r="84" spans="2:9">
      <c r="B84" s="55" t="s">
        <v>1522</v>
      </c>
      <c r="C84" t="s">
        <v>1523</v>
      </c>
      <c r="D84" s="15" t="s">
        <v>5090</v>
      </c>
      <c r="E84" t="s">
        <v>5188</v>
      </c>
      <c r="I84">
        <v>1</v>
      </c>
    </row>
    <row r="85" spans="2:9">
      <c r="B85" s="55" t="s">
        <v>1495</v>
      </c>
      <c r="C85" t="s">
        <v>1496</v>
      </c>
      <c r="D85" s="15" t="s">
        <v>5090</v>
      </c>
      <c r="E85" t="s">
        <v>5188</v>
      </c>
      <c r="I85">
        <v>1</v>
      </c>
    </row>
    <row r="86" spans="2:9">
      <c r="B86" s="55" t="s">
        <v>1513</v>
      </c>
      <c r="C86" t="s">
        <v>1514</v>
      </c>
      <c r="D86" s="15" t="s">
        <v>5090</v>
      </c>
      <c r="E86" t="s">
        <v>5188</v>
      </c>
      <c r="I86">
        <v>1</v>
      </c>
    </row>
    <row r="87" spans="2:9">
      <c r="B87" s="55" t="s">
        <v>1558</v>
      </c>
      <c r="C87" t="s">
        <v>1559</v>
      </c>
      <c r="D87" s="15" t="s">
        <v>5090</v>
      </c>
      <c r="E87" t="s">
        <v>5188</v>
      </c>
      <c r="I87">
        <v>1</v>
      </c>
    </row>
    <row r="88" spans="2:9">
      <c r="B88" s="55" t="s">
        <v>1504</v>
      </c>
      <c r="C88" t="s">
        <v>4222</v>
      </c>
      <c r="D88" s="15" t="s">
        <v>5090</v>
      </c>
      <c r="E88" t="s">
        <v>5188</v>
      </c>
      <c r="I88">
        <v>1</v>
      </c>
    </row>
    <row r="89" spans="2:9">
      <c r="B89" s="55" t="s">
        <v>1477</v>
      </c>
      <c r="C89" t="s">
        <v>1478</v>
      </c>
      <c r="D89" s="15" t="s">
        <v>5090</v>
      </c>
      <c r="E89" t="s">
        <v>5188</v>
      </c>
      <c r="I89">
        <v>1</v>
      </c>
    </row>
    <row r="90" spans="2:9">
      <c r="B90" s="55" t="s">
        <v>4728</v>
      </c>
      <c r="C90" t="s">
        <v>4727</v>
      </c>
      <c r="D90" s="15" t="s">
        <v>839</v>
      </c>
      <c r="E90" t="s">
        <v>5188</v>
      </c>
      <c r="I90">
        <v>1</v>
      </c>
    </row>
    <row r="91" spans="2:9">
      <c r="B91" s="55" t="s">
        <v>4730</v>
      </c>
      <c r="C91" t="s">
        <v>4729</v>
      </c>
      <c r="D91" s="15" t="s">
        <v>839</v>
      </c>
      <c r="E91" t="s">
        <v>5188</v>
      </c>
      <c r="I91">
        <v>1</v>
      </c>
    </row>
    <row r="92" spans="2:9">
      <c r="B92" s="55" t="s">
        <v>4732</v>
      </c>
      <c r="C92" t="s">
        <v>4731</v>
      </c>
      <c r="D92" s="15" t="s">
        <v>839</v>
      </c>
      <c r="E92" t="s">
        <v>5188</v>
      </c>
      <c r="I92">
        <v>1</v>
      </c>
    </row>
    <row r="93" spans="2:9">
      <c r="B93" s="55" t="s">
        <v>4734</v>
      </c>
      <c r="C93" t="s">
        <v>4733</v>
      </c>
      <c r="D93" s="15" t="s">
        <v>839</v>
      </c>
      <c r="E93" t="s">
        <v>5188</v>
      </c>
      <c r="I93">
        <v>1</v>
      </c>
    </row>
    <row r="94" spans="2:9">
      <c r="B94" s="55" t="s">
        <v>1396</v>
      </c>
      <c r="C94" t="s">
        <v>1397</v>
      </c>
      <c r="D94" s="15" t="s">
        <v>839</v>
      </c>
      <c r="E94" t="s">
        <v>5188</v>
      </c>
      <c r="I94">
        <v>1</v>
      </c>
    </row>
    <row r="95" spans="2:9">
      <c r="B95" s="55" t="s">
        <v>1405</v>
      </c>
      <c r="C95" t="s">
        <v>1406</v>
      </c>
      <c r="D95" s="15" t="s">
        <v>839</v>
      </c>
      <c r="E95" t="s">
        <v>5188</v>
      </c>
      <c r="I95">
        <v>1</v>
      </c>
    </row>
    <row r="96" spans="2:9">
      <c r="B96" s="55" t="s">
        <v>1432</v>
      </c>
      <c r="C96" t="s">
        <v>1433</v>
      </c>
      <c r="D96" s="15" t="s">
        <v>839</v>
      </c>
      <c r="E96" t="s">
        <v>5188</v>
      </c>
      <c r="I96">
        <v>1</v>
      </c>
    </row>
    <row r="97" spans="2:9">
      <c r="B97" s="55" t="s">
        <v>1423</v>
      </c>
      <c r="C97" t="s">
        <v>1424</v>
      </c>
      <c r="D97" s="15" t="s">
        <v>839</v>
      </c>
      <c r="E97" t="s">
        <v>5188</v>
      </c>
      <c r="I97">
        <v>1</v>
      </c>
    </row>
    <row r="98" spans="2:9">
      <c r="B98" s="55" t="s">
        <v>1414</v>
      </c>
      <c r="C98" t="s">
        <v>1415</v>
      </c>
      <c r="D98" s="15" t="s">
        <v>839</v>
      </c>
      <c r="E98" t="s">
        <v>5188</v>
      </c>
      <c r="I98">
        <v>1</v>
      </c>
    </row>
    <row r="99" spans="2:9">
      <c r="B99" s="55" t="s">
        <v>1387</v>
      </c>
      <c r="C99" t="s">
        <v>4735</v>
      </c>
      <c r="D99" s="15" t="s">
        <v>839</v>
      </c>
      <c r="E99" t="s">
        <v>5188</v>
      </c>
      <c r="I99">
        <v>1</v>
      </c>
    </row>
    <row r="100" spans="2:9">
      <c r="B100" s="55" t="s">
        <v>2843</v>
      </c>
      <c r="C100" t="s">
        <v>2844</v>
      </c>
      <c r="D100" s="15" t="s">
        <v>5175</v>
      </c>
      <c r="I100">
        <v>1</v>
      </c>
    </row>
    <row r="101" spans="2:9">
      <c r="B101" s="55" t="s">
        <v>2792</v>
      </c>
      <c r="C101" t="s">
        <v>2793</v>
      </c>
      <c r="D101" s="15" t="s">
        <v>5175</v>
      </c>
      <c r="I101">
        <v>2</v>
      </c>
    </row>
    <row r="102" spans="2:9">
      <c r="B102" s="55" t="s">
        <v>4739</v>
      </c>
      <c r="C102" t="s">
        <v>4796</v>
      </c>
      <c r="D102" s="15" t="s">
        <v>5087</v>
      </c>
      <c r="I102">
        <v>1</v>
      </c>
    </row>
    <row r="103" spans="2:9">
      <c r="B103" t="s">
        <v>2616</v>
      </c>
      <c r="C103" t="s">
        <v>4047</v>
      </c>
      <c r="D103" s="15" t="s">
        <v>2768</v>
      </c>
      <c r="I103">
        <v>2</v>
      </c>
    </row>
    <row r="104" spans="2:9">
      <c r="B104" t="s">
        <v>887</v>
      </c>
      <c r="C104" t="s">
        <v>4775</v>
      </c>
      <c r="D104" s="15" t="s">
        <v>995</v>
      </c>
      <c r="I104">
        <v>2</v>
      </c>
    </row>
    <row r="105" spans="2:9">
      <c r="B105" t="s">
        <v>1673</v>
      </c>
      <c r="C105" t="s">
        <v>1674</v>
      </c>
      <c r="D105" s="15" t="s">
        <v>5175</v>
      </c>
      <c r="I105">
        <v>2</v>
      </c>
    </row>
    <row r="106" spans="2:9">
      <c r="B106" t="s">
        <v>2529</v>
      </c>
      <c r="C106" t="s">
        <v>2530</v>
      </c>
      <c r="D106" s="15" t="s">
        <v>995</v>
      </c>
      <c r="E106" t="s">
        <v>5193</v>
      </c>
    </row>
    <row r="107" spans="2:9">
      <c r="B107" t="s">
        <v>2520</v>
      </c>
      <c r="C107" t="s">
        <v>2521</v>
      </c>
      <c r="D107" t="s">
        <v>5087</v>
      </c>
      <c r="E107" t="s">
        <v>5193</v>
      </c>
    </row>
    <row r="108" spans="2:9">
      <c r="B108" t="s">
        <v>439</v>
      </c>
      <c r="C108" t="s">
        <v>5194</v>
      </c>
      <c r="D108" t="s">
        <v>1004</v>
      </c>
      <c r="E108" t="s">
        <v>5188</v>
      </c>
    </row>
    <row r="109" spans="2:9">
      <c r="B109" t="s">
        <v>2894</v>
      </c>
      <c r="C109" t="s">
        <v>2895</v>
      </c>
      <c r="D109" t="s">
        <v>5175</v>
      </c>
      <c r="E109" t="s">
        <v>5188</v>
      </c>
      <c r="I109">
        <v>2</v>
      </c>
    </row>
  </sheetData>
  <protectedRanges>
    <protectedRange sqref="B70:B79" name="Database_2"/>
    <protectedRange sqref="C70:C79" name="Database_3"/>
    <protectedRange sqref="E70:E79" name="Database_4"/>
    <protectedRange sqref="B80:B89" name="Database_10"/>
    <protectedRange sqref="C80:C89" name="Database_11"/>
    <protectedRange sqref="D80:D89" name="Database_12"/>
    <protectedRange sqref="E80:E99" name="Database_14"/>
    <protectedRange sqref="B90" name="Database_25"/>
    <protectedRange sqref="B91" name="Database_26"/>
    <protectedRange sqref="B92" name="Database_27"/>
    <protectedRange sqref="B93" name="Database_28"/>
    <protectedRange sqref="B94" name="Database_29"/>
    <protectedRange sqref="B95" name="Database_30"/>
    <protectedRange sqref="B96" name="Database_31"/>
    <protectedRange sqref="B97" name="Database_32"/>
    <protectedRange sqref="B98" name="Database_33"/>
    <protectedRange sqref="B99" name="Database_34"/>
    <protectedRange sqref="C90" name="Database_35"/>
    <protectedRange sqref="C91" name="Database_36"/>
    <protectedRange sqref="C92" name="Database_37"/>
    <protectedRange sqref="C93" name="Database_38"/>
    <protectedRange sqref="C94" name="Database_39"/>
    <protectedRange sqref="C95" name="Database_40"/>
    <protectedRange sqref="C96" name="Database_41"/>
    <protectedRange sqref="C97" name="Database_42"/>
    <protectedRange sqref="C98" name="Database_43"/>
    <protectedRange sqref="C99" name="Database_44"/>
    <protectedRange sqref="D90" name="Database_45"/>
    <protectedRange sqref="D91" name="Database_46"/>
    <protectedRange sqref="D92" name="Database_47"/>
    <protectedRange sqref="D93" name="Database_48"/>
    <protectedRange sqref="D94" name="Database_49"/>
    <protectedRange sqref="D95" name="Database_50"/>
    <protectedRange sqref="D96" name="Database_51"/>
    <protectedRange sqref="D97" name="Database_52"/>
    <protectedRange sqref="D98" name="Database_53"/>
    <protectedRange sqref="D99" name="Database_54"/>
    <protectedRange sqref="D100" name="Database_55"/>
    <protectedRange sqref="D101" name="Database_56"/>
    <protectedRange sqref="D102" name="Database_57"/>
    <protectedRange sqref="D103" name="Database_58"/>
    <protectedRange sqref="D104" name="Database_59"/>
    <protectedRange sqref="D105" name="Database_60"/>
    <protectedRange sqref="D106" name="Database_61"/>
    <protectedRange sqref="E109" name="Database_62"/>
    <protectedRange sqref="E106" name="Database_63"/>
    <protectedRange sqref="E107" name="Database_64"/>
    <protectedRange sqref="E108" name="Database_65"/>
  </protectedRanges>
  <conditionalFormatting sqref="B80:B102">
    <cfRule type="expression" dxfId="34" priority="23">
      <formula>$J80&lt;&gt;""</formula>
    </cfRule>
    <cfRule type="expression" dxfId="33" priority="24">
      <formula>ISEVEN($B80)</formula>
    </cfRule>
  </conditionalFormatting>
  <conditionalFormatting sqref="B70:C79">
    <cfRule type="expression" dxfId="32" priority="51">
      <formula>$J77&lt;&gt;""</formula>
    </cfRule>
    <cfRule type="expression" dxfId="31" priority="58">
      <formula>ISEVEN($B70)</formula>
    </cfRule>
  </conditionalFormatting>
  <conditionalFormatting sqref="C80:C99">
    <cfRule type="expression" dxfId="30" priority="21">
      <formula>$J80&lt;&gt;""</formula>
    </cfRule>
    <cfRule type="expression" dxfId="29" priority="22">
      <formula>ISEVEN($B80)</formula>
    </cfRule>
  </conditionalFormatting>
  <conditionalFormatting sqref="D80:D106">
    <cfRule type="expression" dxfId="28" priority="5">
      <formula>$J80&lt;&gt;""</formula>
    </cfRule>
    <cfRule type="expression" dxfId="27" priority="6">
      <formula>ISEVEN($B80)</formula>
    </cfRule>
  </conditionalFormatting>
  <conditionalFormatting sqref="E70:E79">
    <cfRule type="expression" dxfId="26" priority="49">
      <formula>$J77&lt;&gt;""</formula>
    </cfRule>
  </conditionalFormatting>
  <conditionalFormatting sqref="E70:E99">
    <cfRule type="expression" dxfId="25" priority="26">
      <formula>ISEVEN($B70)</formula>
    </cfRule>
  </conditionalFormatting>
  <conditionalFormatting sqref="E80:E99">
    <cfRule type="expression" dxfId="24" priority="25">
      <formula>$J80&lt;&gt;""</formula>
    </cfRule>
  </conditionalFormatting>
  <conditionalFormatting sqref="E106:E109">
    <cfRule type="expression" dxfId="23" priority="1">
      <formula>$J106&lt;&gt;""</formula>
    </cfRule>
    <cfRule type="expression" dxfId="22" priority="2">
      <formula>ISEVEN($B106)</formula>
    </cfRule>
  </conditionalFormatting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B7" workbookViewId="0">
      <selection activeCell="B7" sqref="B7"/>
    </sheetView>
  </sheetViews>
  <sheetFormatPr defaultRowHeight="12.75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>
      <c r="F1" s="70" t="s">
        <v>5155</v>
      </c>
      <c r="G1" s="71">
        <f>COUNTA($A$8:$A$300)</f>
        <v>187</v>
      </c>
    </row>
    <row r="2" spans="1:14">
      <c r="F2" s="72" t="s">
        <v>5151</v>
      </c>
      <c r="G2" s="73">
        <f>COUNTIF($F$8:$F$301,"Done")</f>
        <v>36</v>
      </c>
    </row>
    <row r="3" spans="1:14">
      <c r="F3" s="72" t="s">
        <v>4726</v>
      </c>
      <c r="G3" s="73">
        <f>COUNTIF($F$8:$F$194,"")</f>
        <v>90</v>
      </c>
    </row>
    <row r="4" spans="1:14">
      <c r="F4" s="72" t="s">
        <v>5153</v>
      </c>
      <c r="G4" s="73">
        <f>COUNTIF($F$8:$F$301,"Moodys")</f>
        <v>38</v>
      </c>
    </row>
    <row r="5" spans="1:14" ht="13.5" thickBot="1">
      <c r="F5" s="74" t="s">
        <v>5154</v>
      </c>
      <c r="G5" s="75">
        <f>COUNTA($A$8:$A$301)-G1</f>
        <v>0</v>
      </c>
    </row>
    <row r="7" spans="1:14" ht="35.1" customHeight="1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>
      <c r="B195" t="s">
        <v>3632</v>
      </c>
    </row>
    <row r="196" spans="1:20">
      <c r="A196" s="79"/>
      <c r="B196" t="s">
        <v>1272</v>
      </c>
    </row>
    <row r="197" spans="1:20">
      <c r="B197" t="s">
        <v>1058</v>
      </c>
    </row>
    <row r="198" spans="1:20">
      <c r="A198" s="79"/>
      <c r="B198" t="s">
        <v>450</v>
      </c>
    </row>
    <row r="199" spans="1:20">
      <c r="B199" t="s">
        <v>3874</v>
      </c>
    </row>
    <row r="200" spans="1:20">
      <c r="A200" s="79"/>
      <c r="B200" t="s">
        <v>3526</v>
      </c>
    </row>
    <row r="201" spans="1:20">
      <c r="B201" t="s">
        <v>839</v>
      </c>
    </row>
    <row r="202" spans="1:20">
      <c r="A202" s="79"/>
      <c r="B202" t="s">
        <v>2108</v>
      </c>
    </row>
    <row r="203" spans="1:20">
      <c r="B203" t="s">
        <v>3544</v>
      </c>
    </row>
    <row r="204" spans="1:20">
      <c r="A204" s="79"/>
      <c r="B204" t="s">
        <v>827</v>
      </c>
    </row>
    <row r="205" spans="1:20">
      <c r="B205" t="s">
        <v>3499</v>
      </c>
    </row>
    <row r="206" spans="1:20">
      <c r="A206" s="79"/>
      <c r="B206" t="s">
        <v>1128</v>
      </c>
    </row>
    <row r="207" spans="1:20">
      <c r="B207" t="s">
        <v>1315</v>
      </c>
    </row>
    <row r="208" spans="1:20">
      <c r="A208" s="79"/>
      <c r="B208" t="s">
        <v>1190</v>
      </c>
    </row>
    <row r="209" spans="1:2">
      <c r="B209" t="s">
        <v>3559</v>
      </c>
    </row>
    <row r="210" spans="1:2">
      <c r="A210" s="79"/>
      <c r="B210" t="s">
        <v>1284</v>
      </c>
    </row>
    <row r="211" spans="1:2">
      <c r="B211" t="s">
        <v>2126</v>
      </c>
    </row>
    <row r="212" spans="1:2">
      <c r="A212" s="79"/>
      <c r="B212" t="s">
        <v>3535</v>
      </c>
    </row>
    <row r="213" spans="1:2">
      <c r="B213" t="s">
        <v>3508</v>
      </c>
    </row>
    <row r="214" spans="1:2">
      <c r="A214" s="79"/>
      <c r="B214" t="s">
        <v>3517</v>
      </c>
    </row>
    <row r="215" spans="1:2">
      <c r="B215" t="s">
        <v>2099</v>
      </c>
    </row>
    <row r="216" spans="1:2">
      <c r="A216" s="79"/>
      <c r="B216" t="s">
        <v>1004</v>
      </c>
    </row>
    <row r="217" spans="1:2">
      <c r="B217" t="s">
        <v>995</v>
      </c>
    </row>
    <row r="218" spans="1:2">
      <c r="A218" s="79"/>
      <c r="B218" t="s">
        <v>1119</v>
      </c>
    </row>
    <row r="219" spans="1:2">
      <c r="B219" t="s">
        <v>2957</v>
      </c>
    </row>
    <row r="220" spans="1:2">
      <c r="A220" s="79"/>
      <c r="B220" t="s">
        <v>3603</v>
      </c>
    </row>
    <row r="221" spans="1:2">
      <c r="B221" t="s">
        <v>2768</v>
      </c>
    </row>
    <row r="222" spans="1:2">
      <c r="A222" s="79"/>
      <c r="B222" t="s">
        <v>1356</v>
      </c>
    </row>
    <row r="223" spans="1:2">
      <c r="B223" t="s">
        <v>821</v>
      </c>
    </row>
    <row r="224" spans="1:2">
      <c r="A224" s="79"/>
      <c r="B224" t="s">
        <v>1306</v>
      </c>
    </row>
    <row r="225" spans="1:2">
      <c r="B225" t="s">
        <v>2598</v>
      </c>
    </row>
    <row r="226" spans="1:2">
      <c r="A226" s="79"/>
      <c r="B226" t="s">
        <v>522</v>
      </c>
    </row>
    <row r="227" spans="1:2">
      <c r="B227" t="s">
        <v>454</v>
      </c>
    </row>
    <row r="228" spans="1:2">
      <c r="A228" s="79"/>
      <c r="B228" t="s">
        <v>3836</v>
      </c>
    </row>
    <row r="229" spans="1:2">
      <c r="B229" t="s">
        <v>2755</v>
      </c>
    </row>
    <row r="230" spans="1:2">
      <c r="A230" s="79"/>
      <c r="B230" t="s">
        <v>2520</v>
      </c>
    </row>
    <row r="231" spans="1:2">
      <c r="B231" t="s">
        <v>1344</v>
      </c>
    </row>
    <row r="232" spans="1:2">
      <c r="A232" s="79"/>
      <c r="B232" t="s">
        <v>2760</v>
      </c>
    </row>
    <row r="233" spans="1:2">
      <c r="B233" t="s">
        <v>524</v>
      </c>
    </row>
    <row r="234" spans="1:2">
      <c r="A234" s="79"/>
      <c r="B234" t="s">
        <v>1130</v>
      </c>
    </row>
    <row r="235" spans="1:2">
      <c r="B235" t="s">
        <v>1220</v>
      </c>
    </row>
    <row r="236" spans="1:2">
      <c r="A236" s="79"/>
      <c r="B236" t="s">
        <v>2740</v>
      </c>
    </row>
    <row r="237" spans="1:2">
      <c r="B237" t="s">
        <v>2766</v>
      </c>
    </row>
    <row r="238" spans="1:2">
      <c r="A238" s="79"/>
      <c r="B238" t="s">
        <v>452</v>
      </c>
    </row>
    <row r="239" spans="1:2">
      <c r="B239" t="s">
        <v>1346</v>
      </c>
    </row>
    <row r="240" spans="1: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topLeftCell="X1" zoomScale="85" zoomScaleNormal="85" workbookViewId="0">
      <selection activeCell="B3" sqref="B3"/>
    </sheetView>
  </sheetViews>
  <sheetFormatPr defaultRowHeight="12.75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2025-09-08T11:30:06Z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