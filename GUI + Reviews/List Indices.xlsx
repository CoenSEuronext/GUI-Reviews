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330" documentId="8_{E116395F-23B1-4781-867C-818128799F0D}" xr6:coauthVersionLast="47" xr6:coauthVersionMax="47" xr10:uidLastSave="{78726912-32ED-4A57-B583-B88E56159B09}"/>
  <bookViews>
    <workbookView xWindow="-29115" yWindow="-16005" windowWidth="29040" windowHeight="15720" xr2:uid="{3C919C28-BF99-4E39-9BAE-CA645782308C}"/>
  </bookViews>
  <sheets>
    <sheet name="Sheet1" sheetId="7" r:id="rId1"/>
    <sheet name="To automate" sheetId="5" r:id="rId2"/>
    <sheet name="Full sheet Francesco" sheetId="6" r:id="rId3"/>
    <sheet name="AUM" sheetId="3" r:id="rId4"/>
    <sheet name="Index 14-01" sheetId="2" r:id="rId5"/>
    <sheet name="Old Sheet" sheetId="1" r:id="rId6"/>
  </sheets>
  <definedNames>
    <definedName name="_xlnm._FilterDatabase" localSheetId="4" hidden="1">'Index 14-01'!$A$1:$AF$1248</definedName>
    <definedName name="_xlnm._FilterDatabase" localSheetId="5" hidden="1">'Old Sheet'!$A$1:$G$305</definedName>
    <definedName name="_xlnm._FilterDatabase" localSheetId="0" hidden="1">Sheet1!$A$4:$I$31</definedName>
    <definedName name="_xlnm._FilterDatabase" localSheetId="1" hidden="1">'To automate'!$R$8:$T$313</definedName>
  </definedNames>
  <calcPr calcId="191029"/>
  <pivotCaches>
    <pivotCache cacheId="0" r:id="rId7"/>
    <pivotCache cacheId="1" r:id="rId8"/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4" i="5" l="1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K172" i="5"/>
  <c r="K171" i="5"/>
  <c r="K170" i="5"/>
  <c r="K169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8" i="5"/>
  <c r="K97" i="5"/>
  <c r="K96" i="5"/>
  <c r="K95" i="5"/>
  <c r="K94" i="5"/>
  <c r="K93" i="5"/>
  <c r="K92" i="5"/>
  <c r="K91" i="5"/>
  <c r="K90" i="5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G1" i="5" l="1"/>
  <c r="G5" i="5" s="1"/>
  <c r="G3" i="5"/>
  <c r="G2" i="5"/>
  <c r="G4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D228" i="1"/>
  <c r="D227" i="1"/>
  <c r="D226" i="1"/>
  <c r="D225" i="1"/>
  <c r="D224" i="1"/>
  <c r="D223" i="1"/>
  <c r="D222" i="1"/>
  <c r="D221" i="1"/>
  <c r="D220" i="1"/>
  <c r="D219" i="1"/>
  <c r="D218" i="1"/>
  <c r="D217" i="1"/>
  <c r="D6" i="1" l="1"/>
  <c r="D281" i="1"/>
  <c r="D280" i="1"/>
  <c r="D279" i="1"/>
  <c r="D278" i="1"/>
  <c r="D277" i="1"/>
  <c r="D276" i="1"/>
  <c r="D275" i="1"/>
  <c r="D274" i="1"/>
  <c r="D273" i="1"/>
  <c r="D272" i="1"/>
  <c r="D295" i="1" l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96" i="1"/>
  <c r="D297" i="1"/>
  <c r="D298" i="1"/>
  <c r="D299" i="1"/>
  <c r="D300" i="1"/>
  <c r="D301" i="1"/>
  <c r="D302" i="1"/>
  <c r="D303" i="1"/>
  <c r="D304" i="1"/>
  <c r="D305" i="1"/>
  <c r="D110" i="1" l="1"/>
  <c r="D111" i="1"/>
  <c r="D250" i="1"/>
  <c r="D4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2" i="1"/>
  <c r="D84" i="1"/>
  <c r="D85" i="1"/>
  <c r="D86" i="1"/>
  <c r="D87" i="1"/>
  <c r="D3" i="1"/>
  <c r="D88" i="1"/>
  <c r="D196" i="1"/>
  <c r="D197" i="1"/>
  <c r="D198" i="1"/>
  <c r="D199" i="1"/>
  <c r="D200" i="1"/>
  <c r="D89" i="1"/>
  <c r="D201" i="1"/>
  <c r="D202" i="1"/>
  <c r="D203" i="1"/>
  <c r="D204" i="1"/>
  <c r="D90" i="1"/>
  <c r="D91" i="1"/>
  <c r="D92" i="1"/>
  <c r="D229" i="1"/>
  <c r="D93" i="1"/>
  <c r="D94" i="1"/>
  <c r="D95" i="1"/>
  <c r="D96" i="1"/>
  <c r="D97" i="1"/>
  <c r="D230" i="1"/>
  <c r="D205" i="1"/>
  <c r="D206" i="1"/>
  <c r="D207" i="1"/>
  <c r="D208" i="1"/>
  <c r="D231" i="1"/>
  <c r="D232" i="1"/>
  <c r="D209" i="1"/>
  <c r="D210" i="1"/>
  <c r="D211" i="1"/>
  <c r="D233" i="1"/>
  <c r="D234" i="1"/>
  <c r="D235" i="1"/>
  <c r="D236" i="1"/>
  <c r="D98" i="1"/>
  <c r="D99" i="1"/>
  <c r="D237" i="1"/>
  <c r="D238" i="1"/>
  <c r="D100" i="1"/>
  <c r="D101" i="1"/>
  <c r="D239" i="1"/>
  <c r="D102" i="1"/>
  <c r="D240" i="1"/>
  <c r="D103" i="1"/>
  <c r="D241" i="1"/>
  <c r="D242" i="1"/>
  <c r="D104" i="1"/>
  <c r="D243" i="1"/>
  <c r="D105" i="1"/>
  <c r="D106" i="1"/>
  <c r="D244" i="1"/>
  <c r="D245" i="1"/>
  <c r="D107" i="1"/>
  <c r="D246" i="1"/>
  <c r="D247" i="1"/>
  <c r="D108" i="1"/>
  <c r="D248" i="1"/>
  <c r="D249" i="1"/>
  <c r="D109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270" i="1"/>
  <c r="D26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268" i="1"/>
  <c r="D267" i="1"/>
  <c r="D266" i="1"/>
  <c r="D216" i="1"/>
  <c r="D215" i="1"/>
  <c r="D122" i="1"/>
  <c r="D265" i="1"/>
  <c r="D214" i="1"/>
  <c r="D271" i="1"/>
  <c r="D264" i="1"/>
  <c r="D263" i="1"/>
  <c r="D262" i="1"/>
  <c r="D213" i="1"/>
  <c r="D261" i="1"/>
  <c r="D260" i="1"/>
  <c r="D259" i="1"/>
  <c r="D258" i="1"/>
  <c r="D257" i="1"/>
  <c r="D256" i="1"/>
  <c r="D255" i="1"/>
  <c r="D254" i="1"/>
  <c r="D253" i="1"/>
  <c r="D121" i="1"/>
  <c r="D120" i="1"/>
  <c r="D212" i="1"/>
  <c r="D252" i="1"/>
  <c r="D251" i="1"/>
  <c r="D119" i="1"/>
  <c r="D118" i="1"/>
  <c r="D117" i="1"/>
  <c r="D116" i="1"/>
  <c r="D115" i="1"/>
  <c r="D114" i="1"/>
  <c r="D113" i="1"/>
  <c r="D112" i="1"/>
  <c r="D5" i="1"/>
  <c r="D7" i="1"/>
  <c r="A7" i="1"/>
  <c r="A16" i="1"/>
  <c r="A206" i="1"/>
  <c r="A215" i="1"/>
  <c r="A246" i="1"/>
  <c r="A94" i="1"/>
  <c r="A39" i="1"/>
  <c r="A34" i="1"/>
  <c r="A28" i="1"/>
  <c r="A27" i="1"/>
  <c r="A38" i="1"/>
  <c r="A40" i="1"/>
  <c r="A254" i="1"/>
  <c r="A256" i="1"/>
  <c r="A257" i="1"/>
  <c r="A255" i="1"/>
  <c r="A115" i="1"/>
  <c r="A268" i="1"/>
  <c r="A98" i="1"/>
  <c r="A114" i="1"/>
  <c r="A241" i="1"/>
  <c r="A245" i="1"/>
  <c r="A262" i="1"/>
  <c r="A236" i="1"/>
  <c r="A235" i="1"/>
  <c r="A261" i="1"/>
  <c r="A260" i="1"/>
  <c r="A258" i="1"/>
  <c r="A244" i="1"/>
  <c r="A202" i="1"/>
  <c r="A203" i="1"/>
  <c r="A234" i="1"/>
  <c r="A104" i="1"/>
  <c r="A49" i="1"/>
  <c r="A50" i="1"/>
  <c r="A198" i="1"/>
  <c r="A51" i="1"/>
  <c r="A230" i="1"/>
  <c r="A249" i="1"/>
  <c r="A251" i="1"/>
  <c r="A267" i="1"/>
  <c r="A252" i="1"/>
  <c r="A4" i="1"/>
  <c r="A5" i="1"/>
  <c r="A44" i="1"/>
  <c r="A196" i="1"/>
  <c r="A269" i="1"/>
  <c r="A193" i="1"/>
  <c r="A53" i="1"/>
  <c r="A62" i="1"/>
  <c r="A63" i="1"/>
  <c r="A195" i="1"/>
  <c r="A65" i="1"/>
  <c r="A64" i="1"/>
  <c r="A48" i="1"/>
  <c r="A110" i="1"/>
  <c r="A84" i="1"/>
  <c r="A85" i="1"/>
  <c r="A109" i="1"/>
  <c r="A194" i="1"/>
  <c r="A2" i="1"/>
  <c r="A66" i="1"/>
  <c r="A263" i="1"/>
  <c r="A116" i="1"/>
  <c r="A105" i="1"/>
  <c r="A117" i="1"/>
  <c r="A70" i="1"/>
  <c r="A120" i="1"/>
  <c r="A121" i="1"/>
  <c r="A47" i="1"/>
  <c r="A107" i="1"/>
  <c r="A97" i="1"/>
  <c r="A112" i="1"/>
  <c r="A113" i="1"/>
  <c r="A138" i="1"/>
  <c r="A132" i="1"/>
  <c r="A129" i="1"/>
  <c r="A135" i="1"/>
  <c r="A126" i="1"/>
  <c r="A127" i="1"/>
  <c r="A128" i="1"/>
  <c r="A131" i="1"/>
  <c r="A136" i="1"/>
  <c r="A133" i="1"/>
  <c r="A123" i="1"/>
  <c r="A124" i="1"/>
  <c r="A134" i="1"/>
  <c r="A130" i="1"/>
  <c r="A125" i="1"/>
  <c r="A233" i="1"/>
  <c r="A232" i="1"/>
  <c r="A264" i="1"/>
  <c r="A271" i="1"/>
  <c r="A248" i="1"/>
  <c r="A211" i="1"/>
  <c r="A207" i="1"/>
  <c r="A208" i="1"/>
  <c r="A209" i="1"/>
  <c r="A205" i="1"/>
  <c r="A210" i="1"/>
  <c r="A212" i="1"/>
  <c r="A213" i="1"/>
  <c r="A204" i="1"/>
  <c r="A214" i="1"/>
  <c r="A240" i="1"/>
  <c r="A238" i="1"/>
  <c r="A265" i="1"/>
  <c r="A197" i="1"/>
  <c r="A243" i="1"/>
  <c r="A24" i="1"/>
  <c r="A26" i="1"/>
  <c r="A25" i="1"/>
  <c r="A8" i="1"/>
  <c r="A9" i="1"/>
  <c r="A200" i="1"/>
  <c r="A229" i="1"/>
  <c r="A79" i="1"/>
  <c r="A95" i="1"/>
  <c r="A201" i="1"/>
  <c r="A93" i="1"/>
  <c r="A99" i="1"/>
  <c r="A96" i="1"/>
  <c r="A86" i="1"/>
  <c r="A259" i="1"/>
  <c r="A250" i="1"/>
  <c r="A102" i="1"/>
  <c r="A106" i="1"/>
  <c r="A81" i="1"/>
  <c r="A103" i="1"/>
  <c r="A111" i="1"/>
  <c r="A101" i="1"/>
  <c r="A83" i="1"/>
  <c r="A77" i="1"/>
  <c r="A78" i="1"/>
  <c r="A100" i="1"/>
  <c r="A89" i="1"/>
  <c r="A82" i="1"/>
  <c r="A80" i="1"/>
  <c r="A75" i="1"/>
  <c r="A88" i="1"/>
  <c r="A87" i="1"/>
  <c r="A237" i="1"/>
  <c r="A239" i="1"/>
  <c r="A90" i="1"/>
  <c r="A91" i="1"/>
  <c r="A76" i="1"/>
  <c r="A20" i="1"/>
  <c r="A108" i="1"/>
  <c r="A242" i="1"/>
  <c r="A122" i="1"/>
  <c r="A3" i="1"/>
  <c r="A266" i="1"/>
  <c r="A216" i="1"/>
  <c r="A231" i="1"/>
  <c r="A92" i="1"/>
  <c r="A23" i="1"/>
  <c r="A253" i="1"/>
  <c r="A199" i="1"/>
  <c r="A155" i="1"/>
  <c r="A171" i="1"/>
  <c r="A170" i="1"/>
  <c r="A174" i="1"/>
  <c r="A151" i="1"/>
  <c r="A175" i="1"/>
  <c r="A177" i="1"/>
  <c r="A179" i="1"/>
  <c r="A173" i="1"/>
  <c r="A157" i="1"/>
  <c r="A140" i="1"/>
  <c r="A141" i="1"/>
  <c r="A159" i="1"/>
  <c r="A160" i="1"/>
  <c r="A167" i="1"/>
  <c r="A168" i="1"/>
  <c r="A169" i="1"/>
  <c r="A247" i="1"/>
  <c r="A161" i="1"/>
  <c r="A163" i="1"/>
  <c r="A165" i="1"/>
  <c r="A153" i="1"/>
  <c r="A154" i="1"/>
  <c r="A149" i="1"/>
  <c r="A152" i="1"/>
  <c r="A143" i="1"/>
  <c r="A150" i="1"/>
  <c r="A142" i="1"/>
  <c r="A144" i="1"/>
  <c r="A158" i="1"/>
  <c r="A139" i="1"/>
  <c r="A172" i="1"/>
  <c r="A156" i="1"/>
  <c r="A176" i="1"/>
  <c r="A178" i="1"/>
  <c r="A180" i="1"/>
  <c r="A164" i="1"/>
  <c r="A166" i="1"/>
  <c r="A162" i="1"/>
  <c r="A145" i="1"/>
  <c r="A148" i="1"/>
  <c r="A146" i="1"/>
  <c r="A147" i="1"/>
  <c r="A181" i="1"/>
  <c r="A187" i="1"/>
  <c r="A69" i="1"/>
  <c r="A68" i="1"/>
  <c r="A71" i="1"/>
  <c r="A67" i="1"/>
  <c r="A52" i="1"/>
  <c r="A11" i="1"/>
  <c r="A57" i="1"/>
  <c r="A54" i="1"/>
  <c r="A55" i="1"/>
  <c r="A59" i="1"/>
  <c r="A56" i="1"/>
  <c r="A73" i="1"/>
  <c r="A74" i="1"/>
  <c r="A58" i="1"/>
  <c r="A72" i="1"/>
  <c r="A119" i="1"/>
  <c r="A270" i="1"/>
  <c r="A137" i="1"/>
  <c r="A45" i="1"/>
  <c r="A13" i="1"/>
  <c r="A15" i="1"/>
  <c r="A46" i="1"/>
  <c r="A61" i="1"/>
  <c r="A182" i="1"/>
  <c r="A17" i="1"/>
  <c r="A60" i="1"/>
  <c r="A18" i="1"/>
  <c r="A19" i="1"/>
  <c r="A14" i="1"/>
  <c r="A29" i="1"/>
  <c r="A21" i="1"/>
  <c r="A22" i="1"/>
  <c r="A183" i="1"/>
  <c r="A189" i="1"/>
  <c r="A184" i="1"/>
  <c r="A185" i="1"/>
  <c r="A191" i="1"/>
  <c r="A192" i="1"/>
  <c r="A188" i="1"/>
  <c r="A190" i="1"/>
  <c r="A31" i="1"/>
  <c r="A43" i="1"/>
  <c r="A41" i="1"/>
  <c r="A35" i="1"/>
  <c r="A42" i="1"/>
  <c r="A36" i="1"/>
  <c r="A37" i="1"/>
  <c r="A30" i="1"/>
  <c r="A32" i="1"/>
  <c r="A10" i="1"/>
  <c r="A12" i="1"/>
  <c r="A118" i="1"/>
  <c r="A33" i="1"/>
  <c r="A186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F120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tc={8C3BB528-A23C-4718-8FEA-657E331FBCA7}</author>
    <author>tc={3908820C-4B47-40D1-B3A5-3025162E9FE3}</author>
    <author>tc={FFD5A026-EEFC-4BD2-88C3-EF400AE84664}</author>
    <author>tc={7BC99064-9F4C-49CE-8759-3EF50039DB7F}</author>
    <author>tc={F24DE63F-6DD6-49F6-A1CC-DF6BE4240D35}</author>
  </authors>
  <commentList>
    <comment ref="H3" authorId="0" shapeId="0" xr:uid="{8C3BB528-A23C-4718-8FEA-657E331FBCA7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effective dates</t>
      </text>
    </comment>
    <comment ref="I3" authorId="1" shapeId="0" xr:uid="{3908820C-4B47-40D1-B3A5-3025162E9FE3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cutoff dates</t>
      </text>
    </comment>
    <comment ref="O3" authorId="2" shapeId="0" xr:uid="{FFD5A026-EEFC-4BD2-88C3-EF400AE84664}">
      <text>
        <t>[Threaded comment]
Your version of Excel allows you to read this threaded comment; however, any edits to it will get removed if the file is opened in a newer version of Excel. Learn more: https://go.microsoft.com/fwlink/?linkid=870924
Comment:
    If multiple data vendors are applicable: sort them alphabetically and separate them with a ";". 
For example: "CDP;Moody's;Sustainalytics"</t>
      </text>
    </comment>
    <comment ref="O140" authorId="3" shapeId="0" xr:uid="{7BC99064-9F4C-49CE-8759-3EF50039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  <comment ref="O141" authorId="4" shapeId="0" xr:uid="{F24DE63F-6DD6-49F6-A1CC-DF6BE4240D35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</commentList>
</comments>
</file>

<file path=xl/sharedStrings.xml><?xml version="1.0" encoding="utf-8"?>
<sst xmlns="http://schemas.openxmlformats.org/spreadsheetml/2006/main" count="22251" uniqueCount="5186">
  <si>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</si>
  <si>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</si>
  <si>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</si>
  <si>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</si>
  <si>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</si>
  <si>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</si>
  <si>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</si>
  <si>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</si>
  <si>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</si>
  <si>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</si>
  <si>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</si>
  <si>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</si>
  <si>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</si>
  <si>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</si>
  <si>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</si>
  <si>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</si>
  <si>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</si>
  <si>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</si>
  <si>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</si>
  <si>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</si>
  <si>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</si>
  <si>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</si>
  <si>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</si>
  <si>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</si>
  <si>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</si>
  <si>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</si>
  <si>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</si>
  <si>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</si>
  <si>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</si>
  <si>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</si>
  <si>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</si>
  <si>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</si>
  <si>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</si>
  <si>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</si>
  <si>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</si>
  <si>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</si>
  <si>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</si>
  <si>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</si>
  <si>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</si>
  <si>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</si>
  <si>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</si>
  <si>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</si>
  <si>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</si>
  <si>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</si>
  <si>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</si>
  <si>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</si>
  <si>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</si>
  <si>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</si>
  <si>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</si>
  <si>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</si>
  <si>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</si>
  <si>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</si>
  <si>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</si>
  <si>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</si>
  <si>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</si>
  <si>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</si>
  <si>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</si>
  <si>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</si>
  <si>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</si>
  <si>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</si>
  <si>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</si>
  <si>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</si>
  <si>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</si>
  <si>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</si>
  <si>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</si>
  <si>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</si>
  <si>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</si>
  <si>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</si>
  <si>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</si>
  <si>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</si>
  <si>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</si>
  <si>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</si>
  <si>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</si>
  <si>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</si>
  <si>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</si>
  <si>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</si>
  <si>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</si>
  <si>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</si>
  <si>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</si>
  <si>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</si>
  <si>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</si>
  <si>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</si>
  <si>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</si>
  <si>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</si>
  <si>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</si>
  <si>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</si>
  <si>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</si>
  <si>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</si>
  <si>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</si>
  <si>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</si>
  <si>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</si>
  <si>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</si>
  <si>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</si>
  <si>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</si>
  <si>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</si>
  <si>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</si>
  <si>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</si>
  <si>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</si>
  <si>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</si>
  <si>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</si>
  <si>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</si>
  <si>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</si>
  <si>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</si>
  <si>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</si>
  <si>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</si>
  <si>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</si>
  <si>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</si>
  <si>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</si>
  <si>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</si>
  <si>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</si>
  <si>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</si>
  <si>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</si>
  <si>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</si>
  <si>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</si>
  <si>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</si>
  <si>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</si>
  <si>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</si>
  <si>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</si>
  <si>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</si>
  <si>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</si>
  <si>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</si>
  <si>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</si>
  <si>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</si>
  <si>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</si>
  <si>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</si>
  <si>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</si>
  <si>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</si>
  <si>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</si>
  <si>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</si>
  <si>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</si>
  <si>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</si>
  <si>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</si>
  <si>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</si>
  <si>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</si>
  <si>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</si>
  <si>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</si>
  <si>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</si>
  <si>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</si>
  <si>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</si>
  <si>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</si>
  <si>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</si>
  <si>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</si>
  <si>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</si>
  <si>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</si>
  <si>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</si>
  <si>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</si>
  <si>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</si>
  <si>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</si>
  <si>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</si>
  <si>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</si>
  <si>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</si>
  <si>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</si>
  <si>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</si>
  <si>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</si>
  <si>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</si>
  <si>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</si>
  <si>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</si>
  <si>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</si>
  <si>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</si>
  <si>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</si>
  <si>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</si>
  <si>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</si>
  <si>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</si>
  <si>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</si>
  <si>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</si>
  <si>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</si>
  <si>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</si>
  <si>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</si>
  <si>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</si>
  <si>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</si>
  <si>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</si>
  <si>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</si>
  <si>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</si>
  <si>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</si>
  <si>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</si>
  <si>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</si>
  <si>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</si>
  <si>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</si>
  <si>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</si>
  <si>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</si>
  <si>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</si>
  <si>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</si>
  <si>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</si>
  <si>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</si>
  <si>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</si>
  <si>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</si>
  <si>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</si>
  <si>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</si>
  <si>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</si>
  <si>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</si>
  <si>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</si>
  <si>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</si>
  <si>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</si>
  <si>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</si>
  <si>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</si>
  <si>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</si>
  <si>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</si>
  <si>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</si>
  <si>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</si>
  <si>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</si>
  <si>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</si>
  <si>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</si>
  <si>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</si>
  <si>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</si>
  <si>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</si>
  <si>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</si>
  <si>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</si>
  <si>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</si>
  <si>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</si>
  <si>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</si>
  <si>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</si>
  <si>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</si>
  <si>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</si>
  <si>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</si>
  <si>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</si>
  <si>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</si>
  <si>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</si>
  <si>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</si>
  <si>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</si>
  <si>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</si>
  <si>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</si>
  <si>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</si>
  <si>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</si>
  <si>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</si>
  <si>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</si>
  <si>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</si>
  <si>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</si>
  <si>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</si>
  <si>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</si>
  <si>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</si>
  <si>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</si>
  <si>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</si>
  <si>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</si>
  <si>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</si>
  <si>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</si>
  <si>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</si>
  <si>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</si>
  <si>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</si>
  <si>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</si>
  <si>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</si>
  <si>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</si>
  <si>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</si>
  <si>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</si>
  <si>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</si>
  <si>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</si>
  <si>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</si>
  <si>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</si>
  <si>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</si>
  <si>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</si>
  <si>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</si>
  <si>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</si>
  <si>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</si>
  <si>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</si>
  <si>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</si>
  <si>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</si>
  <si>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</si>
  <si>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</si>
  <si>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</si>
  <si>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</si>
  <si>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</si>
  <si>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</si>
  <si>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</si>
  <si>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</si>
  <si>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</si>
  <si>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</si>
  <si>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</si>
  <si>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</si>
  <si>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</si>
  <si>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</si>
  <si>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</si>
  <si>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</si>
  <si>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</si>
  <si>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</si>
  <si>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</si>
  <si>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</si>
  <si>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</si>
  <si>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</si>
  <si>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</si>
  <si>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</si>
  <si>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</si>
  <si>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</si>
  <si>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</si>
  <si>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</si>
  <si>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</si>
  <si>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</si>
  <si>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</si>
  <si>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</si>
  <si>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</si>
  <si>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</si>
  <si>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</si>
  <si>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</si>
  <si>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</si>
  <si>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</si>
  <si>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</si>
  <si>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</si>
  <si>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</si>
  <si>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</si>
  <si>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</si>
  <si>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</si>
  <si>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</si>
  <si>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</si>
  <si>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</si>
  <si>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</si>
  <si>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</si>
  <si>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</si>
  <si>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</si>
  <si>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</si>
  <si>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</si>
  <si>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</si>
  <si>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</si>
  <si>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</si>
  <si>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</si>
  <si>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</si>
  <si>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</si>
  <si>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</si>
  <si>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</si>
  <si>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</si>
  <si>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</si>
  <si>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</si>
  <si>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</si>
  <si>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</si>
  <si>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</si>
  <si>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</si>
  <si>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</si>
  <si>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</si>
  <si>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</si>
  <si>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</si>
  <si>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</si>
  <si>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</si>
  <si>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</si>
  <si>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</si>
  <si>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</si>
  <si>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</si>
  <si>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</si>
  <si>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</si>
  <si>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</si>
  <si>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</si>
  <si>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</si>
  <si>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</si>
  <si>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</si>
  <si>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</si>
  <si>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</si>
  <si>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</si>
  <si>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</si>
  <si>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</si>
  <si>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</si>
  <si>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</si>
  <si>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</si>
  <si>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</si>
  <si>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</si>
  <si>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</si>
  <si>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</si>
  <si>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</si>
  <si>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</si>
  <si>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</si>
  <si>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</si>
  <si>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</si>
  <si>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</si>
  <si>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</si>
  <si>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</si>
  <si>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</si>
  <si>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</si>
  <si>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</si>
  <si>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</si>
  <si>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</si>
  <si>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</si>
  <si>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</si>
  <si>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</si>
  <si>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</si>
  <si>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</si>
  <si>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</si>
  <si>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</si>
  <si>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</si>
  <si>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</si>
  <si>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</si>
  <si>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</si>
  <si>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</si>
  <si>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</si>
  <si>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</si>
  <si>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</si>
  <si>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</si>
  <si>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</si>
  <si>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</si>
  <si>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</si>
  <si>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</si>
  <si>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</si>
  <si>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</si>
  <si>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</si>
  <si>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</si>
  <si>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</si>
  <si>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</si>
  <si>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</si>
  <si>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</si>
  <si>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</si>
  <si>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</si>
  <si>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</si>
  <si>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</si>
  <si>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</si>
  <si>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</si>
  <si>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</si>
  <si>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</si>
  <si>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</si>
  <si>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</si>
  <si>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</si>
  <si>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</si>
  <si>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</si>
  <si>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</si>
  <si>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</si>
  <si>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</si>
  <si>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</si>
  <si>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</si>
  <si>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</si>
  <si>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</si>
  <si>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</si>
  <si>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</si>
  <si>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</si>
  <si>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</si>
  <si>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</si>
  <si>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</si>
  <si>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</si>
  <si>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</si>
  <si>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</si>
  <si>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</si>
  <si>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</si>
  <si>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</si>
  <si>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</si>
  <si>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</si>
  <si>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</si>
  <si>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</si>
  <si>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</si>
  <si>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</si>
  <si>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</si>
  <si>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</si>
  <si>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</si>
  <si>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</si>
  <si>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</si>
  <si>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</si>
  <si>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</si>
  <si>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</si>
  <si>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</si>
  <si>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</si>
  <si>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</si>
  <si>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</si>
  <si>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</si>
  <si>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</si>
  <si>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</si>
  <si>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</si>
  <si>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</si>
  <si>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</si>
  <si>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</si>
  <si>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</si>
  <si>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</si>
  <si>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</si>
  <si>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</si>
  <si>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</si>
  <si>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</si>
  <si>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</si>
  <si>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</si>
  <si>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</si>
  <si>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</si>
  <si>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</si>
  <si>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</si>
  <si>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</si>
  <si>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</si>
  <si>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</si>
  <si>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</si>
  <si>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</si>
  <si>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</si>
  <si>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</si>
  <si>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</si>
  <si>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</si>
  <si>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</si>
  <si>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</si>
  <si>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</si>
  <si>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</si>
  <si>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</si>
  <si>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</si>
  <si>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</si>
  <si>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</si>
  <si>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</si>
  <si>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</si>
  <si>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</si>
  <si>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</si>
  <si>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</si>
  <si>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</si>
  <si>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</si>
  <si>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</si>
  <si>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</si>
  <si>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</si>
  <si>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</si>
  <si>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</si>
  <si>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</si>
  <si>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</si>
  <si>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</si>
  <si>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</si>
  <si>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</si>
  <si>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</si>
  <si>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</si>
  <si>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</si>
  <si>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</si>
  <si>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</si>
  <si>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</si>
  <si>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</si>
  <si>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</si>
  <si>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</si>
  <si>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</si>
  <si>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</si>
  <si>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</si>
  <si>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</si>
  <si>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</si>
  <si>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</si>
  <si>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</si>
  <si>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</si>
  <si>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</si>
  <si>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</si>
  <si>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</si>
  <si>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</si>
  <si>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</si>
  <si>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</si>
  <si>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</si>
  <si>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</si>
  <si>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</si>
  <si>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</si>
  <si>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</si>
  <si>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</si>
  <si>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</si>
  <si>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</si>
  <si>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</si>
  <si>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</si>
  <si>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</si>
  <si>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</si>
  <si>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</si>
  <si>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</si>
  <si>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</si>
  <si>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</si>
  <si>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</si>
  <si>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</si>
  <si>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</si>
  <si>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</si>
  <si>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</si>
  <si>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</si>
  <si>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</si>
  <si>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</si>
  <si>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</si>
  <si>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</si>
  <si>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</si>
  <si>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</si>
  <si>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</si>
  <si>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</si>
  <si>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</si>
  <si>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</si>
  <si>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</si>
  <si>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</si>
  <si>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</si>
  <si>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</si>
  <si>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</si>
  <si>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</si>
  <si>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</si>
  <si>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</si>
  <si>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</si>
  <si>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</si>
  <si>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</si>
  <si>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</si>
  <si>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</si>
  <si>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</si>
  <si>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</si>
  <si>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</si>
  <si>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</si>
  <si>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</si>
  <si>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</si>
  <si>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</si>
  <si>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</si>
  <si>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</si>
  <si>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</si>
  <si>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</si>
  <si>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</si>
  <si>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</si>
  <si>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</si>
  <si>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</si>
  <si>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</si>
  <si>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</si>
  <si>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</si>
  <si>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</si>
  <si>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</si>
  <si>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</si>
  <si>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</si>
  <si>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</si>
  <si>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</si>
  <si>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</si>
  <si>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</si>
  <si>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</si>
  <si>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</si>
  <si>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</si>
  <si>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</si>
  <si>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</si>
  <si>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</si>
  <si>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</si>
  <si>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</si>
  <si>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</si>
  <si>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</si>
  <si>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</si>
  <si>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</si>
  <si>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</si>
  <si>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</si>
  <si>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</si>
  <si>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</si>
  <si>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</si>
  <si>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</si>
  <si>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</si>
  <si>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</si>
  <si>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</si>
  <si>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</si>
  <si>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</si>
  <si>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</si>
  <si>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</si>
  <si>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</si>
  <si>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</si>
  <si>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</si>
  <si>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</si>
  <si>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</si>
  <si>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</si>
  <si>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</si>
  <si>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</si>
  <si>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</si>
  <si>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</si>
  <si>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</si>
  <si>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</si>
  <si>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</si>
  <si>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</si>
  <si>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</si>
  <si>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</si>
  <si>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</si>
  <si>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</si>
  <si>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</si>
  <si>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</si>
  <si>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</si>
  <si>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</si>
  <si>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</si>
  <si>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</si>
  <si>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</si>
  <si>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</si>
  <si>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</si>
  <si>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</si>
  <si>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</si>
  <si>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</si>
  <si>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</si>
  <si>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</si>
  <si>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</si>
  <si>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</si>
  <si>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</si>
  <si>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</si>
  <si>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</si>
  <si>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</si>
  <si>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</si>
  <si>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</si>
  <si>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</si>
  <si>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</si>
  <si>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</si>
  <si>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</si>
  <si>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</si>
  <si>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</si>
  <si>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</si>
  <si>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</si>
  <si>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</si>
  <si>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</si>
  <si>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</si>
  <si>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</si>
  <si>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</si>
  <si>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</si>
  <si>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</si>
  <si>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</si>
  <si>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</si>
  <si>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</si>
  <si>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</si>
  <si>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</si>
  <si>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</si>
  <si>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</si>
  <si>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</si>
  <si>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</si>
  <si>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</si>
  <si>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</si>
  <si>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</si>
  <si>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</si>
  <si>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</si>
  <si>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</si>
  <si>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</si>
  <si>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</si>
  <si>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</si>
  <si>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</si>
  <si>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</si>
  <si>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</si>
  <si>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</si>
  <si>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</si>
  <si>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</si>
  <si>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</si>
  <si>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</si>
  <si>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</si>
  <si>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</si>
  <si>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</si>
  <si>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</si>
  <si>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</si>
  <si>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</si>
  <si>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</si>
  <si>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</si>
  <si>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</si>
  <si>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</si>
  <si>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</si>
  <si>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</si>
  <si>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</si>
  <si>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</si>
  <si>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</si>
  <si>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</si>
  <si>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</si>
  <si>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</si>
  <si>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</si>
  <si>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</si>
  <si>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</si>
  <si>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</si>
  <si>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</si>
  <si>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</si>
  <si>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</si>
  <si>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</si>
  <si>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</si>
  <si>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</si>
  <si>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</si>
  <si>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</si>
  <si>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</si>
  <si>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</si>
  <si>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</si>
  <si>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</si>
  <si>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</si>
  <si>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</si>
  <si>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</si>
  <si>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</si>
  <si>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</si>
  <si>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</si>
  <si>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</si>
  <si>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</si>
  <si>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</si>
  <si>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</si>
  <si>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</si>
  <si>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</si>
  <si>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</si>
  <si>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</si>
  <si>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</si>
  <si>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</si>
  <si>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</si>
  <si>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</si>
  <si>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</si>
  <si>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</si>
  <si>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</si>
  <si>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</si>
  <si>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</si>
  <si>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</si>
  <si>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</si>
  <si>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</si>
  <si>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</si>
  <si>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</si>
  <si>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</si>
  <si>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</si>
  <si>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</si>
  <si>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</si>
  <si>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</si>
  <si>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</si>
  <si>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</si>
  <si>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</si>
  <si>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</si>
  <si>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</si>
  <si>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</si>
  <si>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</si>
  <si>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</si>
  <si>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</si>
  <si>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</si>
  <si>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</si>
  <si>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</si>
  <si>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</si>
  <si>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</si>
  <si>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</si>
  <si>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</si>
  <si>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</si>
  <si>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</si>
  <si>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</si>
  <si>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</si>
  <si>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</si>
  <si>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</si>
  <si>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</si>
  <si>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</si>
  <si>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</si>
  <si>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</si>
  <si>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</si>
  <si>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</si>
  <si>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</si>
  <si>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</si>
  <si>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</si>
  <si>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</si>
  <si>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</si>
  <si>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</si>
  <si>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</si>
  <si>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</si>
  <si>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</si>
  <si>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</si>
  <si>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</si>
  <si>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</si>
  <si>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</si>
  <si>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</si>
  <si>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</si>
  <si>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</si>
  <si>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</si>
  <si>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</si>
  <si>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</si>
  <si>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</si>
  <si>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</si>
  <si>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</si>
  <si>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</si>
  <si>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</si>
  <si>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</si>
  <si>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</si>
  <si>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</si>
  <si>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</si>
  <si>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</si>
  <si>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</si>
  <si>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</si>
  <si>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</si>
  <si>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</si>
  <si>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</si>
  <si>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</si>
  <si>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</si>
  <si>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</si>
  <si>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</si>
  <si>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</si>
  <si>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</si>
  <si>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</si>
  <si>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</si>
  <si>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</si>
  <si>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</si>
  <si>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</si>
  <si>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</si>
  <si>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</si>
  <si>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</si>
  <si>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</si>
  <si>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</si>
  <si>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</si>
  <si>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</si>
  <si>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</si>
  <si>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</si>
  <si>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</si>
  <si>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</si>
  <si>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</si>
  <si>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</si>
  <si>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</si>
  <si>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</si>
  <si>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</si>
  <si>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</si>
  <si>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</si>
  <si>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</si>
  <si>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</si>
  <si>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</si>
  <si>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</si>
  <si>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</si>
  <si>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</si>
  <si>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</si>
  <si>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</si>
  <si>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</si>
  <si>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</si>
  <si>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</si>
  <si>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</si>
  <si>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</si>
  <si>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</si>
  <si>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</si>
  <si>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</si>
  <si>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</si>
  <si>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</si>
  <si>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</si>
  <si>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</si>
  <si>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</si>
  <si>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</si>
  <si>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</si>
  <si>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</si>
  <si>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</si>
  <si>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</si>
  <si>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</si>
  <si>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</si>
  <si>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</si>
  <si>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</si>
  <si>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</si>
  <si>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</si>
  <si>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</si>
  <si>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</si>
  <si>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</si>
  <si>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</si>
  <si>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</si>
  <si>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</si>
  <si>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</si>
  <si>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</si>
  <si>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</si>
  <si>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</si>
  <si>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</si>
  <si>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</si>
  <si>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</si>
  <si>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</si>
  <si>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</si>
  <si>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</si>
  <si>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</si>
  <si>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</si>
  <si>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</si>
  <si>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</si>
  <si>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</si>
  <si>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</si>
  <si>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</si>
  <si>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</si>
  <si>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</si>
  <si>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</si>
  <si>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</si>
  <si>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</si>
  <si>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</si>
  <si>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</si>
  <si>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</si>
  <si>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</si>
  <si>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</si>
  <si>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</si>
  <si>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</si>
  <si>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</si>
  <si>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</si>
  <si>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</si>
  <si>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</si>
  <si>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</si>
  <si>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</si>
  <si>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</si>
  <si>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</si>
  <si>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</si>
  <si>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</si>
  <si>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</si>
  <si>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</si>
  <si>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</si>
  <si>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</si>
  <si>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</si>
  <si>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</si>
  <si>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</si>
  <si>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</si>
  <si>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</si>
  <si>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</si>
  <si>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</si>
  <si>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</si>
  <si>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</si>
  <si>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</si>
  <si>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</si>
  <si>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</si>
  <si>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</si>
  <si>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</si>
  <si>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</si>
  <si>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</si>
  <si>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</si>
  <si>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</si>
  <si>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</si>
  <si>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</si>
  <si>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</si>
  <si>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</si>
  <si>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</si>
  <si>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</si>
  <si>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</si>
  <si>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</si>
  <si>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</si>
  <si>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</si>
  <si>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</si>
  <si>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</si>
  <si>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</si>
  <si>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</si>
  <si>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</si>
  <si>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</si>
  <si>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</si>
  <si>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</si>
  <si>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</si>
  <si>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</si>
  <si>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</si>
  <si>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</si>
  <si>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</si>
  <si>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</si>
  <si>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</si>
  <si>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</si>
  <si>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</si>
  <si>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</si>
  <si>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</si>
  <si>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</si>
  <si>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</si>
  <si>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</si>
  <si>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</si>
  <si>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</si>
  <si>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</si>
  <si>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</si>
  <si>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</si>
  <si>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</si>
  <si>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</si>
  <si>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</si>
  <si>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</si>
  <si>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</si>
  <si>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</si>
  <si>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</si>
  <si>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</si>
  <si>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</si>
  <si>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</si>
  <si>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</si>
  <si>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</si>
  <si>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</si>
  <si>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</si>
  <si>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</si>
  <si>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</si>
  <si>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</si>
  <si>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</si>
  <si>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</si>
  <si>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</si>
  <si>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</si>
  <si>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</si>
  <si>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</si>
  <si>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</si>
  <si>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</si>
  <si>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</si>
  <si>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</si>
  <si>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</si>
  <si>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</si>
  <si>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</si>
  <si>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</si>
  <si>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</si>
  <si>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</si>
  <si>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</si>
  <si>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</si>
  <si>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</si>
  <si>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</si>
  <si>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</si>
  <si>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</si>
  <si>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</si>
  <si>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</si>
  <si>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</si>
  <si>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</si>
  <si>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</si>
  <si>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</si>
  <si>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</si>
  <si>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</si>
  <si>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</si>
  <si>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</si>
  <si>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</si>
  <si>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</si>
  <si>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</si>
  <si>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</si>
  <si>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</si>
  <si>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</si>
  <si>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</si>
  <si>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</si>
  <si>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</si>
  <si>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</si>
  <si>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</si>
  <si>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</si>
  <si>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</si>
  <si>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</si>
  <si>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</si>
  <si>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</si>
  <si>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</si>
  <si>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</si>
  <si>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</si>
  <si>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</si>
  <si>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</si>
  <si>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</si>
  <si>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</si>
  <si>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</si>
  <si>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</si>
  <si>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</si>
  <si>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</si>
  <si>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</si>
  <si>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</si>
  <si>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</si>
  <si>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</si>
  <si>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</si>
  <si>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</si>
  <si>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</si>
  <si>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</si>
  <si>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</si>
  <si>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</si>
  <si>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</si>
  <si>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</si>
  <si>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</si>
  <si>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</si>
  <si>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</si>
  <si>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</si>
  <si>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</si>
  <si>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</si>
  <si>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</si>
  <si>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</si>
  <si>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</si>
  <si>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</si>
  <si>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</si>
  <si>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</si>
  <si>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</si>
  <si>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</si>
  <si>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</si>
  <si>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</si>
  <si>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</si>
  <si>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</si>
  <si>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</si>
  <si>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</si>
  <si>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</si>
  <si>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</si>
  <si>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</si>
  <si>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</si>
  <si>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</si>
  <si>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</si>
  <si>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</si>
  <si>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</si>
  <si>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</si>
  <si>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</si>
  <si>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</si>
  <si>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</si>
  <si>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</si>
  <si>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</si>
  <si>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</si>
  <si>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</si>
  <si>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</si>
  <si>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</si>
  <si>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</si>
  <si>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</si>
  <si>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</si>
  <si>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</si>
  <si>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</si>
  <si>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</si>
  <si>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</si>
  <si>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</si>
  <si>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</si>
  <si>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</si>
  <si>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</si>
  <si>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</si>
  <si>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</si>
  <si>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</si>
  <si>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</si>
  <si>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</si>
  <si>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</si>
  <si>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</si>
  <si>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</si>
  <si>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</si>
  <si>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</si>
  <si>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</si>
  <si>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</si>
  <si>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</si>
  <si>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</si>
  <si>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</si>
  <si>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</si>
  <si>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</si>
  <si>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</si>
  <si>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</si>
  <si>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</si>
  <si>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</si>
  <si>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</si>
  <si>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</si>
  <si>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</si>
  <si>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</si>
  <si>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</si>
  <si>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</si>
  <si>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</si>
  <si>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</si>
  <si>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</si>
  <si>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</si>
  <si>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</si>
  <si>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</si>
  <si>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</si>
  <si>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</si>
  <si>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</si>
  <si>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</si>
  <si>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</si>
  <si>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</si>
  <si>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</si>
  <si>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</si>
  <si>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</si>
  <si>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</si>
  <si>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</si>
  <si>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</si>
  <si>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</si>
  <si>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</si>
  <si>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</si>
  <si>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</si>
  <si>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</si>
  <si>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</si>
  <si>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</si>
  <si>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</si>
  <si>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</si>
  <si>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</si>
  <si>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</si>
  <si>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</si>
  <si>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</si>
  <si>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</si>
  <si>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</si>
  <si>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</si>
  <si>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</si>
  <si>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</si>
  <si>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</si>
  <si>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</si>
  <si>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</si>
  <si>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</si>
  <si>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</si>
  <si>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</si>
  <si>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</si>
  <si>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</si>
  <si>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</si>
  <si>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</si>
  <si>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</si>
  <si>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</si>
  <si>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</si>
  <si>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</si>
  <si>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</si>
  <si>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</si>
  <si>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</si>
  <si>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</si>
  <si>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</si>
  <si>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</si>
  <si>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</si>
  <si>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</si>
  <si>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</si>
  <si>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</si>
  <si>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</si>
  <si>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</si>
  <si>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</si>
  <si>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</si>
  <si>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</si>
  <si>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</si>
  <si>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</si>
  <si>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</si>
  <si>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</si>
  <si>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</si>
  <si>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</si>
  <si>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</si>
  <si>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</si>
  <si>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</si>
  <si>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</si>
  <si>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</si>
  <si>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</si>
  <si>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</si>
  <si>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</si>
  <si>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</si>
  <si>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</si>
  <si>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</si>
  <si>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</si>
  <si>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</si>
  <si>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</si>
  <si>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</si>
  <si>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</si>
  <si>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</si>
  <si>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</si>
  <si>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</si>
  <si>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</si>
  <si>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</si>
  <si>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</si>
  <si>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</si>
  <si>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</si>
  <si>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</si>
  <si>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</si>
  <si>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</si>
  <si>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</si>
  <si>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</si>
  <si>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</si>
  <si>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</si>
  <si>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</si>
  <si>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</si>
  <si>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</si>
  <si>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</si>
  <si>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</si>
  <si>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</si>
  <si>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</si>
  <si>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</si>
  <si>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</si>
  <si>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</si>
  <si>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</si>
  <si>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</si>
  <si>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</si>
  <si>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</si>
  <si>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</si>
  <si>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</si>
  <si>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</si>
  <si>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</si>
  <si>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</si>
  <si>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</si>
  <si>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</si>
  <si>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</si>
  <si>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</si>
  <si>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</si>
  <si>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</si>
  <si>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</si>
  <si>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</si>
  <si>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</si>
  <si>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</si>
  <si>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</si>
  <si>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</si>
  <si>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</si>
  <si>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</si>
  <si>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</si>
  <si>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</si>
  <si>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</si>
  <si>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</si>
  <si>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</si>
  <si>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</si>
  <si>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</si>
  <si>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</si>
  <si>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</si>
  <si>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</si>
  <si>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</si>
  <si>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</si>
  <si>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</si>
  <si>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</si>
  <si>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</si>
  <si>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</si>
  <si>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</si>
  <si>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</si>
  <si>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</si>
  <si>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</si>
  <si>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</si>
  <si>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</si>
  <si>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</si>
  <si>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</si>
  <si>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</si>
  <si>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</si>
  <si>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</si>
  <si>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</si>
  <si>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</si>
  <si>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</si>
  <si>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</si>
  <si>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</si>
  <si>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</si>
  <si>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</si>
  <si>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</si>
  <si>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</si>
  <si>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</si>
  <si>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</si>
  <si>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</si>
  <si>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</si>
  <si>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</si>
  <si>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</si>
  <si>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</si>
  <si>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</si>
  <si>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</si>
  <si>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</si>
  <si>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</si>
  <si>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</si>
  <si>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</si>
  <si>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</si>
  <si>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</si>
  <si>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</si>
  <si>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</si>
  <si>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</si>
  <si>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</si>
  <si>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</si>
  <si>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</si>
  <si>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</si>
  <si>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</si>
  <si>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</si>
  <si>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</si>
  <si>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</si>
  <si>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</si>
  <si>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</si>
  <si>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</si>
  <si>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</si>
  <si>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</si>
  <si>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</si>
  <si>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</si>
  <si>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</si>
  <si>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</si>
  <si>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</si>
  <si>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</si>
  <si>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</si>
  <si>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</si>
  <si>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</si>
  <si>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</si>
  <si>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</si>
  <si>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</si>
  <si>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</si>
  <si>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</si>
  <si>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</si>
  <si>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</si>
  <si>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</si>
  <si>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</si>
  <si>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</si>
  <si>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</si>
  <si>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</si>
  <si>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</si>
  <si>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</si>
  <si>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</si>
  <si>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</si>
  <si>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</si>
  <si>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</si>
  <si>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</si>
  <si>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</si>
  <si>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</si>
  <si>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</si>
  <si>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</si>
  <si>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</si>
  <si>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</si>
  <si>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</si>
  <si>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</si>
  <si>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</si>
  <si>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</si>
  <si>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</si>
  <si>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</si>
  <si>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</si>
  <si>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</si>
  <si>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</si>
  <si>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</si>
  <si>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</si>
  <si>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</si>
  <si>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</si>
  <si>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</si>
  <si>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</si>
  <si>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</si>
  <si>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</si>
  <si>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</si>
  <si>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</si>
  <si>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</si>
  <si>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</si>
  <si>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</si>
  <si>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</si>
  <si>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</si>
  <si>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</si>
  <si>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</si>
  <si>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</si>
  <si>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</si>
  <si>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</si>
  <si>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</si>
  <si>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</si>
  <si>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</si>
  <si>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</si>
  <si>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</si>
  <si>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</si>
  <si>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</si>
  <si>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</si>
  <si>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</si>
  <si>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</si>
  <si>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</si>
  <si>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</si>
  <si>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</si>
  <si>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</si>
  <si>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</si>
  <si>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</si>
  <si>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</si>
  <si>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</si>
  <si>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</si>
  <si>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</si>
  <si>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</si>
  <si>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</si>
  <si>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</si>
  <si>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</si>
  <si>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</si>
  <si>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</si>
  <si>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</si>
  <si>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</si>
  <si>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</si>
  <si>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</si>
  <si>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</si>
  <si>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</si>
  <si>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</si>
  <si>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</si>
  <si>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</si>
  <si>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</si>
  <si>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</si>
  <si>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</si>
  <si>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</si>
  <si>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</si>
  <si>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</si>
  <si>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</si>
  <si>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</si>
  <si>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</si>
  <si>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</si>
  <si>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</si>
  <si>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</si>
  <si>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</si>
  <si>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</si>
  <si>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</si>
  <si>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</si>
  <si>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</si>
  <si>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</si>
  <si>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</si>
  <si>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</si>
  <si>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</si>
  <si>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</si>
  <si>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</si>
  <si>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</si>
  <si>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</si>
  <si>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</si>
  <si>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</si>
  <si>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</si>
  <si>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</si>
  <si>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</si>
  <si>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</si>
  <si>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</si>
  <si>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</si>
  <si>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</si>
  <si>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</si>
  <si>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</si>
  <si>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</si>
  <si>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</si>
  <si>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</si>
  <si>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</si>
  <si>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</si>
  <si>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</si>
  <si>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</si>
  <si>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</si>
  <si>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</si>
  <si>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</si>
  <si>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</si>
  <si>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</si>
  <si>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</si>
  <si>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</si>
  <si>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</si>
  <si>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</si>
  <si>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</si>
  <si>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</si>
  <si>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</si>
  <si>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</si>
  <si>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</si>
  <si>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</si>
  <si>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</si>
  <si>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</si>
  <si>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</si>
  <si>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</si>
  <si>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</si>
  <si>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</si>
  <si>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</si>
  <si>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</si>
  <si>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</si>
  <si>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</si>
  <si>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</si>
  <si>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</si>
  <si>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</si>
  <si>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</si>
  <si>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</si>
  <si>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</si>
  <si>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</si>
  <si>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</si>
  <si>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</si>
  <si>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</si>
  <si>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</si>
  <si>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</si>
  <si>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</si>
  <si>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</si>
  <si>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</si>
  <si>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</si>
  <si>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</si>
  <si>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</si>
  <si>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</si>
  <si>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</si>
  <si>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</si>
  <si>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</si>
  <si>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</si>
  <si>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</si>
  <si>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</si>
  <si>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</si>
  <si>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</si>
  <si>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</si>
  <si>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</si>
  <si>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</si>
  <si>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</si>
  <si>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</si>
  <si>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</si>
  <si>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</si>
  <si>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</si>
  <si>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</si>
  <si>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</si>
  <si>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</si>
  <si>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</si>
  <si>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</si>
  <si>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</si>
  <si>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</si>
  <si>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</si>
  <si>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</si>
  <si>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</si>
  <si>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</si>
  <si>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</si>
  <si>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</si>
  <si>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</si>
  <si>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</si>
  <si>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</si>
  <si>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</si>
  <si>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</si>
  <si>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</si>
  <si>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</si>
  <si>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</si>
  <si>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</si>
  <si>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</si>
  <si>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</si>
  <si>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</si>
  <si>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</si>
  <si>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</si>
  <si>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</si>
  <si>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</si>
  <si>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</si>
  <si>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</si>
  <si>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</si>
  <si>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</si>
  <si>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</si>
  <si>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</si>
  <si>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</si>
  <si>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</si>
  <si>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</si>
  <si>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</si>
  <si>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</si>
  <si>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</si>
  <si>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</si>
  <si>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</si>
  <si>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</si>
  <si>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</si>
  <si>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</si>
  <si>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</si>
  <si>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</si>
  <si>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</si>
  <si>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</si>
  <si>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</si>
  <si>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</si>
  <si>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</si>
  <si>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</si>
  <si>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</si>
  <si>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</si>
  <si>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</si>
  <si>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</si>
  <si>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</si>
  <si>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</si>
  <si>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</si>
  <si>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</si>
  <si>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</si>
  <si>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</si>
  <si>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</si>
  <si>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</si>
  <si>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</si>
  <si>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</si>
  <si>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</si>
  <si>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</si>
  <si>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</si>
  <si>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</si>
  <si>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</si>
  <si>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</si>
  <si>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</si>
  <si>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</si>
  <si>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</si>
  <si>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</si>
  <si>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</si>
  <si>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</si>
  <si>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</si>
  <si>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</si>
  <si>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</si>
  <si>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</si>
  <si>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</si>
  <si>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</si>
  <si>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</si>
  <si>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</si>
  <si>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</si>
  <si>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</si>
  <si>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</si>
  <si>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</si>
  <si>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</si>
  <si>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</si>
  <si>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</si>
  <si>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</si>
  <si>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</si>
  <si>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</si>
  <si>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</si>
  <si>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</si>
  <si>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</si>
  <si>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</si>
  <si>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</si>
  <si>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</si>
  <si>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</si>
  <si>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</si>
  <si>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</si>
  <si>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</si>
  <si>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</si>
  <si>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</si>
  <si>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</si>
  <si>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</si>
  <si>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</si>
  <si>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</si>
  <si>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</si>
  <si>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</si>
  <si>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</si>
  <si>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</si>
  <si>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</si>
  <si>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</si>
  <si>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</si>
  <si>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</si>
  <si>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</si>
  <si>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</si>
  <si>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</si>
  <si>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</si>
  <si>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</si>
  <si>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</si>
  <si>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</si>
  <si>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</si>
  <si>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</si>
  <si>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</si>
  <si>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</si>
  <si>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</si>
  <si>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</si>
  <si>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</si>
  <si>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</si>
  <si>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</si>
  <si>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</si>
  <si>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</si>
  <si>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</si>
  <si>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</si>
  <si>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</si>
  <si>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</si>
  <si>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</si>
  <si>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</si>
  <si>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</si>
  <si>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</si>
  <si>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</si>
  <si>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</si>
  <si>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</si>
  <si>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</si>
  <si>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</si>
  <si>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</si>
  <si>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</si>
  <si>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</si>
  <si>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</si>
  <si>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</si>
  <si>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</si>
  <si>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</si>
  <si>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</si>
  <si>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</si>
  <si>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</si>
  <si>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</si>
  <si>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</si>
  <si>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</si>
  <si>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</si>
  <si>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</si>
  <si>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</si>
  <si>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</si>
  <si>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</si>
  <si>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</si>
  <si>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</si>
  <si>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</si>
  <si>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</si>
  <si>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</si>
  <si>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</si>
  <si>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</si>
  <si>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</si>
  <si>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</si>
  <si>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</si>
  <si>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</si>
  <si>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</si>
  <si>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</si>
  <si>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</si>
  <si>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</si>
  <si>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</si>
  <si>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</si>
  <si>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</si>
  <si>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</si>
  <si>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</si>
  <si>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</si>
  <si>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</si>
  <si>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</si>
  <si>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</si>
  <si>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</si>
  <si>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</si>
  <si>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</si>
  <si>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</si>
  <si>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</si>
  <si>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</si>
  <si>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</si>
  <si>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</si>
  <si>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</si>
  <si>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</si>
  <si>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</si>
  <si>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</si>
  <si>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</si>
  <si>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</si>
  <si>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</si>
  <si>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</si>
  <si>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</si>
  <si>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</si>
  <si>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</si>
  <si>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</si>
  <si>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</si>
  <si>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</si>
  <si>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</si>
  <si>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</si>
  <si>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</si>
  <si>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</si>
  <si>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</si>
  <si>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</si>
  <si>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</si>
  <si>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</si>
  <si>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</si>
  <si>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</si>
  <si>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</si>
  <si>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</si>
  <si>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</si>
  <si>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</si>
  <si>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</si>
  <si>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</si>
  <si>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</si>
  <si>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</si>
  <si>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</si>
  <si>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</si>
  <si>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</si>
  <si>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</si>
  <si>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</si>
  <si>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</si>
  <si>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</si>
  <si>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</si>
  <si>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</si>
  <si>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</si>
  <si>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</si>
  <si>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</si>
  <si>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</si>
  <si>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</si>
  <si>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</si>
  <si>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</si>
  <si>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</si>
  <si>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</si>
  <si>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</si>
  <si>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</si>
  <si>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</si>
  <si>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</si>
  <si>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</si>
  <si>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</si>
  <si>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</si>
  <si>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</si>
  <si>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</si>
  <si>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</si>
  <si>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</si>
  <si>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</si>
  <si>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</si>
  <si>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</si>
  <si>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</si>
  <si>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</si>
  <si>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</si>
  <si>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</si>
  <si>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</si>
  <si>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</si>
  <si>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</si>
  <si>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</si>
  <si>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</si>
  <si>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</si>
  <si>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</si>
  <si>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</si>
  <si>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</si>
  <si>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</si>
  <si>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</si>
  <si>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</si>
  <si>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</si>
  <si>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</si>
  <si>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</si>
  <si>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</si>
  <si>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</si>
  <si>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</si>
  <si>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</si>
  <si>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</si>
  <si>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</si>
  <si>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</si>
  <si>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</si>
  <si>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</si>
  <si>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</si>
  <si>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</si>
  <si>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</si>
  <si>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</si>
  <si>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</si>
  <si>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</si>
  <si>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</si>
  <si>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</si>
  <si>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</si>
  <si>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</si>
  <si>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</si>
  <si>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</si>
  <si>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</si>
  <si>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</si>
  <si>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</si>
  <si>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</si>
  <si>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</si>
  <si>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</si>
  <si>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</si>
  <si>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</si>
  <si>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</si>
  <si>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</si>
  <si>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</si>
  <si>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</si>
  <si>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</si>
  <si>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</si>
  <si>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</si>
  <si>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</si>
  <si>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</si>
  <si>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</si>
  <si>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</si>
  <si>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</si>
  <si>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</si>
  <si>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</si>
  <si>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</si>
  <si>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</si>
  <si>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</si>
  <si>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</si>
  <si>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</si>
  <si>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</si>
  <si>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</si>
  <si>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</si>
  <si>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</si>
  <si>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</si>
  <si>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</si>
  <si>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</si>
  <si>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</si>
  <si>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</si>
  <si>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</si>
  <si>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</si>
  <si>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</si>
  <si>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</si>
  <si>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</si>
  <si>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</si>
  <si>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</si>
  <si>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</si>
  <si>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</si>
  <si>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</si>
  <si>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</si>
  <si>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</si>
  <si>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</si>
  <si>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</si>
  <si>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</si>
  <si>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</si>
  <si>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</si>
  <si>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</si>
  <si>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</si>
  <si>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</si>
  <si>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</si>
  <si>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</si>
  <si>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</si>
  <si>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</si>
  <si>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</si>
  <si>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</si>
  <si>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</si>
  <si>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</si>
  <si>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</si>
  <si>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</si>
  <si>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</si>
  <si>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</si>
  <si>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</si>
  <si>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</si>
  <si>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</si>
  <si>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</si>
  <si>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</si>
  <si>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</si>
  <si>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</si>
  <si>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</si>
  <si>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</si>
  <si>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</si>
  <si>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</si>
  <si>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</si>
  <si>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</si>
  <si>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</si>
  <si>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</si>
  <si>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</si>
  <si>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</si>
  <si>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</si>
  <si>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</si>
  <si>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</si>
  <si>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</si>
  <si>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</si>
  <si>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</si>
  <si>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</si>
  <si>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</si>
  <si>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</si>
  <si>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</si>
  <si>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</si>
  <si>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</si>
  <si>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</si>
  <si>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</si>
  <si>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</si>
  <si>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</si>
  <si>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</si>
  <si>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</si>
  <si>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</si>
  <si>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</si>
  <si>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</si>
  <si>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</si>
  <si>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</si>
  <si>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</si>
  <si>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</si>
  <si>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</si>
  <si>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</si>
  <si>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</si>
  <si>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</si>
  <si>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</si>
  <si>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</si>
  <si>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</si>
  <si>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</si>
  <si>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</si>
  <si>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</si>
  <si>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</si>
  <si>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</si>
  <si>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</si>
  <si>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</si>
  <si>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</si>
  <si>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</si>
  <si>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</si>
  <si>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</si>
  <si>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</si>
  <si>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</si>
  <si>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</si>
  <si>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</si>
  <si>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</si>
  <si>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</si>
  <si>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</si>
  <si>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</si>
  <si>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</si>
  <si>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</si>
  <si>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</si>
  <si>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</si>
  <si>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</si>
  <si>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</si>
  <si>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</si>
  <si>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</si>
  <si>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</si>
  <si>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</si>
  <si>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</si>
  <si>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</si>
  <si>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</si>
  <si>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</si>
  <si>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</si>
  <si>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</si>
  <si>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</si>
  <si>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</si>
  <si>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</si>
  <si>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</si>
  <si>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</si>
  <si>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</si>
  <si>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</si>
  <si>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</si>
  <si>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</si>
  <si>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</si>
  <si>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</si>
  <si>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</si>
  <si>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</si>
  <si>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</si>
  <si>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</si>
  <si>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</si>
  <si>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</si>
  <si>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</si>
  <si>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</si>
  <si>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</si>
  <si>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</si>
  <si>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</si>
  <si>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</si>
  <si>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</si>
  <si>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</si>
  <si>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</si>
  <si>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</si>
  <si>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</si>
  <si>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</si>
  <si>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</si>
  <si>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</si>
  <si>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</si>
  <si>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</si>
  <si>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</si>
  <si>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</si>
  <si>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</si>
  <si>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</si>
  <si>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</si>
  <si>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</si>
  <si>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</si>
  <si>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</si>
  <si>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</si>
  <si>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</si>
  <si>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</si>
  <si>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</si>
  <si>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</si>
  <si>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</si>
  <si>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</si>
  <si>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</si>
  <si>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</si>
  <si>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</si>
  <si>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</si>
  <si>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</si>
  <si>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</si>
  <si>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</si>
  <si>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</si>
  <si>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</si>
  <si>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</si>
  <si>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</si>
  <si>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</si>
  <si>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</si>
  <si>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</si>
  <si>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</si>
  <si>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</si>
  <si>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</si>
  <si>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</si>
  <si>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</si>
  <si>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</si>
  <si>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</si>
  <si>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</si>
  <si>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</si>
  <si>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</si>
  <si>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</si>
  <si>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</si>
  <si>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</si>
  <si>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</si>
  <si>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</si>
  <si>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</si>
  <si>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</si>
  <si>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</si>
  <si>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</si>
  <si>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</si>
  <si>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</si>
  <si>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</si>
  <si>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</si>
  <si>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</si>
  <si>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</si>
  <si>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</si>
  <si>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</si>
  <si>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</si>
  <si>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</si>
  <si>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</si>
  <si>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</si>
  <si>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</si>
  <si>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</si>
  <si>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</si>
  <si>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</si>
  <si>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</si>
  <si>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</si>
  <si>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</si>
  <si>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</si>
  <si>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</si>
  <si>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</si>
  <si>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</si>
  <si>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</si>
  <si>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</si>
  <si>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</si>
  <si>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</si>
  <si>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</si>
  <si>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</si>
  <si>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</si>
  <si>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</si>
  <si>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</si>
  <si>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</si>
  <si>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</si>
  <si>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</si>
  <si>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</si>
  <si>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</si>
  <si>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</si>
  <si>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</si>
  <si>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</si>
  <si>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</si>
  <si>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</si>
  <si>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</si>
  <si>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</si>
  <si>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</si>
  <si>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</si>
  <si>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</si>
  <si>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</si>
  <si>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</si>
  <si>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</si>
  <si>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</si>
  <si>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</si>
  <si>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</si>
  <si>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</si>
  <si>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</si>
  <si>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</si>
  <si>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</si>
  <si>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</si>
  <si>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</si>
  <si>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</si>
  <si>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</si>
  <si>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</si>
  <si>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</si>
  <si>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</si>
  <si>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</si>
  <si>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</si>
  <si>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</si>
  <si>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</si>
  <si>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</si>
  <si>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</si>
  <si>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</si>
  <si>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</si>
  <si>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</si>
  <si>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</si>
  <si>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</si>
  <si>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</si>
  <si>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</si>
  <si>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</si>
  <si>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</si>
  <si>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</si>
  <si>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</si>
  <si>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</si>
  <si>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</si>
  <si>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</si>
  <si>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</si>
  <si>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</si>
  <si>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</si>
  <si>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</si>
  <si>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</si>
  <si>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</si>
  <si>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</si>
  <si>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</si>
  <si>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</si>
  <si>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</si>
  <si>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</si>
  <si>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</si>
  <si>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</si>
  <si>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</si>
  <si>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</si>
  <si>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</si>
  <si>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</si>
  <si>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</si>
  <si>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</si>
  <si>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</si>
  <si>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</si>
  <si>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</si>
  <si>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</si>
  <si>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</si>
  <si>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</si>
  <si>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</si>
  <si>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</si>
  <si>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</si>
  <si>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</si>
  <si>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</si>
  <si>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</si>
  <si>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</si>
  <si>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</si>
  <si>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</si>
  <si>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</si>
  <si>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</si>
  <si>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</si>
  <si>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</si>
  <si>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</si>
  <si>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</si>
  <si>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</si>
  <si>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</si>
  <si>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</si>
  <si>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</si>
  <si>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</si>
  <si>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</si>
  <si>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</si>
  <si>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</si>
  <si>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</si>
  <si>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</si>
  <si>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</si>
  <si>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</si>
  <si>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</si>
  <si>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</si>
  <si>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</si>
  <si>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</si>
  <si>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</si>
  <si>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</si>
  <si>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</si>
  <si>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</si>
  <si>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</si>
  <si>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</si>
  <si>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</si>
  <si>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</si>
  <si>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</si>
  <si>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</si>
  <si>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</si>
  <si>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</si>
  <si>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</si>
  <si>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</si>
  <si>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</si>
  <si>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</si>
  <si>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</si>
  <si>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</si>
  <si>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</si>
  <si>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</si>
  <si>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</si>
  <si>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</si>
  <si>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</si>
  <si>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</si>
  <si>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</si>
  <si>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</si>
  <si>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</si>
  <si>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</si>
  <si>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</si>
  <si>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</si>
  <si>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</si>
  <si>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</si>
  <si>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</si>
  <si>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</si>
  <si>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</si>
  <si>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</si>
  <si>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</si>
  <si>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</si>
  <si>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</si>
  <si>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</si>
  <si>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</si>
  <si>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</si>
  <si>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</si>
  <si>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</si>
  <si>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</si>
  <si>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</si>
  <si>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</si>
  <si>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</si>
  <si>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</si>
  <si>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</si>
  <si>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</si>
  <si>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</si>
  <si>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</si>
  <si>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</si>
  <si>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</si>
  <si>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</si>
  <si>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</si>
  <si>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</si>
  <si>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</si>
  <si>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</si>
  <si>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</si>
  <si>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</si>
  <si>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</si>
  <si>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</si>
  <si>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</si>
  <si>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</si>
  <si>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</si>
  <si>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</si>
  <si>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</si>
  <si>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</si>
  <si>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</si>
  <si>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</si>
  <si>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</si>
  <si>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</si>
  <si>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</si>
  <si>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</si>
  <si>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</si>
  <si>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</si>
  <si>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</si>
  <si>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</si>
  <si>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</si>
  <si>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</si>
  <si>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</si>
  <si>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</si>
  <si>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</si>
  <si>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</si>
  <si>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</si>
  <si>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</si>
  <si>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</si>
  <si>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</si>
  <si>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</si>
  <si>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</si>
  <si>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</si>
  <si>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</si>
  <si>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</si>
  <si>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</si>
  <si>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</si>
  <si>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</si>
  <si>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</si>
  <si>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</si>
  <si>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</si>
  <si>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</si>
  <si>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</si>
  <si>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</si>
  <si>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</si>
  <si>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</si>
  <si>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</si>
  <si>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</si>
  <si>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</si>
  <si>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</si>
  <si>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</si>
  <si>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</si>
  <si>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</si>
  <si>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</si>
  <si>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</si>
  <si>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</si>
  <si>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</si>
  <si>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</si>
  <si>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</si>
  <si>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</si>
  <si>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</si>
  <si>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</si>
  <si>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</si>
  <si>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</si>
  <si>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</si>
  <si>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</si>
  <si>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</si>
  <si>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</si>
  <si>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</si>
  <si>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</si>
  <si>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</si>
  <si>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</si>
  <si>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</si>
  <si>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</si>
  <si>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</si>
  <si>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</si>
  <si>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</si>
  <si>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</si>
  <si>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</si>
  <si>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</si>
  <si>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</si>
  <si>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</si>
  <si>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</si>
  <si>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</si>
  <si>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</si>
  <si>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</si>
  <si>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</si>
  <si>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</si>
  <si>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</si>
  <si>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</si>
  <si>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</si>
  <si>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</si>
  <si>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</si>
  <si>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</si>
  <si>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</si>
  <si>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</si>
  <si>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</si>
  <si>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</si>
  <si>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</si>
  <si>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</si>
  <si>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</si>
  <si>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</si>
  <si>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</si>
  <si>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</si>
  <si>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</si>
  <si>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</si>
  <si>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</si>
  <si>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</si>
  <si>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</si>
  <si>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</si>
  <si>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</si>
  <si>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</si>
  <si>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</si>
  <si>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</si>
  <si>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</si>
  <si>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</si>
  <si>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</si>
  <si>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</si>
  <si>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</si>
  <si>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</si>
  <si>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</si>
  <si>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</si>
  <si>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</si>
  <si>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</si>
  <si>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</si>
  <si>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</si>
  <si>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</si>
  <si>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</si>
  <si>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</si>
  <si>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</si>
  <si>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</si>
  <si>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</si>
  <si>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</si>
  <si>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</si>
  <si>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</si>
  <si>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</si>
  <si>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</si>
  <si>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</si>
  <si>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</si>
  <si>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</si>
  <si>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</si>
  <si>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</si>
  <si>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</si>
  <si>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</si>
  <si>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</si>
  <si>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</si>
  <si>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</si>
  <si>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</si>
  <si>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</si>
  <si>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</si>
  <si>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</si>
  <si>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</si>
  <si>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</si>
  <si>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</si>
  <si>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</si>
  <si>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</si>
  <si>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</si>
  <si>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</si>
  <si>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</si>
  <si>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</si>
  <si>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</si>
  <si>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</si>
  <si>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</si>
  <si>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</si>
  <si>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</si>
  <si>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</si>
  <si>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</si>
  <si>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</si>
  <si>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</si>
  <si>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</si>
  <si>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</si>
  <si>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</si>
  <si>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</si>
  <si>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</si>
  <si>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</si>
  <si>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</si>
  <si>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</si>
  <si>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</si>
  <si>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</si>
  <si>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</si>
  <si>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</si>
  <si>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</si>
  <si>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</si>
  <si>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</si>
  <si>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</si>
  <si>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</si>
  <si>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</si>
  <si>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</si>
  <si>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</si>
  <si>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</si>
  <si>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</si>
  <si>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</si>
  <si>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</si>
  <si>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</si>
  <si>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</si>
  <si>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</si>
  <si>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</si>
  <si>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</si>
  <si>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</si>
  <si>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</si>
  <si>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</si>
  <si>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</si>
  <si>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</si>
  <si>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</si>
  <si>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</si>
  <si>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</si>
  <si>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</si>
  <si>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</si>
  <si>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</si>
  <si>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</si>
  <si>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</si>
  <si>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</si>
  <si>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</si>
  <si>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</si>
  <si>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</si>
  <si>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</si>
  <si>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</si>
  <si>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</si>
  <si>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</si>
  <si>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</si>
  <si>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</si>
  <si>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</si>
  <si>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</si>
  <si>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</si>
  <si>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</si>
  <si>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</si>
  <si>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</si>
  <si>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</si>
  <si>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</si>
  <si>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</si>
  <si>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</si>
  <si>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</si>
  <si>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</si>
  <si>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</si>
  <si>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</si>
  <si>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</si>
  <si>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</si>
  <si>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</si>
  <si>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</si>
  <si>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</si>
  <si>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</si>
  <si>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</si>
  <si>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</si>
  <si>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</si>
  <si>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</si>
  <si>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</si>
  <si>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</si>
  <si>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</si>
  <si>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</si>
  <si>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</si>
  <si>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</si>
  <si>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</si>
  <si>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</si>
  <si>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</si>
  <si>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</si>
  <si>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</si>
  <si>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</si>
  <si>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</si>
  <si>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</si>
  <si>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</si>
  <si>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</si>
  <si>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</si>
  <si>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</si>
  <si>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</si>
  <si>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</si>
  <si>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</si>
  <si>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</si>
  <si>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</si>
  <si>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</si>
  <si>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</si>
  <si>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</si>
  <si>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</si>
  <si>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</si>
  <si>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</si>
  <si>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</si>
  <si>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</si>
  <si>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</si>
  <si>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</si>
  <si>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</si>
  <si>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</si>
  <si>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</si>
  <si>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</si>
  <si>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</si>
  <si>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</si>
  <si>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</si>
  <si>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</si>
  <si>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</si>
  <si>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</si>
  <si>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</si>
  <si>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</si>
  <si>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</si>
  <si>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</si>
  <si>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</si>
  <si>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</si>
  <si>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</si>
  <si>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</si>
  <si>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</si>
  <si>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</si>
  <si>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</si>
  <si>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</si>
  <si>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</si>
  <si>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</si>
  <si>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</si>
  <si>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</si>
  <si>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</si>
  <si>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</si>
  <si>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</si>
  <si>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</si>
  <si>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</si>
  <si>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</si>
  <si>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</si>
  <si>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</si>
  <si>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</si>
  <si>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</si>
  <si>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</si>
  <si>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</si>
  <si>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</si>
  <si>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</si>
  <si>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</si>
  <si>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</si>
  <si>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</si>
  <si>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</si>
  <si>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</si>
  <si>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</si>
  <si>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</si>
  <si>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</si>
  <si>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</si>
  <si>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</si>
  <si>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</si>
  <si>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</si>
  <si>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</si>
  <si>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</si>
  <si>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</si>
  <si>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</si>
  <si>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</si>
  <si>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</si>
  <si>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</si>
  <si>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</si>
  <si>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</si>
  <si>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</si>
  <si>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</si>
  <si>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</si>
  <si>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</si>
  <si>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</si>
  <si>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</si>
  <si>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</si>
  <si>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</si>
  <si>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</si>
  <si>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</si>
  <si>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</si>
  <si>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</si>
  <si>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</si>
  <si>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</si>
  <si>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</si>
  <si>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</si>
  <si>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</si>
  <si>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</si>
  <si>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</si>
  <si>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</si>
  <si>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</si>
  <si>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</si>
  <si>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</si>
  <si>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</si>
  <si>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</si>
  <si>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</si>
  <si>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</si>
  <si>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</si>
  <si>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</si>
  <si>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</si>
  <si>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</si>
  <si>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</si>
  <si>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</si>
  <si>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</si>
  <si>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</si>
  <si>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</si>
  <si>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</si>
  <si>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</si>
  <si>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</si>
  <si>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</si>
  <si>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</si>
  <si>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</si>
  <si>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</si>
  <si>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</si>
  <si>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</si>
  <si>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</si>
  <si>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</si>
  <si>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</si>
  <si>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</si>
  <si>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</si>
  <si>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</si>
  <si>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</si>
  <si>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</si>
  <si>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</si>
  <si>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</si>
  <si>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</si>
  <si>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</si>
  <si>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</si>
  <si>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</si>
  <si>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</si>
  <si>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</si>
  <si>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</si>
  <si>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</si>
  <si>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</si>
  <si>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</si>
  <si>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</si>
  <si>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</si>
  <si>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</si>
  <si>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</si>
  <si>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</si>
  <si>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</si>
  <si>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</si>
  <si>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</si>
  <si>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</si>
  <si>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</si>
  <si>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</si>
  <si>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</si>
  <si>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</si>
  <si>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</si>
  <si>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</si>
  <si>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</si>
  <si>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</si>
  <si>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</si>
  <si>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</si>
  <si>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</si>
  <si>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</si>
  <si>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</si>
  <si>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</si>
  <si>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</si>
  <si>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</si>
  <si>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</si>
  <si>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</si>
  <si>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</si>
  <si>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</si>
  <si>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</si>
  <si>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</si>
  <si>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</si>
  <si>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</si>
  <si>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</si>
  <si>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</si>
  <si>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</si>
  <si>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</si>
  <si>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</si>
  <si>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</si>
  <si>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</si>
  <si>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</si>
  <si>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</si>
  <si>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</si>
  <si>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</si>
  <si>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</si>
  <si>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</si>
  <si>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</si>
  <si>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</si>
  <si>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</si>
  <si>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</si>
  <si>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</si>
  <si>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</si>
  <si>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</si>
  <si>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</si>
  <si>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</si>
  <si>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</si>
  <si>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</si>
  <si>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</si>
  <si>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</si>
  <si>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</si>
  <si>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</si>
  <si>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</si>
  <si>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</si>
  <si>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</si>
  <si>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</si>
  <si>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</si>
  <si>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</si>
  <si>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</si>
  <si>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</si>
  <si>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</si>
  <si>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</si>
  <si>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</si>
  <si>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</si>
  <si>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</si>
  <si>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</si>
  <si>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</si>
  <si>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</si>
  <si>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</si>
  <si>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</si>
  <si>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</si>
  <si>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</si>
  <si>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</si>
  <si>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</si>
  <si>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</si>
  <si>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</si>
  <si>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</si>
  <si>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</si>
  <si>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</si>
  <si>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</si>
  <si>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</si>
  <si>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</si>
  <si>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</si>
  <si>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</si>
  <si>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</si>
  <si>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</si>
  <si>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</si>
  <si>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</si>
  <si>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</si>
  <si>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</si>
  <si>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</si>
  <si>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</si>
  <si>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</si>
  <si>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</si>
  <si>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</si>
  <si>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</si>
  <si>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</si>
  <si>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</si>
  <si>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</si>
  <si>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</si>
  <si>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</si>
  <si>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</si>
  <si>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</si>
  <si>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</si>
  <si>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</si>
  <si>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</si>
  <si>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</si>
  <si>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</si>
  <si>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</si>
  <si>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</si>
  <si>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</si>
  <si>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</si>
  <si>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</si>
  <si>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</si>
  <si>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</si>
  <si>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</si>
  <si>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</si>
  <si>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</si>
  <si>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</si>
  <si>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</si>
  <si>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</si>
  <si>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</si>
  <si>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</si>
  <si>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</si>
  <si>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</si>
  <si>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</si>
  <si>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</si>
  <si>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</si>
  <si>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</si>
  <si>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</si>
  <si>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</si>
  <si>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</si>
  <si>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</si>
  <si>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</si>
  <si>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</si>
  <si>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</si>
  <si>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</si>
  <si>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</si>
  <si>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</si>
  <si>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</si>
  <si>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</si>
  <si>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</si>
  <si>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</si>
  <si>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</si>
  <si>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</si>
  <si>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</si>
  <si>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</si>
  <si>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</si>
  <si>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</si>
  <si>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</si>
  <si>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</si>
  <si>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</si>
  <si>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</si>
  <si>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</si>
  <si>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</si>
  <si>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</si>
  <si>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</si>
  <si>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</si>
  <si>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</si>
  <si>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</si>
  <si>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</si>
  <si>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</si>
  <si>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</si>
  <si>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</si>
  <si>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</si>
  <si>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</si>
  <si>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</si>
  <si>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</si>
  <si>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</si>
  <si>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</si>
  <si>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</si>
  <si>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</si>
  <si>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</si>
  <si>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</si>
  <si>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</si>
  <si>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</si>
  <si>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</si>
  <si>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</si>
  <si>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</si>
  <si>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</si>
  <si>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</si>
  <si>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</si>
  <si>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</si>
  <si>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</si>
  <si>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</si>
  <si>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</si>
  <si>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</si>
  <si>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</si>
  <si>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</si>
  <si>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</si>
  <si>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</si>
  <si>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</si>
  <si>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</si>
  <si>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</si>
  <si>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</si>
  <si>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</si>
  <si>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</si>
  <si>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</si>
  <si>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</si>
  <si>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</si>
  <si>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</si>
  <si>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</si>
  <si>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</si>
  <si>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</si>
  <si>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</si>
  <si>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</si>
  <si>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</si>
  <si>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</si>
  <si>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</si>
  <si>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</si>
  <si>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</si>
  <si>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</si>
  <si>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</si>
  <si>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</si>
  <si>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</si>
  <si>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</si>
  <si>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</si>
  <si>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</si>
  <si>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</si>
  <si>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</si>
  <si>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</si>
  <si>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</si>
  <si>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</si>
  <si>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</si>
  <si>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</si>
  <si>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</si>
  <si>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</si>
  <si>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</si>
  <si>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</si>
  <si>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</si>
  <si>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</si>
  <si>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</si>
  <si>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</si>
  <si>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</si>
  <si>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</si>
  <si>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</si>
  <si>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</si>
  <si>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</si>
  <si>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</si>
  <si>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</si>
  <si>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</si>
  <si>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</si>
  <si>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</si>
  <si>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</si>
  <si>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</si>
  <si>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</si>
  <si>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</si>
  <si>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</si>
  <si>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</si>
  <si>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</si>
  <si>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</si>
  <si>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</si>
  <si>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</si>
  <si>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</si>
  <si>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</si>
  <si>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</si>
  <si>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</si>
  <si>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</si>
  <si>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</si>
  <si>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</si>
  <si>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</si>
  <si>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</si>
  <si>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</si>
  <si>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</si>
  <si>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</si>
  <si>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</si>
  <si>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</si>
  <si>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</si>
  <si>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</si>
  <si>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</si>
  <si>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</si>
  <si>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</si>
  <si>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</si>
  <si>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</si>
  <si>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</si>
  <si>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</si>
  <si>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</si>
  <si>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</si>
  <si>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</si>
  <si>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</si>
  <si>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</si>
  <si>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</si>
  <si>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</si>
  <si>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</si>
  <si>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</si>
  <si>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</si>
  <si>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</si>
  <si>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</si>
  <si>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</si>
  <si>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</si>
  <si>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</si>
  <si>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</si>
  <si>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</si>
  <si>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</si>
  <si>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</si>
  <si>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</si>
  <si>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</si>
  <si>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</si>
  <si>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</si>
  <si>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</si>
  <si>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</si>
  <si>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</si>
  <si>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</si>
  <si>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</si>
  <si>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</si>
  <si>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</si>
  <si>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</si>
  <si>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</si>
  <si>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</si>
  <si>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</si>
  <si>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</si>
  <si>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</si>
  <si>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</si>
  <si>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</si>
  <si>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</si>
  <si>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</si>
  <si>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</si>
  <si>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</si>
  <si>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</si>
  <si>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</si>
  <si>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</si>
  <si>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</si>
  <si>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</si>
  <si>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</si>
  <si>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</si>
  <si>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</si>
  <si>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</si>
  <si>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</si>
  <si>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</si>
  <si>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</si>
  <si>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</si>
  <si>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</si>
  <si>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</si>
  <si>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</si>
  <si>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</si>
  <si>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</si>
  <si>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</si>
  <si>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</si>
  <si>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</si>
  <si>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</si>
  <si>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</si>
  <si>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</si>
  <si>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</si>
  <si>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</si>
  <si>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</si>
  <si>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</si>
  <si>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</si>
  <si>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</si>
  <si>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</si>
  <si>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</si>
  <si>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</si>
  <si>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</si>
  <si>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</si>
  <si>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</si>
  <si>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</si>
  <si>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</si>
  <si>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</si>
  <si>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</si>
  <si>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</si>
  <si>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</si>
  <si>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</si>
  <si>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</si>
  <si>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</si>
  <si>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</si>
  <si>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</si>
  <si>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</si>
  <si>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</si>
  <si>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</si>
  <si>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</si>
  <si>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</si>
  <si>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</si>
  <si>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</si>
  <si>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</si>
  <si>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</si>
  <si>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</si>
  <si>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</si>
  <si>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</si>
  <si>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</si>
  <si>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</si>
  <si>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</si>
  <si>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</si>
  <si>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</si>
  <si>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</si>
  <si>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</si>
  <si>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</si>
  <si>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</si>
  <si>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</si>
  <si>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</si>
  <si>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</si>
  <si>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</si>
  <si>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</si>
  <si>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</si>
  <si>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</si>
  <si>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</si>
  <si>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</si>
  <si>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</si>
  <si>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</si>
  <si>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</si>
  <si>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</si>
  <si>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</si>
  <si>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</si>
  <si>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</si>
  <si>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</si>
  <si>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</si>
  <si>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</si>
  <si>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</si>
  <si>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</si>
  <si>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</si>
  <si>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</si>
  <si>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</si>
  <si>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</si>
  <si>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</si>
  <si>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</si>
  <si>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</si>
  <si>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</si>
  <si>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</si>
  <si>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</si>
  <si>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</si>
  <si>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</si>
  <si>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</si>
  <si>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</si>
  <si>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</si>
  <si>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</si>
  <si>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</si>
  <si>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</si>
  <si>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</si>
  <si>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</si>
  <si>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</si>
  <si>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</si>
  <si>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</si>
  <si>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</si>
  <si>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</si>
  <si>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</si>
  <si>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</si>
  <si>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</si>
  <si>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</si>
  <si>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</si>
  <si>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</si>
  <si>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</si>
  <si>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</si>
  <si>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</si>
  <si>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</si>
  <si>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</si>
  <si>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</si>
  <si>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</si>
  <si>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</si>
  <si>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</si>
  <si>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</si>
  <si>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</si>
  <si>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</si>
  <si>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</si>
  <si>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</si>
  <si>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</si>
  <si>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</si>
  <si>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</si>
  <si>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</si>
  <si>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</si>
  <si>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</si>
  <si>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</si>
  <si>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</si>
  <si>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</si>
  <si>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</si>
  <si>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</si>
  <si>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</si>
  <si>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</si>
  <si>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</si>
  <si>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</si>
  <si>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</si>
  <si>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</si>
  <si>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</si>
  <si>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</si>
  <si>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</si>
  <si>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</si>
  <si>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</si>
  <si>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</si>
  <si>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</si>
  <si>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</si>
  <si>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</si>
  <si>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</si>
  <si>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</si>
  <si>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</si>
  <si>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</si>
  <si>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</si>
  <si>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</si>
  <si>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</si>
  <si>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</si>
  <si>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</si>
  <si>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</si>
  <si>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</si>
  <si>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</si>
  <si>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</si>
  <si>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</si>
  <si>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</si>
  <si>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</si>
  <si>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</si>
  <si>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</si>
  <si>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</si>
  <si>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</si>
  <si>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</si>
  <si>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</si>
  <si>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</si>
  <si>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</si>
  <si>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</si>
  <si>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</si>
  <si>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</si>
  <si>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</si>
  <si>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</si>
  <si>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</si>
  <si>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</si>
  <si>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</si>
  <si>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</si>
  <si>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</si>
  <si>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</si>
  <si>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</si>
  <si>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</si>
  <si>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</si>
  <si>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</si>
  <si>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</si>
  <si>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</si>
  <si>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</si>
  <si>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</si>
  <si>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</si>
  <si>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</si>
  <si>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</si>
  <si>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</si>
  <si>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</si>
  <si>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</si>
  <si>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</si>
  <si>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</si>
  <si>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</si>
  <si>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</si>
  <si>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</si>
  <si>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</si>
  <si>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</si>
  <si>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</si>
  <si>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</si>
  <si>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</si>
  <si>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</si>
  <si>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</si>
  <si>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</si>
  <si>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</si>
  <si>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</si>
  <si>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</si>
  <si>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</si>
  <si>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</si>
  <si>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</si>
  <si>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</si>
  <si>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</si>
  <si>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</si>
  <si>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</si>
  <si>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</si>
  <si>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</si>
  <si>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</si>
  <si>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</si>
  <si>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</si>
  <si>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</si>
  <si>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</si>
  <si>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</si>
  <si>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</si>
  <si>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</si>
  <si>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</si>
  <si>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</si>
  <si>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</si>
  <si>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</si>
  <si>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</si>
  <si>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</si>
  <si>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</si>
  <si>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</si>
  <si>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</si>
  <si>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</si>
  <si>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</si>
  <si>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</si>
  <si>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</si>
  <si>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</si>
  <si>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</si>
  <si>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</si>
  <si>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</si>
  <si>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</si>
  <si>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</si>
  <si>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</si>
  <si>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</si>
  <si>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</si>
  <si>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</si>
  <si>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</si>
  <si>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</si>
  <si>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</si>
  <si>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</si>
  <si>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</si>
  <si>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</si>
  <si>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</si>
  <si>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</si>
  <si>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</si>
  <si>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</si>
  <si>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</si>
  <si>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</si>
  <si>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</si>
  <si>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</si>
  <si>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</si>
  <si>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</si>
  <si>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</si>
  <si>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</si>
  <si>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</si>
  <si>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</si>
  <si>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</si>
  <si>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</si>
  <si>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</si>
  <si>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</si>
  <si>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</si>
  <si>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</si>
  <si>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</si>
  <si>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</si>
  <si>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</si>
  <si>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</si>
  <si>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</si>
  <si>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</si>
  <si>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</si>
  <si>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</si>
  <si>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</si>
  <si>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</si>
  <si>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</si>
  <si>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</si>
  <si>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</si>
  <si>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</si>
  <si>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</si>
  <si>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</si>
  <si>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</si>
  <si>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</si>
  <si>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</si>
  <si>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</si>
  <si>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</si>
  <si>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</si>
  <si>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</si>
  <si>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</si>
  <si>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</si>
  <si>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</si>
  <si>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</si>
  <si>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</si>
  <si>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</si>
  <si>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</si>
  <si>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</si>
  <si>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</si>
  <si>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</si>
  <si>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</si>
  <si>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</si>
  <si>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</si>
  <si>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</si>
  <si>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</si>
  <si>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</si>
  <si>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</si>
  <si>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</si>
  <si>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</si>
  <si>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</si>
  <si>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</si>
  <si>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</si>
  <si>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</si>
  <si>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</si>
  <si>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</si>
  <si>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</si>
  <si>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</si>
  <si>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</si>
  <si>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</si>
  <si>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</si>
  <si>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</si>
  <si>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</si>
  <si>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</si>
  <si>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</si>
  <si>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</si>
  <si>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</si>
  <si>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</si>
  <si>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</si>
  <si>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</si>
  <si>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</si>
  <si>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</si>
  <si>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</si>
  <si>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</si>
  <si>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</si>
  <si>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</si>
  <si>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</si>
  <si>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</si>
  <si>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</si>
  <si>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</si>
  <si>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</si>
  <si>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</si>
  <si>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</si>
  <si>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</si>
  <si>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</si>
  <si>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</si>
  <si>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</si>
  <si>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</si>
  <si>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</si>
  <si>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</si>
  <si>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</si>
  <si>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</si>
  <si>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</si>
  <si>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</si>
  <si>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</si>
  <si>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</si>
  <si>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</si>
  <si>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</si>
  <si>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</si>
  <si>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</si>
  <si>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</si>
  <si>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</si>
  <si>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</si>
  <si>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</si>
  <si>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</si>
  <si>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</si>
  <si>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</si>
  <si>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</si>
  <si>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</si>
  <si>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</si>
  <si>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</si>
  <si>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</si>
  <si>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</si>
  <si>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</si>
  <si>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</si>
  <si>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</si>
  <si>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</si>
  <si>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</si>
  <si>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</si>
  <si>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</si>
  <si>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</si>
  <si>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</si>
  <si>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</si>
  <si>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</si>
  <si>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</si>
  <si>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</si>
  <si>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</si>
  <si>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</si>
  <si>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</si>
  <si>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</si>
  <si>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</si>
  <si>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</si>
  <si>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</si>
  <si>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</si>
  <si>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</si>
  <si>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</si>
  <si>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</si>
  <si>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</si>
  <si>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</si>
  <si>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</si>
  <si>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</si>
  <si>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</si>
  <si>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</si>
  <si>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</si>
  <si>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</si>
  <si>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</si>
  <si>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</si>
  <si>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</si>
  <si>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</si>
  <si>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</si>
  <si>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</si>
  <si>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</si>
  <si>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</si>
  <si>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</si>
  <si>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</si>
  <si>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</si>
  <si>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</si>
  <si>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</si>
  <si>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</si>
  <si>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</si>
  <si>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</si>
  <si>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</si>
  <si>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</si>
  <si>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</si>
  <si>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</si>
  <si>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</si>
  <si>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</si>
  <si>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</si>
  <si>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</si>
  <si>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</si>
  <si>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</si>
  <si>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</si>
  <si>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</si>
  <si>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</si>
  <si>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</si>
  <si>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</si>
  <si>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</si>
  <si>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</si>
  <si>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</si>
  <si>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</si>
  <si>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</si>
  <si>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</si>
  <si>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</si>
  <si>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</si>
  <si>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</si>
  <si>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</si>
  <si>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</si>
  <si>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</si>
  <si>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</si>
  <si>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</si>
  <si>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</si>
  <si>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</si>
  <si>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</si>
  <si>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</si>
  <si>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</si>
  <si>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</si>
  <si>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</si>
  <si>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</si>
  <si>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</si>
  <si>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</si>
  <si>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</si>
  <si>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</si>
  <si>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</si>
  <si>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</si>
  <si>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</si>
  <si>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</si>
  <si>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</si>
  <si>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</si>
  <si>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</si>
  <si>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</si>
  <si>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</si>
  <si>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</si>
  <si>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</si>
  <si>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</si>
  <si>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</si>
  <si>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</si>
  <si>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</si>
  <si>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</si>
  <si>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</si>
  <si>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</si>
  <si>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</si>
  <si>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</si>
  <si>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</si>
  <si>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</si>
  <si>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</si>
  <si>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</si>
  <si>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</si>
  <si>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</si>
  <si>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</si>
  <si>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</si>
  <si>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</si>
  <si>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</si>
  <si>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</si>
  <si>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</si>
  <si>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</si>
  <si>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</si>
  <si>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</si>
  <si>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</si>
  <si>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</si>
  <si>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</si>
  <si>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</si>
  <si>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</si>
  <si>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</si>
  <si>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</si>
  <si>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</si>
  <si>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</si>
  <si>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</si>
  <si>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</si>
  <si>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</si>
  <si>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</si>
  <si>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</si>
  <si>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</si>
  <si>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</si>
  <si>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</si>
  <si>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</si>
  <si>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</si>
  <si>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</si>
  <si>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</si>
  <si>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</si>
  <si>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</si>
  <si>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</si>
  <si>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</si>
  <si>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</si>
  <si>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</si>
  <si>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</si>
  <si>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</si>
  <si>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</si>
  <si>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</si>
  <si>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</si>
  <si>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</si>
  <si>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</si>
  <si>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</si>
  <si>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</si>
  <si>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</si>
  <si>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</si>
  <si>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</si>
  <si>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</si>
  <si>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</si>
  <si>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</si>
  <si>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</si>
  <si>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</si>
  <si>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</si>
  <si>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</si>
  <si>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</si>
  <si>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</si>
  <si>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</si>
  <si>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</si>
  <si>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</si>
  <si>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</si>
  <si>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</si>
  <si>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</si>
  <si>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</si>
  <si>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</si>
  <si>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</si>
  <si>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</si>
  <si>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</si>
  <si>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</si>
  <si>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</si>
  <si>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</si>
  <si>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</si>
  <si>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</si>
  <si>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</si>
  <si>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</si>
  <si>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</si>
  <si>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</si>
  <si>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</si>
  <si>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</si>
  <si>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</si>
  <si>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</si>
  <si>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</si>
  <si>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</si>
  <si>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</si>
  <si>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</si>
  <si>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</si>
  <si>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</si>
  <si>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</si>
  <si>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</si>
  <si>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</si>
  <si>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</si>
  <si>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</si>
  <si>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</si>
  <si>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</si>
  <si>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</si>
  <si>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</si>
  <si>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</si>
  <si>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</si>
  <si>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</si>
  <si>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</si>
  <si>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</si>
  <si>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</si>
  <si>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</si>
  <si>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</si>
  <si>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</si>
  <si>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</si>
  <si>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</si>
  <si>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</si>
  <si>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</si>
  <si>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</si>
  <si>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</si>
  <si>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</si>
  <si>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</si>
  <si>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</si>
  <si>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</si>
  <si>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</si>
  <si>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</si>
  <si>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</si>
  <si>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</si>
  <si>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</si>
  <si>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</si>
  <si>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</si>
  <si>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</si>
  <si>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</si>
  <si>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</si>
  <si>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</si>
  <si>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</si>
  <si>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</si>
  <si>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</si>
  <si>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</si>
  <si>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</si>
  <si>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</si>
  <si>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</si>
  <si>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</si>
  <si>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</si>
  <si>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</si>
  <si>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</si>
  <si>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</si>
  <si>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</si>
  <si>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</si>
  <si>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</si>
  <si>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</si>
  <si>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</si>
  <si>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</si>
  <si>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</si>
  <si>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</si>
  <si>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</si>
  <si>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</si>
  <si>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</si>
  <si>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</si>
  <si>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</si>
  <si>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</si>
  <si>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</si>
  <si>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</si>
  <si>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</si>
  <si>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</si>
  <si>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</si>
  <si>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</si>
  <si>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</si>
  <si>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</si>
  <si>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</si>
  <si>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</si>
  <si>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</si>
  <si>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</si>
  <si>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</si>
  <si>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</si>
  <si>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</si>
  <si>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</si>
  <si>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</si>
  <si>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</si>
  <si>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</si>
  <si>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</si>
  <si>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</si>
  <si>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</si>
  <si>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</si>
  <si>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</si>
  <si>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</si>
  <si>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</si>
  <si>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</si>
  <si>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</si>
  <si>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</si>
  <si>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</si>
  <si>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</si>
  <si>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</si>
  <si>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</si>
  <si>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</si>
  <si>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</si>
  <si>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</si>
  <si>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</si>
  <si>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</si>
  <si>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</si>
  <si>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</si>
  <si>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</si>
  <si>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</si>
  <si>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</si>
  <si>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</si>
  <si>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</si>
  <si>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</si>
  <si>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</si>
  <si>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</si>
  <si>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</si>
  <si>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</si>
  <si>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</si>
  <si>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</si>
  <si>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</si>
  <si>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</si>
  <si>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</si>
  <si>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</si>
  <si>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</si>
  <si>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</si>
  <si>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</si>
  <si>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</si>
  <si>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</si>
  <si>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</si>
  <si>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</si>
  <si>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</si>
  <si>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</si>
  <si>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</si>
  <si>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</si>
  <si>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</si>
  <si>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</si>
  <si>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</si>
  <si>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</si>
  <si>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</si>
  <si>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</si>
  <si>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</si>
  <si>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</si>
  <si>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</si>
  <si>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</si>
  <si>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</si>
  <si>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</si>
  <si>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</si>
  <si>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</si>
  <si>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</si>
  <si>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</si>
  <si>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</si>
  <si>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</si>
  <si>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</si>
  <si>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</si>
  <si>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</si>
  <si>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</si>
  <si>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</si>
  <si>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</si>
  <si>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</si>
  <si>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</si>
  <si>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</si>
  <si>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</si>
  <si>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</si>
  <si>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</si>
  <si>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</si>
  <si>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</si>
  <si>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</si>
  <si>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</si>
  <si>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</si>
  <si>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</si>
  <si>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</si>
  <si>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</si>
  <si>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</si>
  <si>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</si>
  <si>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</si>
  <si>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</si>
  <si>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</si>
  <si>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</si>
  <si>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</si>
  <si>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</si>
  <si>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</si>
  <si>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</si>
  <si>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</si>
  <si>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</si>
  <si>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</si>
  <si>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</si>
  <si>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</si>
  <si>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</si>
  <si>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</si>
  <si>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</si>
  <si>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</si>
  <si>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</si>
  <si>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</si>
  <si>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</si>
  <si>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</si>
  <si>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</si>
  <si>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</si>
  <si>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</si>
  <si>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</si>
  <si>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</si>
  <si>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</si>
  <si>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</si>
  <si>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</si>
  <si>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</si>
  <si>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</si>
  <si>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</si>
  <si>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</si>
  <si>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</si>
  <si>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</si>
  <si>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</si>
  <si>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</si>
  <si>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</si>
  <si>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</si>
  <si>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</si>
  <si>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</si>
  <si>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</si>
  <si>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</si>
  <si>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</si>
  <si>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</si>
  <si>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</si>
  <si>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</si>
  <si>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</si>
  <si>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</si>
  <si>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</si>
  <si>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</si>
  <si>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</si>
  <si>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</si>
  <si>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</si>
  <si>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</si>
  <si>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</si>
  <si>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</si>
  <si>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</si>
  <si>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</si>
  <si>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</si>
  <si>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</si>
  <si>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</si>
  <si>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</si>
  <si>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</si>
  <si>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</si>
  <si>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</si>
  <si>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</si>
  <si>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</si>
  <si>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</si>
  <si>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</si>
  <si>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</si>
  <si>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</si>
  <si>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</si>
  <si>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</si>
  <si>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</si>
  <si>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</si>
  <si>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</si>
  <si>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</si>
  <si>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</si>
  <si>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</si>
  <si>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</si>
  <si>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</si>
  <si>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</si>
  <si>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</si>
  <si>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</si>
  <si>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</si>
  <si>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</si>
  <si>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</si>
  <si>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</si>
  <si>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</si>
  <si>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</si>
  <si>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</si>
  <si>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</si>
  <si>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</si>
  <si>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</si>
  <si>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</si>
  <si>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</si>
  <si>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</si>
  <si>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</si>
  <si>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</si>
  <si>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</si>
  <si>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</si>
  <si>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</si>
  <si>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</si>
  <si>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</si>
  <si>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</si>
  <si>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</si>
  <si>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</si>
  <si>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</si>
  <si>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</si>
  <si>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</si>
  <si>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</si>
  <si>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</si>
  <si>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</si>
  <si>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</si>
  <si>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</si>
  <si>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</si>
  <si>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</si>
  <si>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</si>
  <si>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</si>
  <si>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</si>
  <si>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</si>
  <si>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</si>
  <si>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</si>
  <si>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</si>
  <si>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</si>
  <si>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</si>
  <si>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</si>
  <si>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</si>
  <si>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</si>
  <si>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</si>
  <si>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</si>
  <si>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</si>
  <si>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</si>
  <si>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</si>
  <si>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</si>
  <si>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</si>
  <si>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</si>
  <si>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</si>
  <si>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</si>
  <si>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</si>
  <si>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</si>
  <si>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</si>
  <si>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</si>
  <si>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</si>
  <si>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</si>
  <si>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</si>
  <si>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</si>
  <si>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</si>
  <si>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</si>
  <si>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</si>
  <si>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</si>
  <si>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</si>
  <si>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</si>
  <si>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</si>
  <si>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</si>
  <si>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</si>
  <si>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</si>
  <si>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</si>
  <si>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</si>
  <si>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</si>
  <si>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</si>
  <si>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</si>
  <si>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</si>
  <si>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</si>
  <si>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</si>
  <si>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</si>
  <si>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</si>
  <si>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</si>
  <si>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</si>
  <si>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</si>
  <si>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</si>
  <si>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</si>
  <si>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</si>
  <si>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</si>
  <si>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</si>
  <si>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</si>
  <si>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</si>
  <si>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</si>
  <si>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</si>
  <si>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</si>
  <si>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</si>
  <si>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</si>
  <si>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</si>
  <si>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</si>
  <si>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</si>
  <si>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</si>
  <si>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</si>
  <si>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</si>
  <si>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</si>
  <si>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</si>
  <si>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</si>
  <si>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</si>
  <si>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</si>
  <si>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</si>
  <si>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</si>
  <si>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</si>
  <si>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</si>
  <si>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</si>
  <si>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</si>
  <si>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</si>
  <si>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</si>
  <si>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</si>
  <si>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</si>
  <si>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</si>
  <si>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</si>
  <si>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</si>
  <si>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</si>
  <si>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</si>
  <si>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</si>
  <si>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</si>
  <si>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</si>
  <si>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</si>
  <si>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</si>
  <si>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</si>
  <si>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</si>
  <si>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</si>
  <si>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</si>
  <si>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</si>
  <si>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</si>
  <si>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</si>
  <si>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</si>
  <si>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</si>
  <si>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</si>
  <si>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</si>
  <si>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</si>
  <si>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</si>
  <si>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</si>
  <si>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</si>
  <si>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</si>
  <si>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</si>
  <si>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</si>
  <si>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</si>
  <si>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</si>
  <si>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</si>
  <si>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</si>
  <si>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</si>
  <si>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</si>
  <si>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</si>
  <si>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</si>
  <si>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</si>
  <si>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</si>
  <si>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</si>
  <si>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</si>
  <si>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</si>
  <si>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</si>
  <si>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</si>
  <si>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</si>
  <si>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</si>
  <si>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</si>
  <si>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</si>
  <si>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</si>
  <si>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</si>
  <si>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</si>
  <si>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</si>
  <si>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</si>
  <si>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</si>
  <si>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</si>
  <si>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</si>
  <si>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</si>
  <si>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</si>
  <si>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</si>
  <si>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</si>
  <si>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</si>
  <si>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</si>
  <si>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</si>
  <si>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</si>
  <si>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</si>
  <si>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</si>
  <si>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</si>
  <si>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</si>
  <si>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</si>
  <si>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</si>
  <si>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</si>
  <si>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</si>
  <si>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</si>
  <si>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</si>
  <si>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</si>
  <si>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</si>
  <si>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</si>
  <si>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</si>
  <si>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</si>
  <si>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</si>
  <si>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</si>
  <si>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</si>
  <si>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</si>
  <si>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</si>
  <si>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</si>
  <si>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</si>
  <si>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</si>
  <si>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</si>
  <si>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</si>
  <si>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</si>
  <si>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</si>
  <si>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</si>
  <si>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</si>
  <si>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</si>
  <si>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</si>
  <si>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</si>
  <si>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</si>
  <si>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</si>
  <si>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</si>
  <si>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</si>
  <si>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</si>
  <si>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</si>
  <si>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</si>
  <si>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</si>
  <si>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</si>
  <si>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</si>
  <si>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</si>
  <si>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</si>
  <si>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</si>
  <si>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</si>
  <si>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</si>
  <si>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</si>
  <si>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</si>
  <si>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</si>
  <si>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</si>
  <si>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</si>
  <si>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</si>
  <si>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</si>
  <si>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</si>
  <si>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</si>
  <si>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</si>
  <si>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</si>
  <si>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</si>
  <si>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</si>
  <si>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</si>
  <si>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</si>
  <si>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</si>
  <si>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</si>
  <si>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</si>
  <si>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</si>
  <si>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</si>
  <si>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</si>
  <si>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</si>
  <si>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</si>
  <si>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</si>
  <si>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</si>
  <si>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</si>
  <si>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</si>
  <si>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</si>
  <si>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</si>
  <si>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</si>
  <si>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</si>
  <si>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</si>
  <si>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</si>
  <si>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</si>
  <si>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</si>
  <si>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</si>
  <si>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</si>
  <si>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</si>
  <si>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</si>
  <si>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</si>
  <si>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</si>
  <si>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</si>
  <si>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</si>
  <si>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</si>
  <si>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</si>
  <si>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</si>
  <si>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</si>
  <si>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</si>
  <si>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</si>
  <si>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</si>
  <si>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</si>
  <si>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</si>
  <si>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</si>
  <si>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</si>
  <si>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</si>
  <si>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</si>
  <si>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</si>
  <si>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</si>
  <si>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</si>
  <si>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</si>
  <si>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</si>
  <si>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</si>
  <si>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</si>
  <si>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</si>
  <si>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</si>
  <si>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</si>
  <si>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</si>
  <si>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</si>
  <si>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</si>
  <si>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</si>
  <si>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</si>
  <si>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</si>
  <si>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</si>
  <si>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</si>
  <si>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</si>
  <si>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</si>
  <si>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</si>
  <si>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</si>
  <si>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</si>
  <si>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</si>
  <si>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</si>
  <si>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</si>
  <si>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</si>
  <si>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</si>
  <si>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</si>
  <si>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</si>
  <si>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</si>
  <si>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</si>
  <si>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</si>
  <si>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</si>
  <si>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</si>
  <si>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</si>
  <si>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</si>
  <si>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</si>
  <si>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</si>
  <si>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</si>
  <si>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</si>
  <si>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</si>
  <si>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</si>
  <si>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</si>
  <si>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</si>
  <si>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</si>
  <si>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</si>
  <si>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</si>
  <si>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</si>
  <si>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</si>
  <si>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</si>
  <si>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</si>
  <si>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</si>
  <si>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</si>
  <si>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</si>
  <si>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</si>
  <si>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</si>
  <si>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</si>
  <si>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</si>
  <si>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</si>
  <si>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</si>
  <si>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</si>
  <si>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</si>
  <si>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</si>
  <si>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</si>
  <si>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</si>
  <si>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</si>
  <si>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</si>
  <si>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</si>
  <si>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</si>
  <si>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</si>
  <si>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</si>
  <si>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</si>
  <si>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</si>
  <si>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</si>
  <si>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</si>
  <si>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</si>
  <si>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</si>
  <si>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</si>
  <si>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</si>
  <si>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</si>
  <si>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</si>
  <si>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</si>
  <si>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</si>
  <si>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</si>
  <si>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</si>
  <si>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</si>
  <si>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</si>
  <si>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</si>
  <si>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</si>
  <si>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</si>
  <si>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</si>
  <si>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</si>
  <si>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</si>
  <si>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</si>
  <si>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</si>
  <si>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</si>
  <si>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</si>
  <si>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</si>
  <si>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</si>
  <si>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</si>
  <si>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</si>
  <si>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</si>
  <si>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</si>
  <si>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</si>
  <si>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</si>
  <si>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</si>
  <si>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</si>
  <si>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</si>
  <si>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</si>
  <si>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</si>
  <si>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</si>
  <si>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</si>
  <si>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</si>
  <si>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</si>
  <si>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</si>
  <si>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</si>
  <si>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</si>
  <si>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</si>
  <si>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</si>
  <si>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</si>
  <si>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</si>
  <si>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</si>
  <si>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</si>
  <si>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</si>
  <si>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</si>
  <si>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</si>
  <si>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</si>
  <si>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</si>
  <si>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</si>
  <si>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</si>
  <si>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</si>
  <si>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</si>
  <si>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</si>
  <si>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</si>
  <si>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</si>
  <si>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</si>
  <si>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</si>
  <si>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</si>
  <si>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</si>
  <si>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</si>
  <si>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</si>
  <si>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</si>
  <si>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</si>
  <si>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</si>
  <si>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</si>
  <si>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</si>
  <si>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</si>
  <si>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</si>
  <si>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</si>
  <si>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</si>
  <si>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</si>
  <si>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</si>
  <si>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</si>
  <si>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</si>
  <si>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</si>
  <si>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</si>
  <si>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</si>
  <si>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</si>
  <si>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</si>
  <si>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</si>
  <si>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</si>
  <si>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</si>
  <si>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</si>
  <si>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</si>
  <si>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</si>
  <si>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</si>
  <si>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</si>
  <si>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</si>
  <si>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</si>
  <si>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</si>
  <si>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</si>
  <si>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</si>
  <si>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</si>
  <si>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</si>
  <si>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</si>
  <si>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</si>
  <si>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</si>
  <si>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</si>
  <si>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</si>
  <si>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</si>
  <si>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</si>
  <si>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</si>
  <si>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</si>
  <si>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</si>
  <si>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</si>
  <si>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</si>
  <si>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</si>
  <si>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</si>
  <si>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</si>
  <si>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</si>
  <si>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</si>
  <si>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</si>
  <si>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</si>
  <si>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</si>
  <si>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</si>
  <si>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</si>
  <si>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</si>
  <si>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</si>
  <si>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</si>
  <si>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</si>
  <si>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</si>
  <si>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</si>
  <si>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</si>
  <si>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</si>
  <si>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</si>
  <si>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</si>
  <si>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</si>
  <si>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</si>
  <si>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</si>
  <si>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</si>
  <si>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</si>
  <si>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</si>
  <si>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</si>
  <si>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</si>
  <si>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</si>
  <si>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</si>
  <si>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</si>
  <si>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</si>
  <si>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</si>
  <si>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</si>
  <si>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</si>
  <si>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</si>
  <si>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</si>
  <si>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</si>
  <si>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</si>
  <si>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</si>
  <si>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</si>
  <si>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</si>
  <si>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</si>
  <si>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</si>
  <si>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</si>
  <si>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</si>
  <si>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</si>
  <si>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</si>
  <si>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</si>
  <si>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</si>
  <si>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</si>
  <si>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</si>
  <si>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</si>
  <si>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</si>
  <si>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</si>
  <si>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</si>
  <si>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</si>
  <si>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</si>
  <si>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</si>
  <si>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</si>
  <si>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</si>
  <si>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</si>
  <si>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</si>
  <si>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</si>
  <si>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</si>
  <si>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</si>
  <si>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</si>
  <si>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</si>
  <si>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</si>
  <si>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</si>
  <si>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</si>
  <si>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</si>
  <si>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</si>
  <si>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</si>
  <si>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</si>
  <si>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</si>
  <si>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</si>
  <si>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</si>
  <si>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</si>
  <si>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</si>
  <si>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</si>
  <si>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</si>
  <si>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</si>
  <si>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</si>
  <si>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</si>
  <si>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</si>
  <si>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</si>
  <si>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</si>
  <si>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</si>
  <si>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</si>
  <si>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</si>
  <si>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</si>
  <si>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</si>
  <si>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</si>
  <si>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</si>
  <si>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</si>
  <si>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</si>
  <si>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</si>
  <si>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</si>
  <si>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</si>
  <si>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</si>
  <si>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</si>
  <si>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</si>
  <si>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</si>
  <si>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</si>
  <si>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</si>
  <si>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</si>
  <si>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</si>
  <si>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</si>
  <si>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</si>
  <si>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</si>
  <si>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</si>
  <si>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</si>
  <si>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</si>
  <si>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</si>
  <si>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</si>
  <si>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</si>
  <si>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</si>
  <si>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</si>
  <si>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</si>
  <si>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</si>
  <si>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</si>
  <si>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</si>
  <si>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</si>
  <si>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</si>
  <si>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</si>
  <si>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</si>
  <si>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</si>
  <si>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</si>
  <si>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</si>
  <si>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</si>
  <si>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</si>
  <si>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</si>
  <si>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</si>
  <si>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</si>
  <si>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</si>
  <si>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</si>
  <si>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</si>
  <si>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</si>
  <si>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</si>
  <si>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</si>
  <si>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</si>
  <si>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</si>
  <si>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</si>
  <si>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</si>
  <si>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</si>
  <si>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</si>
  <si>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</si>
  <si>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</si>
  <si>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</si>
  <si>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</si>
  <si>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</si>
  <si>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</si>
  <si>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</si>
  <si>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</si>
  <si>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</si>
  <si>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</si>
  <si>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</si>
  <si>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</si>
  <si>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</si>
  <si>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</si>
  <si>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</si>
  <si>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</si>
  <si>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</si>
  <si>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</si>
  <si>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</si>
  <si>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</si>
  <si>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</si>
  <si>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</si>
  <si>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</si>
  <si>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</si>
  <si>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</si>
  <si>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</si>
  <si>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</si>
  <si>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</si>
  <si>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</si>
  <si>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</si>
  <si>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</si>
  <si>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</si>
  <si>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</si>
  <si>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</si>
  <si>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</si>
  <si>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</si>
  <si>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</si>
  <si>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</si>
  <si>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</si>
  <si>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</si>
  <si>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</si>
  <si>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</si>
  <si>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</si>
  <si>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</si>
  <si>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</si>
  <si>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</si>
  <si>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</si>
  <si>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</si>
  <si>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</si>
  <si>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</si>
  <si>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</si>
  <si>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</si>
  <si>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</si>
  <si>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</si>
  <si>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</si>
  <si>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</si>
  <si>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</si>
  <si>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</si>
  <si>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</si>
  <si>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</si>
  <si>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</si>
  <si>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</si>
  <si>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</si>
  <si>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</si>
  <si>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</si>
  <si>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</si>
  <si>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</si>
  <si>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</si>
  <si>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</si>
  <si>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</si>
  <si>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</si>
  <si>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</si>
  <si>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</si>
  <si>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</si>
  <si>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</si>
  <si>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</si>
  <si>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</si>
  <si>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</si>
  <si>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</si>
  <si>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</si>
  <si>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</si>
  <si>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</si>
  <si>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</si>
  <si>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</si>
  <si>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</si>
  <si>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</si>
  <si>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</si>
  <si>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</si>
  <si>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</si>
  <si>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</si>
  <si>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</si>
  <si>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</si>
  <si>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</si>
  <si>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</si>
  <si>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</si>
  <si>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</si>
  <si>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</si>
  <si>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</si>
  <si>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</si>
  <si>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</si>
  <si>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</si>
  <si>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</si>
  <si>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</si>
  <si>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</si>
  <si>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</si>
  <si>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</si>
  <si>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</si>
  <si>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</si>
  <si>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</si>
  <si>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</si>
  <si>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</si>
  <si>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</si>
  <si>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</si>
  <si>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</si>
  <si>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</si>
  <si>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</si>
  <si>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</si>
  <si>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</si>
  <si>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</si>
  <si>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</si>
  <si>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</si>
  <si>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</si>
  <si>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</si>
  <si>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</si>
  <si>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</si>
  <si>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</si>
  <si>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</si>
  <si>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</si>
  <si>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</si>
  <si>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</si>
  <si>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</si>
  <si>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</si>
  <si>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</si>
  <si>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</si>
  <si>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</si>
  <si>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</si>
  <si>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</si>
  <si>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</si>
  <si>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</si>
  <si>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</si>
  <si>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</si>
  <si>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</si>
  <si>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</si>
  <si>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</si>
  <si>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</si>
  <si>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</si>
  <si>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</si>
  <si>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</si>
  <si>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</si>
  <si>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</si>
  <si>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</si>
  <si>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</si>
  <si>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</si>
  <si>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</si>
  <si>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</si>
  <si>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</si>
  <si>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</si>
  <si>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</si>
  <si>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</si>
  <si>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</si>
  <si>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</si>
  <si>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</si>
  <si>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</si>
  <si>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</si>
  <si>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</si>
  <si>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</si>
  <si>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</si>
  <si>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</si>
  <si>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</si>
  <si>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</si>
  <si>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</si>
  <si>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</si>
  <si>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</si>
  <si>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</si>
  <si>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</si>
  <si>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</si>
  <si>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</si>
  <si>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</si>
  <si>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</si>
  <si>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</si>
  <si>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</si>
  <si>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</si>
  <si>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</si>
  <si>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</si>
  <si>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</si>
  <si>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</si>
  <si>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</si>
  <si>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</si>
  <si>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</si>
  <si>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</si>
  <si>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</si>
  <si>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</si>
  <si>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</si>
  <si>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</si>
  <si>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</si>
  <si>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</si>
  <si>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</si>
  <si>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</si>
  <si>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</si>
  <si>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</si>
  <si>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</si>
  <si>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</si>
  <si>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</si>
  <si>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</si>
  <si>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</si>
  <si>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</si>
  <si>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</si>
  <si>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</si>
  <si>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</si>
  <si>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</si>
  <si>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</si>
  <si>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</si>
  <si>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</si>
  <si>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</si>
  <si>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</si>
  <si>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</si>
  <si>
    <t>OSLO</t>
  </si>
  <si>
    <t>REITS</t>
  </si>
  <si>
    <t>Normal</t>
  </si>
  <si>
    <t>Type</t>
  </si>
  <si>
    <t>Dividend</t>
  </si>
  <si>
    <t>All share</t>
  </si>
  <si>
    <t>Transatlantic Sect</t>
  </si>
  <si>
    <t>Moody's</t>
  </si>
  <si>
    <t>To do:</t>
  </si>
  <si>
    <t>Euronext US Utilities PR</t>
  </si>
  <si>
    <t>UUTI</t>
  </si>
  <si>
    <t>Euronext US Telecommunications PR</t>
  </si>
  <si>
    <t>UTEL</t>
  </si>
  <si>
    <t>Euronext US Technology PR</t>
  </si>
  <si>
    <t>UTEC</t>
  </si>
  <si>
    <t>Euronext US Industrials PR</t>
  </si>
  <si>
    <t>UIND</t>
  </si>
  <si>
    <t>Euronext US Basic Materials PR</t>
  </si>
  <si>
    <t>US Sectorial</t>
  </si>
  <si>
    <t>Developed World Real Estate</t>
  </si>
  <si>
    <t>Transatlantic Sectorial</t>
  </si>
  <si>
    <t>GICP</t>
  </si>
  <si>
    <t>Eurozone Sectorial</t>
  </si>
  <si>
    <t>EBSWP EBSPW</t>
  </si>
  <si>
    <t>TECHP ENRGP UTIL BASM FINA CSTA TELEP HEAC INDU CDIS</t>
  </si>
  <si>
    <t>TBMA TCDI TCST TENR TFINP THEC TIND TTEC TTEL TUTI</t>
  </si>
  <si>
    <t>UUTI UTEL UTEC UIND UHEC UFIN UENR UCST UCDI UBMA</t>
  </si>
  <si>
    <t>DWREP DEREP DAREP EUREP</t>
  </si>
  <si>
    <t>ESVEP</t>
  </si>
  <si>
    <t>SEZTP</t>
  </si>
  <si>
    <t>EPSP</t>
  </si>
  <si>
    <t>Check</t>
  </si>
  <si>
    <t>EN Global Industry Champions 30</t>
  </si>
  <si>
    <t>Annual</t>
  </si>
  <si>
    <t>Prelim</t>
  </si>
  <si>
    <t>Not in Dataiku</t>
  </si>
  <si>
    <t>annual</t>
  </si>
  <si>
    <t>annually</t>
  </si>
  <si>
    <t>98% index</t>
  </si>
  <si>
    <t>Frequency</t>
  </si>
  <si>
    <t>Review</t>
  </si>
  <si>
    <t>EGSPP</t>
  </si>
  <si>
    <t xml:space="preserve">Euronext Core Europe 30 ESG EW </t>
  </si>
  <si>
    <t xml:space="preserve">Euronext Eurozone 40 EW </t>
  </si>
  <si>
    <t xml:space="preserve">Euronext Founding Members Europe 50 EW </t>
  </si>
  <si>
    <t>Euronext® Europe Sustainable 100 EW</t>
  </si>
  <si>
    <t>Euronext® Eurozone Energy Transition Leaders 50 EW</t>
  </si>
  <si>
    <t>Euronext® Eurozone ESG Leaders 40 EW</t>
  </si>
  <si>
    <t>Euronext® France ESG Leaders 40 EW</t>
  </si>
  <si>
    <t>Euronext CDP Environment France EW</t>
  </si>
  <si>
    <t xml:space="preserve">Euronext France 20-40 Challengers EW </t>
  </si>
  <si>
    <t xml:space="preserve">Euronext France Next 40 EW </t>
  </si>
  <si>
    <t xml:space="preserve">Euronext France 20 EW </t>
  </si>
  <si>
    <t>CAC Large 60 Responsible Investment SW</t>
  </si>
  <si>
    <t>Euronext CDP Environment ESG Eurozone EW</t>
  </si>
  <si>
    <t xml:space="preserve">Euronext Water and Ocean Europe 40 EW </t>
  </si>
  <si>
    <t xml:space="preserve">Euronext Green Planet E </t>
  </si>
  <si>
    <t>EN Sovereign Economy Selection Eurozone 50</t>
  </si>
  <si>
    <t>EN US Screened Climate Ambition 25 EW USD</t>
  </si>
  <si>
    <t>Euronext® Global Health Care 50 EW ESG</t>
  </si>
  <si>
    <t>EN ESG Biodiversity Screened Transatlantic 80</t>
  </si>
  <si>
    <t>EN TRANSATLANTIC</t>
  </si>
  <si>
    <t>EN EZ Transatlantic</t>
  </si>
  <si>
    <t>EN PAB Transatlantic 50</t>
  </si>
  <si>
    <t>Euronext Eurozone Small Cap Index</t>
  </si>
  <si>
    <t>NLIX00005206</t>
  </si>
  <si>
    <t>NLIX00005115</t>
  </si>
  <si>
    <t>NLIX00004936</t>
  </si>
  <si>
    <t>NLIX00005081</t>
  </si>
  <si>
    <t>NLIX00005230</t>
  </si>
  <si>
    <t>Euronext Souveraineté Européenne</t>
  </si>
  <si>
    <t>FRCLIM000403</t>
  </si>
  <si>
    <t>Euronext Eurozone Select PAB 50</t>
  </si>
  <si>
    <t>NLIX00005271</t>
  </si>
  <si>
    <t xml:space="preserve">EN Multi Sector Eurozone Top 20 </t>
  </si>
  <si>
    <t>FRCLIM000445</t>
  </si>
  <si>
    <t>Euronext Green Solutions PAB</t>
  </si>
  <si>
    <t>NLIX00005321</t>
  </si>
  <si>
    <t>Euronext Global Industry Champions 30</t>
  </si>
  <si>
    <t>ISIN</t>
  </si>
  <si>
    <t>Third Friday of March, June, September, December</t>
  </si>
  <si>
    <t>Third Friday of March, September</t>
  </si>
  <si>
    <t>Third Friday of September</t>
  </si>
  <si>
    <t>1. Blue Chip</t>
  </si>
  <si>
    <t>2.6 Normal index</t>
  </si>
  <si>
    <t>1.5 AEX/CAC</t>
  </si>
  <si>
    <t>CAC/AEX Equal Weight</t>
  </si>
  <si>
    <t>Bene40 Equal Weight</t>
  </si>
  <si>
    <t>SBF 80</t>
  </si>
  <si>
    <t>Cac 40 Governance</t>
  </si>
  <si>
    <t>1.6 Core</t>
  </si>
  <si>
    <t>Core Europe</t>
  </si>
  <si>
    <t>France German Leaders 50 EW</t>
  </si>
  <si>
    <t>France German Leaders 50</t>
  </si>
  <si>
    <t>1.8 Eurozone</t>
  </si>
  <si>
    <t>Eurozone 40 EW</t>
  </si>
  <si>
    <t>Eurozone 2</t>
  </si>
  <si>
    <t>Founding Members</t>
  </si>
  <si>
    <t>Europe Sustainable 100</t>
  </si>
  <si>
    <t>Eurozone Energy Transition Leaders 50</t>
  </si>
  <si>
    <t>2.5 ESG Leaders</t>
  </si>
  <si>
    <t>Eurozone ESG Leaders 40</t>
  </si>
  <si>
    <t>France Energy Transition Leaders 40</t>
  </si>
  <si>
    <t>France ESG Leaders 40</t>
  </si>
  <si>
    <t>Euronext ESG Euro 50</t>
  </si>
  <si>
    <t xml:space="preserve">France Eurozone 60 </t>
  </si>
  <si>
    <t>Eurozone</t>
  </si>
  <si>
    <t>2.0 CDP</t>
  </si>
  <si>
    <t>CDP Environment France</t>
  </si>
  <si>
    <t>Eurozone 100 ESG</t>
  </si>
  <si>
    <t>Euronext France 20-40 Challengers</t>
  </si>
  <si>
    <t>France Next 40</t>
  </si>
  <si>
    <t>France 20</t>
  </si>
  <si>
    <t>CDP Environ. France ex Oil &amp; Gas</t>
  </si>
  <si>
    <t>SBF Top 50 ESG</t>
  </si>
  <si>
    <t>2.2 Responsible Investment</t>
  </si>
  <si>
    <t>Responsible Investment CAC Large 60</t>
  </si>
  <si>
    <t>Responsible Investment Euronext France 40</t>
  </si>
  <si>
    <t>Transatlantic 50 EW</t>
  </si>
  <si>
    <t>Responsible Investment Euro 50</t>
  </si>
  <si>
    <t>CDP Environment Eurozone</t>
  </si>
  <si>
    <t>CDP Environment World</t>
  </si>
  <si>
    <t>Euro 50 Social Governance</t>
  </si>
  <si>
    <t xml:space="preserve">Euronext Transatlantic ESG Leaders 60 </t>
  </si>
  <si>
    <t>Euronext CDP Environment ESG France</t>
  </si>
  <si>
    <t>Euronext Green Planet</t>
  </si>
  <si>
    <t>Euronext France ESG Leaders Select 30</t>
  </si>
  <si>
    <t>1.7 Product linked</t>
  </si>
  <si>
    <t>Euronext Core Euro &amp; Global Climate Change</t>
  </si>
  <si>
    <t>Equity Certificate Indices</t>
  </si>
  <si>
    <t xml:space="preserve">Investable Sector Indices </t>
  </si>
  <si>
    <t>Oslo Custom Indices</t>
  </si>
  <si>
    <t>Euronext CDP Water Eurozone</t>
  </si>
  <si>
    <t>Eurozone ESGL 40</t>
  </si>
  <si>
    <t>US ESGL 20</t>
  </si>
  <si>
    <t>Eurozone Banks</t>
  </si>
  <si>
    <t>1.3 PAB</t>
  </si>
  <si>
    <t>1.2 World</t>
  </si>
  <si>
    <t>1.21 World</t>
  </si>
  <si>
    <t>EN V E ESG World-Select 75 Bund/SV</t>
  </si>
  <si>
    <t>Euronext V E Eurozone Social Focus</t>
  </si>
  <si>
    <t>2.3 Screened Climate</t>
  </si>
  <si>
    <t>2.1 Biodiversity</t>
  </si>
  <si>
    <t>EN Euro Large Cap Biodiversity 
Leaders 30</t>
  </si>
  <si>
    <t>2.71 Marketing index</t>
  </si>
  <si>
    <t>1.4 SBT</t>
  </si>
  <si>
    <t>CAC SBT 1 5</t>
  </si>
  <si>
    <t>EU SBT 1.5 </t>
  </si>
  <si>
    <t>Biodiversity Enablers World</t>
  </si>
  <si>
    <t>Biodiversity Screened World</t>
  </si>
  <si>
    <t>France Climate Screened</t>
  </si>
  <si>
    <t>Cybersecurity World</t>
  </si>
  <si>
    <t>PAB North America</t>
  </si>
  <si>
    <t>Transatlantic PAB 50</t>
  </si>
  <si>
    <t>EN PAB TR 50</t>
  </si>
  <si>
    <t>1.22 Euronext Developed World</t>
  </si>
  <si>
    <t>Euronext Developed Canada</t>
  </si>
  <si>
    <t>Euronext Developed Japan</t>
  </si>
  <si>
    <t>Euronext Developed Switzerland</t>
  </si>
  <si>
    <t>Euronext Developed UK</t>
  </si>
  <si>
    <t>Euronext Developed USA</t>
  </si>
  <si>
    <t>2.55 Euronext Invest In France</t>
  </si>
  <si>
    <t>Euronext Invest In France Low Vol</t>
  </si>
  <si>
    <t>2.7 Sectorial index</t>
  </si>
  <si>
    <t>Eurozone Sectorial Indices</t>
  </si>
  <si>
    <t>Transatlantic Sectorial Indices</t>
  </si>
  <si>
    <t>Real Estate Sectorial Indices</t>
  </si>
  <si>
    <t>US Sectorial Indices</t>
  </si>
  <si>
    <t>Last trading-day of March</t>
  </si>
  <si>
    <t>Last trading-day of March, June, September, December</t>
  </si>
  <si>
    <t>Last trading-day of June</t>
  </si>
  <si>
    <t>Third Friday of March</t>
  </si>
  <si>
    <t>Second Friday of January, April, July, October</t>
  </si>
  <si>
    <t>Third Friday of December</t>
  </si>
  <si>
    <t>Wednesday after the Third Friday of March, June, September, December</t>
  </si>
  <si>
    <t>Second Friday of October</t>
  </si>
  <si>
    <t>Second Friday of April</t>
  </si>
  <si>
    <t>Third Friday of June, December</t>
  </si>
  <si>
    <t>Third Friday of June</t>
  </si>
  <si>
    <t>Group</t>
  </si>
  <si>
    <t>SuperGroup</t>
  </si>
  <si>
    <t>Inception Date</t>
  </si>
  <si>
    <t>Delisting Date</t>
  </si>
  <si>
    <t>Number of effective dates per review</t>
  </si>
  <si>
    <t>First Review Effective Date 
(after close of the ... )</t>
  </si>
  <si>
    <t>Cut off Date(s)
(after close of the ... )</t>
  </si>
  <si>
    <t>Review Announcement Date 
(n. days before eff date)</t>
  </si>
  <si>
    <t>Review Composition Date
(n. days before eff date)</t>
  </si>
  <si>
    <t>Review Weighting Date 
(n. days before eff date)</t>
  </si>
  <si>
    <r>
      <t xml:space="preserve">Free float start date 
(n. days before </t>
    </r>
    <r>
      <rPr>
        <b/>
        <sz val="11"/>
        <color rgb="FFFF0000"/>
        <rFont val="Calibri"/>
        <family val="2"/>
        <scheme val="minor"/>
      </rPr>
      <t>cutoff</t>
    </r>
    <r>
      <rPr>
        <b/>
        <sz val="11"/>
        <color theme="1"/>
        <rFont val="Calibri"/>
        <family val="2"/>
        <scheme val="minor"/>
      </rPr>
      <t>)</t>
    </r>
  </si>
  <si>
    <t>Universe</t>
  </si>
  <si>
    <t>Data vendor(s)</t>
  </si>
  <si>
    <t>Packages</t>
  </si>
  <si>
    <t>Comments</t>
  </si>
  <si>
    <t>Responsible 1</t>
  </si>
  <si>
    <t>Method 1</t>
  </si>
  <si>
    <t>Responsible 2</t>
  </si>
  <si>
    <t>Method 2</t>
  </si>
  <si>
    <t xml:space="preserve">Will be in Agenda Review? </t>
  </si>
  <si>
    <t>Mnemos in group (price only)</t>
  </si>
  <si>
    <t>Effective String 1</t>
  </si>
  <si>
    <t>Effective String 2</t>
  </si>
  <si>
    <t>Effective String 3</t>
  </si>
  <si>
    <t>Effective String 4</t>
  </si>
  <si>
    <t>Effective String 5</t>
  </si>
  <si>
    <t>Effective String 6</t>
  </si>
  <si>
    <t>Effective String 7</t>
  </si>
  <si>
    <t>Effective String 8</t>
  </si>
  <si>
    <t>Effective String 9</t>
  </si>
  <si>
    <t>Effective String 10</t>
  </si>
  <si>
    <t>Effective String 11</t>
  </si>
  <si>
    <t>Effective String 12</t>
  </si>
  <si>
    <t>Effective Date 1</t>
  </si>
  <si>
    <t>Effective Date 2</t>
  </si>
  <si>
    <t>Effective Date 3</t>
  </si>
  <si>
    <t>Effective Date 4</t>
  </si>
  <si>
    <t>Effective Date 5</t>
  </si>
  <si>
    <t>Effective Date 6</t>
  </si>
  <si>
    <t>Effective Date 7</t>
  </si>
  <si>
    <t>Effective Date 8</t>
  </si>
  <si>
    <t>Effective Date 9</t>
  </si>
  <si>
    <t>Effective Date 10</t>
  </si>
  <si>
    <t>Effective Date 11</t>
  </si>
  <si>
    <t>Effective Date 12</t>
  </si>
  <si>
    <t>Effective Date 13</t>
  </si>
  <si>
    <t>Effective Date 14</t>
  </si>
  <si>
    <t>Effective Date 15</t>
  </si>
  <si>
    <t>Effective Date 16</t>
  </si>
  <si>
    <t>Effective Date 17</t>
  </si>
  <si>
    <t>Effective Date 18</t>
  </si>
  <si>
    <t>Effective Date 19</t>
  </si>
  <si>
    <t>Effective Date 20</t>
  </si>
  <si>
    <t>Cutoff String 1</t>
  </si>
  <si>
    <t>Cutoff String 2</t>
  </si>
  <si>
    <t>Cutoff String 3</t>
  </si>
  <si>
    <t>Cutoff String 4</t>
  </si>
  <si>
    <t>Cutoff String 5</t>
  </si>
  <si>
    <t>Cutoff String 6</t>
  </si>
  <si>
    <t>Cutoff String 7</t>
  </si>
  <si>
    <t>Cutoff String 8</t>
  </si>
  <si>
    <t>Cutoff String 9</t>
  </si>
  <si>
    <t>Cutoff String 10</t>
  </si>
  <si>
    <t>Cutoff String 11</t>
  </si>
  <si>
    <t>Cutoff String 12</t>
  </si>
  <si>
    <t>Cutoff Date 1</t>
  </si>
  <si>
    <t>Cutoff Date 2</t>
  </si>
  <si>
    <t>Cutoff Date 3</t>
  </si>
  <si>
    <t>Cutoff Date 4</t>
  </si>
  <si>
    <t>Cutoff Date 5</t>
  </si>
  <si>
    <t>Cutoff Date 6</t>
  </si>
  <si>
    <t>Cutoff Date 7</t>
  </si>
  <si>
    <t>Cutoff Date 8</t>
  </si>
  <si>
    <t>Cutoff Date 9</t>
  </si>
  <si>
    <t>Cutoff Date 10</t>
  </si>
  <si>
    <t>Cutoff Date 11</t>
  </si>
  <si>
    <t>Cutoff Date 12</t>
  </si>
  <si>
    <t>Announcement date 1</t>
  </si>
  <si>
    <t>Announcement date 2</t>
  </si>
  <si>
    <t>Announcement date 3</t>
  </si>
  <si>
    <t>Announcement date 4</t>
  </si>
  <si>
    <t>Announcement date 5</t>
  </si>
  <si>
    <t>Announcement date 6</t>
  </si>
  <si>
    <t>Announcement date 7</t>
  </si>
  <si>
    <t>Announcement date 8</t>
  </si>
  <si>
    <t>Announcement date 9</t>
  </si>
  <si>
    <t>Announcement date 10</t>
  </si>
  <si>
    <t>Announcement date 11</t>
  </si>
  <si>
    <t>Announcement date 12</t>
  </si>
  <si>
    <t>Composition date 1</t>
  </si>
  <si>
    <t>Composition date 2</t>
  </si>
  <si>
    <t>Composition date 3</t>
  </si>
  <si>
    <t>Composition date 4</t>
  </si>
  <si>
    <t>Composition date 5</t>
  </si>
  <si>
    <t>Composition date 6</t>
  </si>
  <si>
    <t>Composition date 7</t>
  </si>
  <si>
    <t>Composition date 8</t>
  </si>
  <si>
    <t>Composition date 9</t>
  </si>
  <si>
    <t>Composition date 10</t>
  </si>
  <si>
    <t>Composition date 11</t>
  </si>
  <si>
    <t>Composition date 12</t>
  </si>
  <si>
    <t>Free float date 1</t>
  </si>
  <si>
    <t>Free float date 2</t>
  </si>
  <si>
    <t>Free float date 3</t>
  </si>
  <si>
    <t>Free float date 4</t>
  </si>
  <si>
    <t>Free float date 5</t>
  </si>
  <si>
    <t>Free float date 6</t>
  </si>
  <si>
    <t>Free float date 7</t>
  </si>
  <si>
    <t>Free float date 8</t>
  </si>
  <si>
    <t>Free float date 9</t>
  </si>
  <si>
    <t>Free float date 10</t>
  </si>
  <si>
    <t>Free float date 11</t>
  </si>
  <si>
    <t>Free float date 12</t>
  </si>
  <si>
    <t>Effective dates in a year</t>
  </si>
  <si>
    <t>Cutoff dates in year</t>
  </si>
  <si>
    <t>Announcements in year</t>
  </si>
  <si>
    <t>Composition dates in year</t>
  </si>
  <si>
    <t>Free float start dates</t>
  </si>
  <si>
    <t>Total Dates counter</t>
  </si>
  <si>
    <t>Id</t>
  </si>
  <si>
    <t>Id stop</t>
  </si>
  <si>
    <t>Reason why it's not in dataiku yet</t>
  </si>
  <si>
    <t>Dataiku first release</t>
  </si>
  <si>
    <t>Year</t>
  </si>
  <si>
    <t>Month</t>
  </si>
  <si>
    <t>Price</t>
  </si>
  <si>
    <t>Penultimate Friday of February, May, August, November</t>
  </si>
  <si>
    <t>NXTG</t>
  </si>
  <si>
    <t>Lex</t>
  </si>
  <si>
    <t>New Sheet</t>
  </si>
  <si>
    <t>Automatic</t>
  </si>
  <si>
    <t>Dataiku</t>
  </si>
  <si>
    <t>AEXEW CACEW CLEW</t>
  </si>
  <si>
    <t>Penultimate Friday of February</t>
  </si>
  <si>
    <t>Penultimate Friday of May</t>
  </si>
  <si>
    <t>Penultimate Friday of August</t>
  </si>
  <si>
    <t>Penultimate Friday of November</t>
  </si>
  <si>
    <t/>
  </si>
  <si>
    <t>PAR</t>
  </si>
  <si>
    <t>Query rates from Vigeo Eiris rates on cut-off date</t>
  </si>
  <si>
    <t>Mother index Eurozone 300 can be used as underlying universe (not in rulebook)</t>
  </si>
  <si>
    <t>Amanda</t>
  </si>
  <si>
    <t>Edwin</t>
  </si>
  <si>
    <t>EC1EW COR3P CEE3P CEE1P</t>
  </si>
  <si>
    <t>Mother index Eurozone 300 can be used as underlying (not in rulebook). Review spread over 2 days.</t>
  </si>
  <si>
    <t>Underlying universe is mother index Eurozone 300</t>
  </si>
  <si>
    <t>Anna</t>
  </si>
  <si>
    <t>Mother index Eurozone 300 can be used as underlying (not in rulebook)</t>
  </si>
  <si>
    <t>Ginevra</t>
  </si>
  <si>
    <t>Underlying is mother index Europe 500</t>
  </si>
  <si>
    <t>Ken</t>
  </si>
  <si>
    <t>Second Friday of January</t>
  </si>
  <si>
    <t>Second Friday of July</t>
  </si>
  <si>
    <t>Underlying universe is mother index Eurozone 300. Review spread over 2 days.</t>
  </si>
  <si>
    <t>Underlying universe is mother index Eurozone 300, Vigeo Eiris is providing the ESG scores</t>
  </si>
  <si>
    <t>EZ15P EZN1P</t>
  </si>
  <si>
    <t>CDP</t>
  </si>
  <si>
    <t>CDP provides CDP score; annual review in March. Only Review Announcement at Annual.</t>
  </si>
  <si>
    <t>Underlying universe is mother index Eurozone 300, ESG scores provided</t>
  </si>
  <si>
    <t>Selection out of SBF120</t>
  </si>
  <si>
    <t>Selection out of CAC40</t>
  </si>
  <si>
    <t>Underlying is the SBF120</t>
  </si>
  <si>
    <t>ISS ESG</t>
  </si>
  <si>
    <t>Underlying is CAC40 and Large 60</t>
  </si>
  <si>
    <t>Underlying universe is mother index Eurozone 300 + 50 largest FF Mcap US; Composition to be announced on Wednesday on base of Tuesday close</t>
  </si>
  <si>
    <t>Underlying Universe in Mother index Eurozone 300; CDP provides CDP score; annual review in March. Only Review Announcement at Annual.</t>
  </si>
  <si>
    <t>CUSTOM</t>
  </si>
  <si>
    <t>CDP provides CDP score; annual review in March. US index, review composition sent out +1 (Thursday morning instead of Wednesday night). Only Review Announcement at Annual.</t>
  </si>
  <si>
    <t>Underlying is Mother Index Eurozone 300</t>
  </si>
  <si>
    <t>CDP;Moody's</t>
  </si>
  <si>
    <t>3 day upload!</t>
  </si>
  <si>
    <t>Martijn</t>
  </si>
  <si>
    <t>Underlying Universe in Mother index Europe 500</t>
  </si>
  <si>
    <t>Wednesday after the Third Friday of March</t>
  </si>
  <si>
    <t>Wednesday after the Third Friday of June</t>
  </si>
  <si>
    <t>Wednesday after the Third Friday of September</t>
  </si>
  <si>
    <t>Wednesday after the Third Friday of December</t>
  </si>
  <si>
    <t>Annual in March; underlying universe is mother index Eurozone 300</t>
  </si>
  <si>
    <t>Universe Europe 500, Asia 500 and North America 500</t>
  </si>
  <si>
    <t>Penultimate Friday of February, August</t>
  </si>
  <si>
    <t>OSL</t>
  </si>
  <si>
    <t>Roland</t>
  </si>
  <si>
    <t>Old Sheet</t>
  </si>
  <si>
    <t>OSEXP OSEEP</t>
  </si>
  <si>
    <t>Kelly</t>
  </si>
  <si>
    <t>OBOSP OBSFP OBSHP</t>
  </si>
  <si>
    <t>OSEPX OSEPB</t>
  </si>
  <si>
    <t>Follows CAC 40. Annual in September, Quarterly in other months</t>
  </si>
  <si>
    <t>Underlying is the Transatlantic ESG Leaders 60 EW</t>
  </si>
  <si>
    <t>Alice</t>
  </si>
  <si>
    <t>EZ300;NA500</t>
  </si>
  <si>
    <t>Underlying is the EZ300 and NA500</t>
  </si>
  <si>
    <t>Underlying is the SBF 120 Index, only Annual review</t>
  </si>
  <si>
    <t>EU500;NA500</t>
  </si>
  <si>
    <t>Underlying is the NA500 and EU500</t>
  </si>
  <si>
    <t>Annual review in March, no quarterly</t>
  </si>
  <si>
    <t>Underlying is EZ300</t>
  </si>
  <si>
    <t>ENXG</t>
  </si>
  <si>
    <t>Underlying is EU500 NA500, AS500 + main listings USA, CAN, UK, CH, JP, AUS</t>
  </si>
  <si>
    <t>Underlying is EU500/NA500/AS500 + JP, AUS, UK, SW, CA, USA // Only Annual in May</t>
  </si>
  <si>
    <t>Underlying is EZ300, alternative effective date</t>
  </si>
  <si>
    <t>Coen</t>
  </si>
  <si>
    <t>ENDM</t>
  </si>
  <si>
    <t>Benchmark index / Mother index.</t>
  </si>
  <si>
    <t>ENDMP EDMPU</t>
  </si>
  <si>
    <t>First Friday of January, April, July, October</t>
  </si>
  <si>
    <t>Underlying is SBF 120, alternative effective schedule</t>
  </si>
  <si>
    <t>First Friday of January</t>
  </si>
  <si>
    <t>First Friday of April</t>
  </si>
  <si>
    <t>First Friday of July</t>
  </si>
  <si>
    <t>First Friday of October</t>
  </si>
  <si>
    <t>Underlying is NA500, EUR version</t>
  </si>
  <si>
    <t>Underlying is NA500, USD version</t>
  </si>
  <si>
    <t>Underlying Euronext Developed Market</t>
  </si>
  <si>
    <t>Iceberg;Sustainalytics</t>
  </si>
  <si>
    <t>Sustainalytics data used, underlying Euronext EZ300</t>
  </si>
  <si>
    <t>Sustainalytics data used, underlying Euronext World</t>
  </si>
  <si>
    <t>Underlying AS500, ISS-ESG Oekom Trust Carbon data used</t>
  </si>
  <si>
    <t>Underlying NA500, ISS-ESG Oekom Trust Carbon data used</t>
  </si>
  <si>
    <t>Carbon4 Finance;Sustainalytics</t>
  </si>
  <si>
    <t>Underlying EZ300, Sustainanalytics data used</t>
  </si>
  <si>
    <t>Underlying is Euronext World Index, Sustainalytics &amp; Iceberg data needed</t>
  </si>
  <si>
    <t>Sustainalytics</t>
  </si>
  <si>
    <t>Semi-annual review, March and September</t>
  </si>
  <si>
    <t>OBXEP OEXOP</t>
  </si>
  <si>
    <t>AMS</t>
  </si>
  <si>
    <t>Annual Review in March</t>
  </si>
  <si>
    <t>Only Annual in March</t>
  </si>
  <si>
    <t>Iceberg;Moody's</t>
  </si>
  <si>
    <t>Also Review Weighting Announcement Date</t>
  </si>
  <si>
    <t>Only Annual in April</t>
  </si>
  <si>
    <t>CDP;Moody's;Sustainalytics</t>
  </si>
  <si>
    <t>Review 5 parts (effectuate first 5 trading dates). Announce new divisor last trading day.</t>
  </si>
  <si>
    <t>Last trading-day of September</t>
  </si>
  <si>
    <t>Last trading-day of December</t>
  </si>
  <si>
    <t>Equileap;ISS ESG</t>
  </si>
  <si>
    <t>Annual in January</t>
  </si>
  <si>
    <t>CDP;Sustainalytics</t>
  </si>
  <si>
    <t>Underlying is SBF120</t>
  </si>
  <si>
    <t>Underlying universe is mother index Europe 500 and North America 500</t>
  </si>
  <si>
    <t xml:space="preserve">Underlying are  Euronext® Eurozone 300, North America 500  </t>
  </si>
  <si>
    <t>Annually; companies included in underlying Eurozone 300</t>
  </si>
  <si>
    <t>Underlying is EU500</t>
  </si>
  <si>
    <t>SESAMm;Sustainalytics</t>
  </si>
  <si>
    <t>Iceberg</t>
  </si>
  <si>
    <t>ENWP;EZ300</t>
  </si>
  <si>
    <t>Business France</t>
  </si>
  <si>
    <t>Business France;ISS ESG;SESAMm</t>
  </si>
  <si>
    <t>ISS ESG;Sustainalytics</t>
  </si>
  <si>
    <t>Business France;ISS ESG;SESAMm;Trendeo</t>
  </si>
  <si>
    <t>SECTOR</t>
  </si>
  <si>
    <t>Prelim. Announcement only at annual review (March)</t>
  </si>
  <si>
    <t>Penultimate Friday of May, November</t>
  </si>
  <si>
    <t>Dorval AM;ISS ESG</t>
  </si>
  <si>
    <t>Done</t>
  </si>
  <si>
    <t>Moodys</t>
  </si>
  <si>
    <t xml:space="preserve">Moodys: </t>
  </si>
  <si>
    <t>Other</t>
  </si>
  <si>
    <t>Total Indices</t>
  </si>
  <si>
    <t>Significant</t>
  </si>
  <si>
    <t>Non-Quarterly</t>
  </si>
  <si>
    <t>Coding Notes</t>
  </si>
  <si>
    <t>Used the following datasets</t>
  </si>
  <si>
    <t>Weighting Method</t>
  </si>
  <si>
    <t>Capping</t>
  </si>
  <si>
    <t>Equal Weight</t>
  </si>
  <si>
    <t>AEX;BEL20</t>
  </si>
  <si>
    <t>Main Markets France, Germany, Netherland, Belgium, Luxembourg</t>
  </si>
  <si>
    <t>Fixed Basket</t>
  </si>
  <si>
    <t>BE1P</t>
  </si>
  <si>
    <t>Euronext Banks Eurozone Select 10 EW</t>
  </si>
  <si>
    <t>EIAPR</t>
  </si>
  <si>
    <t>EN Intelligence Artificielle PR</t>
  </si>
  <si>
    <t>DEUPT;EUSPT</t>
  </si>
  <si>
    <t>GSFBP</t>
  </si>
  <si>
    <t>EN Germany Selection Fixed Basket PR</t>
  </si>
  <si>
    <t>EDEFP</t>
  </si>
  <si>
    <t>Euronext Europe Defense Fixed Basket PR</t>
  </si>
  <si>
    <t>AS500;EU500;NA500;EZ300</t>
  </si>
  <si>
    <t>ETPFB</t>
  </si>
  <si>
    <t>Euronext Transatlantic Pharmaceuticals Selection Fixed Basket</t>
  </si>
  <si>
    <t>EES2</t>
  </si>
  <si>
    <t>Euronext European Sovereignty 20 EW</t>
  </si>
  <si>
    <t>ETSEP</t>
  </si>
  <si>
    <t>Euronext Transatlantic Selection Fixed Basket</t>
  </si>
  <si>
    <t>Review Aligned on June</t>
  </si>
  <si>
    <t>Where to find the details file:</t>
  </si>
  <si>
    <t>(4) Folder | Dataiku (Automation)</t>
  </si>
  <si>
    <t>App | Dataiku (Automation)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</si>
</sst>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  <numFmt numFmtId="166" formatCode="dd/mmm/yyyy"/>
  </numFmts>
  <fonts count="13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y"/>
    </font>
    <font>
      <u/>
      <sz val="10"/>
      <color theme="10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2" fillId="0" borderId="0" applyNumberForma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  <xf numFmtId="0" fontId="0" fillId="6" borderId="0" xfId="0" applyFill="1"/>
    <xf numFmtId="0" fontId="0" fillId="0" borderId="8" xfId="0" applyBorder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Fill="1"/>
    <xf numFmtId="16" fontId="0" fillId="0" borderId="0" xfId="0" applyNumberFormat="1"/>
    <xf numFmtId="9" fontId="0" fillId="0" borderId="0" xfId="0" applyNumberFormat="1" applyFont="1"/>
    <xf numFmtId="0" fontId="3" fillId="7" borderId="8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0" xfId="0" applyAlignment="1">
      <alignment wrapText="1"/>
    </xf>
    <xf numFmtId="0" fontId="3" fillId="7" borderId="8" xfId="0" applyFont="1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wrapText="1"/>
    </xf>
    <xf numFmtId="166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0" fillId="0" borderId="9" xfId="0" applyBorder="1" applyProtection="1">
      <protection locked="0"/>
    </xf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166" fontId="0" fillId="0" borderId="10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9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/>
    <xf numFmtId="14" fontId="0" fillId="0" borderId="10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 vertical="center"/>
    </xf>
    <xf numFmtId="166" fontId="10" fillId="0" borderId="0" xfId="0" applyNumberFormat="1" applyFont="1" applyAlignment="1" applyProtection="1">
      <alignment horizontal="center"/>
      <protection locked="0"/>
    </xf>
    <xf numFmtId="0" fontId="3" fillId="7" borderId="11" xfId="0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0" xfId="0" applyFill="1" applyBorder="1"/>
    <xf numFmtId="0" fontId="8" fillId="0" borderId="12" xfId="0" applyFont="1" applyBorder="1"/>
    <xf numFmtId="0" fontId="0" fillId="0" borderId="13" xfId="0" applyBorder="1"/>
    <xf numFmtId="0" fontId="8" fillId="0" borderId="14" xfId="0" applyFont="1" applyBorder="1"/>
    <xf numFmtId="0" fontId="0" fillId="0" borderId="15" xfId="0" applyFont="1" applyBorder="1"/>
    <xf numFmtId="0" fontId="8" fillId="0" borderId="16" xfId="0" applyFont="1" applyBorder="1"/>
    <xf numFmtId="0" fontId="0" fillId="0" borderId="17" xfId="0" applyFont="1" applyBorder="1"/>
    <xf numFmtId="0" fontId="0" fillId="0" borderId="0" xfId="0" applyFont="1" applyFill="1" applyBorder="1"/>
    <xf numFmtId="0" fontId="0" fillId="0" borderId="0" xfId="0" applyFill="1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Border="1"/>
    <xf numFmtId="0" fontId="11" fillId="0" borderId="0" xfId="0" applyFont="1" applyBorder="1"/>
    <xf numFmtId="0" fontId="3" fillId="9" borderId="18" xfId="0" applyFont="1" applyFill="1" applyBorder="1" applyAlignment="1">
      <alignment horizontal="center"/>
    </xf>
    <xf numFmtId="0" fontId="12" fillId="0" borderId="0" xfId="4"/>
  </cellXfs>
  <cellStyles count="5">
    <cellStyle name="20 % - Accent6 2" xfId="3" xr:uid="{375642AE-AE74-4014-A205-3DDDDA7241F4}"/>
    <cellStyle name="Comma" xfId="1" builtinId="3"/>
    <cellStyle name="Hyperlink" xfId="4" builtinId="8"/>
    <cellStyle name="Normal" xfId="0" builtinId="0"/>
    <cellStyle name="Percent" xfId="2" builtinId="5"/>
  </cellStyles>
  <dxfs count="13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rancesco Bernardi" id="{EDAFB5BA-B6E1-4A82-931D-F6E201F88CDF}" userId="S::FBernardi@euronext.com::a30b09c3-a502-44a1-805a-b653f868e439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28">
      <pivotArea outline="0" collapsedLevelsAreSubtotals="1" fieldPosition="0"/>
    </format>
    <format dxfId="27">
      <pivotArea field="3" type="button" dataOnly="0" labelOnly="1" outline="0" axis="axisRow" fieldPosition="0"/>
    </format>
    <format dxfId="26">
      <pivotArea dataOnly="0" labelOnly="1" outline="0" axis="axisValues" fieldPosition="0"/>
    </format>
    <format dxfId="25">
      <pivotArea dataOnly="0" labelOnly="1" fieldPosition="0">
        <references count="1">
          <reference field="3" count="0"/>
        </references>
      </pivotArea>
    </format>
    <format dxfId="24">
      <pivotArea dataOnly="0" labelOnly="1" grandRow="1" outline="0" fieldPosition="0"/>
    </format>
    <format dxfId="23">
      <pivotArea collapsedLevelsAreSubtotals="1" fieldPosition="0">
        <references count="1">
          <reference field="3" count="1">
            <x v="2"/>
          </reference>
        </references>
      </pivotArea>
    </format>
    <format dxfId="22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48">
      <pivotArea dataOnly="0" labelOnly="1" outline="0" axis="axisValues" fieldPosition="0"/>
    </format>
    <format dxfId="47">
      <pivotArea dataOnly="0" labelOnly="1" outline="0" axis="axisValues" fieldPosition="0"/>
    </format>
    <format dxfId="46">
      <pivotArea dataOnly="0" labelOnly="1" outline="0" axis="axisValues" fieldPosition="0"/>
    </format>
    <format dxfId="45">
      <pivotArea dataOnly="0" labelOnly="1" outline="0" axis="axisValues" fieldPosition="0"/>
    </format>
    <format dxfId="44">
      <pivotArea grandRow="1" outline="0" fieldPosition="0"/>
    </format>
    <format dxfId="43">
      <pivotArea dataOnly="0" labelOnly="1" grandRow="1" outline="0" fieldPosition="0"/>
    </format>
    <format dxfId="42">
      <pivotArea grandRow="1" outline="0" fieldPosition="0"/>
    </format>
    <format dxfId="41">
      <pivotArea dataOnly="0" labelOnly="1" grandRow="1" outline="0" fieldPosition="0"/>
    </format>
    <format dxfId="40">
      <pivotArea dataOnly="0" labelOnly="1" grandRow="1" outline="0" fieldPosition="0"/>
    </format>
    <format dxfId="39">
      <pivotArea grandRow="1" outline="0" fieldPosition="0"/>
    </format>
    <format dxfId="38">
      <pivotArea dataOnly="0" labelOnly="1" grandRow="1" outline="0" fieldPosition="0"/>
    </format>
    <format dxfId="37">
      <pivotArea outline="0" fieldPosition="0"/>
    </format>
    <format dxfId="36">
      <pivotArea dataOnly="0" labelOnly="1" grandRow="1" outline="0" fieldPosition="0"/>
    </format>
    <format dxfId="35">
      <pivotArea dataOnly="0" labelOnly="1" outline="0" axis="axisValues" fieldPosition="0"/>
    </format>
    <format dxfId="34">
      <pivotArea dataOnly="0" labelOnly="1" outline="0" axis="axisValues" fieldPosition="0"/>
    </format>
    <format dxfId="33">
      <pivotArea field="1" type="button" dataOnly="0" labelOnly="1" outline="0" axis="axisRow" fieldPosition="0"/>
    </format>
    <format dxfId="32">
      <pivotArea outline="0" fieldPosition="0"/>
    </format>
    <format dxfId="31">
      <pivotArea grandRow="1" outline="0" fieldPosition="0"/>
    </format>
    <format dxfId="30">
      <pivotArea dataOnly="0" labelOnly="1" grandRow="1" outline="0" fieldPosition="0"/>
    </format>
    <format dxfId="29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61">
      <pivotArea collapsedLevelsAreSubtotals="1" fieldPosition="0">
        <references count="1">
          <reference field="7" count="0"/>
        </references>
      </pivotArea>
    </format>
    <format dxfId="60">
      <pivotArea dataOnly="0" labelOnly="1" fieldPosition="0">
        <references count="1">
          <reference field="7" count="0"/>
        </references>
      </pivotArea>
    </format>
    <format dxfId="59">
      <pivotArea collapsedLevelsAreSubtotals="1" fieldPosition="0">
        <references count="1">
          <reference field="7" count="1">
            <x v="6"/>
          </reference>
        </references>
      </pivotArea>
    </format>
    <format dxfId="58">
      <pivotArea dataOnly="0" labelOnly="1" fieldPosition="0">
        <references count="1">
          <reference field="7" count="1">
            <x v="6"/>
          </reference>
        </references>
      </pivotArea>
    </format>
    <format dxfId="57">
      <pivotArea dataOnly="0" labelOnly="1" grandRow="1" outline="0" fieldPosition="0"/>
    </format>
    <format dxfId="56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55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54">
      <pivotArea field="7" type="button" dataOnly="0" labelOnly="1" outline="0" axis="axisRow" fieldPosition="0"/>
    </format>
    <format dxfId="53">
      <pivotArea dataOnly="0" labelOnly="1" outline="0" axis="axisValues" fieldPosition="0"/>
    </format>
    <format dxfId="52">
      <pivotArea grandRow="1" outline="0" collapsedLevelsAreSubtotals="1" fieldPosition="0"/>
    </format>
    <format dxfId="51">
      <pivotArea dataOnly="0" labelOnly="1" grandRow="1" outline="0" fieldPosition="0"/>
    </format>
    <format dxfId="50">
      <pivotArea grandRow="1" outline="0" collapsedLevelsAreSubtotals="1" fieldPosition="0"/>
    </format>
    <format dxfId="4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80">
      <pivotArea dataOnly="0" labelOnly="1" outline="0" axis="axisValues" fieldPosition="0"/>
    </format>
    <format dxfId="79">
      <pivotArea dataOnly="0" labelOnly="1" outline="0" axis="axisValues" fieldPosition="0"/>
    </format>
    <format dxfId="78">
      <pivotArea dataOnly="0" labelOnly="1" outline="0" axis="axisValues" fieldPosition="0"/>
    </format>
    <format dxfId="77">
      <pivotArea dataOnly="0" labelOnly="1" outline="0" axis="axisValues" fieldPosition="0"/>
    </format>
    <format dxfId="76">
      <pivotArea grandRow="1" outline="0" fieldPosition="0"/>
    </format>
    <format dxfId="75">
      <pivotArea dataOnly="0" labelOnly="1" grandRow="1" outline="0" fieldPosition="0"/>
    </format>
    <format dxfId="74">
      <pivotArea dataOnly="0" labelOnly="1" grandRow="1" outline="0" fieldPosition="0"/>
    </format>
    <format dxfId="73">
      <pivotArea grandRow="1" outline="0" fieldPosition="0"/>
    </format>
    <format dxfId="72">
      <pivotArea dataOnly="0" labelOnly="1" grandRow="1" outline="0" fieldPosition="0"/>
    </format>
    <format dxfId="71">
      <pivotArea outline="0" fieldPosition="0"/>
    </format>
    <format dxfId="70">
      <pivotArea dataOnly="0" labelOnly="1" grandRow="1" outline="0" fieldPosition="0"/>
    </format>
    <format dxfId="69">
      <pivotArea grandRow="1" outline="0" fieldPosition="0"/>
    </format>
    <format dxfId="68">
      <pivotArea dataOnly="0" labelOnly="1" grandRow="1" outline="0" fieldPosition="0"/>
    </format>
    <format dxfId="67">
      <pivotArea dataOnly="0" labelOnly="1" outline="0" axis="axisValues" fieldPosition="0"/>
    </format>
    <format dxfId="66">
      <pivotArea field="0" type="button" dataOnly="0" labelOnly="1" outline="0" axis="axisRow" fieldPosition="0"/>
    </format>
    <format dxfId="65">
      <pivotArea field="0" type="button" dataOnly="0" labelOnly="1" outline="0" axis="axisRow" fieldPosition="0"/>
    </format>
    <format dxfId="64">
      <pivotArea field="0" type="button" dataOnly="0" labelOnly="1" outline="0" axis="axisRow" fieldPosition="0"/>
    </format>
    <format dxfId="63">
      <pivotArea dataOnly="0" labelOnly="1" outline="0" axis="axisValues" fieldPosition="0"/>
    </format>
    <format dxfId="62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99">
      <pivotArea dataOnly="0" labelOnly="1" outline="0" axis="axisValues" fieldPosition="0"/>
    </format>
    <format dxfId="98">
      <pivotArea dataOnly="0" labelOnly="1" outline="0" axis="axisValues" fieldPosition="0"/>
    </format>
    <format dxfId="97">
      <pivotArea dataOnly="0" labelOnly="1" outline="0" axis="axisValues" fieldPosition="0"/>
    </format>
    <format dxfId="96">
      <pivotArea dataOnly="0" labelOnly="1" outline="0" axis="axisValues" fieldPosition="0"/>
    </format>
    <format dxfId="95">
      <pivotArea grandRow="1" outline="0" fieldPosition="0"/>
    </format>
    <format dxfId="94">
      <pivotArea dataOnly="0" labelOnly="1" grandRow="1" outline="0" fieldPosition="0"/>
    </format>
    <format dxfId="93">
      <pivotArea grandRow="1" outline="0" fieldPosition="0"/>
    </format>
    <format dxfId="92">
      <pivotArea dataOnly="0" labelOnly="1" grandRow="1" outline="0" fieldPosition="0"/>
    </format>
    <format dxfId="91">
      <pivotArea dataOnly="0" labelOnly="1" grandRow="1" outline="0" fieldPosition="0"/>
    </format>
    <format dxfId="90">
      <pivotArea grandRow="1" outline="0" fieldPosition="0"/>
    </format>
    <format dxfId="89">
      <pivotArea dataOnly="0" labelOnly="1" grandRow="1" outline="0" fieldPosition="0"/>
    </format>
    <format dxfId="88">
      <pivotArea outline="0" fieldPosition="0"/>
    </format>
    <format dxfId="87">
      <pivotArea dataOnly="0" labelOnly="1" grandRow="1" outline="0" fieldPosition="0"/>
    </format>
    <format dxfId="86">
      <pivotArea dataOnly="0" labelOnly="1" outline="0" axis="axisValues" fieldPosition="0"/>
    </format>
    <format dxfId="85">
      <pivotArea dataOnly="0" labelOnly="1" outline="0" axis="axisValues" fieldPosition="0"/>
    </format>
    <format dxfId="84">
      <pivotArea field="1" type="button" dataOnly="0" labelOnly="1" outline="0" axis="axisRow" fieldPosition="0"/>
    </format>
    <format dxfId="83">
      <pivotArea outline="0" fieldPosition="0"/>
    </format>
    <format dxfId="82">
      <pivotArea grandRow="1" outline="0" fieldPosition="0"/>
    </format>
    <format dxfId="8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124">
      <pivotArea dataOnly="0" labelOnly="1" outline="0" axis="axisValues" fieldPosition="0"/>
    </format>
    <format dxfId="123">
      <pivotArea dataOnly="0" labelOnly="1" outline="0" axis="axisValues" fieldPosition="0"/>
    </format>
    <format dxfId="122">
      <pivotArea dataOnly="0" labelOnly="1" outline="0" axis="axisValues" fieldPosition="0"/>
    </format>
    <format dxfId="121">
      <pivotArea dataOnly="0" labelOnly="1" outline="0" axis="axisValues" fieldPosition="0"/>
    </format>
    <format dxfId="120">
      <pivotArea grandRow="1" outline="0" fieldPosition="0"/>
    </format>
    <format dxfId="119">
      <pivotArea dataOnly="0" labelOnly="1" grandRow="1" outline="0" fieldPosition="0"/>
    </format>
    <format dxfId="118">
      <pivotArea grandRow="1" outline="0" fieldPosition="0"/>
    </format>
    <format dxfId="117">
      <pivotArea dataOnly="0" labelOnly="1" grandRow="1" outline="0" fieldPosition="0"/>
    </format>
    <format dxfId="116">
      <pivotArea dataOnly="0" labelOnly="1" grandRow="1" outline="0" fieldPosition="0"/>
    </format>
    <format dxfId="115">
      <pivotArea grandRow="1" outline="0" fieldPosition="0"/>
    </format>
    <format dxfId="114">
      <pivotArea dataOnly="0" labelOnly="1" grandRow="1" outline="0" fieldPosition="0"/>
    </format>
    <format dxfId="113">
      <pivotArea outline="0" fieldPosition="0"/>
    </format>
    <format dxfId="112">
      <pivotArea dataOnly="0" labelOnly="1" grandRow="1" outline="0" fieldPosition="0"/>
    </format>
    <format dxfId="111">
      <pivotArea dataOnly="0" labelOnly="1" outline="0" axis="axisValues" fieldPosition="0"/>
    </format>
    <format dxfId="110">
      <pivotArea dataOnly="0" labelOnly="1" outline="0" axis="axisValues" fieldPosition="0"/>
    </format>
    <format dxfId="109">
      <pivotArea field="1" type="button" dataOnly="0" labelOnly="1" outline="0"/>
    </format>
    <format dxfId="108">
      <pivotArea outline="0" fieldPosition="0"/>
    </format>
    <format dxfId="107">
      <pivotArea grandRow="1" outline="0" fieldPosition="0"/>
    </format>
    <format dxfId="106">
      <pivotArea dataOnly="0" labelOnly="1" grandRow="1" outline="0" fieldPosition="0"/>
    </format>
    <format dxfId="105">
      <pivotArea field="0" type="button" dataOnly="0" labelOnly="1" outline="0" axis="axisRow" fieldPosition="0"/>
    </format>
    <format dxfId="104">
      <pivotArea field="0" type="button" dataOnly="0" labelOnly="1" outline="0" axis="axisRow" fieldPosition="0"/>
    </format>
    <format dxfId="103">
      <pivotArea collapsedLevelsAreSubtotals="1" fieldPosition="0">
        <references count="1">
          <reference field="0" count="1">
            <x v="1073"/>
          </reference>
        </references>
      </pivotArea>
    </format>
    <format dxfId="102">
      <pivotArea grandRow="1" outline="0" collapsedLevelsAreSubtotals="1" fieldPosition="0"/>
    </format>
    <format dxfId="101">
      <pivotArea dataOnly="0" labelOnly="1" fieldPosition="0">
        <references count="1">
          <reference field="0" count="1">
            <x v="1073"/>
          </reference>
        </references>
      </pivotArea>
    </format>
    <format dxfId="100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131">
      <pivotArea outline="0" collapsedLevelsAreSubtotals="1" fieldPosition="0"/>
    </format>
    <format dxfId="130">
      <pivotArea dataOnly="0" labelOnly="1" fieldPosition="0">
        <references count="1">
          <reference field="5" count="0"/>
        </references>
      </pivotArea>
    </format>
    <format dxfId="129">
      <pivotArea dataOnly="0" labelOnly="1" grandRow="1" outline="0" fieldPosition="0"/>
    </format>
    <format dxfId="128">
      <pivotArea collapsedLevelsAreSubtotals="1" fieldPosition="0">
        <references count="1">
          <reference field="5" count="0"/>
        </references>
      </pivotArea>
    </format>
    <format dxfId="127">
      <pivotArea grandRow="1" outline="0" collapsedLevelsAreSubtotals="1" fieldPosition="0"/>
    </format>
    <format dxfId="126">
      <pivotArea field="5" type="button" dataOnly="0" labelOnly="1" outline="0" axis="axisRow" fieldPosition="0"/>
    </format>
    <format dxfId="12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" dT="2023-06-27T10:33:11.39" personId="{EDAFB5BA-B6E1-4A82-931D-F6E201F88CDF}" id="{8C3BB528-A23C-4718-8FEA-657E331FBCA7}">
    <text>Important: indices in the same group must have the same effective dates</text>
  </threadedComment>
  <threadedComment ref="I3" dT="2023-06-27T10:33:11.39" personId="{EDAFB5BA-B6E1-4A82-931D-F6E201F88CDF}" id="{3908820C-4B47-40D1-B3A5-3025162E9FE3}">
    <text>Important: indices in the same group must have the same cutoff dates</text>
  </threadedComment>
  <threadedComment ref="O3" dT="2023-07-04T07:57:14.40" personId="{EDAFB5BA-B6E1-4A82-931D-F6E201F88CDF}" id="{FFD5A026-EEFC-4BD2-88C3-EF400AE84664}">
    <text>If multiple data vendors are applicable: sort them alphabetically and separate them with a ";". 
For example: "CDP;Moody's;Sustainalytics"</text>
  </threadedComment>
  <threadedComment ref="O140" dT="2024-05-22T09:12:45.75" personId="{EDAFB5BA-B6E1-4A82-931D-F6E201F88CDF}" id="{7BC99064-9F4C-49CE-8759-3EF50039DB7F}">
    <text>Business France hidden into SESAMm (in universe we send them)</text>
  </threadedComment>
  <threadedComment ref="O141" dT="2024-05-22T09:12:45.75" personId="{EDAFB5BA-B6E1-4A82-931D-F6E201F88CDF}" id="{F24DE63F-6DD6-49F6-A1CC-DF6BE4240D35}">
    <text>Business France hidden into SESAMm (in universe we send them)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iku-ads-automation.euronext.com/apps/PROJECT_EMS_TEMPLATE" TargetMode="External"/><Relationship Id="rId1" Type="http://schemas.openxmlformats.org/officeDocument/2006/relationships/hyperlink" Target="https://dataiku-ads-automation.euronext.com/projects/FRANCE2040CHALLANGERSA_V2/managedfolder/weoo4Tdo/view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575D6-A2A5-40F0-832F-94B359566F43}">
  <sheetPr filterMode="1"/>
  <dimension ref="A1:I31"/>
  <sheetViews>
    <sheetView tabSelected="1" topLeftCell="A4" workbookViewId="0">
      <selection activeCell="B24" sqref="B24"/>
    </sheetView>
  </sheetViews>
  <sheetFormatPr defaultRowHeight="12.75"/>
  <cols>
    <col min="1" max="1" width="29.25" bestFit="1" customWidth="1"/>
    <col min="2" max="2" width="7" bestFit="1" customWidth="1"/>
    <col min="3" max="3" width="54.25" bestFit="1" customWidth="1"/>
    <col min="4" max="4" width="56.25" bestFit="1" customWidth="1"/>
    <col min="5" max="5" width="15.75" bestFit="1" customWidth="1"/>
    <col min="6" max="6" width="7.125" bestFit="1" customWidth="1"/>
    <col min="7" max="7" width="12.25" bestFit="1" customWidth="1"/>
    <col min="8" max="8" width="9.875" bestFit="1" customWidth="1"/>
    <col min="9" max="9" width="19.625" bestFit="1" customWidth="1"/>
  </cols>
  <sheetData>
    <row r="1" spans="1:9">
      <c r="A1" t="s">
        <v>5183</v>
      </c>
    </row>
    <row r="2" spans="1:9">
      <c r="A2" s="82" t="s">
        <v>5184</v>
      </c>
    </row>
    <row r="3" spans="1:9">
      <c r="A3" s="82" t="s">
        <v>5185</v>
      </c>
    </row>
    <row r="4" spans="1:9" ht="15">
      <c r="B4" s="81" t="s">
        <v>5</v>
      </c>
      <c r="C4" s="81" t="s">
        <v>6</v>
      </c>
      <c r="D4" s="81" t="s">
        <v>4908</v>
      </c>
      <c r="E4" s="81" t="s">
        <v>5160</v>
      </c>
      <c r="F4" s="81" t="s">
        <v>5161</v>
      </c>
      <c r="G4" s="81" t="s">
        <v>4909</v>
      </c>
      <c r="H4" s="81" t="s">
        <v>4915</v>
      </c>
      <c r="I4" s="81" t="s">
        <v>5182</v>
      </c>
    </row>
    <row r="5" spans="1:9" hidden="1">
      <c r="B5" s="68" t="s">
        <v>422</v>
      </c>
      <c r="C5" s="68" t="s">
        <v>423</v>
      </c>
      <c r="D5" s="68" t="s">
        <v>1356</v>
      </c>
      <c r="E5" s="68" t="s">
        <v>5162</v>
      </c>
      <c r="F5" s="68">
        <v>0</v>
      </c>
      <c r="G5" s="68">
        <v>0</v>
      </c>
      <c r="H5" s="68" t="s">
        <v>5026</v>
      </c>
      <c r="I5" s="68">
        <v>1</v>
      </c>
    </row>
    <row r="6" spans="1:9" hidden="1">
      <c r="B6" s="68" t="s">
        <v>420</v>
      </c>
      <c r="C6" s="68" t="s">
        <v>421</v>
      </c>
      <c r="D6" s="68" t="s">
        <v>2768</v>
      </c>
      <c r="E6" s="68" t="s">
        <v>5162</v>
      </c>
      <c r="F6" s="68">
        <v>0</v>
      </c>
      <c r="G6" s="68">
        <v>0</v>
      </c>
      <c r="H6" s="68" t="s">
        <v>5026</v>
      </c>
      <c r="I6" s="68">
        <v>1</v>
      </c>
    </row>
    <row r="7" spans="1:9" hidden="1">
      <c r="B7" s="68" t="s">
        <v>2734</v>
      </c>
      <c r="C7" s="68" t="s">
        <v>2735</v>
      </c>
      <c r="D7" s="68" t="s">
        <v>351</v>
      </c>
      <c r="E7" s="68" t="s">
        <v>5162</v>
      </c>
      <c r="F7" s="68">
        <v>0</v>
      </c>
      <c r="G7" s="68">
        <v>0</v>
      </c>
      <c r="H7" s="68" t="s">
        <v>5026</v>
      </c>
      <c r="I7" s="68">
        <v>1</v>
      </c>
    </row>
    <row r="8" spans="1:9" hidden="1">
      <c r="B8" s="68" t="s">
        <v>1324</v>
      </c>
      <c r="C8" s="68" t="s">
        <v>1325</v>
      </c>
      <c r="D8" s="68" t="s">
        <v>5163</v>
      </c>
      <c r="E8" s="68" t="s">
        <v>5162</v>
      </c>
      <c r="F8" s="68">
        <v>0</v>
      </c>
      <c r="G8" s="68">
        <v>0</v>
      </c>
      <c r="H8" s="68" t="s">
        <v>5026</v>
      </c>
      <c r="I8" s="69">
        <v>1</v>
      </c>
    </row>
    <row r="9" spans="1:9" hidden="1">
      <c r="B9" s="68" t="s">
        <v>2722</v>
      </c>
      <c r="C9" s="68" t="s">
        <v>2723</v>
      </c>
      <c r="D9" s="68" t="s">
        <v>2760</v>
      </c>
      <c r="E9" s="68" t="s">
        <v>5162</v>
      </c>
      <c r="F9" s="68">
        <v>0</v>
      </c>
      <c r="G9" s="68">
        <v>0</v>
      </c>
      <c r="H9" s="68" t="s">
        <v>5026</v>
      </c>
      <c r="I9" s="68"/>
    </row>
    <row r="10" spans="1:9" hidden="1">
      <c r="B10" s="68" t="s">
        <v>1292</v>
      </c>
      <c r="C10" s="68" t="s">
        <v>1293</v>
      </c>
      <c r="D10" s="68" t="s">
        <v>5164</v>
      </c>
      <c r="E10" s="68" t="s">
        <v>5162</v>
      </c>
      <c r="F10" s="68">
        <v>0</v>
      </c>
      <c r="G10" s="68">
        <v>0</v>
      </c>
      <c r="H10" s="68" t="s">
        <v>5026</v>
      </c>
      <c r="I10" s="68"/>
    </row>
    <row r="11" spans="1:9" hidden="1">
      <c r="B11" s="68" t="s">
        <v>1238</v>
      </c>
      <c r="C11" s="68" t="s">
        <v>1239</v>
      </c>
      <c r="D11" s="68" t="s">
        <v>5164</v>
      </c>
      <c r="E11" s="68" t="s">
        <v>5162</v>
      </c>
      <c r="F11" s="68">
        <v>0</v>
      </c>
      <c r="G11" s="68">
        <v>0</v>
      </c>
      <c r="H11" s="68" t="s">
        <v>5026</v>
      </c>
      <c r="I11" s="68"/>
    </row>
    <row r="12" spans="1:9">
      <c r="B12" s="68" t="s">
        <v>1178</v>
      </c>
      <c r="C12" s="68" t="s">
        <v>4761</v>
      </c>
      <c r="D12" s="68" t="s">
        <v>995</v>
      </c>
      <c r="E12" s="68" t="s">
        <v>5162</v>
      </c>
      <c r="F12" s="68">
        <v>0</v>
      </c>
      <c r="G12" s="68">
        <v>0</v>
      </c>
      <c r="H12" s="68" t="s">
        <v>5026</v>
      </c>
      <c r="I12" s="68">
        <v>1</v>
      </c>
    </row>
    <row r="13" spans="1:9">
      <c r="B13" s="68" t="s">
        <v>1202</v>
      </c>
      <c r="C13" s="68" t="s">
        <v>4762</v>
      </c>
      <c r="D13" s="68" t="s">
        <v>995</v>
      </c>
      <c r="E13" s="68" t="s">
        <v>5162</v>
      </c>
      <c r="F13" s="68">
        <v>0</v>
      </c>
      <c r="G13" s="68">
        <v>0</v>
      </c>
      <c r="H13" s="68" t="s">
        <v>5026</v>
      </c>
      <c r="I13" s="68">
        <v>1</v>
      </c>
    </row>
    <row r="14" spans="1:9" hidden="1">
      <c r="B14" s="68" t="s">
        <v>1190</v>
      </c>
      <c r="C14" s="68" t="s">
        <v>4096</v>
      </c>
      <c r="D14" s="68" t="s">
        <v>2755</v>
      </c>
      <c r="E14" s="68" t="s">
        <v>5162</v>
      </c>
      <c r="F14" s="68">
        <v>0</v>
      </c>
      <c r="G14" s="68">
        <v>0</v>
      </c>
      <c r="H14" s="68" t="s">
        <v>5026</v>
      </c>
      <c r="I14" s="68"/>
    </row>
    <row r="15" spans="1:9">
      <c r="B15" s="68" t="s">
        <v>1103</v>
      </c>
      <c r="C15" s="68" t="s">
        <v>1104</v>
      </c>
      <c r="D15" s="68" t="s">
        <v>995</v>
      </c>
      <c r="E15" s="68" t="s">
        <v>5162</v>
      </c>
      <c r="F15" s="68">
        <v>0</v>
      </c>
      <c r="G15" s="68">
        <v>0</v>
      </c>
      <c r="H15" s="68" t="s">
        <v>5026</v>
      </c>
      <c r="I15" s="68">
        <v>1</v>
      </c>
    </row>
    <row r="16" spans="1:9">
      <c r="B16" s="68" t="s">
        <v>1094</v>
      </c>
      <c r="C16" s="68" t="s">
        <v>4005</v>
      </c>
      <c r="D16" s="68" t="s">
        <v>995</v>
      </c>
      <c r="E16" s="68" t="s">
        <v>5162</v>
      </c>
      <c r="F16" s="68">
        <v>0</v>
      </c>
      <c r="G16" s="68">
        <v>0</v>
      </c>
      <c r="H16" s="68" t="s">
        <v>5026</v>
      </c>
      <c r="I16" s="68">
        <v>1</v>
      </c>
    </row>
    <row r="17" spans="2:9" hidden="1">
      <c r="B17" s="68" t="s">
        <v>2652</v>
      </c>
      <c r="C17" s="68" t="s">
        <v>4768</v>
      </c>
      <c r="D17" s="68" t="s">
        <v>2768</v>
      </c>
      <c r="E17" s="68" t="s">
        <v>5162</v>
      </c>
      <c r="F17" s="68">
        <v>0</v>
      </c>
      <c r="G17" s="68">
        <v>0</v>
      </c>
      <c r="H17" s="68" t="s">
        <v>5026</v>
      </c>
      <c r="I17" s="68">
        <v>1</v>
      </c>
    </row>
    <row r="18" spans="2:9" hidden="1">
      <c r="B18" s="68" t="s">
        <v>2643</v>
      </c>
      <c r="C18" s="68" t="s">
        <v>4769</v>
      </c>
      <c r="D18" s="68" t="s">
        <v>2760</v>
      </c>
      <c r="E18" s="68" t="s">
        <v>5162</v>
      </c>
      <c r="F18" s="68">
        <v>0</v>
      </c>
      <c r="G18" s="68">
        <v>0</v>
      </c>
      <c r="H18" s="68" t="s">
        <v>5026</v>
      </c>
      <c r="I18" s="68">
        <v>1</v>
      </c>
    </row>
    <row r="19" spans="2:9" hidden="1">
      <c r="B19" s="68" t="s">
        <v>2634</v>
      </c>
      <c r="C19" s="68" t="s">
        <v>4770</v>
      </c>
      <c r="D19" s="68" t="s">
        <v>2768</v>
      </c>
      <c r="E19" s="68" t="s">
        <v>5162</v>
      </c>
      <c r="F19" s="68">
        <v>0</v>
      </c>
      <c r="G19" s="68">
        <v>0</v>
      </c>
      <c r="H19" s="68" t="s">
        <v>5026</v>
      </c>
      <c r="I19" s="69">
        <v>1</v>
      </c>
    </row>
    <row r="20" spans="2:9">
      <c r="B20" s="68" t="s">
        <v>1012</v>
      </c>
      <c r="C20" s="68" t="s">
        <v>4045</v>
      </c>
      <c r="D20" s="68" t="s">
        <v>5087</v>
      </c>
      <c r="E20" s="68" t="s">
        <v>5162</v>
      </c>
      <c r="F20" s="68">
        <v>0</v>
      </c>
      <c r="G20" s="68">
        <v>0</v>
      </c>
      <c r="H20" s="68" t="s">
        <v>5026</v>
      </c>
      <c r="I20" s="68"/>
    </row>
    <row r="21" spans="2:9">
      <c r="B21" s="68" t="s">
        <v>1007</v>
      </c>
      <c r="C21" s="68" t="s">
        <v>4072</v>
      </c>
      <c r="D21" s="68" t="s">
        <v>995</v>
      </c>
      <c r="E21" s="68" t="s">
        <v>5162</v>
      </c>
      <c r="F21" s="68">
        <v>0</v>
      </c>
      <c r="G21" s="68">
        <v>0</v>
      </c>
      <c r="H21" s="68" t="s">
        <v>5026</v>
      </c>
      <c r="I21" s="69">
        <v>1</v>
      </c>
    </row>
    <row r="22" spans="2:9" hidden="1">
      <c r="B22" s="68" t="s">
        <v>1706</v>
      </c>
      <c r="C22" s="68" t="s">
        <v>1707</v>
      </c>
      <c r="D22" s="68" t="s">
        <v>5165</v>
      </c>
      <c r="E22" s="68" t="s">
        <v>5162</v>
      </c>
      <c r="F22" s="68">
        <v>0</v>
      </c>
      <c r="G22" s="68">
        <v>0</v>
      </c>
      <c r="H22" s="68" t="s">
        <v>5026</v>
      </c>
      <c r="I22" s="68"/>
    </row>
    <row r="23" spans="2:9" hidden="1">
      <c r="B23" s="68" t="s">
        <v>4746</v>
      </c>
      <c r="C23" s="68" t="s">
        <v>4788</v>
      </c>
      <c r="D23" s="68" t="s">
        <v>5165</v>
      </c>
      <c r="E23" s="68" t="s">
        <v>5162</v>
      </c>
      <c r="F23" s="68">
        <v>0</v>
      </c>
      <c r="G23" s="68">
        <v>0</v>
      </c>
      <c r="H23" s="68" t="s">
        <v>5026</v>
      </c>
      <c r="I23" s="68"/>
    </row>
    <row r="24" spans="2:9">
      <c r="B24" s="68" t="s">
        <v>5166</v>
      </c>
      <c r="C24" s="68" t="s">
        <v>5167</v>
      </c>
      <c r="D24" s="68" t="s">
        <v>995</v>
      </c>
      <c r="E24" s="68" t="s">
        <v>5162</v>
      </c>
      <c r="F24" s="68">
        <v>0</v>
      </c>
      <c r="G24" s="68">
        <v>0</v>
      </c>
      <c r="H24" s="68" t="s">
        <v>5026</v>
      </c>
      <c r="I24" s="68"/>
    </row>
    <row r="25" spans="2:9" hidden="1">
      <c r="B25" s="68" t="s">
        <v>5168</v>
      </c>
      <c r="C25" s="68" t="s">
        <v>5169</v>
      </c>
      <c r="D25" s="68" t="s">
        <v>5170</v>
      </c>
      <c r="E25" s="68" t="s">
        <v>5162</v>
      </c>
      <c r="F25" s="68">
        <v>0</v>
      </c>
      <c r="G25" s="68">
        <v>0</v>
      </c>
      <c r="H25" s="68" t="s">
        <v>5026</v>
      </c>
      <c r="I25" s="68"/>
    </row>
    <row r="26" spans="2:9" hidden="1">
      <c r="B26" s="68" t="s">
        <v>5171</v>
      </c>
      <c r="C26" s="68" t="s">
        <v>5172</v>
      </c>
      <c r="D26" s="68" t="s">
        <v>5165</v>
      </c>
      <c r="E26" s="68" t="s">
        <v>5162</v>
      </c>
      <c r="F26" s="68">
        <v>0</v>
      </c>
      <c r="G26" s="68">
        <v>0</v>
      </c>
      <c r="H26" s="68" t="s">
        <v>5026</v>
      </c>
      <c r="I26" s="68"/>
    </row>
    <row r="27" spans="2:9">
      <c r="B27" s="68" t="s">
        <v>5173</v>
      </c>
      <c r="C27" s="68" t="s">
        <v>5174</v>
      </c>
      <c r="D27" s="68" t="s">
        <v>5175</v>
      </c>
      <c r="E27" s="68" t="s">
        <v>5162</v>
      </c>
      <c r="F27" s="68">
        <v>0</v>
      </c>
      <c r="G27" s="68">
        <v>0</v>
      </c>
      <c r="H27" s="68" t="s">
        <v>5026</v>
      </c>
      <c r="I27" s="68"/>
    </row>
    <row r="28" spans="2:9">
      <c r="B28" s="68" t="s">
        <v>1128</v>
      </c>
      <c r="C28" s="68" t="s">
        <v>1129</v>
      </c>
      <c r="D28" s="68" t="s">
        <v>995</v>
      </c>
      <c r="E28" s="68" t="s">
        <v>5162</v>
      </c>
      <c r="F28" s="68">
        <v>0</v>
      </c>
      <c r="G28" s="68">
        <v>0</v>
      </c>
      <c r="H28" s="68" t="s">
        <v>5026</v>
      </c>
      <c r="I28" s="68">
        <v>1</v>
      </c>
    </row>
    <row r="29" spans="2:9" hidden="1">
      <c r="B29" s="68" t="s">
        <v>5176</v>
      </c>
      <c r="C29" s="68" t="s">
        <v>5177</v>
      </c>
      <c r="D29" s="68" t="s">
        <v>5165</v>
      </c>
      <c r="E29" s="68" t="s">
        <v>5162</v>
      </c>
      <c r="F29" s="68">
        <v>0</v>
      </c>
      <c r="G29" s="68">
        <v>0</v>
      </c>
      <c r="H29" s="68">
        <v>0</v>
      </c>
      <c r="I29" s="68"/>
    </row>
    <row r="30" spans="2:9" hidden="1">
      <c r="B30" s="68" t="s">
        <v>5178</v>
      </c>
      <c r="C30" s="68" t="s">
        <v>5179</v>
      </c>
      <c r="D30" s="68" t="s">
        <v>5165</v>
      </c>
      <c r="E30" s="68" t="s">
        <v>5162</v>
      </c>
      <c r="F30" s="68">
        <v>0</v>
      </c>
      <c r="G30" s="68">
        <v>0</v>
      </c>
      <c r="H30" s="68">
        <v>0</v>
      </c>
      <c r="I30" s="68"/>
    </row>
    <row r="31" spans="2:9" hidden="1">
      <c r="B31" s="68" t="s">
        <v>5180</v>
      </c>
      <c r="C31" s="68" t="s">
        <v>5181</v>
      </c>
      <c r="D31" s="68" t="s">
        <v>5165</v>
      </c>
      <c r="E31" s="68" t="s">
        <v>5162</v>
      </c>
      <c r="F31" s="68">
        <v>0</v>
      </c>
      <c r="G31" s="68">
        <v>0</v>
      </c>
      <c r="H31" s="68">
        <v>0</v>
      </c>
      <c r="I31" s="68"/>
    </row>
  </sheetData>
  <autoFilter ref="A4:I31" xr:uid="{B12575D6-A2A5-40F0-832F-94B359566F43}">
    <filterColumn colId="3">
      <filters>
        <filter val="AS500;EU500;NA500;EZ300"/>
        <filter val="EZ300"/>
        <filter val="EZ300;NA500"/>
      </filters>
    </filterColumn>
  </autoFilter>
  <hyperlinks>
    <hyperlink ref="A2" r:id="rId1" display="https://dataiku-ads-automation.euronext.com/projects/FRANCE2040CHALLANGERSA_V2/managedfolder/weoo4Tdo/view/" xr:uid="{14CAE483-0483-4871-AD9F-A782CE1643B4}"/>
    <hyperlink ref="A3" r:id="rId2" display="https://dataiku-ads-automation.euronext.com/apps/PROJECT_EMS_TEMPLATE" xr:uid="{14F1A8AC-70BE-42AF-A085-A725504D67E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7EF1-D223-4E20-8EA4-63ACF03429EF}">
  <sheetPr codeName="Sheet5"/>
  <dimension ref="A1:T240"/>
  <sheetViews>
    <sheetView topLeftCell="A6" workbookViewId="0">
      <selection activeCell="A6" sqref="A6"/>
    </sheetView>
  </sheetViews>
  <sheetFormatPr defaultRowHeight="12.75"/>
  <cols>
    <col min="3" max="3" width="13.75" bestFit="1" customWidth="1"/>
    <col min="4" max="4" width="46.875" bestFit="1" customWidth="1"/>
    <col min="5" max="5" width="44" bestFit="1" customWidth="1"/>
    <col min="6" max="6" width="27.25" bestFit="1" customWidth="1"/>
    <col min="7" max="7" width="27.25" customWidth="1"/>
    <col min="8" max="8" width="46.375" bestFit="1" customWidth="1"/>
    <col min="9" max="9" width="48.375" style="39" bestFit="1" customWidth="1"/>
    <col min="10" max="10" width="48.375" bestFit="1" customWidth="1"/>
    <col min="11" max="11" width="15.25" bestFit="1" customWidth="1"/>
    <col min="13" max="13" width="9" style="68"/>
    <col min="15" max="15" width="9" style="68"/>
  </cols>
  <sheetData>
    <row r="1" spans="1:14">
      <c r="F1" s="70" t="s">
        <v>5155</v>
      </c>
      <c r="G1" s="71">
        <f>COUNTA($A$8:$A$300)</f>
        <v>187</v>
      </c>
    </row>
    <row r="2" spans="1:14">
      <c r="F2" s="72" t="s">
        <v>5151</v>
      </c>
      <c r="G2" s="73">
        <f>COUNTIF($F$8:$F$301,"Done")</f>
        <v>36</v>
      </c>
    </row>
    <row r="3" spans="1:14">
      <c r="F3" s="72" t="s">
        <v>4726</v>
      </c>
      <c r="G3" s="73">
        <f>COUNTIF($F$8:$F$194,"")</f>
        <v>90</v>
      </c>
    </row>
    <row r="4" spans="1:14">
      <c r="F4" s="72" t="s">
        <v>5153</v>
      </c>
      <c r="G4" s="73">
        <f>COUNTIF($F$8:$F$301,"Moodys")</f>
        <v>38</v>
      </c>
    </row>
    <row r="5" spans="1:14" ht="13.5" thickBot="1">
      <c r="F5" s="74" t="s">
        <v>5154</v>
      </c>
      <c r="G5" s="75">
        <f>COUNTA($A$8:$A$301)-G1</f>
        <v>0</v>
      </c>
    </row>
    <row r="7" spans="1:14" ht="35.1" customHeight="1">
      <c r="B7" s="42" t="s">
        <v>4716</v>
      </c>
      <c r="C7" s="42" t="s">
        <v>4797</v>
      </c>
      <c r="D7" s="42" t="s">
        <v>6</v>
      </c>
      <c r="E7" s="42" t="s">
        <v>4897</v>
      </c>
      <c r="F7" s="42" t="s">
        <v>5151</v>
      </c>
      <c r="G7" s="42" t="s">
        <v>5158</v>
      </c>
      <c r="H7" s="42" t="s">
        <v>5156</v>
      </c>
      <c r="I7" s="42" t="s">
        <v>4902</v>
      </c>
      <c r="J7" s="42" t="s">
        <v>4903</v>
      </c>
      <c r="K7" s="67" t="s">
        <v>5159</v>
      </c>
      <c r="M7"/>
      <c r="N7" s="68"/>
    </row>
    <row r="8" spans="1:14">
      <c r="A8">
        <v>21</v>
      </c>
      <c r="B8" t="s">
        <v>422</v>
      </c>
      <c r="C8" s="43" t="s">
        <v>364</v>
      </c>
      <c r="D8" s="43" t="s">
        <v>423</v>
      </c>
      <c r="E8" s="43" t="s">
        <v>4804</v>
      </c>
      <c r="F8" s="43" t="s">
        <v>5151</v>
      </c>
      <c r="H8" t="b">
        <f>ISNUMBER(MATCH(B8,'Old Sheet'!$B$2:$B$305,0))</f>
        <v>1</v>
      </c>
      <c r="I8" s="43" t="s">
        <v>4798</v>
      </c>
      <c r="J8" s="43" t="s">
        <v>5023</v>
      </c>
      <c r="K8" t="b">
        <f>ISNUMBER(MATCH(B8,$O$9:$O$27,0))</f>
        <v>0</v>
      </c>
      <c r="M8"/>
      <c r="N8" s="69"/>
    </row>
    <row r="9" spans="1:14">
      <c r="A9">
        <v>21</v>
      </c>
      <c r="B9" t="s">
        <v>420</v>
      </c>
      <c r="C9" s="43" t="s">
        <v>368</v>
      </c>
      <c r="D9" s="43" t="s">
        <v>421</v>
      </c>
      <c r="E9" s="43" t="s">
        <v>4804</v>
      </c>
      <c r="F9" s="43" t="s">
        <v>5151</v>
      </c>
      <c r="H9" t="b">
        <f>ISNUMBER(MATCH(B9,'Old Sheet'!$B$2:$B$305,0))</f>
        <v>1</v>
      </c>
      <c r="I9" s="43" t="s">
        <v>4798</v>
      </c>
      <c r="J9" s="43" t="s">
        <v>5023</v>
      </c>
      <c r="K9" t="b">
        <f t="shared" ref="K9:K72" si="0">ISNUMBER(MATCH(B9,$O$9:$O$27,0))</f>
        <v>0</v>
      </c>
      <c r="M9"/>
      <c r="N9" s="69"/>
    </row>
    <row r="10" spans="1:14">
      <c r="A10">
        <v>21</v>
      </c>
      <c r="B10" t="s">
        <v>2734</v>
      </c>
      <c r="C10" s="43" t="s">
        <v>2731</v>
      </c>
      <c r="D10" s="43" t="s">
        <v>2735</v>
      </c>
      <c r="E10" s="43" t="s">
        <v>4804</v>
      </c>
      <c r="F10" s="43" t="s">
        <v>5151</v>
      </c>
      <c r="H10" t="b">
        <f>ISNUMBER(MATCH(B10,'Old Sheet'!$B$2:$B$305,0))</f>
        <v>1</v>
      </c>
      <c r="I10" s="43" t="s">
        <v>4798</v>
      </c>
      <c r="J10" s="43" t="s">
        <v>5023</v>
      </c>
      <c r="K10" t="b">
        <f t="shared" si="0"/>
        <v>0</v>
      </c>
      <c r="M10"/>
      <c r="N10" s="69"/>
    </row>
    <row r="11" spans="1:14">
      <c r="A11">
        <v>28</v>
      </c>
      <c r="B11" t="s">
        <v>1324</v>
      </c>
      <c r="C11" s="43" t="s">
        <v>1320</v>
      </c>
      <c r="D11" s="43" t="s">
        <v>1325</v>
      </c>
      <c r="E11" s="43" t="s">
        <v>4805</v>
      </c>
      <c r="F11" t="s">
        <v>5151</v>
      </c>
      <c r="H11" t="b">
        <f>ISNUMBER(MATCH(B11,'Old Sheet'!$B$2:$B$305,0))</f>
        <v>1</v>
      </c>
      <c r="I11" s="43" t="s">
        <v>4798</v>
      </c>
      <c r="J11" s="43" t="s">
        <v>5023</v>
      </c>
      <c r="K11" t="b">
        <f t="shared" si="0"/>
        <v>0</v>
      </c>
      <c r="M11"/>
      <c r="N11" s="69"/>
    </row>
    <row r="12" spans="1:14">
      <c r="A12">
        <v>29</v>
      </c>
      <c r="B12" t="s">
        <v>2722</v>
      </c>
      <c r="C12" s="43" t="s">
        <v>2718</v>
      </c>
      <c r="D12" s="43" t="s">
        <v>2723</v>
      </c>
      <c r="E12" s="43" t="s">
        <v>4806</v>
      </c>
      <c r="F12" s="77" t="s">
        <v>5151</v>
      </c>
      <c r="H12" t="b">
        <f>ISNUMBER(MATCH(B12,'Old Sheet'!$B$2:$B$305,0))</f>
        <v>1</v>
      </c>
      <c r="I12" s="43" t="s">
        <v>4798</v>
      </c>
      <c r="J12" s="43" t="s">
        <v>5023</v>
      </c>
      <c r="K12" t="b">
        <f t="shared" si="0"/>
        <v>0</v>
      </c>
      <c r="M12"/>
      <c r="N12" s="69"/>
    </row>
    <row r="13" spans="1:14">
      <c r="A13">
        <v>32</v>
      </c>
      <c r="B13" t="s">
        <v>2694</v>
      </c>
      <c r="C13" s="43" t="s">
        <v>2690</v>
      </c>
      <c r="D13" s="43" t="s">
        <v>2695</v>
      </c>
      <c r="E13" s="43" t="s">
        <v>4807</v>
      </c>
      <c r="F13" s="43" t="s">
        <v>5152</v>
      </c>
      <c r="H13" t="b">
        <f>ISNUMBER(MATCH(B13,'Old Sheet'!$B$2:$B$305,0))</f>
        <v>1</v>
      </c>
      <c r="I13" s="43" t="s">
        <v>4798</v>
      </c>
      <c r="J13" s="43" t="s">
        <v>5023</v>
      </c>
      <c r="K13" t="b">
        <f t="shared" si="0"/>
        <v>0</v>
      </c>
      <c r="M13"/>
      <c r="N13" s="69"/>
    </row>
    <row r="14" spans="1:14">
      <c r="A14">
        <v>33</v>
      </c>
      <c r="B14" t="s">
        <v>1292</v>
      </c>
      <c r="C14" s="43" t="s">
        <v>1255</v>
      </c>
      <c r="D14" s="43" t="s">
        <v>1293</v>
      </c>
      <c r="E14" s="43" t="s">
        <v>4809</v>
      </c>
      <c r="F14" s="43"/>
      <c r="G14" s="43"/>
      <c r="H14" t="b">
        <f>ISNUMBER(MATCH(B14,'Old Sheet'!$B$2:$B$305,0))</f>
        <v>1</v>
      </c>
      <c r="I14" s="43" t="s">
        <v>4798</v>
      </c>
      <c r="J14" s="43" t="s">
        <v>5023</v>
      </c>
      <c r="K14" t="b">
        <f t="shared" si="0"/>
        <v>0</v>
      </c>
      <c r="M14"/>
      <c r="N14" s="69"/>
    </row>
    <row r="15" spans="1:14">
      <c r="A15">
        <v>33</v>
      </c>
      <c r="B15" t="s">
        <v>1238</v>
      </c>
      <c r="C15" s="43" t="s">
        <v>1234</v>
      </c>
      <c r="D15" s="43" t="s">
        <v>1239</v>
      </c>
      <c r="E15" s="43" t="s">
        <v>4809</v>
      </c>
      <c r="H15" t="b">
        <f>ISNUMBER(MATCH(B15,'Old Sheet'!$B$2:$B$305,0))</f>
        <v>1</v>
      </c>
      <c r="I15" s="43" t="s">
        <v>4798</v>
      </c>
      <c r="J15" s="43" t="s">
        <v>5023</v>
      </c>
      <c r="K15" t="b">
        <f t="shared" si="0"/>
        <v>0</v>
      </c>
      <c r="M15"/>
      <c r="N15" s="69"/>
    </row>
    <row r="16" spans="1:14">
      <c r="A16">
        <v>33</v>
      </c>
      <c r="B16" t="s">
        <v>1040</v>
      </c>
      <c r="C16" s="43" t="s">
        <v>1036</v>
      </c>
      <c r="D16" s="43" t="s">
        <v>4760</v>
      </c>
      <c r="E16" s="43" t="s">
        <v>4809</v>
      </c>
      <c r="F16" s="43" t="s">
        <v>5152</v>
      </c>
      <c r="G16" s="43"/>
      <c r="H16" t="b">
        <f>ISNUMBER(MATCH(B16,'Old Sheet'!$B$2:$B$305,0))</f>
        <v>1</v>
      </c>
      <c r="I16" s="43" t="s">
        <v>4798</v>
      </c>
      <c r="J16" s="43" t="s">
        <v>5023</v>
      </c>
      <c r="K16" t="b">
        <f t="shared" si="0"/>
        <v>0</v>
      </c>
      <c r="M16"/>
      <c r="N16" s="69"/>
    </row>
    <row r="17" spans="1:15">
      <c r="A17">
        <v>38</v>
      </c>
      <c r="B17" t="s">
        <v>1263</v>
      </c>
      <c r="C17" s="43" t="s">
        <v>1259</v>
      </c>
      <c r="D17" s="43" t="s">
        <v>4622</v>
      </c>
      <c r="E17" s="43" t="s">
        <v>4810</v>
      </c>
      <c r="H17" t="b">
        <f>ISNUMBER(MATCH(B17,'Old Sheet'!$B$2:$B$305,0))</f>
        <v>0</v>
      </c>
      <c r="I17" s="43" t="s">
        <v>4798</v>
      </c>
      <c r="J17" s="43" t="s">
        <v>5023</v>
      </c>
      <c r="K17" t="b">
        <f t="shared" si="0"/>
        <v>0</v>
      </c>
      <c r="M17"/>
      <c r="N17" s="69"/>
    </row>
    <row r="18" spans="1:15">
      <c r="A18">
        <v>40</v>
      </c>
      <c r="B18" t="s">
        <v>1211</v>
      </c>
      <c r="C18" s="43" t="s">
        <v>1207</v>
      </c>
      <c r="D18" s="43" t="s">
        <v>1212</v>
      </c>
      <c r="E18" s="43" t="s">
        <v>4811</v>
      </c>
      <c r="H18" t="b">
        <f>ISNUMBER(MATCH(B18,'Old Sheet'!$B$2:$B$305,0))</f>
        <v>1</v>
      </c>
      <c r="I18" s="43" t="s">
        <v>4798</v>
      </c>
      <c r="J18" s="43" t="s">
        <v>5023</v>
      </c>
      <c r="K18" t="b">
        <f t="shared" si="0"/>
        <v>0</v>
      </c>
      <c r="M18"/>
      <c r="N18" s="69"/>
    </row>
    <row r="19" spans="1:15" ht="14.25">
      <c r="A19">
        <v>41</v>
      </c>
      <c r="B19" t="s">
        <v>1178</v>
      </c>
      <c r="C19" s="43" t="s">
        <v>1175</v>
      </c>
      <c r="D19" s="43" t="s">
        <v>4761</v>
      </c>
      <c r="E19" s="43" t="s">
        <v>4813</v>
      </c>
      <c r="H19" t="b">
        <f>ISNUMBER(MATCH(B19,'Old Sheet'!$B$2:$B$305,0))</f>
        <v>1</v>
      </c>
      <c r="I19" s="43" t="s">
        <v>4798</v>
      </c>
      <c r="J19" s="43" t="s">
        <v>5023</v>
      </c>
      <c r="K19" t="b">
        <f t="shared" si="0"/>
        <v>0</v>
      </c>
      <c r="M19"/>
      <c r="N19" s="69"/>
      <c r="O19" s="80"/>
    </row>
    <row r="20" spans="1:15">
      <c r="A20">
        <v>43</v>
      </c>
      <c r="B20" t="s">
        <v>1202</v>
      </c>
      <c r="C20" s="43" t="s">
        <v>1199</v>
      </c>
      <c r="D20" s="43" t="s">
        <v>4762</v>
      </c>
      <c r="E20" s="43" t="s">
        <v>4815</v>
      </c>
      <c r="H20" t="b">
        <f>ISNUMBER(MATCH(B20,'Old Sheet'!$B$2:$B$305,0))</f>
        <v>0</v>
      </c>
      <c r="I20" s="43" t="s">
        <v>4798</v>
      </c>
      <c r="J20" s="43" t="s">
        <v>5023</v>
      </c>
      <c r="K20" t="b">
        <f t="shared" si="0"/>
        <v>0</v>
      </c>
      <c r="M20"/>
      <c r="N20" s="69"/>
    </row>
    <row r="21" spans="1:15">
      <c r="A21">
        <v>47</v>
      </c>
      <c r="B21" t="s">
        <v>1142</v>
      </c>
      <c r="C21" s="43" t="s">
        <v>1138</v>
      </c>
      <c r="D21" s="43" t="s">
        <v>4763</v>
      </c>
      <c r="E21" s="43" t="s">
        <v>4816</v>
      </c>
      <c r="F21" s="43" t="s">
        <v>5152</v>
      </c>
      <c r="G21" s="43"/>
      <c r="H21" t="b">
        <f>ISNUMBER(MATCH(B21,'Old Sheet'!$B$2:$B$305,0))</f>
        <v>1</v>
      </c>
      <c r="I21" s="43" t="s">
        <v>4798</v>
      </c>
      <c r="J21" s="43" t="s">
        <v>5023</v>
      </c>
      <c r="K21" t="b">
        <f t="shared" si="0"/>
        <v>0</v>
      </c>
      <c r="M21"/>
      <c r="N21" s="69"/>
    </row>
    <row r="22" spans="1:15">
      <c r="A22">
        <v>48</v>
      </c>
      <c r="B22" t="s">
        <v>1154</v>
      </c>
      <c r="C22" s="43" t="s">
        <v>1151</v>
      </c>
      <c r="D22" s="43" t="s">
        <v>4764</v>
      </c>
      <c r="E22" s="43" t="s">
        <v>4817</v>
      </c>
      <c r="F22" s="43" t="s">
        <v>5152</v>
      </c>
      <c r="G22" s="43"/>
      <c r="H22" t="b">
        <f>ISNUMBER(MATCH(B22,'Old Sheet'!$B$2:$B$305,0))</f>
        <v>0</v>
      </c>
      <c r="I22" s="43" t="s">
        <v>4890</v>
      </c>
      <c r="J22" s="43" t="s">
        <v>5023</v>
      </c>
      <c r="K22" t="b">
        <f t="shared" si="0"/>
        <v>0</v>
      </c>
      <c r="M22"/>
      <c r="N22" s="69"/>
    </row>
    <row r="23" spans="1:15">
      <c r="A23">
        <v>49</v>
      </c>
      <c r="B23" t="s">
        <v>1166</v>
      </c>
      <c r="C23" s="43" t="s">
        <v>1163</v>
      </c>
      <c r="D23" s="43" t="s">
        <v>4765</v>
      </c>
      <c r="E23" s="43" t="s">
        <v>4819</v>
      </c>
      <c r="F23" s="43" t="s">
        <v>5152</v>
      </c>
      <c r="G23" s="43"/>
      <c r="H23" t="b">
        <f>ISNUMBER(MATCH(B23,'Old Sheet'!$B$2:$B$305,0))</f>
        <v>1</v>
      </c>
      <c r="I23" s="43" t="s">
        <v>4798</v>
      </c>
      <c r="J23" s="43" t="s">
        <v>5023</v>
      </c>
      <c r="K23" t="b">
        <f t="shared" si="0"/>
        <v>0</v>
      </c>
      <c r="M23"/>
      <c r="N23" s="69"/>
    </row>
    <row r="24" spans="1:15">
      <c r="A24">
        <v>50</v>
      </c>
      <c r="B24" t="s">
        <v>2667</v>
      </c>
      <c r="C24" s="43" t="s">
        <v>2664</v>
      </c>
      <c r="D24" s="43" t="s">
        <v>3950</v>
      </c>
      <c r="E24" s="43" t="s">
        <v>4820</v>
      </c>
      <c r="F24" s="43" t="s">
        <v>5152</v>
      </c>
      <c r="G24" s="43"/>
      <c r="H24" t="b">
        <f>ISNUMBER(MATCH(B24,'Old Sheet'!$B$2:$B$305,0))</f>
        <v>0</v>
      </c>
      <c r="I24" s="43" t="s">
        <v>4798</v>
      </c>
      <c r="J24" s="43" t="s">
        <v>5023</v>
      </c>
      <c r="K24" t="b">
        <f t="shared" si="0"/>
        <v>0</v>
      </c>
      <c r="M24"/>
      <c r="N24" s="69"/>
    </row>
    <row r="25" spans="1:15">
      <c r="A25">
        <v>51</v>
      </c>
      <c r="B25" t="s">
        <v>2679</v>
      </c>
      <c r="C25" s="43" t="s">
        <v>2676</v>
      </c>
      <c r="D25" s="43" t="s">
        <v>4766</v>
      </c>
      <c r="E25" s="43" t="s">
        <v>4821</v>
      </c>
      <c r="F25" s="43" t="s">
        <v>5152</v>
      </c>
      <c r="G25" s="43"/>
      <c r="H25" t="b">
        <f>ISNUMBER(MATCH(B25,'Old Sheet'!$B$2:$B$305,0))</f>
        <v>1</v>
      </c>
      <c r="I25" s="43" t="s">
        <v>4798</v>
      </c>
      <c r="J25" s="43" t="s">
        <v>5023</v>
      </c>
      <c r="K25" t="b">
        <f t="shared" si="0"/>
        <v>0</v>
      </c>
      <c r="M25"/>
      <c r="N25" s="69"/>
    </row>
    <row r="26" spans="1:15">
      <c r="A26">
        <v>52</v>
      </c>
      <c r="B26" t="s">
        <v>1250</v>
      </c>
      <c r="C26" s="43" t="s">
        <v>1246</v>
      </c>
      <c r="D26" s="43" t="s">
        <v>1251</v>
      </c>
      <c r="E26" s="43" t="s">
        <v>4822</v>
      </c>
      <c r="F26" s="43" t="s">
        <v>5152</v>
      </c>
      <c r="G26" s="43"/>
      <c r="H26" t="b">
        <f>ISNUMBER(MATCH(B26,'Old Sheet'!$B$2:$B$305,0))</f>
        <v>1</v>
      </c>
      <c r="I26" s="43" t="s">
        <v>4798</v>
      </c>
      <c r="J26" s="43" t="s">
        <v>5023</v>
      </c>
      <c r="K26" t="b">
        <f t="shared" si="0"/>
        <v>0</v>
      </c>
      <c r="M26"/>
      <c r="N26" s="69"/>
    </row>
    <row r="27" spans="1:15">
      <c r="A27">
        <v>56</v>
      </c>
      <c r="B27" t="s">
        <v>1103</v>
      </c>
      <c r="C27" s="43" t="s">
        <v>1099</v>
      </c>
      <c r="D27" s="43" t="s">
        <v>1104</v>
      </c>
      <c r="E27" s="43" t="s">
        <v>4824</v>
      </c>
      <c r="F27" s="43"/>
      <c r="G27" s="43"/>
      <c r="H27" t="b">
        <f>ISNUMBER(MATCH(B27,'Old Sheet'!$B$2:$B$305,0))</f>
        <v>1</v>
      </c>
      <c r="I27" s="43" t="s">
        <v>4798</v>
      </c>
      <c r="J27" s="43" t="s">
        <v>5023</v>
      </c>
      <c r="K27" t="b">
        <f t="shared" si="0"/>
        <v>0</v>
      </c>
      <c r="M27"/>
      <c r="N27" s="69"/>
    </row>
    <row r="28" spans="1:15">
      <c r="A28">
        <v>56</v>
      </c>
      <c r="B28" t="s">
        <v>1094</v>
      </c>
      <c r="C28" s="43" t="s">
        <v>1090</v>
      </c>
      <c r="D28" s="43" t="s">
        <v>4005</v>
      </c>
      <c r="E28" s="43" t="s">
        <v>4824</v>
      </c>
      <c r="H28" t="b">
        <f>ISNUMBER(MATCH(B28,'Old Sheet'!$B$2:$B$305,0))</f>
        <v>1</v>
      </c>
      <c r="I28" s="43" t="s">
        <v>4798</v>
      </c>
      <c r="J28" s="43" t="s">
        <v>5023</v>
      </c>
      <c r="K28" t="b">
        <f t="shared" si="0"/>
        <v>0</v>
      </c>
      <c r="M28"/>
      <c r="N28" s="69"/>
    </row>
    <row r="29" spans="1:15">
      <c r="A29">
        <v>58</v>
      </c>
      <c r="B29" t="s">
        <v>1085</v>
      </c>
      <c r="C29" s="43" t="s">
        <v>1081</v>
      </c>
      <c r="D29" s="43" t="s">
        <v>4767</v>
      </c>
      <c r="E29" s="43" t="s">
        <v>4826</v>
      </c>
      <c r="H29" t="b">
        <f>ISNUMBER(MATCH(B29,'Old Sheet'!$B$2:$B$305,0))</f>
        <v>1</v>
      </c>
      <c r="I29" s="43" t="s">
        <v>4798</v>
      </c>
      <c r="J29" s="43" t="s">
        <v>5023</v>
      </c>
      <c r="K29" t="b">
        <f t="shared" si="0"/>
        <v>0</v>
      </c>
      <c r="M29"/>
      <c r="N29" s="69"/>
    </row>
    <row r="30" spans="1:15">
      <c r="A30">
        <v>59</v>
      </c>
      <c r="B30" t="s">
        <v>1067</v>
      </c>
      <c r="C30" s="43" t="s">
        <v>1063</v>
      </c>
      <c r="D30" s="43" t="s">
        <v>1068</v>
      </c>
      <c r="E30" s="43" t="s">
        <v>4827</v>
      </c>
      <c r="F30" s="43" t="s">
        <v>5152</v>
      </c>
      <c r="G30" s="43"/>
      <c r="H30" t="b">
        <f>ISNUMBER(MATCH(B30,'Old Sheet'!$B$2:$B$305,0))</f>
        <v>1</v>
      </c>
      <c r="I30" s="43" t="s">
        <v>4798</v>
      </c>
      <c r="J30" s="43" t="s">
        <v>5023</v>
      </c>
      <c r="K30" t="b">
        <f t="shared" si="0"/>
        <v>0</v>
      </c>
      <c r="M30"/>
      <c r="N30" s="69"/>
    </row>
    <row r="31" spans="1:15">
      <c r="A31">
        <v>62</v>
      </c>
      <c r="B31" t="s">
        <v>2652</v>
      </c>
      <c r="C31" s="43" t="s">
        <v>2648</v>
      </c>
      <c r="D31" s="43" t="s">
        <v>4768</v>
      </c>
      <c r="E31" s="43" t="s">
        <v>4828</v>
      </c>
      <c r="H31" t="b">
        <f>ISNUMBER(MATCH(B31,'Old Sheet'!$B$2:$B$305,0))</f>
        <v>1</v>
      </c>
      <c r="I31" s="43" t="s">
        <v>4798</v>
      </c>
      <c r="J31" s="43" t="s">
        <v>5023</v>
      </c>
      <c r="K31" t="b">
        <f t="shared" si="0"/>
        <v>0</v>
      </c>
      <c r="M31"/>
      <c r="N31" s="69"/>
    </row>
    <row r="32" spans="1:15">
      <c r="A32">
        <v>63</v>
      </c>
      <c r="B32" t="s">
        <v>2643</v>
      </c>
      <c r="C32" s="43" t="s">
        <v>2639</v>
      </c>
      <c r="D32" s="43" t="s">
        <v>4769</v>
      </c>
      <c r="E32" s="43" t="s">
        <v>4829</v>
      </c>
      <c r="H32" t="b">
        <f>ISNUMBER(MATCH(B32,'Old Sheet'!$B$2:$B$305,0))</f>
        <v>1</v>
      </c>
      <c r="I32" s="43" t="s">
        <v>4798</v>
      </c>
      <c r="J32" s="43" t="s">
        <v>5023</v>
      </c>
      <c r="K32" t="b">
        <f t="shared" si="0"/>
        <v>0</v>
      </c>
      <c r="M32"/>
      <c r="N32" s="69"/>
    </row>
    <row r="33" spans="1:14">
      <c r="A33">
        <v>64</v>
      </c>
      <c r="B33" t="s">
        <v>2634</v>
      </c>
      <c r="C33" s="43" t="s">
        <v>2630</v>
      </c>
      <c r="D33" s="43" t="s">
        <v>4770</v>
      </c>
      <c r="E33" s="43" t="s">
        <v>4830</v>
      </c>
      <c r="H33" t="b">
        <f>ISNUMBER(MATCH(B33,'Old Sheet'!$B$2:$B$305,0))</f>
        <v>1</v>
      </c>
      <c r="I33" s="43" t="s">
        <v>4798</v>
      </c>
      <c r="J33" s="43" t="s">
        <v>5023</v>
      </c>
      <c r="K33" t="b">
        <f t="shared" si="0"/>
        <v>0</v>
      </c>
      <c r="M33"/>
      <c r="N33" s="69"/>
    </row>
    <row r="34" spans="1:14">
      <c r="A34">
        <v>65</v>
      </c>
      <c r="B34" t="s">
        <v>1031</v>
      </c>
      <c r="C34" s="43" t="s">
        <v>1028</v>
      </c>
      <c r="D34" s="43" t="s">
        <v>4081</v>
      </c>
      <c r="E34" s="43" t="s">
        <v>4831</v>
      </c>
      <c r="H34" t="b">
        <f>ISNUMBER(MATCH(B34,'Old Sheet'!$B$2:$B$305,0))</f>
        <v>1</v>
      </c>
      <c r="I34" s="43" t="s">
        <v>4798</v>
      </c>
      <c r="J34" s="43" t="s">
        <v>5023</v>
      </c>
      <c r="K34" t="b">
        <f t="shared" si="0"/>
        <v>0</v>
      </c>
      <c r="M34"/>
      <c r="N34" s="69"/>
    </row>
    <row r="35" spans="1:14">
      <c r="A35">
        <v>66</v>
      </c>
      <c r="B35" t="s">
        <v>2625</v>
      </c>
      <c r="C35" s="43" t="s">
        <v>2621</v>
      </c>
      <c r="D35" s="43" t="s">
        <v>2626</v>
      </c>
      <c r="E35" s="43" t="s">
        <v>4832</v>
      </c>
      <c r="F35" s="43" t="s">
        <v>5152</v>
      </c>
      <c r="G35" s="43"/>
      <c r="H35" t="b">
        <f>ISNUMBER(MATCH(B35,'Old Sheet'!$B$2:$B$305,0))</f>
        <v>1</v>
      </c>
      <c r="I35" s="43" t="s">
        <v>4798</v>
      </c>
      <c r="J35" s="43" t="s">
        <v>5023</v>
      </c>
      <c r="K35" t="b">
        <f t="shared" si="0"/>
        <v>0</v>
      </c>
      <c r="M35"/>
      <c r="N35" s="69"/>
    </row>
    <row r="36" spans="1:14">
      <c r="A36">
        <v>67</v>
      </c>
      <c r="B36" t="s">
        <v>2607</v>
      </c>
      <c r="C36" s="43" t="s">
        <v>2603</v>
      </c>
      <c r="D36" s="43" t="s">
        <v>4771</v>
      </c>
      <c r="E36" s="43" t="s">
        <v>4834</v>
      </c>
      <c r="H36" t="b">
        <f>ISNUMBER(MATCH(B36,'Old Sheet'!$B$2:$B$305,0))</f>
        <v>1</v>
      </c>
      <c r="I36" s="43" t="s">
        <v>4798</v>
      </c>
      <c r="J36" s="43" t="s">
        <v>5023</v>
      </c>
      <c r="K36" t="b">
        <f t="shared" si="0"/>
        <v>0</v>
      </c>
      <c r="M36"/>
      <c r="N36" s="69"/>
    </row>
    <row r="37" spans="1:14">
      <c r="A37">
        <v>68</v>
      </c>
      <c r="B37" t="s">
        <v>2616</v>
      </c>
      <c r="C37" s="43" t="s">
        <v>2612</v>
      </c>
      <c r="D37" s="43" t="s">
        <v>4047</v>
      </c>
      <c r="E37" s="43" t="s">
        <v>4835</v>
      </c>
      <c r="F37" t="s">
        <v>5151</v>
      </c>
      <c r="H37" t="b">
        <f>ISNUMBER(MATCH(B37,'Old Sheet'!$B$2:$B$305,0))</f>
        <v>1</v>
      </c>
      <c r="I37" s="43" t="s">
        <v>4798</v>
      </c>
      <c r="J37" s="43" t="s">
        <v>5023</v>
      </c>
      <c r="K37" t="b">
        <f t="shared" si="0"/>
        <v>0</v>
      </c>
      <c r="M37"/>
      <c r="N37" s="69"/>
    </row>
    <row r="38" spans="1:14">
      <c r="A38">
        <v>69</v>
      </c>
      <c r="B38" t="s">
        <v>1012</v>
      </c>
      <c r="C38" s="43" t="s">
        <v>1011</v>
      </c>
      <c r="D38" s="43" t="s">
        <v>4045</v>
      </c>
      <c r="E38" s="43" t="s">
        <v>4836</v>
      </c>
      <c r="H38" t="b">
        <f>ISNUMBER(MATCH(B38,'Old Sheet'!$B$2:$B$305,0))</f>
        <v>1</v>
      </c>
      <c r="I38" s="43" t="s">
        <v>4798</v>
      </c>
      <c r="J38" s="43" t="s">
        <v>5023</v>
      </c>
      <c r="K38" t="b">
        <f t="shared" si="0"/>
        <v>0</v>
      </c>
      <c r="M38"/>
      <c r="N38" s="69"/>
    </row>
    <row r="39" spans="1:14">
      <c r="A39">
        <v>70</v>
      </c>
      <c r="B39" t="s">
        <v>1007</v>
      </c>
      <c r="C39" s="43" t="s">
        <v>1006</v>
      </c>
      <c r="D39" s="43" t="s">
        <v>4072</v>
      </c>
      <c r="E39" s="43" t="s">
        <v>4837</v>
      </c>
      <c r="H39" t="b">
        <f>ISNUMBER(MATCH(B39,'Old Sheet'!$B$2:$B$305,0))</f>
        <v>1</v>
      </c>
      <c r="I39" s="43" t="s">
        <v>4798</v>
      </c>
      <c r="J39" s="43" t="s">
        <v>5023</v>
      </c>
      <c r="K39" t="b">
        <f t="shared" si="0"/>
        <v>0</v>
      </c>
      <c r="M39"/>
      <c r="N39" s="69"/>
    </row>
    <row r="40" spans="1:14">
      <c r="A40">
        <v>75</v>
      </c>
      <c r="B40" t="s">
        <v>984</v>
      </c>
      <c r="C40" s="43" t="s">
        <v>983</v>
      </c>
      <c r="D40" s="43" t="s">
        <v>985</v>
      </c>
      <c r="E40" s="43" t="s">
        <v>4838</v>
      </c>
      <c r="H40" t="b">
        <f>ISNUMBER(MATCH(B40,'Old Sheet'!$B$2:$B$305,0))</f>
        <v>1</v>
      </c>
      <c r="I40" s="43" t="s">
        <v>4798</v>
      </c>
      <c r="J40" s="43" t="s">
        <v>5023</v>
      </c>
      <c r="K40" t="b">
        <f t="shared" si="0"/>
        <v>0</v>
      </c>
      <c r="M40"/>
      <c r="N40" s="69"/>
    </row>
    <row r="41" spans="1:14">
      <c r="A41">
        <v>76</v>
      </c>
      <c r="B41" t="s">
        <v>979</v>
      </c>
      <c r="C41" s="43" t="s">
        <v>978</v>
      </c>
      <c r="D41" s="43" t="s">
        <v>980</v>
      </c>
      <c r="E41" s="43" t="s">
        <v>4839</v>
      </c>
      <c r="H41" t="b">
        <f>ISNUMBER(MATCH(B41,'Old Sheet'!$B$2:$B$305,0))</f>
        <v>1</v>
      </c>
      <c r="I41" s="43" t="s">
        <v>4798</v>
      </c>
      <c r="J41" s="43" t="s">
        <v>5023</v>
      </c>
      <c r="K41" t="b">
        <f t="shared" si="0"/>
        <v>0</v>
      </c>
      <c r="M41"/>
      <c r="N41" s="69"/>
    </row>
    <row r="42" spans="1:14">
      <c r="A42">
        <v>79</v>
      </c>
      <c r="B42" t="s">
        <v>962</v>
      </c>
      <c r="C42" s="43" t="s">
        <v>959</v>
      </c>
      <c r="D42" s="43" t="s">
        <v>4077</v>
      </c>
      <c r="E42" s="43" t="s">
        <v>3969</v>
      </c>
      <c r="F42" s="43" t="s">
        <v>5152</v>
      </c>
      <c r="G42" s="43"/>
      <c r="H42" t="b">
        <f>ISNUMBER(MATCH(B42,'Old Sheet'!$B$2:$B$305,0))</f>
        <v>0</v>
      </c>
      <c r="I42" s="43" t="s">
        <v>4798</v>
      </c>
      <c r="J42" s="43" t="s">
        <v>5023</v>
      </c>
      <c r="K42" t="b">
        <f t="shared" si="0"/>
        <v>0</v>
      </c>
      <c r="M42"/>
      <c r="N42" s="69"/>
    </row>
    <row r="43" spans="1:14">
      <c r="A43">
        <v>80</v>
      </c>
      <c r="B43" t="s">
        <v>970</v>
      </c>
      <c r="C43" s="43" t="s">
        <v>969</v>
      </c>
      <c r="D43" s="43" t="s">
        <v>4590</v>
      </c>
      <c r="E43" s="43" t="s">
        <v>4841</v>
      </c>
      <c r="F43" s="43" t="s">
        <v>5152</v>
      </c>
      <c r="G43" s="43"/>
      <c r="H43" t="b">
        <f>ISNUMBER(MATCH(B43,'Old Sheet'!$B$2:$B$305,0))</f>
        <v>0</v>
      </c>
      <c r="I43" s="43" t="s">
        <v>4798</v>
      </c>
      <c r="J43" s="43" t="s">
        <v>5023</v>
      </c>
      <c r="K43" t="b">
        <f t="shared" si="0"/>
        <v>0</v>
      </c>
      <c r="M43"/>
      <c r="N43" s="69"/>
    </row>
    <row r="44" spans="1:14">
      <c r="A44">
        <v>81</v>
      </c>
      <c r="B44" t="s">
        <v>948</v>
      </c>
      <c r="C44" s="43" t="s">
        <v>947</v>
      </c>
      <c r="D44" s="43" t="s">
        <v>4772</v>
      </c>
      <c r="E44" s="43" t="s">
        <v>4772</v>
      </c>
      <c r="F44" s="43" t="s">
        <v>5152</v>
      </c>
      <c r="G44" s="43"/>
      <c r="H44" t="b">
        <f>ISNUMBER(MATCH(B44,'Old Sheet'!$B$2:$B$305,0))</f>
        <v>1</v>
      </c>
      <c r="I44" s="43" t="s">
        <v>4798</v>
      </c>
      <c r="J44" s="43" t="s">
        <v>5023</v>
      </c>
      <c r="K44" t="b">
        <f t="shared" si="0"/>
        <v>0</v>
      </c>
      <c r="M44"/>
      <c r="N44" s="69"/>
    </row>
    <row r="45" spans="1:14">
      <c r="A45">
        <v>82</v>
      </c>
      <c r="B45" t="s">
        <v>965</v>
      </c>
      <c r="C45" s="43" t="s">
        <v>964</v>
      </c>
      <c r="D45" s="43" t="s">
        <v>4773</v>
      </c>
      <c r="E45" s="43" t="s">
        <v>4773</v>
      </c>
      <c r="F45" s="76" t="s">
        <v>5157</v>
      </c>
      <c r="G45" s="76"/>
      <c r="H45" t="b">
        <f>ISNUMBER(MATCH(B45,'Old Sheet'!$B$2:$B$305,0))</f>
        <v>0</v>
      </c>
      <c r="I45" s="43" t="s">
        <v>4891</v>
      </c>
      <c r="J45" s="43" t="s">
        <v>5033</v>
      </c>
      <c r="K45" t="b">
        <f t="shared" si="0"/>
        <v>0</v>
      </c>
      <c r="M45"/>
      <c r="N45" s="69"/>
    </row>
    <row r="46" spans="1:14">
      <c r="A46">
        <v>83</v>
      </c>
      <c r="B46" t="s">
        <v>2589</v>
      </c>
      <c r="C46" s="43" t="s">
        <v>2585</v>
      </c>
      <c r="D46" s="43" t="s">
        <v>4122</v>
      </c>
      <c r="E46" s="43" t="s">
        <v>4842</v>
      </c>
      <c r="F46" s="43" t="s">
        <v>5152</v>
      </c>
      <c r="G46" s="43"/>
      <c r="H46" t="b">
        <f>ISNUMBER(MATCH(B46,'Old Sheet'!$B$2:$B$305,0))</f>
        <v>0</v>
      </c>
      <c r="I46" s="43" t="s">
        <v>4798</v>
      </c>
      <c r="J46" s="43" t="s">
        <v>5023</v>
      </c>
      <c r="K46" t="b">
        <f t="shared" si="0"/>
        <v>0</v>
      </c>
      <c r="M46"/>
      <c r="N46" s="69"/>
    </row>
    <row r="47" spans="1:14">
      <c r="A47">
        <v>84</v>
      </c>
      <c r="B47" t="s">
        <v>2580</v>
      </c>
      <c r="C47" s="43" t="s">
        <v>2576</v>
      </c>
      <c r="D47" s="43" t="s">
        <v>4774</v>
      </c>
      <c r="E47" s="43" t="s">
        <v>4843</v>
      </c>
      <c r="F47" s="43" t="s">
        <v>5152</v>
      </c>
      <c r="G47" s="43"/>
      <c r="H47" t="b">
        <f>ISNUMBER(MATCH(B47,'Old Sheet'!$B$2:$B$305,0))</f>
        <v>1</v>
      </c>
      <c r="I47" s="43" t="s">
        <v>4798</v>
      </c>
      <c r="J47" s="43" t="s">
        <v>5023</v>
      </c>
      <c r="K47" t="b">
        <f t="shared" si="0"/>
        <v>0</v>
      </c>
      <c r="M47"/>
      <c r="N47" s="69"/>
    </row>
    <row r="48" spans="1:14">
      <c r="A48">
        <v>85</v>
      </c>
      <c r="B48" t="s">
        <v>2553</v>
      </c>
      <c r="C48" s="43" t="s">
        <v>2549</v>
      </c>
      <c r="D48" s="43" t="s">
        <v>4591</v>
      </c>
      <c r="E48" s="43" t="s">
        <v>4117</v>
      </c>
      <c r="F48" s="43" t="s">
        <v>5152</v>
      </c>
      <c r="G48" s="43"/>
      <c r="H48" t="b">
        <f>ISNUMBER(MATCH(B48,'Old Sheet'!$B$2:$B$305,0))</f>
        <v>0</v>
      </c>
      <c r="I48" s="43" t="s">
        <v>4892</v>
      </c>
      <c r="J48" s="43" t="s">
        <v>5023</v>
      </c>
      <c r="K48" t="b">
        <f t="shared" si="0"/>
        <v>0</v>
      </c>
      <c r="M48"/>
      <c r="N48" s="69"/>
    </row>
    <row r="49" spans="1:14">
      <c r="A49">
        <v>86</v>
      </c>
      <c r="B49" t="s">
        <v>2562</v>
      </c>
      <c r="C49" s="43" t="s">
        <v>2558</v>
      </c>
      <c r="D49" s="43" t="s">
        <v>4613</v>
      </c>
      <c r="E49" s="43" t="s">
        <v>4844</v>
      </c>
      <c r="F49" s="43" t="s">
        <v>5152</v>
      </c>
      <c r="G49" s="43"/>
      <c r="H49" t="b">
        <f>ISNUMBER(MATCH(B49,'Old Sheet'!$B$2:$B$305,0))</f>
        <v>0</v>
      </c>
      <c r="I49" s="43" t="s">
        <v>4892</v>
      </c>
      <c r="J49" s="43" t="s">
        <v>5023</v>
      </c>
      <c r="K49" t="b">
        <f t="shared" si="0"/>
        <v>0</v>
      </c>
      <c r="M49"/>
      <c r="N49" s="69"/>
    </row>
    <row r="50" spans="1:14">
      <c r="A50">
        <v>87</v>
      </c>
      <c r="B50" t="s">
        <v>2544</v>
      </c>
      <c r="C50" s="43" t="s">
        <v>2540</v>
      </c>
      <c r="D50" s="43" t="s">
        <v>2545</v>
      </c>
      <c r="E50" s="43" t="s">
        <v>2545</v>
      </c>
      <c r="F50" s="43" t="s">
        <v>5152</v>
      </c>
      <c r="G50" s="43"/>
      <c r="H50" t="b">
        <f>ISNUMBER(MATCH(B50,'Old Sheet'!$B$2:$B$305,0))</f>
        <v>1</v>
      </c>
      <c r="I50" s="43" t="s">
        <v>4798</v>
      </c>
      <c r="J50" s="43" t="s">
        <v>5023</v>
      </c>
      <c r="K50" t="b">
        <f t="shared" si="0"/>
        <v>0</v>
      </c>
      <c r="M50"/>
      <c r="N50" s="69"/>
    </row>
    <row r="51" spans="1:14">
      <c r="A51">
        <v>89</v>
      </c>
      <c r="B51" t="s">
        <v>2571</v>
      </c>
      <c r="C51" s="43" t="s">
        <v>2567</v>
      </c>
      <c r="D51" s="43" t="s">
        <v>2572</v>
      </c>
      <c r="E51" s="43" t="s">
        <v>2572</v>
      </c>
      <c r="F51" s="43" t="s">
        <v>5152</v>
      </c>
      <c r="G51" s="43"/>
      <c r="H51" t="b">
        <f>ISNUMBER(MATCH(B51,'Old Sheet'!$B$2:$B$305,0))</f>
        <v>1</v>
      </c>
      <c r="I51" s="43" t="s">
        <v>4798</v>
      </c>
      <c r="J51" s="43" t="s">
        <v>5023</v>
      </c>
      <c r="K51" t="b">
        <f t="shared" si="0"/>
        <v>0</v>
      </c>
      <c r="M51"/>
      <c r="N51" s="69"/>
    </row>
    <row r="52" spans="1:14">
      <c r="A52">
        <v>91</v>
      </c>
      <c r="B52" t="s">
        <v>2511</v>
      </c>
      <c r="C52" s="43" t="s">
        <v>2507</v>
      </c>
      <c r="D52" s="43" t="s">
        <v>4564</v>
      </c>
      <c r="E52" s="43" t="s">
        <v>4846</v>
      </c>
      <c r="F52" s="43" t="s">
        <v>5152</v>
      </c>
      <c r="G52" s="43"/>
      <c r="H52" t="b">
        <f>ISNUMBER(MATCH(B52,'Old Sheet'!$B$2:$B$305,0))</f>
        <v>0</v>
      </c>
      <c r="I52" s="43" t="s">
        <v>4798</v>
      </c>
      <c r="J52" s="43" t="s">
        <v>5023</v>
      </c>
      <c r="K52" t="b">
        <f t="shared" si="0"/>
        <v>0</v>
      </c>
      <c r="M52"/>
      <c r="N52" s="69"/>
    </row>
    <row r="53" spans="1:14">
      <c r="A53">
        <v>92</v>
      </c>
      <c r="B53" t="s">
        <v>607</v>
      </c>
      <c r="C53" s="43" t="s">
        <v>606</v>
      </c>
      <c r="D53" s="43" t="s">
        <v>608</v>
      </c>
      <c r="E53" s="43" t="s">
        <v>4847</v>
      </c>
      <c r="F53" s="76" t="s">
        <v>5157</v>
      </c>
      <c r="G53" s="76"/>
      <c r="H53" t="b">
        <f>ISNUMBER(MATCH(B53,'Old Sheet'!$B$2:$B$305,0))</f>
        <v>1</v>
      </c>
      <c r="I53" s="43" t="s">
        <v>4799</v>
      </c>
      <c r="J53" s="43" t="s">
        <v>5076</v>
      </c>
      <c r="K53" t="b">
        <f t="shared" si="0"/>
        <v>0</v>
      </c>
      <c r="M53"/>
      <c r="N53" s="69"/>
    </row>
    <row r="54" spans="1:14">
      <c r="A54">
        <v>92</v>
      </c>
      <c r="B54" t="s">
        <v>631</v>
      </c>
      <c r="C54" s="43" t="s">
        <v>630</v>
      </c>
      <c r="D54" s="43" t="s">
        <v>632</v>
      </c>
      <c r="E54" s="43" t="s">
        <v>4847</v>
      </c>
      <c r="F54" s="76" t="s">
        <v>5157</v>
      </c>
      <c r="G54" s="76"/>
      <c r="H54" t="b">
        <f>ISNUMBER(MATCH(B54,'Old Sheet'!$B$2:$B$305,0))</f>
        <v>1</v>
      </c>
      <c r="I54" s="43" t="s">
        <v>4799</v>
      </c>
      <c r="J54" s="43" t="s">
        <v>5076</v>
      </c>
      <c r="K54" t="b">
        <f t="shared" si="0"/>
        <v>0</v>
      </c>
      <c r="M54"/>
      <c r="N54" s="69"/>
    </row>
    <row r="55" spans="1:14">
      <c r="A55">
        <v>93</v>
      </c>
      <c r="B55" t="s">
        <v>635</v>
      </c>
      <c r="C55" s="43" t="s">
        <v>634</v>
      </c>
      <c r="D55" s="43" t="s">
        <v>636</v>
      </c>
      <c r="E55" s="43" t="s">
        <v>4848</v>
      </c>
      <c r="F55" s="76" t="s">
        <v>5157</v>
      </c>
      <c r="G55" s="76"/>
      <c r="H55" t="b">
        <f>ISNUMBER(MATCH(B55,'Old Sheet'!$B$2:$B$305,0))</f>
        <v>1</v>
      </c>
      <c r="I55" s="43" t="s">
        <v>4799</v>
      </c>
      <c r="J55" s="43" t="s">
        <v>5076</v>
      </c>
      <c r="K55" t="b">
        <f t="shared" si="0"/>
        <v>0</v>
      </c>
      <c r="M55"/>
      <c r="N55" s="69"/>
    </row>
    <row r="56" spans="1:14">
      <c r="A56">
        <v>99</v>
      </c>
      <c r="B56" t="s">
        <v>611</v>
      </c>
      <c r="C56" s="43" t="s">
        <v>610</v>
      </c>
      <c r="D56" s="43" t="s">
        <v>612</v>
      </c>
      <c r="E56" s="43" t="s">
        <v>4849</v>
      </c>
      <c r="F56" s="76" t="s">
        <v>5157</v>
      </c>
      <c r="G56" s="76"/>
      <c r="H56" t="b">
        <f>ISNUMBER(MATCH(B56,'Old Sheet'!$B$2:$B$305,0))</f>
        <v>1</v>
      </c>
      <c r="I56" s="43" t="s">
        <v>4799</v>
      </c>
      <c r="J56" s="43" t="s">
        <v>5076</v>
      </c>
      <c r="K56" t="b">
        <f t="shared" si="0"/>
        <v>0</v>
      </c>
      <c r="M56"/>
      <c r="N56" s="69"/>
    </row>
    <row r="57" spans="1:14">
      <c r="A57">
        <v>99</v>
      </c>
      <c r="B57" t="s">
        <v>603</v>
      </c>
      <c r="C57" s="43" t="s">
        <v>602</v>
      </c>
      <c r="D57" s="43" t="s">
        <v>604</v>
      </c>
      <c r="E57" s="43" t="s">
        <v>4849</v>
      </c>
      <c r="F57" s="76" t="s">
        <v>5157</v>
      </c>
      <c r="G57" s="76"/>
      <c r="H57" t="b">
        <f>ISNUMBER(MATCH(B57,'Old Sheet'!$B$2:$B$305,0))</f>
        <v>1</v>
      </c>
      <c r="I57" s="43" t="s">
        <v>4799</v>
      </c>
      <c r="J57" s="43" t="s">
        <v>5076</v>
      </c>
      <c r="K57" t="b">
        <f t="shared" si="0"/>
        <v>0</v>
      </c>
      <c r="M57"/>
      <c r="N57" s="69"/>
    </row>
    <row r="58" spans="1:14">
      <c r="A58">
        <v>101</v>
      </c>
      <c r="B58" t="s">
        <v>846</v>
      </c>
      <c r="C58" s="43" t="s">
        <v>845</v>
      </c>
      <c r="D58" s="43" t="s">
        <v>847</v>
      </c>
      <c r="E58" s="43" t="s">
        <v>4850</v>
      </c>
      <c r="F58" s="43" t="s">
        <v>5152</v>
      </c>
      <c r="G58" s="43"/>
      <c r="H58" t="b">
        <f>ISNUMBER(MATCH(B58,'Old Sheet'!$B$2:$B$305,0))</f>
        <v>1</v>
      </c>
      <c r="I58" s="43" t="s">
        <v>4798</v>
      </c>
      <c r="J58" s="43" t="s">
        <v>5023</v>
      </c>
      <c r="K58" t="b">
        <f t="shared" si="0"/>
        <v>0</v>
      </c>
      <c r="M58"/>
      <c r="N58" s="69"/>
    </row>
    <row r="59" spans="1:14">
      <c r="A59">
        <v>103</v>
      </c>
      <c r="B59" t="s">
        <v>2493</v>
      </c>
      <c r="C59" s="43" t="s">
        <v>2489</v>
      </c>
      <c r="D59" s="43" t="s">
        <v>2494</v>
      </c>
      <c r="E59" s="43" t="s">
        <v>2494</v>
      </c>
      <c r="F59" s="43" t="s">
        <v>5152</v>
      </c>
      <c r="G59" s="43"/>
      <c r="H59" t="b">
        <f>ISNUMBER(MATCH(B59,'Old Sheet'!$B$2:$B$305,0))</f>
        <v>1</v>
      </c>
      <c r="I59" s="43" t="s">
        <v>4798</v>
      </c>
      <c r="J59" s="43" t="s">
        <v>5023</v>
      </c>
      <c r="K59" t="b">
        <f t="shared" si="0"/>
        <v>0</v>
      </c>
      <c r="M59"/>
      <c r="N59" s="68"/>
    </row>
    <row r="60" spans="1:14">
      <c r="A60">
        <v>104</v>
      </c>
      <c r="B60" t="s">
        <v>941</v>
      </c>
      <c r="C60" s="43" t="s">
        <v>938</v>
      </c>
      <c r="D60" s="43" t="s">
        <v>942</v>
      </c>
      <c r="E60" s="43" t="s">
        <v>4851</v>
      </c>
      <c r="F60" s="43" t="s">
        <v>5152</v>
      </c>
      <c r="G60" s="43"/>
      <c r="H60" t="b">
        <f>ISNUMBER(MATCH(B60,'Old Sheet'!$B$2:$B$305,0))</f>
        <v>1</v>
      </c>
      <c r="I60" s="43" t="s">
        <v>4798</v>
      </c>
      <c r="J60" s="43" t="s">
        <v>5023</v>
      </c>
      <c r="K60" t="b">
        <f t="shared" si="0"/>
        <v>0</v>
      </c>
      <c r="M60"/>
      <c r="N60" s="68"/>
    </row>
    <row r="61" spans="1:14">
      <c r="A61">
        <v>105</v>
      </c>
      <c r="B61" t="s">
        <v>917</v>
      </c>
      <c r="C61" s="43" t="s">
        <v>914</v>
      </c>
      <c r="D61" s="43" t="s">
        <v>918</v>
      </c>
      <c r="E61" s="43" t="s">
        <v>4852</v>
      </c>
      <c r="F61" s="43" t="s">
        <v>5152</v>
      </c>
      <c r="G61" s="43"/>
      <c r="H61" t="b">
        <f>ISNUMBER(MATCH(B61,'Old Sheet'!$B$2:$B$305,0))</f>
        <v>1</v>
      </c>
      <c r="I61" s="43" t="s">
        <v>4798</v>
      </c>
      <c r="J61" s="43" t="s">
        <v>5023</v>
      </c>
      <c r="K61" t="b">
        <f t="shared" si="0"/>
        <v>0</v>
      </c>
      <c r="M61"/>
      <c r="N61" s="68"/>
    </row>
    <row r="62" spans="1:14">
      <c r="A62">
        <v>106</v>
      </c>
      <c r="B62" t="s">
        <v>929</v>
      </c>
      <c r="C62" s="43" t="s">
        <v>926</v>
      </c>
      <c r="D62" s="43" t="s">
        <v>930</v>
      </c>
      <c r="E62" s="43" t="s">
        <v>4853</v>
      </c>
      <c r="H62" t="b">
        <f>ISNUMBER(MATCH(B62,'Old Sheet'!$B$2:$B$305,0))</f>
        <v>1</v>
      </c>
      <c r="I62" s="43" t="s">
        <v>4798</v>
      </c>
      <c r="J62" s="43" t="s">
        <v>5023</v>
      </c>
      <c r="K62" t="b">
        <f t="shared" si="0"/>
        <v>0</v>
      </c>
      <c r="M62"/>
      <c r="N62" s="68"/>
    </row>
    <row r="63" spans="1:14">
      <c r="A63">
        <v>110</v>
      </c>
      <c r="B63" t="s">
        <v>902</v>
      </c>
      <c r="C63" s="43" t="s">
        <v>901</v>
      </c>
      <c r="D63" s="43" t="s">
        <v>903</v>
      </c>
      <c r="E63" s="43" t="s">
        <v>903</v>
      </c>
      <c r="H63" t="b">
        <f>ISNUMBER(MATCH(B63,'Old Sheet'!$B$2:$B$305,0))</f>
        <v>0</v>
      </c>
      <c r="I63" s="43" t="s">
        <v>4798</v>
      </c>
      <c r="J63" s="43" t="s">
        <v>5023</v>
      </c>
      <c r="K63" t="b">
        <f t="shared" si="0"/>
        <v>0</v>
      </c>
      <c r="M63"/>
      <c r="N63" s="68"/>
    </row>
    <row r="64" spans="1:14">
      <c r="A64">
        <v>111</v>
      </c>
      <c r="B64" t="s">
        <v>2421</v>
      </c>
      <c r="C64" s="43" t="s">
        <v>2417</v>
      </c>
      <c r="D64" s="43" t="s">
        <v>2422</v>
      </c>
      <c r="E64" s="43" t="s">
        <v>2422</v>
      </c>
      <c r="F64" s="43" t="s">
        <v>5152</v>
      </c>
      <c r="G64" s="43"/>
      <c r="H64" t="b">
        <f>ISNUMBER(MATCH(B64,'Old Sheet'!$B$2:$B$305,0))</f>
        <v>1</v>
      </c>
      <c r="I64" s="43" t="s">
        <v>4891</v>
      </c>
      <c r="J64" s="43" t="s">
        <v>5033</v>
      </c>
      <c r="K64" t="b">
        <f t="shared" si="0"/>
        <v>0</v>
      </c>
      <c r="M64"/>
      <c r="N64" s="68"/>
    </row>
    <row r="65" spans="1:20">
      <c r="A65">
        <v>112</v>
      </c>
      <c r="B65" t="s">
        <v>2469</v>
      </c>
      <c r="C65" s="43" t="s">
        <v>2466</v>
      </c>
      <c r="D65" s="43" t="s">
        <v>4083</v>
      </c>
      <c r="E65" s="43" t="s">
        <v>4083</v>
      </c>
      <c r="F65" s="43" t="s">
        <v>5152</v>
      </c>
      <c r="G65" s="43"/>
      <c r="H65" t="b">
        <f>ISNUMBER(MATCH(B65,'Old Sheet'!$B$2:$B$305,0))</f>
        <v>0</v>
      </c>
      <c r="I65" s="43" t="s">
        <v>4798</v>
      </c>
      <c r="J65" s="43" t="s">
        <v>5023</v>
      </c>
      <c r="K65" t="b">
        <f t="shared" si="0"/>
        <v>0</v>
      </c>
      <c r="M65"/>
      <c r="N65" s="68"/>
    </row>
    <row r="66" spans="1:20">
      <c r="A66">
        <v>113</v>
      </c>
      <c r="B66" t="s">
        <v>2432</v>
      </c>
      <c r="C66" s="43" t="s">
        <v>2431</v>
      </c>
      <c r="D66" s="43" t="s">
        <v>2433</v>
      </c>
      <c r="E66" s="43" t="s">
        <v>2433</v>
      </c>
      <c r="F66" s="43" t="s">
        <v>5152</v>
      </c>
      <c r="G66" s="43"/>
      <c r="H66" t="b">
        <f>ISNUMBER(MATCH(B66,'Old Sheet'!$B$2:$B$305,0))</f>
        <v>1</v>
      </c>
      <c r="I66" s="43" t="s">
        <v>4891</v>
      </c>
      <c r="J66" s="43" t="s">
        <v>5033</v>
      </c>
      <c r="K66" t="b">
        <f t="shared" si="0"/>
        <v>0</v>
      </c>
      <c r="M66"/>
      <c r="N66" s="68"/>
    </row>
    <row r="67" spans="1:20">
      <c r="A67">
        <v>114</v>
      </c>
      <c r="B67" t="s">
        <v>2448</v>
      </c>
      <c r="C67" s="43" t="s">
        <v>2437</v>
      </c>
      <c r="D67" s="43" t="s">
        <v>3959</v>
      </c>
      <c r="E67" s="43" t="s">
        <v>3959</v>
      </c>
      <c r="F67" s="43" t="s">
        <v>5152</v>
      </c>
      <c r="G67" s="43"/>
      <c r="H67" t="b">
        <f>ISNUMBER(MATCH(B67,'Old Sheet'!$B$2:$B$305,0))</f>
        <v>0</v>
      </c>
      <c r="I67" s="43" t="s">
        <v>4798</v>
      </c>
      <c r="J67" s="43" t="s">
        <v>5023</v>
      </c>
      <c r="K67" t="b">
        <f t="shared" si="0"/>
        <v>0</v>
      </c>
      <c r="M67"/>
      <c r="N67" s="68"/>
    </row>
    <row r="68" spans="1:20">
      <c r="A68">
        <v>115</v>
      </c>
      <c r="B68" t="s">
        <v>2442</v>
      </c>
      <c r="C68" s="43" t="s">
        <v>2441</v>
      </c>
      <c r="D68" s="43" t="s">
        <v>2443</v>
      </c>
      <c r="E68" s="43" t="s">
        <v>2443</v>
      </c>
      <c r="F68" s="43" t="s">
        <v>5152</v>
      </c>
      <c r="G68" s="43"/>
      <c r="H68" t="b">
        <f>ISNUMBER(MATCH(B68,'Old Sheet'!$B$2:$B$305,0))</f>
        <v>1</v>
      </c>
      <c r="I68" s="43" t="s">
        <v>4891</v>
      </c>
      <c r="J68" s="43" t="s">
        <v>5033</v>
      </c>
      <c r="K68" t="b">
        <f t="shared" si="0"/>
        <v>0</v>
      </c>
      <c r="M68"/>
      <c r="N68" s="68"/>
    </row>
    <row r="69" spans="1:20">
      <c r="A69">
        <v>116</v>
      </c>
      <c r="B69" t="s">
        <v>887</v>
      </c>
      <c r="C69" s="43" t="s">
        <v>886</v>
      </c>
      <c r="D69" s="43" t="s">
        <v>4775</v>
      </c>
      <c r="E69" s="43" t="s">
        <v>888</v>
      </c>
      <c r="F69" t="s">
        <v>5151</v>
      </c>
      <c r="H69" t="b">
        <f>ISNUMBER(MATCH(B69,'Old Sheet'!$B$2:$B$305,0))</f>
        <v>1</v>
      </c>
      <c r="I69" s="43" t="s">
        <v>4798</v>
      </c>
      <c r="J69" s="43" t="s">
        <v>5023</v>
      </c>
      <c r="K69" t="b">
        <f t="shared" si="0"/>
        <v>0</v>
      </c>
      <c r="M69"/>
      <c r="N69" s="68"/>
    </row>
    <row r="70" spans="1:20">
      <c r="A70">
        <v>117</v>
      </c>
      <c r="B70" t="s">
        <v>870</v>
      </c>
      <c r="C70" s="43" t="s">
        <v>869</v>
      </c>
      <c r="D70" s="43" t="s">
        <v>871</v>
      </c>
      <c r="E70" s="43" t="s">
        <v>871</v>
      </c>
      <c r="H70" t="b">
        <f>ISNUMBER(MATCH(B70,'Old Sheet'!$B$2:$B$305,0))</f>
        <v>1</v>
      </c>
      <c r="I70" s="43" t="s">
        <v>4798</v>
      </c>
      <c r="J70" s="43" t="s">
        <v>5023</v>
      </c>
      <c r="K70" t="b">
        <f t="shared" si="0"/>
        <v>0</v>
      </c>
      <c r="M70"/>
      <c r="N70" s="68"/>
    </row>
    <row r="71" spans="1:20">
      <c r="A71">
        <v>118</v>
      </c>
      <c r="B71" t="s">
        <v>892</v>
      </c>
      <c r="C71" s="43" t="s">
        <v>885</v>
      </c>
      <c r="D71" s="43" t="s">
        <v>893</v>
      </c>
      <c r="E71" s="43" t="s">
        <v>4857</v>
      </c>
      <c r="F71" s="43" t="s">
        <v>5152</v>
      </c>
      <c r="G71" s="43"/>
      <c r="H71" t="b">
        <f>ISNUMBER(MATCH(B71,'Old Sheet'!$B$2:$B$305,0))</f>
        <v>0</v>
      </c>
      <c r="I71" s="43" t="s">
        <v>4888</v>
      </c>
      <c r="J71" s="43" t="s">
        <v>5031</v>
      </c>
      <c r="K71" t="b">
        <f t="shared" si="0"/>
        <v>0</v>
      </c>
      <c r="M71"/>
      <c r="N71" s="68"/>
    </row>
    <row r="72" spans="1:20">
      <c r="A72">
        <v>119</v>
      </c>
      <c r="B72" t="s">
        <v>2403</v>
      </c>
      <c r="C72" s="43" t="s">
        <v>2402</v>
      </c>
      <c r="D72" s="43" t="s">
        <v>2404</v>
      </c>
      <c r="E72" s="43" t="s">
        <v>4858</v>
      </c>
      <c r="F72" s="43" t="s">
        <v>5152</v>
      </c>
      <c r="G72" s="43"/>
      <c r="H72" t="b">
        <f>ISNUMBER(MATCH(B72,'Old Sheet'!$B$2:$B$305,0))</f>
        <v>0</v>
      </c>
      <c r="I72" s="43" t="s">
        <v>4798</v>
      </c>
      <c r="J72" s="43" t="s">
        <v>5023</v>
      </c>
      <c r="K72" t="b">
        <f t="shared" si="0"/>
        <v>0</v>
      </c>
      <c r="M72"/>
      <c r="N72" s="68"/>
    </row>
    <row r="73" spans="1:20">
      <c r="A73">
        <v>120</v>
      </c>
      <c r="B73" t="s">
        <v>2394</v>
      </c>
      <c r="C73" s="43" t="s">
        <v>2393</v>
      </c>
      <c r="D73" s="43" t="s">
        <v>2395</v>
      </c>
      <c r="E73" s="43" t="s">
        <v>2395</v>
      </c>
      <c r="F73" s="43" t="s">
        <v>5152</v>
      </c>
      <c r="G73" s="43"/>
      <c r="H73" t="b">
        <f>ISNUMBER(MATCH(B73,'Old Sheet'!$B$2:$B$305,0))</f>
        <v>0</v>
      </c>
      <c r="I73" s="43" t="s">
        <v>4890</v>
      </c>
      <c r="J73" s="43" t="s">
        <v>5023</v>
      </c>
      <c r="K73" t="b">
        <f t="shared" ref="K73:K136" si="1">ISNUMBER(MATCH(B73,$O$9:$O$27,0))</f>
        <v>0</v>
      </c>
      <c r="M73"/>
      <c r="N73" s="68"/>
    </row>
    <row r="74" spans="1:20">
      <c r="A74">
        <v>121</v>
      </c>
      <c r="B74" t="s">
        <v>2388</v>
      </c>
      <c r="C74" s="43" t="s">
        <v>2381</v>
      </c>
      <c r="D74" s="43" t="s">
        <v>2389</v>
      </c>
      <c r="E74" s="43" t="s">
        <v>2389</v>
      </c>
      <c r="F74" s="43" t="s">
        <v>5152</v>
      </c>
      <c r="G74" s="43"/>
      <c r="H74" t="b">
        <f>ISNUMBER(MATCH(B74,'Old Sheet'!$B$2:$B$305,0))</f>
        <v>0</v>
      </c>
      <c r="I74" s="43" t="s">
        <v>4798</v>
      </c>
      <c r="J74" s="43" t="s">
        <v>5023</v>
      </c>
      <c r="K74" t="b">
        <f t="shared" si="1"/>
        <v>0</v>
      </c>
      <c r="M74"/>
      <c r="N74" s="68"/>
      <c r="Q74" s="33"/>
    </row>
    <row r="75" spans="1:20" s="33" customFormat="1">
      <c r="A75" s="33">
        <v>122</v>
      </c>
      <c r="B75" s="33" t="s">
        <v>2367</v>
      </c>
      <c r="C75" s="78" t="s">
        <v>2366</v>
      </c>
      <c r="D75" s="78" t="s">
        <v>2368</v>
      </c>
      <c r="E75" s="78" t="s">
        <v>2368</v>
      </c>
      <c r="H75" s="33" t="b">
        <f>ISNUMBER(MATCH(B75,'Old Sheet'!$B$2:$B$305,0))</f>
        <v>0</v>
      </c>
      <c r="I75" s="78" t="s">
        <v>4798</v>
      </c>
      <c r="J75" s="78" t="s">
        <v>5023</v>
      </c>
      <c r="K75" s="33" t="b">
        <f t="shared" si="1"/>
        <v>0</v>
      </c>
      <c r="N75" s="79"/>
      <c r="O75" s="79"/>
      <c r="Q75"/>
      <c r="S75"/>
      <c r="T75"/>
    </row>
    <row r="76" spans="1:20">
      <c r="A76">
        <v>123</v>
      </c>
      <c r="B76" t="s">
        <v>856</v>
      </c>
      <c r="C76" s="43" t="s">
        <v>855</v>
      </c>
      <c r="D76" s="43" t="s">
        <v>857</v>
      </c>
      <c r="E76" s="43" t="s">
        <v>857</v>
      </c>
      <c r="H76" t="b">
        <f>ISNUMBER(MATCH(B76,'Old Sheet'!$B$2:$B$305,0))</f>
        <v>1</v>
      </c>
      <c r="I76" s="43" t="s">
        <v>4798</v>
      </c>
      <c r="J76" s="43" t="s">
        <v>5023</v>
      </c>
      <c r="K76" t="b">
        <f t="shared" si="1"/>
        <v>0</v>
      </c>
      <c r="M76"/>
      <c r="N76" s="68"/>
    </row>
    <row r="77" spans="1:20">
      <c r="A77">
        <v>123</v>
      </c>
      <c r="B77" t="s">
        <v>2183</v>
      </c>
      <c r="C77" s="43" t="s">
        <v>2179</v>
      </c>
      <c r="D77" s="43" t="s">
        <v>2184</v>
      </c>
      <c r="E77" s="43" t="s">
        <v>857</v>
      </c>
      <c r="H77" t="b">
        <f>ISNUMBER(MATCH(B77,'Old Sheet'!$B$2:$B$305,0))</f>
        <v>1</v>
      </c>
      <c r="I77" s="43" t="s">
        <v>4798</v>
      </c>
      <c r="J77" s="43" t="s">
        <v>5023</v>
      </c>
      <c r="K77" t="b">
        <f t="shared" si="1"/>
        <v>0</v>
      </c>
      <c r="M77"/>
      <c r="N77" s="68"/>
    </row>
    <row r="78" spans="1:20">
      <c r="A78">
        <v>124</v>
      </c>
      <c r="B78" t="s">
        <v>864</v>
      </c>
      <c r="C78" s="43" t="s">
        <v>853</v>
      </c>
      <c r="D78" s="43" t="s">
        <v>865</v>
      </c>
      <c r="E78" s="43" t="s">
        <v>865</v>
      </c>
      <c r="F78" t="s">
        <v>5151</v>
      </c>
      <c r="H78" t="b">
        <f>ISNUMBER(MATCH(B78,'Old Sheet'!$B$2:$B$305,0))</f>
        <v>1</v>
      </c>
      <c r="I78" s="43" t="s">
        <v>4798</v>
      </c>
      <c r="J78" s="43" t="s">
        <v>5023</v>
      </c>
      <c r="K78" t="b">
        <f t="shared" si="1"/>
        <v>0</v>
      </c>
      <c r="M78"/>
      <c r="N78" s="68"/>
    </row>
    <row r="79" spans="1:20">
      <c r="A79">
        <v>125</v>
      </c>
      <c r="B79" t="s">
        <v>2361</v>
      </c>
      <c r="C79" s="43" t="s">
        <v>2357</v>
      </c>
      <c r="D79" s="43" t="s">
        <v>2362</v>
      </c>
      <c r="E79" s="43" t="s">
        <v>2362</v>
      </c>
      <c r="F79" s="43" t="s">
        <v>5152</v>
      </c>
      <c r="G79" s="43"/>
      <c r="H79" t="b">
        <f>ISNUMBER(MATCH(B79,'Old Sheet'!$B$2:$B$305,0))</f>
        <v>1</v>
      </c>
      <c r="I79" s="43" t="s">
        <v>4890</v>
      </c>
      <c r="J79" s="43" t="s">
        <v>5102</v>
      </c>
      <c r="K79" t="b">
        <f t="shared" si="1"/>
        <v>0</v>
      </c>
      <c r="M79"/>
      <c r="N79" s="68"/>
      <c r="Q79" s="33"/>
    </row>
    <row r="80" spans="1:20" s="33" customFormat="1">
      <c r="A80" s="33">
        <v>126</v>
      </c>
      <c r="B80" s="33" t="s">
        <v>2329</v>
      </c>
      <c r="C80" s="78" t="s">
        <v>2321</v>
      </c>
      <c r="D80" s="78" t="s">
        <v>2330</v>
      </c>
      <c r="E80" s="78" t="s">
        <v>2330</v>
      </c>
      <c r="H80" s="33" t="b">
        <f>ISNUMBER(MATCH(B80,'Old Sheet'!$B$2:$B$305,0))</f>
        <v>0</v>
      </c>
      <c r="I80" s="78" t="s">
        <v>4798</v>
      </c>
      <c r="J80" s="78" t="s">
        <v>5023</v>
      </c>
      <c r="K80" s="33" t="b">
        <f t="shared" si="1"/>
        <v>0</v>
      </c>
      <c r="N80" s="79"/>
      <c r="O80" s="79"/>
      <c r="S80"/>
      <c r="T80"/>
    </row>
    <row r="81" spans="1:20" s="33" customFormat="1">
      <c r="A81" s="33">
        <v>127</v>
      </c>
      <c r="B81" s="33" t="s">
        <v>2331</v>
      </c>
      <c r="C81" s="78" t="s">
        <v>2325</v>
      </c>
      <c r="D81" s="78" t="s">
        <v>2332</v>
      </c>
      <c r="E81" s="78" t="s">
        <v>2332</v>
      </c>
      <c r="H81" s="33" t="b">
        <f>ISNUMBER(MATCH(B81,'Old Sheet'!$B$2:$B$305,0))</f>
        <v>0</v>
      </c>
      <c r="I81" s="78" t="s">
        <v>4798</v>
      </c>
      <c r="J81" s="78" t="s">
        <v>5023</v>
      </c>
      <c r="K81" s="33" t="b">
        <f t="shared" si="1"/>
        <v>0</v>
      </c>
      <c r="N81" s="79"/>
      <c r="O81" s="79"/>
      <c r="S81"/>
      <c r="T81"/>
    </row>
    <row r="82" spans="1:20" s="33" customFormat="1">
      <c r="A82" s="33">
        <v>128</v>
      </c>
      <c r="B82" s="33" t="s">
        <v>2352</v>
      </c>
      <c r="C82" s="78" t="s">
        <v>2339</v>
      </c>
      <c r="D82" s="78" t="s">
        <v>4776</v>
      </c>
      <c r="E82" s="78" t="s">
        <v>4776</v>
      </c>
      <c r="H82" s="33" t="b">
        <f>ISNUMBER(MATCH(B82,'Old Sheet'!$B$2:$B$305,0))</f>
        <v>0</v>
      </c>
      <c r="I82" s="78" t="s">
        <v>4798</v>
      </c>
      <c r="J82" s="78" t="s">
        <v>5023</v>
      </c>
      <c r="K82" s="33" t="b">
        <f t="shared" si="1"/>
        <v>0</v>
      </c>
      <c r="N82" s="79"/>
      <c r="O82" s="79"/>
      <c r="Q82"/>
      <c r="S82"/>
      <c r="T82"/>
    </row>
    <row r="83" spans="1:20">
      <c r="A83">
        <v>131</v>
      </c>
      <c r="B83" t="s">
        <v>3728</v>
      </c>
      <c r="C83" s="43" t="s">
        <v>3725</v>
      </c>
      <c r="D83" s="43" t="s">
        <v>4777</v>
      </c>
      <c r="E83" s="43" t="s">
        <v>4777</v>
      </c>
      <c r="F83" s="43" t="s">
        <v>5152</v>
      </c>
      <c r="G83" s="43"/>
      <c r="H83" t="b">
        <f>ISNUMBER(MATCH(B83,'Old Sheet'!$B$2:$B$305,0))</f>
        <v>1</v>
      </c>
      <c r="I83" s="43" t="s">
        <v>4798</v>
      </c>
      <c r="J83" s="43" t="s">
        <v>5023</v>
      </c>
      <c r="K83" t="b">
        <f t="shared" si="1"/>
        <v>0</v>
      </c>
      <c r="M83"/>
      <c r="N83" s="68"/>
    </row>
    <row r="84" spans="1:20">
      <c r="A84">
        <v>132</v>
      </c>
      <c r="B84" t="s">
        <v>3707</v>
      </c>
      <c r="C84" s="43" t="s">
        <v>3704</v>
      </c>
      <c r="D84" s="43" t="s">
        <v>4147</v>
      </c>
      <c r="E84" s="43" t="s">
        <v>4147</v>
      </c>
      <c r="H84" t="b">
        <f>ISNUMBER(MATCH(B84,'Old Sheet'!$B$2:$B$305,0))</f>
        <v>0</v>
      </c>
      <c r="I84" s="43" t="s">
        <v>4798</v>
      </c>
      <c r="J84" s="43" t="s">
        <v>5023</v>
      </c>
      <c r="K84" t="b">
        <f t="shared" si="1"/>
        <v>0</v>
      </c>
      <c r="M84"/>
      <c r="N84" s="68"/>
    </row>
    <row r="85" spans="1:20">
      <c r="A85">
        <v>133</v>
      </c>
      <c r="B85" t="s">
        <v>3716</v>
      </c>
      <c r="C85" s="43" t="s">
        <v>3712</v>
      </c>
      <c r="D85" s="43" t="s">
        <v>3999</v>
      </c>
      <c r="E85" s="43" t="s">
        <v>3999</v>
      </c>
      <c r="H85" t="b">
        <f>ISNUMBER(MATCH(B85,'Old Sheet'!$B$2:$B$305,0))</f>
        <v>0</v>
      </c>
      <c r="I85" s="43" t="s">
        <v>4798</v>
      </c>
      <c r="J85" s="43" t="s">
        <v>5023</v>
      </c>
      <c r="K85" t="b">
        <f t="shared" si="1"/>
        <v>0</v>
      </c>
      <c r="M85"/>
      <c r="N85" s="68"/>
    </row>
    <row r="86" spans="1:20">
      <c r="A86">
        <v>133</v>
      </c>
      <c r="B86" t="s">
        <v>3692</v>
      </c>
      <c r="C86" s="43" t="s">
        <v>3687</v>
      </c>
      <c r="D86" s="43" t="s">
        <v>4493</v>
      </c>
      <c r="E86" s="43" t="s">
        <v>3999</v>
      </c>
      <c r="H86" t="b">
        <f>ISNUMBER(MATCH(B86,'Old Sheet'!$B$2:$B$305,0))</f>
        <v>0</v>
      </c>
      <c r="I86" s="43" t="s">
        <v>4798</v>
      </c>
      <c r="J86" s="43" t="s">
        <v>5023</v>
      </c>
      <c r="K86" t="b">
        <f t="shared" si="1"/>
        <v>0</v>
      </c>
      <c r="M86"/>
      <c r="N86" s="68"/>
      <c r="Q86" s="33"/>
    </row>
    <row r="87" spans="1:20" s="33" customFormat="1">
      <c r="A87" s="33">
        <v>134</v>
      </c>
      <c r="B87" s="33" t="s">
        <v>3670</v>
      </c>
      <c r="C87" s="78" t="s">
        <v>3666</v>
      </c>
      <c r="D87" s="78" t="s">
        <v>3671</v>
      </c>
      <c r="E87" s="78" t="s">
        <v>3671</v>
      </c>
      <c r="H87" s="33" t="b">
        <f>ISNUMBER(MATCH(B87,'Old Sheet'!$B$2:$B$305,0))</f>
        <v>0</v>
      </c>
      <c r="I87" s="78" t="s">
        <v>4798</v>
      </c>
      <c r="J87" s="78" t="s">
        <v>5023</v>
      </c>
      <c r="K87" s="33" t="b">
        <f t="shared" si="1"/>
        <v>0</v>
      </c>
      <c r="N87" s="79"/>
      <c r="O87" s="79"/>
      <c r="S87"/>
      <c r="T87"/>
    </row>
    <row r="88" spans="1:20" s="33" customFormat="1">
      <c r="A88" s="33">
        <v>135</v>
      </c>
      <c r="B88" s="33" t="s">
        <v>3679</v>
      </c>
      <c r="C88" s="78" t="s">
        <v>3675</v>
      </c>
      <c r="D88" s="78" t="s">
        <v>3680</v>
      </c>
      <c r="E88" s="78" t="s">
        <v>3680</v>
      </c>
      <c r="H88" s="33" t="b">
        <f>ISNUMBER(MATCH(B88,'Old Sheet'!$B$2:$B$305,0))</f>
        <v>0</v>
      </c>
      <c r="I88" s="78" t="s">
        <v>4798</v>
      </c>
      <c r="J88" s="78" t="s">
        <v>5023</v>
      </c>
      <c r="K88" s="33" t="b">
        <f t="shared" si="1"/>
        <v>0</v>
      </c>
      <c r="N88" s="79"/>
      <c r="O88" s="79"/>
      <c r="S88"/>
      <c r="T88"/>
    </row>
    <row r="89" spans="1:20" s="33" customFormat="1">
      <c r="A89" s="33">
        <v>136</v>
      </c>
      <c r="B89" s="33" t="s">
        <v>3652</v>
      </c>
      <c r="C89" s="78" t="s">
        <v>3648</v>
      </c>
      <c r="D89" s="78" t="s">
        <v>3653</v>
      </c>
      <c r="E89" s="78" t="s">
        <v>3653</v>
      </c>
      <c r="H89" s="33" t="b">
        <f>ISNUMBER(MATCH(B89,'Old Sheet'!$B$2:$B$305,0))</f>
        <v>0</v>
      </c>
      <c r="I89" s="78" t="s">
        <v>4798</v>
      </c>
      <c r="J89" s="78" t="s">
        <v>5023</v>
      </c>
      <c r="K89" s="33" t="b">
        <f t="shared" si="1"/>
        <v>0</v>
      </c>
      <c r="N89" s="79"/>
      <c r="O89" s="79"/>
      <c r="S89"/>
      <c r="T89"/>
    </row>
    <row r="90" spans="1:20" s="33" customFormat="1">
      <c r="A90" s="33">
        <v>137</v>
      </c>
      <c r="B90" s="33" t="s">
        <v>3661</v>
      </c>
      <c r="C90" s="78" t="s">
        <v>3657</v>
      </c>
      <c r="D90" s="78" t="s">
        <v>3662</v>
      </c>
      <c r="E90" s="78" t="s">
        <v>3662</v>
      </c>
      <c r="H90" s="33" t="b">
        <f>ISNUMBER(MATCH(B90,'Old Sheet'!$B$2:$B$305,0))</f>
        <v>0</v>
      </c>
      <c r="I90" s="78" t="s">
        <v>4798</v>
      </c>
      <c r="J90" s="78" t="s">
        <v>5023</v>
      </c>
      <c r="K90" s="33" t="b">
        <f t="shared" si="1"/>
        <v>0</v>
      </c>
      <c r="N90" s="79"/>
      <c r="O90" s="79"/>
      <c r="Q90"/>
      <c r="S90"/>
      <c r="T90"/>
    </row>
    <row r="91" spans="1:20">
      <c r="A91">
        <v>138</v>
      </c>
      <c r="B91" t="s">
        <v>3643</v>
      </c>
      <c r="C91" s="43" t="s">
        <v>3639</v>
      </c>
      <c r="D91" s="43" t="s">
        <v>3985</v>
      </c>
      <c r="E91" s="43" t="s">
        <v>4861</v>
      </c>
      <c r="H91" t="b">
        <f>ISNUMBER(MATCH(B91,'Old Sheet'!$B$2:$B$305,0))</f>
        <v>0</v>
      </c>
      <c r="I91" s="43" t="s">
        <v>4798</v>
      </c>
      <c r="J91" s="43" t="s">
        <v>5023</v>
      </c>
      <c r="K91" t="b">
        <f t="shared" si="1"/>
        <v>0</v>
      </c>
      <c r="M91"/>
      <c r="N91" s="68"/>
    </row>
    <row r="92" spans="1:20">
      <c r="A92">
        <v>140</v>
      </c>
      <c r="B92" t="s">
        <v>3618</v>
      </c>
      <c r="C92" s="43" t="s">
        <v>3615</v>
      </c>
      <c r="D92" s="43" t="s">
        <v>4778</v>
      </c>
      <c r="E92" s="43" t="s">
        <v>4778</v>
      </c>
      <c r="H92" t="b">
        <f>ISNUMBER(MATCH(B92,'Old Sheet'!$B$2:$B$305,0))</f>
        <v>0</v>
      </c>
      <c r="I92" s="43" t="s">
        <v>4798</v>
      </c>
      <c r="J92" s="43" t="s">
        <v>5023</v>
      </c>
      <c r="K92" t="b">
        <f t="shared" si="1"/>
        <v>0</v>
      </c>
      <c r="M92"/>
      <c r="N92" s="68"/>
    </row>
    <row r="93" spans="1:20">
      <c r="A93">
        <v>142</v>
      </c>
      <c r="B93" t="s">
        <v>597</v>
      </c>
      <c r="C93" s="43" t="s">
        <v>596</v>
      </c>
      <c r="D93" s="43" t="s">
        <v>598</v>
      </c>
      <c r="E93" s="43" t="s">
        <v>601</v>
      </c>
      <c r="F93" s="76" t="s">
        <v>5157</v>
      </c>
      <c r="G93" s="76"/>
      <c r="H93" t="b">
        <f>ISNUMBER(MATCH(B93,'Old Sheet'!$B$2:$B$305,0))</f>
        <v>1</v>
      </c>
      <c r="I93" s="43" t="s">
        <v>4799</v>
      </c>
      <c r="J93" s="43" t="s">
        <v>5076</v>
      </c>
      <c r="K93" t="b">
        <f t="shared" si="1"/>
        <v>0</v>
      </c>
      <c r="M93"/>
      <c r="N93" s="68"/>
    </row>
    <row r="94" spans="1:20">
      <c r="A94">
        <v>142</v>
      </c>
      <c r="B94" t="s">
        <v>587</v>
      </c>
      <c r="C94" s="43" t="s">
        <v>586</v>
      </c>
      <c r="D94" s="43" t="s">
        <v>588</v>
      </c>
      <c r="E94" s="43" t="s">
        <v>601</v>
      </c>
      <c r="F94" s="76" t="s">
        <v>5157</v>
      </c>
      <c r="G94" s="76"/>
      <c r="H94" t="b">
        <f>ISNUMBER(MATCH(B94,'Old Sheet'!$B$2:$B$305,0))</f>
        <v>1</v>
      </c>
      <c r="I94" s="43" t="s">
        <v>4799</v>
      </c>
      <c r="J94" s="43" t="s">
        <v>5076</v>
      </c>
      <c r="K94" t="b">
        <f t="shared" si="1"/>
        <v>0</v>
      </c>
      <c r="M94"/>
      <c r="N94" s="68"/>
    </row>
    <row r="95" spans="1:20">
      <c r="A95">
        <v>143</v>
      </c>
      <c r="B95" t="s">
        <v>2201</v>
      </c>
      <c r="C95" s="43" t="s">
        <v>2197</v>
      </c>
      <c r="D95" s="43" t="s">
        <v>2202</v>
      </c>
      <c r="E95" s="43" t="s">
        <v>2202</v>
      </c>
      <c r="H95" t="b">
        <f>ISNUMBER(MATCH(B95,'Old Sheet'!$B$2:$B$305,0))</f>
        <v>1</v>
      </c>
      <c r="I95" s="43" t="s">
        <v>4798</v>
      </c>
      <c r="J95" s="43" t="s">
        <v>5023</v>
      </c>
      <c r="K95" t="b">
        <f t="shared" si="1"/>
        <v>0</v>
      </c>
      <c r="M95"/>
      <c r="N95" s="68"/>
    </row>
    <row r="96" spans="1:20">
      <c r="A96">
        <v>144</v>
      </c>
      <c r="B96" t="s">
        <v>3590</v>
      </c>
      <c r="C96" s="43" t="s">
        <v>3587</v>
      </c>
      <c r="D96" s="43" t="s">
        <v>3591</v>
      </c>
      <c r="E96" s="43" t="s">
        <v>3591</v>
      </c>
      <c r="F96" s="76" t="s">
        <v>5157</v>
      </c>
      <c r="G96" s="76"/>
      <c r="H96" t="b">
        <f>ISNUMBER(MATCH(B96,'Old Sheet'!$B$2:$B$305,0))</f>
        <v>1</v>
      </c>
      <c r="I96" s="43" t="s">
        <v>4889</v>
      </c>
      <c r="J96" s="43" t="s">
        <v>5030</v>
      </c>
      <c r="K96" t="b">
        <f t="shared" si="1"/>
        <v>0</v>
      </c>
      <c r="M96"/>
      <c r="N96" s="68"/>
    </row>
    <row r="97" spans="1:20">
      <c r="A97">
        <v>145</v>
      </c>
      <c r="B97" t="s">
        <v>3575</v>
      </c>
      <c r="C97" s="43" t="s">
        <v>3572</v>
      </c>
      <c r="D97" s="43" t="s">
        <v>3576</v>
      </c>
      <c r="E97" s="43" t="s">
        <v>3576</v>
      </c>
      <c r="F97" s="76" t="s">
        <v>5157</v>
      </c>
      <c r="G97" s="76"/>
      <c r="H97" t="b">
        <f>ISNUMBER(MATCH(B97,'Old Sheet'!$B$2:$B$305,0))</f>
        <v>1</v>
      </c>
      <c r="I97" s="43" t="s">
        <v>4889</v>
      </c>
      <c r="J97" s="43" t="s">
        <v>5030</v>
      </c>
      <c r="K97" t="b">
        <f t="shared" si="1"/>
        <v>0</v>
      </c>
      <c r="M97"/>
      <c r="N97" s="68"/>
    </row>
    <row r="98" spans="1:20">
      <c r="A98">
        <v>147</v>
      </c>
      <c r="B98" t="s">
        <v>3626</v>
      </c>
      <c r="C98" s="43" t="s">
        <v>3622</v>
      </c>
      <c r="D98" s="43" t="s">
        <v>3627</v>
      </c>
      <c r="E98" s="43" t="s">
        <v>3627</v>
      </c>
      <c r="F98" s="43" t="s">
        <v>5152</v>
      </c>
      <c r="G98" s="43"/>
      <c r="H98" t="b">
        <f>ISNUMBER(MATCH(B98,'Old Sheet'!$B$2:$B$305,0))</f>
        <v>1</v>
      </c>
      <c r="I98" s="43" t="s">
        <v>4800</v>
      </c>
      <c r="J98" s="43" t="s">
        <v>5032</v>
      </c>
      <c r="K98" t="b">
        <f t="shared" si="1"/>
        <v>0</v>
      </c>
      <c r="M98"/>
      <c r="N98" s="68"/>
    </row>
    <row r="99" spans="1:20">
      <c r="A99">
        <v>155</v>
      </c>
      <c r="B99" t="s">
        <v>3490</v>
      </c>
      <c r="C99" s="43" t="s">
        <v>3487</v>
      </c>
      <c r="D99" s="43" t="s">
        <v>3491</v>
      </c>
      <c r="E99" s="43" t="s">
        <v>3491</v>
      </c>
      <c r="F99" s="43" t="s">
        <v>5152</v>
      </c>
      <c r="G99" s="43"/>
      <c r="H99" t="b">
        <f>ISNUMBER(MATCH(B99,'Old Sheet'!$B$2:$B$305,0))</f>
        <v>0</v>
      </c>
      <c r="I99" s="43" t="s">
        <v>4887</v>
      </c>
      <c r="J99" s="43" t="s">
        <v>5023</v>
      </c>
      <c r="K99" t="b">
        <f t="shared" si="1"/>
        <v>0</v>
      </c>
      <c r="M99"/>
      <c r="N99" s="68"/>
    </row>
    <row r="100" spans="1:20">
      <c r="A100">
        <v>159</v>
      </c>
      <c r="B100" t="s">
        <v>3460</v>
      </c>
      <c r="C100" s="43" t="s">
        <v>3456</v>
      </c>
      <c r="D100" s="43" t="s">
        <v>3461</v>
      </c>
      <c r="E100" s="43" t="s">
        <v>3461</v>
      </c>
      <c r="H100" t="b">
        <f>ISNUMBER(MATCH(B100,'Old Sheet'!$B$2:$B$305,0))</f>
        <v>0</v>
      </c>
      <c r="I100" s="43" t="s">
        <v>4890</v>
      </c>
      <c r="J100" s="43" t="s">
        <v>5102</v>
      </c>
      <c r="K100" t="b">
        <f t="shared" si="1"/>
        <v>0</v>
      </c>
      <c r="M100"/>
      <c r="N100" s="68"/>
    </row>
    <row r="101" spans="1:20">
      <c r="A101">
        <v>160</v>
      </c>
      <c r="B101" t="s">
        <v>3469</v>
      </c>
      <c r="C101" s="43" t="s">
        <v>3465</v>
      </c>
      <c r="D101" s="43" t="s">
        <v>3470</v>
      </c>
      <c r="E101" s="43" t="s">
        <v>3470</v>
      </c>
      <c r="H101" t="b">
        <f>ISNUMBER(MATCH(B101,'Old Sheet'!$B$2:$B$305,0))</f>
        <v>0</v>
      </c>
      <c r="I101" s="43" t="s">
        <v>4890</v>
      </c>
      <c r="J101" s="43" t="s">
        <v>5102</v>
      </c>
      <c r="K101" t="b">
        <f t="shared" si="1"/>
        <v>0</v>
      </c>
      <c r="M101"/>
      <c r="N101" s="68"/>
    </row>
    <row r="102" spans="1:20">
      <c r="A102">
        <v>161</v>
      </c>
      <c r="B102" t="s">
        <v>3448</v>
      </c>
      <c r="C102" s="43" t="s">
        <v>3444</v>
      </c>
      <c r="D102" s="43" t="s">
        <v>3449</v>
      </c>
      <c r="E102" s="43" t="s">
        <v>4864</v>
      </c>
      <c r="H102" t="b">
        <f>ISNUMBER(MATCH(B102,'Old Sheet'!$B$2:$B$305,0))</f>
        <v>0</v>
      </c>
      <c r="I102" s="43" t="s">
        <v>4798</v>
      </c>
      <c r="J102" s="43" t="s">
        <v>5023</v>
      </c>
      <c r="K102" t="b">
        <f t="shared" si="1"/>
        <v>0</v>
      </c>
      <c r="M102"/>
      <c r="N102" s="68"/>
    </row>
    <row r="103" spans="1:20">
      <c r="A103">
        <v>162</v>
      </c>
      <c r="B103" t="s">
        <v>2117</v>
      </c>
      <c r="C103" s="43" t="s">
        <v>2113</v>
      </c>
      <c r="D103" s="43" t="s">
        <v>4779</v>
      </c>
      <c r="E103" s="43" t="s">
        <v>4779</v>
      </c>
      <c r="H103" t="b">
        <f>ISNUMBER(MATCH(B103,'Old Sheet'!$B$2:$B$305,0))</f>
        <v>1</v>
      </c>
      <c r="I103" s="43" t="s">
        <v>4798</v>
      </c>
      <c r="J103" s="43" t="s">
        <v>5023</v>
      </c>
      <c r="K103" t="b">
        <f t="shared" si="1"/>
        <v>0</v>
      </c>
      <c r="M103"/>
      <c r="N103" s="68"/>
    </row>
    <row r="104" spans="1:20">
      <c r="A104">
        <v>165</v>
      </c>
      <c r="B104" t="s">
        <v>2090</v>
      </c>
      <c r="C104" s="43" t="s">
        <v>2086</v>
      </c>
      <c r="D104" s="43" t="s">
        <v>4780</v>
      </c>
      <c r="E104" s="43" t="s">
        <v>4780</v>
      </c>
      <c r="H104" t="b">
        <f>ISNUMBER(MATCH(B104,'Old Sheet'!$B$2:$B$305,0))</f>
        <v>1</v>
      </c>
      <c r="I104" s="43" t="s">
        <v>4798</v>
      </c>
      <c r="J104" s="43" t="s">
        <v>5023</v>
      </c>
      <c r="K104" t="b">
        <f t="shared" si="1"/>
        <v>0</v>
      </c>
      <c r="M104"/>
      <c r="N104" s="68"/>
    </row>
    <row r="105" spans="1:20">
      <c r="A105">
        <v>168</v>
      </c>
      <c r="B105" t="s">
        <v>3436</v>
      </c>
      <c r="C105" s="43" t="s">
        <v>3433</v>
      </c>
      <c r="D105" s="43" t="s">
        <v>3437</v>
      </c>
      <c r="E105" s="43" t="s">
        <v>3437</v>
      </c>
      <c r="F105" s="76" t="s">
        <v>5157</v>
      </c>
      <c r="G105" s="76"/>
      <c r="H105" t="b">
        <f>ISNUMBER(MATCH(B105,'Old Sheet'!$B$2:$B$305,0))</f>
        <v>1</v>
      </c>
      <c r="I105" s="43" t="s">
        <v>4889</v>
      </c>
      <c r="J105" s="43" t="s">
        <v>5030</v>
      </c>
      <c r="K105" t="b">
        <f t="shared" si="1"/>
        <v>0</v>
      </c>
      <c r="M105"/>
      <c r="N105" s="68"/>
    </row>
    <row r="106" spans="1:20">
      <c r="A106">
        <v>169</v>
      </c>
      <c r="B106" t="s">
        <v>3394</v>
      </c>
      <c r="C106" s="43" t="s">
        <v>3391</v>
      </c>
      <c r="D106" s="43" t="s">
        <v>4074</v>
      </c>
      <c r="E106" s="43" t="s">
        <v>4865</v>
      </c>
      <c r="H106" t="b">
        <f>ISNUMBER(MATCH(B106,'Old Sheet'!$B$2:$B$305,0))</f>
        <v>0</v>
      </c>
      <c r="I106" s="43" t="s">
        <v>4798</v>
      </c>
      <c r="J106" s="43" t="s">
        <v>5023</v>
      </c>
      <c r="K106" t="b">
        <f t="shared" si="1"/>
        <v>0</v>
      </c>
      <c r="M106"/>
      <c r="N106" s="68"/>
    </row>
    <row r="107" spans="1:20">
      <c r="A107">
        <v>170</v>
      </c>
      <c r="B107" t="s">
        <v>3421</v>
      </c>
      <c r="C107" s="43" t="s">
        <v>3418</v>
      </c>
      <c r="D107" s="43" t="s">
        <v>4137</v>
      </c>
      <c r="E107" s="43" t="s">
        <v>4137</v>
      </c>
      <c r="H107" t="b">
        <f>ISNUMBER(MATCH(B107,'Old Sheet'!$B$2:$B$305,0))</f>
        <v>0</v>
      </c>
      <c r="I107" s="43" t="s">
        <v>4798</v>
      </c>
      <c r="J107" s="43" t="s">
        <v>5023</v>
      </c>
      <c r="K107" t="b">
        <f t="shared" si="1"/>
        <v>0</v>
      </c>
      <c r="M107"/>
      <c r="N107" s="68"/>
    </row>
    <row r="108" spans="1:20">
      <c r="A108">
        <v>171</v>
      </c>
      <c r="B108" t="s">
        <v>3020</v>
      </c>
      <c r="C108" s="43" t="s">
        <v>3016</v>
      </c>
      <c r="D108" s="43" t="s">
        <v>3021</v>
      </c>
      <c r="E108" s="43" t="s">
        <v>3021</v>
      </c>
      <c r="F108" s="76" t="s">
        <v>5157</v>
      </c>
      <c r="G108" s="76"/>
      <c r="H108" t="b">
        <f>ISNUMBER(MATCH(B108,'Old Sheet'!$B$2:$B$305,0))</f>
        <v>1</v>
      </c>
      <c r="I108" s="43" t="s">
        <v>4889</v>
      </c>
      <c r="J108" s="43" t="s">
        <v>5030</v>
      </c>
      <c r="K108" t="b">
        <f t="shared" si="1"/>
        <v>0</v>
      </c>
      <c r="M108"/>
      <c r="N108" s="68"/>
    </row>
    <row r="109" spans="1:20">
      <c r="A109">
        <v>173</v>
      </c>
      <c r="B109" t="s">
        <v>3359</v>
      </c>
      <c r="C109" s="43" t="s">
        <v>3355</v>
      </c>
      <c r="D109" s="43" t="s">
        <v>3360</v>
      </c>
      <c r="E109" s="43" t="s">
        <v>4866</v>
      </c>
      <c r="F109" s="76" t="s">
        <v>5157</v>
      </c>
      <c r="G109" s="76"/>
      <c r="H109" t="b">
        <f>ISNUMBER(MATCH(B109,'Old Sheet'!$B$2:$B$305,0))</f>
        <v>1</v>
      </c>
      <c r="I109" s="43" t="s">
        <v>4896</v>
      </c>
      <c r="J109" s="43" t="s">
        <v>5031</v>
      </c>
      <c r="K109" t="b">
        <f t="shared" si="1"/>
        <v>0</v>
      </c>
      <c r="M109"/>
      <c r="N109" s="68"/>
    </row>
    <row r="110" spans="1:20">
      <c r="A110">
        <v>174</v>
      </c>
      <c r="B110" t="s">
        <v>3350</v>
      </c>
      <c r="C110" s="43" t="s">
        <v>3346</v>
      </c>
      <c r="D110" s="43" t="s">
        <v>3351</v>
      </c>
      <c r="E110" s="43" t="s">
        <v>4867</v>
      </c>
      <c r="F110" s="76" t="s">
        <v>5157</v>
      </c>
      <c r="G110" s="76"/>
      <c r="H110" t="b">
        <f>ISNUMBER(MATCH(B110,'Old Sheet'!$B$2:$B$305,0))</f>
        <v>1</v>
      </c>
      <c r="I110" s="43" t="s">
        <v>4896</v>
      </c>
      <c r="J110" s="43" t="s">
        <v>5031</v>
      </c>
      <c r="K110" t="b">
        <f t="shared" si="1"/>
        <v>0</v>
      </c>
      <c r="M110"/>
      <c r="N110" s="68"/>
      <c r="Q110" s="33"/>
    </row>
    <row r="111" spans="1:20" s="33" customFormat="1">
      <c r="A111" s="33">
        <v>175</v>
      </c>
      <c r="B111" s="33" t="s">
        <v>3341</v>
      </c>
      <c r="C111" s="78" t="s">
        <v>3338</v>
      </c>
      <c r="D111" s="78" t="s">
        <v>3973</v>
      </c>
      <c r="E111" s="78" t="s">
        <v>4868</v>
      </c>
      <c r="H111" s="33" t="b">
        <f>ISNUMBER(MATCH(B111,'Old Sheet'!$B$2:$B$305,0))</f>
        <v>0</v>
      </c>
      <c r="I111" s="78" t="s">
        <v>4798</v>
      </c>
      <c r="J111" s="78" t="s">
        <v>5023</v>
      </c>
      <c r="K111" s="33" t="b">
        <f t="shared" si="1"/>
        <v>0</v>
      </c>
      <c r="N111" s="79"/>
      <c r="O111" s="79"/>
      <c r="Q111"/>
      <c r="S111"/>
      <c r="T111"/>
    </row>
    <row r="112" spans="1:20">
      <c r="A112">
        <v>176</v>
      </c>
      <c r="B112" t="s">
        <v>2990</v>
      </c>
      <c r="C112" s="43" t="s">
        <v>2986</v>
      </c>
      <c r="D112" s="43" t="s">
        <v>2991</v>
      </c>
      <c r="E112" s="43" t="s">
        <v>4869</v>
      </c>
      <c r="F112" s="76" t="s">
        <v>5157</v>
      </c>
      <c r="G112" s="76"/>
      <c r="H112" t="b">
        <f>ISNUMBER(MATCH(B112,'Old Sheet'!$B$2:$B$305,0))</f>
        <v>1</v>
      </c>
      <c r="I112" s="43" t="s">
        <v>4896</v>
      </c>
      <c r="J112" s="43" t="s">
        <v>5031</v>
      </c>
      <c r="K112" t="b">
        <f t="shared" si="1"/>
        <v>0</v>
      </c>
      <c r="M112"/>
      <c r="N112" s="68"/>
    </row>
    <row r="113" spans="1:14">
      <c r="A113">
        <v>177</v>
      </c>
      <c r="B113" t="s">
        <v>3784</v>
      </c>
      <c r="C113" s="43" t="s">
        <v>3781</v>
      </c>
      <c r="D113" s="43" t="s">
        <v>3785</v>
      </c>
      <c r="E113" s="43" t="s">
        <v>4870</v>
      </c>
      <c r="F113" s="76" t="s">
        <v>5157</v>
      </c>
      <c r="G113" s="76"/>
      <c r="H113" t="b">
        <f>ISNUMBER(MATCH(B113,'Old Sheet'!$B$2:$B$305,0))</f>
        <v>1</v>
      </c>
      <c r="I113" s="43" t="s">
        <v>4896</v>
      </c>
      <c r="J113" s="43" t="s">
        <v>5031</v>
      </c>
      <c r="K113" t="b">
        <f t="shared" si="1"/>
        <v>0</v>
      </c>
      <c r="M113"/>
      <c r="N113" s="68"/>
    </row>
    <row r="114" spans="1:14">
      <c r="A114">
        <v>178</v>
      </c>
      <c r="B114" t="s">
        <v>3796</v>
      </c>
      <c r="C114" s="43" t="s">
        <v>3793</v>
      </c>
      <c r="D114" s="43" t="s">
        <v>4007</v>
      </c>
      <c r="E114" s="43" t="s">
        <v>4871</v>
      </c>
      <c r="F114" s="43" t="s">
        <v>5152</v>
      </c>
      <c r="G114" s="43"/>
      <c r="H114" t="b">
        <f>ISNUMBER(MATCH(B114,'Old Sheet'!$B$2:$B$305,0))</f>
        <v>0</v>
      </c>
      <c r="I114" s="43" t="s">
        <v>4891</v>
      </c>
      <c r="J114" s="43" t="s">
        <v>5033</v>
      </c>
      <c r="K114" t="b">
        <f t="shared" si="1"/>
        <v>0</v>
      </c>
      <c r="M114"/>
      <c r="N114" s="68"/>
    </row>
    <row r="115" spans="1:14">
      <c r="A115">
        <v>179</v>
      </c>
      <c r="B115" t="s">
        <v>3767</v>
      </c>
      <c r="C115" s="43" t="s">
        <v>3763</v>
      </c>
      <c r="D115" s="43" t="s">
        <v>4781</v>
      </c>
      <c r="E115" s="43" t="s">
        <v>4872</v>
      </c>
      <c r="F115" s="76" t="s">
        <v>5157</v>
      </c>
      <c r="G115" s="76"/>
      <c r="H115" t="b">
        <f>ISNUMBER(MATCH(B115,'Old Sheet'!$B$2:$B$305,0))</f>
        <v>1</v>
      </c>
      <c r="I115" s="43" t="s">
        <v>4896</v>
      </c>
      <c r="J115" s="43" t="s">
        <v>5031</v>
      </c>
      <c r="K115" t="b">
        <f t="shared" si="1"/>
        <v>0</v>
      </c>
      <c r="M115"/>
      <c r="N115" s="68"/>
    </row>
    <row r="116" spans="1:14">
      <c r="A116">
        <v>180</v>
      </c>
      <c r="B116" t="s">
        <v>2192</v>
      </c>
      <c r="C116" s="43" t="s">
        <v>2188</v>
      </c>
      <c r="D116" s="43" t="s">
        <v>2193</v>
      </c>
      <c r="E116" s="43" t="s">
        <v>2193</v>
      </c>
      <c r="H116" t="b">
        <f>ISNUMBER(MATCH(B116,'Old Sheet'!$B$2:$B$305,0))</f>
        <v>1</v>
      </c>
      <c r="I116" s="43" t="s">
        <v>4798</v>
      </c>
      <c r="J116" s="43" t="s">
        <v>5023</v>
      </c>
      <c r="K116" t="b">
        <f t="shared" si="1"/>
        <v>0</v>
      </c>
      <c r="M116"/>
      <c r="N116" s="68"/>
    </row>
    <row r="117" spans="1:14">
      <c r="A117">
        <v>181</v>
      </c>
      <c r="B117" t="s">
        <v>1925</v>
      </c>
      <c r="C117" s="43" t="s">
        <v>1921</v>
      </c>
      <c r="D117" s="43" t="s">
        <v>1926</v>
      </c>
      <c r="E117" s="43" t="s">
        <v>1926</v>
      </c>
      <c r="F117" t="s">
        <v>5151</v>
      </c>
      <c r="H117" t="b">
        <f>ISNUMBER(MATCH(B117,'Old Sheet'!$B$2:$B$305,0))</f>
        <v>1</v>
      </c>
      <c r="I117" s="43" t="s">
        <v>4799</v>
      </c>
      <c r="J117" s="43" t="s">
        <v>5076</v>
      </c>
      <c r="K117" t="b">
        <f t="shared" si="1"/>
        <v>0</v>
      </c>
      <c r="M117"/>
      <c r="N117" s="68"/>
    </row>
    <row r="118" spans="1:14">
      <c r="A118">
        <v>182</v>
      </c>
      <c r="B118" t="s">
        <v>1709</v>
      </c>
      <c r="C118" s="43" t="s">
        <v>1708</v>
      </c>
      <c r="D118" s="43" t="s">
        <v>1710</v>
      </c>
      <c r="E118" s="43" t="s">
        <v>1710</v>
      </c>
      <c r="H118" t="b">
        <f>ISNUMBER(MATCH(B118,'Old Sheet'!$B$2:$B$305,0))</f>
        <v>1</v>
      </c>
      <c r="I118" s="43" t="s">
        <v>4798</v>
      </c>
      <c r="J118" s="43" t="s">
        <v>5023</v>
      </c>
      <c r="K118" t="b">
        <f t="shared" si="1"/>
        <v>0</v>
      </c>
      <c r="M118"/>
      <c r="N118" s="68"/>
    </row>
    <row r="119" spans="1:14">
      <c r="A119">
        <v>183</v>
      </c>
      <c r="B119" t="s">
        <v>1879</v>
      </c>
      <c r="C119" s="43" t="s">
        <v>1875</v>
      </c>
      <c r="D119" s="43" t="s">
        <v>1880</v>
      </c>
      <c r="E119" s="43" t="s">
        <v>1880</v>
      </c>
      <c r="F119" t="s">
        <v>5151</v>
      </c>
      <c r="H119" t="b">
        <f>ISNUMBER(MATCH(B119,'Old Sheet'!$B$2:$B$305,0))</f>
        <v>1</v>
      </c>
      <c r="I119" s="43" t="s">
        <v>4799</v>
      </c>
      <c r="J119" s="43" t="s">
        <v>5076</v>
      </c>
      <c r="K119" t="b">
        <f t="shared" si="1"/>
        <v>0</v>
      </c>
      <c r="M119"/>
      <c r="N119" s="68"/>
    </row>
    <row r="120" spans="1:14">
      <c r="A120">
        <v>184</v>
      </c>
      <c r="B120" t="s">
        <v>1888</v>
      </c>
      <c r="C120" s="43" t="s">
        <v>1884</v>
      </c>
      <c r="D120" s="43" t="s">
        <v>1889</v>
      </c>
      <c r="E120" s="43" t="s">
        <v>1889</v>
      </c>
      <c r="F120" t="s">
        <v>5151</v>
      </c>
      <c r="H120" t="b">
        <f>ISNUMBER(MATCH(B120,'Old Sheet'!$B$2:$B$305,0))</f>
        <v>1</v>
      </c>
      <c r="I120" s="43" t="s">
        <v>4799</v>
      </c>
      <c r="J120" s="43" t="s">
        <v>5076</v>
      </c>
      <c r="K120" t="b">
        <f t="shared" si="1"/>
        <v>0</v>
      </c>
      <c r="M120"/>
      <c r="N120" s="68"/>
    </row>
    <row r="121" spans="1:14">
      <c r="A121">
        <v>185</v>
      </c>
      <c r="B121" t="s">
        <v>1838</v>
      </c>
      <c r="C121" s="43" t="s">
        <v>1834</v>
      </c>
      <c r="D121" s="43" t="s">
        <v>1839</v>
      </c>
      <c r="E121" s="43" t="s">
        <v>4874</v>
      </c>
      <c r="F121" t="s">
        <v>5151</v>
      </c>
      <c r="H121" t="b">
        <f>ISNUMBER(MATCH(B121,'Old Sheet'!$B$2:$B$305,0))</f>
        <v>1</v>
      </c>
      <c r="I121" s="43" t="s">
        <v>4799</v>
      </c>
      <c r="J121" s="43" t="s">
        <v>5076</v>
      </c>
      <c r="K121" t="b">
        <f t="shared" si="1"/>
        <v>0</v>
      </c>
      <c r="M121"/>
      <c r="N121" s="68"/>
    </row>
    <row r="122" spans="1:14">
      <c r="A122">
        <v>186</v>
      </c>
      <c r="B122" t="s">
        <v>1916</v>
      </c>
      <c r="C122" s="43" t="s">
        <v>1912</v>
      </c>
      <c r="D122" s="43" t="s">
        <v>1917</v>
      </c>
      <c r="E122" s="43" t="s">
        <v>1917</v>
      </c>
      <c r="F122" t="s">
        <v>5151</v>
      </c>
      <c r="H122" t="b">
        <f>ISNUMBER(MATCH(B122,'Old Sheet'!$B$2:$B$305,0))</f>
        <v>1</v>
      </c>
      <c r="I122" s="43" t="s">
        <v>4799</v>
      </c>
      <c r="J122" s="43" t="s">
        <v>5076</v>
      </c>
      <c r="K122" t="b">
        <f t="shared" si="1"/>
        <v>0</v>
      </c>
      <c r="M122"/>
      <c r="N122" s="68"/>
    </row>
    <row r="123" spans="1:14">
      <c r="A123">
        <v>187</v>
      </c>
      <c r="B123" t="s">
        <v>1907</v>
      </c>
      <c r="C123" s="43" t="s">
        <v>1903</v>
      </c>
      <c r="D123" s="43" t="s">
        <v>1908</v>
      </c>
      <c r="E123" s="43" t="s">
        <v>1908</v>
      </c>
      <c r="F123" t="s">
        <v>5151</v>
      </c>
      <c r="H123" t="b">
        <f>ISNUMBER(MATCH(B123,'Old Sheet'!$B$2:$B$305,0))</f>
        <v>1</v>
      </c>
      <c r="I123" s="43" t="s">
        <v>4799</v>
      </c>
      <c r="J123" s="43" t="s">
        <v>5076</v>
      </c>
      <c r="K123" t="b">
        <f t="shared" si="1"/>
        <v>0</v>
      </c>
      <c r="M123"/>
      <c r="N123" s="68"/>
    </row>
    <row r="124" spans="1:14">
      <c r="A124">
        <v>188</v>
      </c>
      <c r="B124" t="s">
        <v>1856</v>
      </c>
      <c r="C124" s="43" t="s">
        <v>1852</v>
      </c>
      <c r="D124" s="43" t="s">
        <v>1857</v>
      </c>
      <c r="E124" s="43" t="s">
        <v>4875</v>
      </c>
      <c r="F124" t="s">
        <v>5151</v>
      </c>
      <c r="H124" t="b">
        <f>ISNUMBER(MATCH(B124,'Old Sheet'!$B$2:$B$305,0))</f>
        <v>1</v>
      </c>
      <c r="I124" s="43" t="s">
        <v>4799</v>
      </c>
      <c r="J124" s="43" t="s">
        <v>5076</v>
      </c>
      <c r="K124" t="b">
        <f t="shared" si="1"/>
        <v>0</v>
      </c>
      <c r="M124"/>
      <c r="N124" s="68"/>
    </row>
    <row r="125" spans="1:14">
      <c r="A125">
        <v>189</v>
      </c>
      <c r="B125" t="s">
        <v>1898</v>
      </c>
      <c r="C125" s="43" t="s">
        <v>1893</v>
      </c>
      <c r="D125" s="43" t="s">
        <v>1899</v>
      </c>
      <c r="E125" s="43" t="s">
        <v>1899</v>
      </c>
      <c r="F125" t="s">
        <v>5151</v>
      </c>
      <c r="H125" t="b">
        <f>ISNUMBER(MATCH(B125,'Old Sheet'!$B$2:$B$305,0))</f>
        <v>1</v>
      </c>
      <c r="I125" s="43" t="s">
        <v>4799</v>
      </c>
      <c r="J125" s="43" t="s">
        <v>5076</v>
      </c>
      <c r="K125" t="b">
        <f t="shared" si="1"/>
        <v>0</v>
      </c>
      <c r="M125"/>
      <c r="N125" s="68"/>
    </row>
    <row r="126" spans="1:14">
      <c r="A126">
        <v>190</v>
      </c>
      <c r="B126" t="s">
        <v>1870</v>
      </c>
      <c r="C126" s="43" t="s">
        <v>1866</v>
      </c>
      <c r="D126" s="43" t="s">
        <v>1871</v>
      </c>
      <c r="E126" s="43" t="s">
        <v>1871</v>
      </c>
      <c r="F126" t="s">
        <v>5151</v>
      </c>
      <c r="H126" t="b">
        <f>ISNUMBER(MATCH(B126,'Old Sheet'!$B$2:$B$305,0))</f>
        <v>1</v>
      </c>
      <c r="I126" s="43" t="s">
        <v>4799</v>
      </c>
      <c r="J126" s="43" t="s">
        <v>5076</v>
      </c>
      <c r="K126" t="b">
        <f t="shared" si="1"/>
        <v>0</v>
      </c>
      <c r="M126"/>
      <c r="N126" s="68"/>
    </row>
    <row r="127" spans="1:14">
      <c r="A127">
        <v>191</v>
      </c>
      <c r="B127" t="s">
        <v>1847</v>
      </c>
      <c r="C127" s="43" t="s">
        <v>1843</v>
      </c>
      <c r="D127" s="43" t="s">
        <v>1848</v>
      </c>
      <c r="E127" s="43" t="s">
        <v>4876</v>
      </c>
      <c r="F127" t="s">
        <v>5151</v>
      </c>
      <c r="H127" t="b">
        <f>ISNUMBER(MATCH(B127,'Old Sheet'!$B$2:$B$305,0))</f>
        <v>1</v>
      </c>
      <c r="I127" s="43" t="s">
        <v>4799</v>
      </c>
      <c r="J127" s="43" t="s">
        <v>5076</v>
      </c>
      <c r="K127" t="b">
        <f t="shared" si="1"/>
        <v>0</v>
      </c>
      <c r="M127"/>
      <c r="N127" s="68"/>
    </row>
    <row r="128" spans="1:14">
      <c r="A128">
        <v>192</v>
      </c>
      <c r="B128" t="s">
        <v>1829</v>
      </c>
      <c r="C128" s="43" t="s">
        <v>1825</v>
      </c>
      <c r="D128" s="43" t="s">
        <v>1830</v>
      </c>
      <c r="E128" s="43" t="s">
        <v>4877</v>
      </c>
      <c r="F128" t="s">
        <v>5151</v>
      </c>
      <c r="H128" t="b">
        <f>ISNUMBER(MATCH(B128,'Old Sheet'!$B$2:$B$305,0))</f>
        <v>1</v>
      </c>
      <c r="I128" s="43" t="s">
        <v>4799</v>
      </c>
      <c r="J128" s="43" t="s">
        <v>5076</v>
      </c>
      <c r="K128" t="b">
        <f t="shared" si="1"/>
        <v>0</v>
      </c>
      <c r="M128"/>
      <c r="N128" s="68"/>
    </row>
    <row r="129" spans="1:20">
      <c r="A129">
        <v>193</v>
      </c>
      <c r="B129" t="s">
        <v>1859</v>
      </c>
      <c r="C129" s="43" t="s">
        <v>1858</v>
      </c>
      <c r="D129" s="43" t="s">
        <v>1860</v>
      </c>
      <c r="E129" s="43" t="s">
        <v>4878</v>
      </c>
      <c r="F129" t="s">
        <v>5151</v>
      </c>
      <c r="H129" t="b">
        <f>ISNUMBER(MATCH(B129,'Old Sheet'!$B$2:$B$305,0))</f>
        <v>1</v>
      </c>
      <c r="I129" s="43" t="s">
        <v>4799</v>
      </c>
      <c r="J129" s="43" t="s">
        <v>5076</v>
      </c>
      <c r="K129" t="b">
        <f t="shared" si="1"/>
        <v>0</v>
      </c>
      <c r="M129"/>
      <c r="N129" s="68"/>
    </row>
    <row r="130" spans="1:20">
      <c r="A130">
        <v>195</v>
      </c>
      <c r="B130" t="s">
        <v>2924</v>
      </c>
      <c r="C130" s="43" t="s">
        <v>2920</v>
      </c>
      <c r="D130" s="44" t="s">
        <v>2925</v>
      </c>
      <c r="E130" s="43" t="s">
        <v>2925</v>
      </c>
      <c r="F130" s="76" t="s">
        <v>5157</v>
      </c>
      <c r="G130" s="76"/>
      <c r="H130" t="b">
        <f>ISNUMBER(MATCH(B130,'Old Sheet'!$B$2:$B$305,0))</f>
        <v>1</v>
      </c>
      <c r="I130" s="43" t="s">
        <v>4896</v>
      </c>
      <c r="J130" s="43" t="s">
        <v>5031</v>
      </c>
      <c r="K130" t="b">
        <f t="shared" si="1"/>
        <v>0</v>
      </c>
      <c r="M130"/>
      <c r="N130" s="68"/>
    </row>
    <row r="131" spans="1:20">
      <c r="A131">
        <v>196</v>
      </c>
      <c r="B131" t="s">
        <v>3318</v>
      </c>
      <c r="C131" s="43" t="s">
        <v>3315</v>
      </c>
      <c r="D131" s="44" t="s">
        <v>3319</v>
      </c>
      <c r="E131" s="43" t="s">
        <v>3319</v>
      </c>
      <c r="F131" s="76" t="s">
        <v>5157</v>
      </c>
      <c r="G131" s="76"/>
      <c r="H131" t="b">
        <f>ISNUMBER(MATCH(B131,'Old Sheet'!$B$2:$B$305,0))</f>
        <v>1</v>
      </c>
      <c r="I131" s="43" t="s">
        <v>4800</v>
      </c>
      <c r="J131" s="43" t="s">
        <v>5032</v>
      </c>
      <c r="K131" t="b">
        <f t="shared" si="1"/>
        <v>0</v>
      </c>
      <c r="M131"/>
      <c r="N131" s="68"/>
    </row>
    <row r="132" spans="1:20">
      <c r="A132">
        <v>197</v>
      </c>
      <c r="B132" t="s">
        <v>2909</v>
      </c>
      <c r="C132" s="43" t="s">
        <v>2906</v>
      </c>
      <c r="D132" s="43" t="s">
        <v>4178</v>
      </c>
      <c r="E132" s="43" t="s">
        <v>4880</v>
      </c>
      <c r="H132" t="b">
        <f>ISNUMBER(MATCH(B132,'Old Sheet'!$B$2:$B$305,0))</f>
        <v>0</v>
      </c>
      <c r="I132" s="43" t="s">
        <v>4798</v>
      </c>
      <c r="J132" s="43" t="s">
        <v>5023</v>
      </c>
      <c r="K132" t="b">
        <f t="shared" si="1"/>
        <v>0</v>
      </c>
      <c r="M132"/>
      <c r="N132" s="68"/>
      <c r="Q132" s="33"/>
    </row>
    <row r="133" spans="1:20" s="33" customFormat="1">
      <c r="A133" s="33">
        <v>198</v>
      </c>
      <c r="B133" s="33" t="s">
        <v>2894</v>
      </c>
      <c r="C133" s="78" t="s">
        <v>2891</v>
      </c>
      <c r="D133" s="78" t="s">
        <v>2895</v>
      </c>
      <c r="E133" s="78" t="s">
        <v>2895</v>
      </c>
      <c r="H133" s="33" t="b">
        <f>ISNUMBER(MATCH(B133,'Old Sheet'!$B$2:$B$305,0))</f>
        <v>1</v>
      </c>
      <c r="I133" s="78" t="s">
        <v>4798</v>
      </c>
      <c r="J133" s="78" t="s">
        <v>5023</v>
      </c>
      <c r="K133" s="33" t="b">
        <f t="shared" si="1"/>
        <v>0</v>
      </c>
      <c r="N133" s="79"/>
      <c r="O133" s="79"/>
      <c r="S133"/>
      <c r="T133"/>
    </row>
    <row r="134" spans="1:20" s="33" customFormat="1">
      <c r="A134" s="33">
        <v>199</v>
      </c>
      <c r="B134" s="33" t="s">
        <v>2870</v>
      </c>
      <c r="C134" s="78" t="s">
        <v>2867</v>
      </c>
      <c r="D134" s="78" t="s">
        <v>2871</v>
      </c>
      <c r="E134" s="78" t="s">
        <v>2871</v>
      </c>
      <c r="H134" s="33" t="b">
        <f>ISNUMBER(MATCH(B134,'Old Sheet'!$B$2:$B$305,0))</f>
        <v>1</v>
      </c>
      <c r="I134" s="78" t="s">
        <v>4798</v>
      </c>
      <c r="J134" s="78" t="s">
        <v>5023</v>
      </c>
      <c r="K134" s="33" t="b">
        <f t="shared" si="1"/>
        <v>0</v>
      </c>
      <c r="N134" s="79"/>
      <c r="O134" s="79"/>
      <c r="Q134"/>
      <c r="S134"/>
      <c r="T134"/>
    </row>
    <row r="135" spans="1:20">
      <c r="A135">
        <v>200</v>
      </c>
      <c r="B135" t="s">
        <v>3329</v>
      </c>
      <c r="C135" s="43" t="s">
        <v>3326</v>
      </c>
      <c r="D135" s="43" t="s">
        <v>4095</v>
      </c>
      <c r="E135" s="43" t="s">
        <v>4095</v>
      </c>
      <c r="H135" t="b">
        <f>ISNUMBER(MATCH(B135,'Old Sheet'!$B$2:$B$305,0))</f>
        <v>0</v>
      </c>
      <c r="I135" s="43" t="s">
        <v>4887</v>
      </c>
      <c r="J135" s="43" t="s">
        <v>5023</v>
      </c>
      <c r="K135" t="b">
        <f t="shared" si="1"/>
        <v>0</v>
      </c>
      <c r="M135"/>
      <c r="N135" s="68"/>
    </row>
    <row r="136" spans="1:20">
      <c r="A136">
        <v>201</v>
      </c>
      <c r="B136" t="s">
        <v>1706</v>
      </c>
      <c r="C136" s="43" t="s">
        <v>1703</v>
      </c>
      <c r="D136" s="43" t="s">
        <v>1707</v>
      </c>
      <c r="E136" s="43" t="s">
        <v>1707</v>
      </c>
      <c r="H136" t="b">
        <f>ISNUMBER(MATCH(B136,'Old Sheet'!$B$2:$B$305,0))</f>
        <v>1</v>
      </c>
      <c r="I136" s="43" t="s">
        <v>4798</v>
      </c>
      <c r="J136" s="43" t="s">
        <v>5023</v>
      </c>
      <c r="K136" t="b">
        <f t="shared" si="1"/>
        <v>0</v>
      </c>
      <c r="M136"/>
      <c r="N136" s="68"/>
    </row>
    <row r="137" spans="1:20">
      <c r="A137">
        <v>202</v>
      </c>
      <c r="B137" t="s">
        <v>3758</v>
      </c>
      <c r="C137" s="43" t="s">
        <v>3755</v>
      </c>
      <c r="D137" s="43" t="s">
        <v>3759</v>
      </c>
      <c r="E137" s="43" t="s">
        <v>3759</v>
      </c>
      <c r="F137" s="76" t="s">
        <v>5157</v>
      </c>
      <c r="G137" s="76"/>
      <c r="H137" t="b">
        <f>ISNUMBER(MATCH(B137,'Old Sheet'!$B$2:$B$305,0))</f>
        <v>1</v>
      </c>
      <c r="I137" s="43" t="s">
        <v>4896</v>
      </c>
      <c r="J137" s="43" t="s">
        <v>5031</v>
      </c>
      <c r="K137" t="b">
        <f t="shared" ref="K137:K194" si="2">ISNUMBER(MATCH(B137,$O$9:$O$27,0))</f>
        <v>0</v>
      </c>
      <c r="M137"/>
      <c r="N137" s="68"/>
    </row>
    <row r="138" spans="1:20">
      <c r="A138">
        <v>203</v>
      </c>
      <c r="B138" t="s">
        <v>1688</v>
      </c>
      <c r="C138" s="43" t="s">
        <v>1685</v>
      </c>
      <c r="D138" s="43" t="s">
        <v>1689</v>
      </c>
      <c r="E138" s="43" t="s">
        <v>1689</v>
      </c>
      <c r="H138" t="b">
        <f>ISNUMBER(MATCH(B138,'Old Sheet'!$B$2:$B$305,0))</f>
        <v>1</v>
      </c>
      <c r="I138" s="43" t="s">
        <v>4798</v>
      </c>
      <c r="J138" s="43" t="s">
        <v>5023</v>
      </c>
      <c r="K138" t="b">
        <f t="shared" si="2"/>
        <v>0</v>
      </c>
      <c r="M138"/>
      <c r="N138" s="68"/>
      <c r="Q138" s="33"/>
    </row>
    <row r="139" spans="1:20" s="33" customFormat="1">
      <c r="A139" s="33">
        <v>204</v>
      </c>
      <c r="B139" s="33" t="s">
        <v>2843</v>
      </c>
      <c r="C139" s="78" t="s">
        <v>2840</v>
      </c>
      <c r="D139" s="78" t="s">
        <v>2844</v>
      </c>
      <c r="E139" s="78" t="s">
        <v>2844</v>
      </c>
      <c r="F139" s="33" t="s">
        <v>5151</v>
      </c>
      <c r="H139" s="33" t="b">
        <f>ISNUMBER(MATCH(B139,'Old Sheet'!$B$2:$B$305,0))</f>
        <v>1</v>
      </c>
      <c r="I139" s="78" t="s">
        <v>4798</v>
      </c>
      <c r="J139" s="78" t="s">
        <v>5023</v>
      </c>
      <c r="K139" s="33" t="b">
        <f t="shared" si="2"/>
        <v>0</v>
      </c>
      <c r="N139" s="79"/>
      <c r="O139" s="79"/>
      <c r="Q139"/>
      <c r="S139"/>
      <c r="T139"/>
    </row>
    <row r="140" spans="1:20">
      <c r="A140">
        <v>205</v>
      </c>
      <c r="B140" t="s">
        <v>1727</v>
      </c>
      <c r="C140" s="43" t="s">
        <v>1723</v>
      </c>
      <c r="D140" s="43" t="s">
        <v>1728</v>
      </c>
      <c r="E140" s="43" t="s">
        <v>1728</v>
      </c>
      <c r="F140" t="s">
        <v>5151</v>
      </c>
      <c r="H140" t="b">
        <f>ISNUMBER(MATCH(B140,'Old Sheet'!$B$2:$B$305,0))</f>
        <v>1</v>
      </c>
      <c r="I140" s="43" t="s">
        <v>4799</v>
      </c>
      <c r="J140" s="43" t="s">
        <v>5076</v>
      </c>
      <c r="K140" t="b">
        <f t="shared" si="2"/>
        <v>0</v>
      </c>
      <c r="M140"/>
      <c r="N140" s="68"/>
    </row>
    <row r="141" spans="1:20">
      <c r="A141">
        <v>206</v>
      </c>
      <c r="B141" t="s">
        <v>1782</v>
      </c>
      <c r="C141" s="43" t="s">
        <v>1778</v>
      </c>
      <c r="D141" s="43" t="s">
        <v>1783</v>
      </c>
      <c r="E141" s="43" t="s">
        <v>1783</v>
      </c>
      <c r="F141" t="s">
        <v>5151</v>
      </c>
      <c r="H141" t="b">
        <f>ISNUMBER(MATCH(B141,'Old Sheet'!$B$2:$B$305,0))</f>
        <v>1</v>
      </c>
      <c r="I141" s="43" t="s">
        <v>4799</v>
      </c>
      <c r="J141" s="43" t="s">
        <v>5076</v>
      </c>
      <c r="K141" t="b">
        <f t="shared" si="2"/>
        <v>0</v>
      </c>
      <c r="M141"/>
      <c r="N141" s="68"/>
    </row>
    <row r="142" spans="1:20">
      <c r="A142">
        <v>207</v>
      </c>
      <c r="B142" t="s">
        <v>1773</v>
      </c>
      <c r="C142" s="43" t="s">
        <v>1769</v>
      </c>
      <c r="D142" s="43" t="s">
        <v>1774</v>
      </c>
      <c r="E142" s="43" t="s">
        <v>1774</v>
      </c>
      <c r="F142" t="s">
        <v>5151</v>
      </c>
      <c r="H142" t="b">
        <f>ISNUMBER(MATCH(B142,'Old Sheet'!$B$2:$B$305,0))</f>
        <v>1</v>
      </c>
      <c r="I142" s="43" t="s">
        <v>4799</v>
      </c>
      <c r="J142" s="43" t="s">
        <v>5076</v>
      </c>
      <c r="K142" t="b">
        <f t="shared" si="2"/>
        <v>0</v>
      </c>
      <c r="M142"/>
      <c r="N142" s="68"/>
    </row>
    <row r="143" spans="1:20">
      <c r="A143">
        <v>208</v>
      </c>
      <c r="B143" t="s">
        <v>1810</v>
      </c>
      <c r="C143" s="43" t="s">
        <v>1806</v>
      </c>
      <c r="D143" s="43" t="s">
        <v>1811</v>
      </c>
      <c r="E143" s="43" t="s">
        <v>1811</v>
      </c>
      <c r="F143" t="s">
        <v>5151</v>
      </c>
      <c r="H143" t="b">
        <f>ISNUMBER(MATCH(B143,'Old Sheet'!$B$2:$B$305,0))</f>
        <v>1</v>
      </c>
      <c r="I143" s="43" t="s">
        <v>4799</v>
      </c>
      <c r="J143" s="43" t="s">
        <v>5076</v>
      </c>
      <c r="K143" t="b">
        <f t="shared" si="2"/>
        <v>0</v>
      </c>
      <c r="M143"/>
      <c r="N143" s="68"/>
    </row>
    <row r="144" spans="1:20">
      <c r="A144">
        <v>209</v>
      </c>
      <c r="B144" t="s">
        <v>1801</v>
      </c>
      <c r="C144" s="43" t="s">
        <v>1796</v>
      </c>
      <c r="D144" s="43" t="s">
        <v>1802</v>
      </c>
      <c r="E144" s="43" t="s">
        <v>1802</v>
      </c>
      <c r="F144" t="s">
        <v>5151</v>
      </c>
      <c r="H144" t="b">
        <f>ISNUMBER(MATCH(B144,'Old Sheet'!$B$2:$B$305,0))</f>
        <v>1</v>
      </c>
      <c r="I144" s="43" t="s">
        <v>4799</v>
      </c>
      <c r="J144" s="43" t="s">
        <v>5076</v>
      </c>
      <c r="K144" t="b">
        <f t="shared" si="2"/>
        <v>0</v>
      </c>
      <c r="M144"/>
      <c r="N144" s="68"/>
    </row>
    <row r="145" spans="1:14">
      <c r="A145">
        <v>210</v>
      </c>
      <c r="B145" t="s">
        <v>1791</v>
      </c>
      <c r="C145" s="43" t="s">
        <v>1787</v>
      </c>
      <c r="D145" s="43" t="s">
        <v>1792</v>
      </c>
      <c r="E145" s="43" t="s">
        <v>1792</v>
      </c>
      <c r="F145" t="s">
        <v>5151</v>
      </c>
      <c r="H145" t="b">
        <f>ISNUMBER(MATCH(B145,'Old Sheet'!$B$2:$B$305,0))</f>
        <v>1</v>
      </c>
      <c r="I145" s="43" t="s">
        <v>4799</v>
      </c>
      <c r="J145" s="43" t="s">
        <v>5076</v>
      </c>
      <c r="K145" t="b">
        <f t="shared" si="2"/>
        <v>0</v>
      </c>
      <c r="M145"/>
      <c r="N145" s="68"/>
    </row>
    <row r="146" spans="1:14">
      <c r="A146">
        <v>211</v>
      </c>
      <c r="B146" t="s">
        <v>1764</v>
      </c>
      <c r="C146" s="43" t="s">
        <v>1760</v>
      </c>
      <c r="D146" s="43" t="s">
        <v>1765</v>
      </c>
      <c r="E146" s="43" t="s">
        <v>1765</v>
      </c>
      <c r="F146" t="s">
        <v>5151</v>
      </c>
      <c r="H146" t="b">
        <f>ISNUMBER(MATCH(B146,'Old Sheet'!$B$2:$B$305,0))</f>
        <v>1</v>
      </c>
      <c r="I146" s="43" t="s">
        <v>4799</v>
      </c>
      <c r="J146" s="43" t="s">
        <v>5076</v>
      </c>
      <c r="K146" t="b">
        <f t="shared" si="2"/>
        <v>0</v>
      </c>
      <c r="M146"/>
      <c r="N146" s="68"/>
    </row>
    <row r="147" spans="1:14">
      <c r="A147">
        <v>212</v>
      </c>
      <c r="B147" t="s">
        <v>1745</v>
      </c>
      <c r="C147" s="43" t="s">
        <v>1741</v>
      </c>
      <c r="D147" s="43" t="s">
        <v>1746</v>
      </c>
      <c r="E147" s="43" t="s">
        <v>1746</v>
      </c>
      <c r="F147" t="s">
        <v>5151</v>
      </c>
      <c r="H147" t="b">
        <f>ISNUMBER(MATCH(B147,'Old Sheet'!$B$2:$B$305,0))</f>
        <v>1</v>
      </c>
      <c r="I147" s="43" t="s">
        <v>4799</v>
      </c>
      <c r="J147" s="43" t="s">
        <v>5076</v>
      </c>
      <c r="K147" t="b">
        <f t="shared" si="2"/>
        <v>0</v>
      </c>
      <c r="M147"/>
      <c r="N147" s="68"/>
    </row>
    <row r="148" spans="1:14">
      <c r="A148">
        <v>213</v>
      </c>
      <c r="B148" t="s">
        <v>1736</v>
      </c>
      <c r="C148" s="43" t="s">
        <v>1732</v>
      </c>
      <c r="D148" s="43" t="s">
        <v>1737</v>
      </c>
      <c r="E148" s="43" t="s">
        <v>1737</v>
      </c>
      <c r="F148" t="s">
        <v>5151</v>
      </c>
      <c r="H148" t="b">
        <f>ISNUMBER(MATCH(B148,'Old Sheet'!$B$2:$B$305,0))</f>
        <v>1</v>
      </c>
      <c r="I148" s="43" t="s">
        <v>4799</v>
      </c>
      <c r="J148" s="43" t="s">
        <v>5076</v>
      </c>
      <c r="K148" t="b">
        <f t="shared" si="2"/>
        <v>0</v>
      </c>
      <c r="M148"/>
      <c r="N148" s="68"/>
    </row>
    <row r="149" spans="1:14">
      <c r="A149">
        <v>214</v>
      </c>
      <c r="B149" t="s">
        <v>1718</v>
      </c>
      <c r="C149" s="43" t="s">
        <v>1714</v>
      </c>
      <c r="D149" s="43" t="s">
        <v>1719</v>
      </c>
      <c r="E149" s="43" t="s">
        <v>1719</v>
      </c>
      <c r="F149" t="s">
        <v>5151</v>
      </c>
      <c r="H149" t="b">
        <f>ISNUMBER(MATCH(B149,'Old Sheet'!$B$2:$B$305,0))</f>
        <v>1</v>
      </c>
      <c r="I149" s="43" t="s">
        <v>4799</v>
      </c>
      <c r="J149" s="43" t="s">
        <v>5076</v>
      </c>
      <c r="K149" t="b">
        <f t="shared" si="2"/>
        <v>0</v>
      </c>
      <c r="M149"/>
      <c r="N149" s="68"/>
    </row>
    <row r="150" spans="1:14">
      <c r="A150">
        <v>215</v>
      </c>
      <c r="B150" t="s">
        <v>1755</v>
      </c>
      <c r="C150" s="43" t="s">
        <v>1750</v>
      </c>
      <c r="D150" s="43" t="s">
        <v>1756</v>
      </c>
      <c r="E150" s="43" t="s">
        <v>1756</v>
      </c>
      <c r="F150" t="s">
        <v>5151</v>
      </c>
      <c r="H150" t="b">
        <f>ISNUMBER(MATCH(B150,'Old Sheet'!$B$2:$B$305,0))</f>
        <v>1</v>
      </c>
      <c r="I150" s="43" t="s">
        <v>4799</v>
      </c>
      <c r="J150" s="43" t="s">
        <v>5076</v>
      </c>
      <c r="K150" t="b">
        <f t="shared" si="2"/>
        <v>0</v>
      </c>
      <c r="M150"/>
      <c r="N150" s="68"/>
    </row>
    <row r="151" spans="1:14">
      <c r="A151">
        <v>216</v>
      </c>
      <c r="B151" t="s">
        <v>1673</v>
      </c>
      <c r="C151" s="43" t="s">
        <v>1669</v>
      </c>
      <c r="D151" s="43" t="s">
        <v>1674</v>
      </c>
      <c r="E151" s="43" t="s">
        <v>4163</v>
      </c>
      <c r="F151" t="s">
        <v>5151</v>
      </c>
      <c r="H151" t="b">
        <f>ISNUMBER(MATCH(B151,'Old Sheet'!$B$2:$B$305,0))</f>
        <v>1</v>
      </c>
      <c r="I151" s="43" t="s">
        <v>4890</v>
      </c>
      <c r="J151" s="43" t="s">
        <v>5102</v>
      </c>
      <c r="K151" t="b">
        <f t="shared" si="2"/>
        <v>0</v>
      </c>
      <c r="M151"/>
      <c r="N151" s="68"/>
    </row>
    <row r="152" spans="1:14">
      <c r="A152">
        <v>217</v>
      </c>
      <c r="B152" t="s">
        <v>3743</v>
      </c>
      <c r="C152" s="43" t="s">
        <v>3740</v>
      </c>
      <c r="D152" s="43" t="s">
        <v>3744</v>
      </c>
      <c r="E152" s="43" t="s">
        <v>3744</v>
      </c>
      <c r="F152" s="76" t="s">
        <v>5157</v>
      </c>
      <c r="G152" s="76"/>
      <c r="H152" t="b">
        <f>ISNUMBER(MATCH(B152,'Old Sheet'!$B$2:$B$305,0))</f>
        <v>1</v>
      </c>
      <c r="I152" s="43" t="s">
        <v>4896</v>
      </c>
      <c r="J152" s="43" t="s">
        <v>5031</v>
      </c>
      <c r="K152" t="b">
        <f t="shared" si="2"/>
        <v>0</v>
      </c>
      <c r="M152"/>
      <c r="N152" s="68"/>
    </row>
    <row r="153" spans="1:14">
      <c r="A153">
        <v>218</v>
      </c>
      <c r="B153" t="s">
        <v>1644</v>
      </c>
      <c r="C153" s="43" t="s">
        <v>1636</v>
      </c>
      <c r="D153" s="43" t="s">
        <v>1645</v>
      </c>
      <c r="E153" s="43" t="s">
        <v>4882</v>
      </c>
      <c r="H153" t="b">
        <f>ISNUMBER(MATCH(B153,'Old Sheet'!$B$2:$B$305,0))</f>
        <v>1</v>
      </c>
      <c r="I153" s="43" t="s">
        <v>4798</v>
      </c>
      <c r="J153" s="43" t="s">
        <v>5023</v>
      </c>
      <c r="K153" t="b">
        <f t="shared" si="2"/>
        <v>0</v>
      </c>
      <c r="M153"/>
      <c r="N153" s="68"/>
    </row>
    <row r="154" spans="1:14">
      <c r="A154">
        <v>218</v>
      </c>
      <c r="B154" t="s">
        <v>1652</v>
      </c>
      <c r="C154" s="43" t="s">
        <v>1629</v>
      </c>
      <c r="D154" s="43" t="s">
        <v>1653</v>
      </c>
      <c r="E154" s="43" t="s">
        <v>4882</v>
      </c>
      <c r="H154" t="b">
        <f>ISNUMBER(MATCH(B154,'Old Sheet'!$B$2:$B$305,0))</f>
        <v>1</v>
      </c>
      <c r="I154" s="43" t="s">
        <v>4798</v>
      </c>
      <c r="J154" s="43" t="s">
        <v>5023</v>
      </c>
      <c r="K154" t="b">
        <f t="shared" si="2"/>
        <v>0</v>
      </c>
      <c r="M154"/>
      <c r="N154" s="68"/>
    </row>
    <row r="155" spans="1:14">
      <c r="A155">
        <v>218</v>
      </c>
      <c r="B155" t="s">
        <v>1640</v>
      </c>
      <c r="C155" s="43" t="s">
        <v>1573</v>
      </c>
      <c r="D155" s="43" t="s">
        <v>1641</v>
      </c>
      <c r="E155" s="43" t="s">
        <v>4882</v>
      </c>
      <c r="H155" t="b">
        <f>ISNUMBER(MATCH(B155,'Old Sheet'!$B$2:$B$305,0))</f>
        <v>1</v>
      </c>
      <c r="I155" s="43" t="s">
        <v>4798</v>
      </c>
      <c r="J155" s="43" t="s">
        <v>5023</v>
      </c>
      <c r="K155" t="b">
        <f t="shared" si="2"/>
        <v>0</v>
      </c>
      <c r="M155"/>
      <c r="N155" s="68"/>
    </row>
    <row r="156" spans="1:14">
      <c r="A156">
        <v>218</v>
      </c>
      <c r="B156" t="s">
        <v>1658</v>
      </c>
      <c r="C156" s="43" t="s">
        <v>1580</v>
      </c>
      <c r="D156" s="43" t="s">
        <v>1659</v>
      </c>
      <c r="E156" s="43" t="s">
        <v>4882</v>
      </c>
      <c r="H156" t="b">
        <f>ISNUMBER(MATCH(B156,'Old Sheet'!$B$2:$B$305,0))</f>
        <v>1</v>
      </c>
      <c r="I156" s="43" t="s">
        <v>4798</v>
      </c>
      <c r="J156" s="43" t="s">
        <v>5023</v>
      </c>
      <c r="K156" t="b">
        <f t="shared" si="2"/>
        <v>0</v>
      </c>
      <c r="M156"/>
      <c r="N156" s="68"/>
    </row>
    <row r="157" spans="1:14">
      <c r="A157">
        <v>218</v>
      </c>
      <c r="B157" t="s">
        <v>1650</v>
      </c>
      <c r="C157" s="43" t="s">
        <v>1608</v>
      </c>
      <c r="D157" s="43" t="s">
        <v>1651</v>
      </c>
      <c r="E157" s="43" t="s">
        <v>4882</v>
      </c>
      <c r="H157" t="b">
        <f>ISNUMBER(MATCH(B157,'Old Sheet'!$B$2:$B$305,0))</f>
        <v>1</v>
      </c>
      <c r="I157" s="43" t="s">
        <v>4798</v>
      </c>
      <c r="J157" s="43" t="s">
        <v>5023</v>
      </c>
      <c r="K157" t="b">
        <f t="shared" si="2"/>
        <v>0</v>
      </c>
      <c r="M157"/>
      <c r="N157" s="68"/>
    </row>
    <row r="158" spans="1:14">
      <c r="A158">
        <v>218</v>
      </c>
      <c r="B158" t="s">
        <v>1654</v>
      </c>
      <c r="C158" s="43" t="s">
        <v>1622</v>
      </c>
      <c r="D158" s="43" t="s">
        <v>1655</v>
      </c>
      <c r="E158" s="43" t="s">
        <v>4882</v>
      </c>
      <c r="H158" t="b">
        <f>ISNUMBER(MATCH(B158,'Old Sheet'!$B$2:$B$305,0))</f>
        <v>1</v>
      </c>
      <c r="I158" s="43" t="s">
        <v>4798</v>
      </c>
      <c r="J158" s="43" t="s">
        <v>5023</v>
      </c>
      <c r="K158" t="b">
        <f t="shared" si="2"/>
        <v>0</v>
      </c>
      <c r="M158"/>
      <c r="N158" s="68"/>
    </row>
    <row r="159" spans="1:14">
      <c r="A159">
        <v>218</v>
      </c>
      <c r="B159" t="s">
        <v>1642</v>
      </c>
      <c r="C159" s="43" t="s">
        <v>1594</v>
      </c>
      <c r="D159" s="43" t="s">
        <v>1643</v>
      </c>
      <c r="E159" s="43" t="s">
        <v>4882</v>
      </c>
      <c r="H159" t="b">
        <f>ISNUMBER(MATCH(B159,'Old Sheet'!$B$2:$B$305,0))</f>
        <v>1</v>
      </c>
      <c r="I159" s="43" t="s">
        <v>4798</v>
      </c>
      <c r="J159" s="43" t="s">
        <v>5023</v>
      </c>
      <c r="K159" t="b">
        <f t="shared" si="2"/>
        <v>0</v>
      </c>
      <c r="M159"/>
      <c r="N159" s="68"/>
    </row>
    <row r="160" spans="1:14">
      <c r="A160">
        <v>218</v>
      </c>
      <c r="B160" t="s">
        <v>1648</v>
      </c>
      <c r="C160" s="43" t="s">
        <v>1587</v>
      </c>
      <c r="D160" s="43" t="s">
        <v>1649</v>
      </c>
      <c r="E160" s="43" t="s">
        <v>4882</v>
      </c>
      <c r="H160" t="b">
        <f>ISNUMBER(MATCH(B160,'Old Sheet'!$B$2:$B$305,0))</f>
        <v>1</v>
      </c>
      <c r="I160" s="43" t="s">
        <v>4798</v>
      </c>
      <c r="J160" s="43" t="s">
        <v>5023</v>
      </c>
      <c r="K160" t="b">
        <f t="shared" si="2"/>
        <v>0</v>
      </c>
      <c r="M160"/>
      <c r="N160" s="68"/>
    </row>
    <row r="161" spans="1:20">
      <c r="A161">
        <v>218</v>
      </c>
      <c r="B161" t="s">
        <v>1646</v>
      </c>
      <c r="C161" s="43" t="s">
        <v>1601</v>
      </c>
      <c r="D161" s="43" t="s">
        <v>1647</v>
      </c>
      <c r="E161" s="43" t="s">
        <v>4882</v>
      </c>
      <c r="H161" t="b">
        <f>ISNUMBER(MATCH(B161,'Old Sheet'!$B$2:$B$305,0))</f>
        <v>1</v>
      </c>
      <c r="I161" s="43" t="s">
        <v>4798</v>
      </c>
      <c r="J161" s="43" t="s">
        <v>5023</v>
      </c>
      <c r="K161" t="b">
        <f t="shared" si="2"/>
        <v>0</v>
      </c>
      <c r="M161"/>
      <c r="N161" s="68"/>
    </row>
    <row r="162" spans="1:20">
      <c r="A162">
        <v>218</v>
      </c>
      <c r="B162" t="s">
        <v>1656</v>
      </c>
      <c r="C162" s="43" t="s">
        <v>1615</v>
      </c>
      <c r="D162" s="43" t="s">
        <v>4264</v>
      </c>
      <c r="E162" s="43" t="s">
        <v>4882</v>
      </c>
      <c r="H162" t="b">
        <f>ISNUMBER(MATCH(B162,'Old Sheet'!$B$2:$B$305,0))</f>
        <v>1</v>
      </c>
      <c r="I162" s="43" t="s">
        <v>4798</v>
      </c>
      <c r="J162" s="43" t="s">
        <v>5023</v>
      </c>
      <c r="K162" t="b">
        <f t="shared" si="2"/>
        <v>0</v>
      </c>
      <c r="M162"/>
      <c r="N162" s="68"/>
    </row>
    <row r="163" spans="1:20" s="33" customFormat="1">
      <c r="A163" s="33">
        <v>219</v>
      </c>
      <c r="B163" s="33" t="s">
        <v>2792</v>
      </c>
      <c r="C163" s="78" t="s">
        <v>2789</v>
      </c>
      <c r="D163" s="78" t="s">
        <v>2793</v>
      </c>
      <c r="E163" s="78" t="s">
        <v>2793</v>
      </c>
      <c r="F163" s="33" t="s">
        <v>5151</v>
      </c>
      <c r="H163" s="33" t="b">
        <f>ISNUMBER(MATCH(B163,'Old Sheet'!$B$2:$B$305,0))</f>
        <v>1</v>
      </c>
      <c r="I163" s="78" t="s">
        <v>4798</v>
      </c>
      <c r="J163" s="78" t="s">
        <v>5023</v>
      </c>
      <c r="K163" s="33" t="b">
        <f t="shared" si="2"/>
        <v>0</v>
      </c>
      <c r="N163" s="79"/>
      <c r="O163" s="79"/>
      <c r="S163"/>
      <c r="T163"/>
    </row>
    <row r="164" spans="1:20">
      <c r="A164">
        <v>220</v>
      </c>
      <c r="B164" t="s">
        <v>1568</v>
      </c>
      <c r="C164" s="43" t="s">
        <v>1563</v>
      </c>
      <c r="D164" s="43" t="s">
        <v>4782</v>
      </c>
      <c r="E164" s="43" t="s">
        <v>4782</v>
      </c>
      <c r="F164" s="76" t="s">
        <v>5157</v>
      </c>
      <c r="G164" s="76"/>
      <c r="H164" t="b">
        <f>ISNUMBER(MATCH(B164,'Old Sheet'!$B$2:$B$305,0))</f>
        <v>1</v>
      </c>
      <c r="I164" s="43" t="s">
        <v>4799</v>
      </c>
      <c r="J164" s="43" t="s">
        <v>5076</v>
      </c>
      <c r="K164" t="b">
        <f t="shared" si="2"/>
        <v>0</v>
      </c>
      <c r="M164"/>
      <c r="N164" s="68"/>
    </row>
    <row r="165" spans="1:20">
      <c r="A165">
        <v>221</v>
      </c>
      <c r="B165" t="s">
        <v>1486</v>
      </c>
      <c r="C165" s="43" t="s">
        <v>1482</v>
      </c>
      <c r="D165" s="43" t="s">
        <v>4271</v>
      </c>
      <c r="E165" s="43" t="s">
        <v>4883</v>
      </c>
      <c r="H165" t="b">
        <f>ISNUMBER(MATCH(B165,'Old Sheet'!$B$2:$B$305,0))</f>
        <v>1</v>
      </c>
      <c r="I165" s="43" t="s">
        <v>4798</v>
      </c>
      <c r="J165" s="43" t="s">
        <v>5023</v>
      </c>
      <c r="K165" t="b">
        <f t="shared" si="2"/>
        <v>0</v>
      </c>
      <c r="M165"/>
      <c r="N165" s="68"/>
    </row>
    <row r="166" spans="1:20">
      <c r="A166">
        <v>221</v>
      </c>
      <c r="B166" t="s">
        <v>1531</v>
      </c>
      <c r="C166" s="43" t="s">
        <v>1527</v>
      </c>
      <c r="D166" s="43" t="s">
        <v>4280</v>
      </c>
      <c r="E166" s="43" t="s">
        <v>4883</v>
      </c>
      <c r="H166" t="b">
        <f>ISNUMBER(MATCH(B166,'Old Sheet'!$B$2:$B$305,0))</f>
        <v>1</v>
      </c>
      <c r="I166" s="43" t="s">
        <v>4798</v>
      </c>
      <c r="J166" s="43" t="s">
        <v>5023</v>
      </c>
      <c r="K166" t="b">
        <f t="shared" si="2"/>
        <v>0</v>
      </c>
      <c r="M166"/>
      <c r="N166" s="68"/>
    </row>
    <row r="167" spans="1:20">
      <c r="A167">
        <v>221</v>
      </c>
      <c r="B167" t="s">
        <v>1540</v>
      </c>
      <c r="C167" s="43" t="s">
        <v>1536</v>
      </c>
      <c r="D167" s="43" t="s">
        <v>4276</v>
      </c>
      <c r="E167" s="43" t="s">
        <v>4883</v>
      </c>
      <c r="H167" t="b">
        <f>ISNUMBER(MATCH(B167,'Old Sheet'!$B$2:$B$305,0))</f>
        <v>1</v>
      </c>
      <c r="I167" s="43" t="s">
        <v>4798</v>
      </c>
      <c r="J167" s="43" t="s">
        <v>5023</v>
      </c>
      <c r="K167" t="b">
        <f t="shared" si="2"/>
        <v>0</v>
      </c>
      <c r="M167"/>
      <c r="N167" s="68"/>
    </row>
    <row r="168" spans="1:20">
      <c r="A168">
        <v>221</v>
      </c>
      <c r="B168" t="s">
        <v>1549</v>
      </c>
      <c r="C168" s="43" t="s">
        <v>1545</v>
      </c>
      <c r="D168" s="43" t="s">
        <v>1550</v>
      </c>
      <c r="E168" s="43" t="s">
        <v>4883</v>
      </c>
      <c r="H168" t="b">
        <f>ISNUMBER(MATCH(B168,'Old Sheet'!$B$2:$B$305,0))</f>
        <v>1</v>
      </c>
      <c r="I168" s="43" t="s">
        <v>4798</v>
      </c>
      <c r="J168" s="43" t="s">
        <v>5023</v>
      </c>
      <c r="K168" t="b">
        <f t="shared" si="2"/>
        <v>0</v>
      </c>
      <c r="M168"/>
      <c r="N168" s="68"/>
    </row>
    <row r="169" spans="1:20">
      <c r="A169">
        <v>221</v>
      </c>
      <c r="B169" t="s">
        <v>1522</v>
      </c>
      <c r="C169" s="43" t="s">
        <v>1518</v>
      </c>
      <c r="D169" s="43" t="s">
        <v>1523</v>
      </c>
      <c r="E169" s="43" t="s">
        <v>4883</v>
      </c>
      <c r="H169" t="b">
        <f>ISNUMBER(MATCH(B169,'Old Sheet'!$B$2:$B$305,0))</f>
        <v>1</v>
      </c>
      <c r="I169" s="43" t="s">
        <v>4798</v>
      </c>
      <c r="J169" s="43" t="s">
        <v>5023</v>
      </c>
      <c r="K169" t="b">
        <f t="shared" si="2"/>
        <v>0</v>
      </c>
      <c r="M169"/>
      <c r="N169" s="68"/>
    </row>
    <row r="170" spans="1:20">
      <c r="A170">
        <v>221</v>
      </c>
      <c r="B170" t="s">
        <v>1495</v>
      </c>
      <c r="C170" s="43" t="s">
        <v>1491</v>
      </c>
      <c r="D170" s="43" t="s">
        <v>1496</v>
      </c>
      <c r="E170" s="43" t="s">
        <v>4883</v>
      </c>
      <c r="H170" t="b">
        <f>ISNUMBER(MATCH(B170,'Old Sheet'!$B$2:$B$305,0))</f>
        <v>1</v>
      </c>
      <c r="I170" s="43" t="s">
        <v>4798</v>
      </c>
      <c r="J170" s="43" t="s">
        <v>5023</v>
      </c>
      <c r="K170" t="b">
        <f t="shared" si="2"/>
        <v>0</v>
      </c>
      <c r="M170"/>
      <c r="N170" s="68"/>
    </row>
    <row r="171" spans="1:20">
      <c r="A171">
        <v>221</v>
      </c>
      <c r="B171" t="s">
        <v>1513</v>
      </c>
      <c r="C171" s="43" t="s">
        <v>1509</v>
      </c>
      <c r="D171" s="43" t="s">
        <v>1514</v>
      </c>
      <c r="E171" s="43" t="s">
        <v>4883</v>
      </c>
      <c r="H171" t="b">
        <f>ISNUMBER(MATCH(B171,'Old Sheet'!$B$2:$B$305,0))</f>
        <v>1</v>
      </c>
      <c r="I171" s="43" t="s">
        <v>4798</v>
      </c>
      <c r="J171" s="43" t="s">
        <v>5023</v>
      </c>
      <c r="K171" t="b">
        <f t="shared" si="2"/>
        <v>0</v>
      </c>
      <c r="M171"/>
      <c r="N171" s="68"/>
    </row>
    <row r="172" spans="1:20">
      <c r="A172">
        <v>221</v>
      </c>
      <c r="B172" t="s">
        <v>1558</v>
      </c>
      <c r="C172" s="43" t="s">
        <v>1554</v>
      </c>
      <c r="D172" s="43" t="s">
        <v>1559</v>
      </c>
      <c r="E172" s="43" t="s">
        <v>4883</v>
      </c>
      <c r="H172" t="b">
        <f>ISNUMBER(MATCH(B172,'Old Sheet'!$B$2:$B$305,0))</f>
        <v>1</v>
      </c>
      <c r="I172" s="43" t="s">
        <v>4798</v>
      </c>
      <c r="J172" s="43" t="s">
        <v>5023</v>
      </c>
      <c r="K172" t="b">
        <f t="shared" si="2"/>
        <v>0</v>
      </c>
      <c r="M172"/>
      <c r="N172" s="68"/>
    </row>
    <row r="173" spans="1:20">
      <c r="A173">
        <v>221</v>
      </c>
      <c r="B173" t="s">
        <v>1504</v>
      </c>
      <c r="C173" s="43" t="s">
        <v>1500</v>
      </c>
      <c r="D173" s="43" t="s">
        <v>4222</v>
      </c>
      <c r="E173" s="43" t="s">
        <v>4883</v>
      </c>
      <c r="H173" t="b">
        <f>ISNUMBER(MATCH(B173,'Old Sheet'!$B$2:$B$305,0))</f>
        <v>1</v>
      </c>
      <c r="I173" s="43" t="s">
        <v>4798</v>
      </c>
      <c r="J173" s="43" t="s">
        <v>5023</v>
      </c>
      <c r="K173" t="b">
        <f t="shared" si="2"/>
        <v>0</v>
      </c>
      <c r="M173"/>
      <c r="N173" s="68"/>
    </row>
    <row r="174" spans="1:20">
      <c r="A174">
        <v>221</v>
      </c>
      <c r="B174" t="s">
        <v>1477</v>
      </c>
      <c r="C174" s="43" t="s">
        <v>1473</v>
      </c>
      <c r="D174" s="43" t="s">
        <v>1478</v>
      </c>
      <c r="E174" s="43" t="s">
        <v>4883</v>
      </c>
      <c r="H174" t="b">
        <f>ISNUMBER(MATCH(B174,'Old Sheet'!$B$2:$B$305,0))</f>
        <v>1</v>
      </c>
      <c r="I174" s="43" t="s">
        <v>4798</v>
      </c>
      <c r="J174" s="43" t="s">
        <v>5023</v>
      </c>
      <c r="K174" t="b">
        <f t="shared" si="2"/>
        <v>0</v>
      </c>
      <c r="M174"/>
      <c r="N174" s="68"/>
    </row>
    <row r="175" spans="1:20">
      <c r="A175">
        <v>222</v>
      </c>
      <c r="B175" t="s">
        <v>1820</v>
      </c>
      <c r="C175" s="43" t="s">
        <v>1815</v>
      </c>
      <c r="D175" s="43" t="s">
        <v>1821</v>
      </c>
      <c r="E175" s="43" t="s">
        <v>1821</v>
      </c>
      <c r="F175" t="s">
        <v>5151</v>
      </c>
      <c r="H175" t="b">
        <f>ISNUMBER(MATCH(B175,'Old Sheet'!$B$2:$B$305,0))</f>
        <v>1</v>
      </c>
      <c r="I175" s="43" t="s">
        <v>4799</v>
      </c>
      <c r="J175" s="43" t="s">
        <v>5076</v>
      </c>
      <c r="K175" t="b">
        <f t="shared" si="2"/>
        <v>0</v>
      </c>
      <c r="M175"/>
      <c r="N175" s="68"/>
    </row>
    <row r="176" spans="1:20">
      <c r="A176">
        <v>223</v>
      </c>
      <c r="B176" t="s">
        <v>1441</v>
      </c>
      <c r="C176" s="43" t="s">
        <v>1437</v>
      </c>
      <c r="D176" s="43" t="s">
        <v>1442</v>
      </c>
      <c r="E176" s="43" t="s">
        <v>4884</v>
      </c>
      <c r="H176" t="b">
        <f>ISNUMBER(MATCH(B176,'Old Sheet'!$B$2:$B$305,0))</f>
        <v>1</v>
      </c>
      <c r="I176" s="43" t="s">
        <v>4798</v>
      </c>
      <c r="J176" s="43" t="s">
        <v>5023</v>
      </c>
      <c r="K176" t="b">
        <f t="shared" si="2"/>
        <v>0</v>
      </c>
      <c r="M176"/>
      <c r="N176" s="68"/>
    </row>
    <row r="177" spans="1:14">
      <c r="A177">
        <v>223</v>
      </c>
      <c r="B177" t="s">
        <v>1450</v>
      </c>
      <c r="C177" s="43" t="s">
        <v>1446</v>
      </c>
      <c r="D177" s="43" t="s">
        <v>1451</v>
      </c>
      <c r="E177" s="43" t="s">
        <v>4884</v>
      </c>
      <c r="H177" t="b">
        <f>ISNUMBER(MATCH(B177,'Old Sheet'!$B$2:$B$305,0))</f>
        <v>1</v>
      </c>
      <c r="I177" s="43" t="s">
        <v>4798</v>
      </c>
      <c r="J177" s="43" t="s">
        <v>5023</v>
      </c>
      <c r="K177" t="b">
        <f t="shared" si="2"/>
        <v>0</v>
      </c>
      <c r="M177"/>
      <c r="N177" s="68"/>
    </row>
    <row r="178" spans="1:14">
      <c r="A178">
        <v>223</v>
      </c>
      <c r="B178" t="s">
        <v>1459</v>
      </c>
      <c r="C178" s="43" t="s">
        <v>1455</v>
      </c>
      <c r="D178" s="43" t="s">
        <v>1460</v>
      </c>
      <c r="E178" s="43" t="s">
        <v>4884</v>
      </c>
      <c r="H178" t="b">
        <f>ISNUMBER(MATCH(B178,'Old Sheet'!$B$2:$B$305,0))</f>
        <v>1</v>
      </c>
      <c r="I178" s="43" t="s">
        <v>4798</v>
      </c>
      <c r="J178" s="43" t="s">
        <v>5023</v>
      </c>
      <c r="K178" t="b">
        <f t="shared" si="2"/>
        <v>0</v>
      </c>
      <c r="M178"/>
      <c r="N178" s="68"/>
    </row>
    <row r="179" spans="1:14">
      <c r="A179">
        <v>223</v>
      </c>
      <c r="B179" t="s">
        <v>1468</v>
      </c>
      <c r="C179" s="43" t="s">
        <v>1464</v>
      </c>
      <c r="D179" s="43" t="s">
        <v>1469</v>
      </c>
      <c r="E179" s="43" t="s">
        <v>4884</v>
      </c>
      <c r="H179" t="b">
        <f>ISNUMBER(MATCH(B179,'Old Sheet'!$B$2:$B$305,0))</f>
        <v>1</v>
      </c>
      <c r="I179" s="43" t="s">
        <v>4798</v>
      </c>
      <c r="J179" s="43" t="s">
        <v>5023</v>
      </c>
      <c r="K179" t="b">
        <f t="shared" si="2"/>
        <v>0</v>
      </c>
      <c r="M179"/>
      <c r="N179" s="68"/>
    </row>
    <row r="180" spans="1:14">
      <c r="A180">
        <v>224</v>
      </c>
      <c r="B180" t="s">
        <v>4728</v>
      </c>
      <c r="C180" s="43" t="s">
        <v>4783</v>
      </c>
      <c r="D180" s="43" t="s">
        <v>4727</v>
      </c>
      <c r="E180" s="43" t="s">
        <v>4885</v>
      </c>
      <c r="H180" t="b">
        <f>ISNUMBER(MATCH(B180,'Old Sheet'!$B$2:$B$305,0))</f>
        <v>1</v>
      </c>
      <c r="I180" s="43" t="s">
        <v>4798</v>
      </c>
      <c r="J180" s="43" t="s">
        <v>5023</v>
      </c>
      <c r="K180" t="b">
        <f t="shared" si="2"/>
        <v>0</v>
      </c>
      <c r="M180"/>
      <c r="N180" s="68"/>
    </row>
    <row r="181" spans="1:14">
      <c r="A181">
        <v>224</v>
      </c>
      <c r="B181" t="s">
        <v>4730</v>
      </c>
      <c r="C181" s="43" t="s">
        <v>4784</v>
      </c>
      <c r="D181" s="43" t="s">
        <v>4729</v>
      </c>
      <c r="E181" s="43" t="s">
        <v>4885</v>
      </c>
      <c r="H181" t="b">
        <f>ISNUMBER(MATCH(B181,'Old Sheet'!$B$2:$B$305,0))</f>
        <v>1</v>
      </c>
      <c r="I181" s="43" t="s">
        <v>4798</v>
      </c>
      <c r="J181" s="43" t="s">
        <v>5023</v>
      </c>
      <c r="K181" t="b">
        <f t="shared" si="2"/>
        <v>0</v>
      </c>
      <c r="M181"/>
      <c r="N181" s="68"/>
    </row>
    <row r="182" spans="1:14">
      <c r="A182">
        <v>224</v>
      </c>
      <c r="B182" t="s">
        <v>4732</v>
      </c>
      <c r="C182" s="43" t="s">
        <v>4785</v>
      </c>
      <c r="D182" s="43" t="s">
        <v>4731</v>
      </c>
      <c r="E182" s="43" t="s">
        <v>4885</v>
      </c>
      <c r="H182" t="b">
        <f>ISNUMBER(MATCH(B182,'Old Sheet'!$B$2:$B$305,0))</f>
        <v>1</v>
      </c>
      <c r="I182" s="43" t="s">
        <v>4798</v>
      </c>
      <c r="J182" s="43" t="s">
        <v>5023</v>
      </c>
      <c r="K182" t="b">
        <f t="shared" si="2"/>
        <v>0</v>
      </c>
      <c r="M182"/>
      <c r="N182" s="68"/>
    </row>
    <row r="183" spans="1:14">
      <c r="A183">
        <v>224</v>
      </c>
      <c r="B183" t="s">
        <v>4734</v>
      </c>
      <c r="C183" s="43" t="s">
        <v>4786</v>
      </c>
      <c r="D183" s="43" t="s">
        <v>4733</v>
      </c>
      <c r="E183" s="43" t="s">
        <v>4885</v>
      </c>
      <c r="H183" t="b">
        <f>ISNUMBER(MATCH(B183,'Old Sheet'!$B$2:$B$305,0))</f>
        <v>1</v>
      </c>
      <c r="I183" s="43" t="s">
        <v>4798</v>
      </c>
      <c r="J183" s="43" t="s">
        <v>5023</v>
      </c>
      <c r="K183" t="b">
        <f t="shared" si="2"/>
        <v>0</v>
      </c>
      <c r="M183"/>
      <c r="N183" s="68"/>
    </row>
    <row r="184" spans="1:14">
      <c r="A184">
        <v>224</v>
      </c>
      <c r="B184" t="s">
        <v>1396</v>
      </c>
      <c r="C184" s="43" t="s">
        <v>1392</v>
      </c>
      <c r="D184" s="43" t="s">
        <v>1397</v>
      </c>
      <c r="E184" s="43" t="s">
        <v>4885</v>
      </c>
      <c r="H184" t="b">
        <f>ISNUMBER(MATCH(B184,'Old Sheet'!$B$2:$B$305,0))</f>
        <v>1</v>
      </c>
      <c r="I184" s="43" t="s">
        <v>4798</v>
      </c>
      <c r="J184" s="43" t="s">
        <v>5023</v>
      </c>
      <c r="K184" t="b">
        <f t="shared" si="2"/>
        <v>0</v>
      </c>
      <c r="M184"/>
      <c r="N184" s="68"/>
    </row>
    <row r="185" spans="1:14">
      <c r="A185">
        <v>224</v>
      </c>
      <c r="B185" t="s">
        <v>1405</v>
      </c>
      <c r="C185" s="43" t="s">
        <v>1401</v>
      </c>
      <c r="D185" s="43" t="s">
        <v>1406</v>
      </c>
      <c r="E185" s="43" t="s">
        <v>4885</v>
      </c>
      <c r="H185" t="b">
        <f>ISNUMBER(MATCH(B185,'Old Sheet'!$B$2:$B$305,0))</f>
        <v>1</v>
      </c>
      <c r="I185" s="43" t="s">
        <v>4798</v>
      </c>
      <c r="J185" s="43" t="s">
        <v>5023</v>
      </c>
      <c r="K185" t="b">
        <f t="shared" si="2"/>
        <v>0</v>
      </c>
      <c r="M185"/>
      <c r="N185" s="68"/>
    </row>
    <row r="186" spans="1:14">
      <c r="A186">
        <v>224</v>
      </c>
      <c r="B186" t="s">
        <v>1432</v>
      </c>
      <c r="C186" s="43" t="s">
        <v>1428</v>
      </c>
      <c r="D186" s="43" t="s">
        <v>1433</v>
      </c>
      <c r="E186" s="43" t="s">
        <v>4885</v>
      </c>
      <c r="H186" t="b">
        <f>ISNUMBER(MATCH(B186,'Old Sheet'!$B$2:$B$305,0))</f>
        <v>1</v>
      </c>
      <c r="I186" s="43" t="s">
        <v>4798</v>
      </c>
      <c r="J186" s="43" t="s">
        <v>5023</v>
      </c>
      <c r="K186" t="b">
        <f t="shared" si="2"/>
        <v>0</v>
      </c>
      <c r="M186"/>
      <c r="N186" s="68"/>
    </row>
    <row r="187" spans="1:14">
      <c r="A187">
        <v>224</v>
      </c>
      <c r="B187" t="s">
        <v>1423</v>
      </c>
      <c r="C187" s="43" t="s">
        <v>1419</v>
      </c>
      <c r="D187" s="43" t="s">
        <v>1424</v>
      </c>
      <c r="E187" s="43" t="s">
        <v>4885</v>
      </c>
      <c r="H187" t="b">
        <f>ISNUMBER(MATCH(B187,'Old Sheet'!$B$2:$B$305,0))</f>
        <v>1</v>
      </c>
      <c r="I187" s="43" t="s">
        <v>4798</v>
      </c>
      <c r="J187" s="43" t="s">
        <v>5023</v>
      </c>
      <c r="K187" t="b">
        <f t="shared" si="2"/>
        <v>0</v>
      </c>
      <c r="M187"/>
      <c r="N187" s="68"/>
    </row>
    <row r="188" spans="1:14">
      <c r="A188">
        <v>224</v>
      </c>
      <c r="B188" t="s">
        <v>1414</v>
      </c>
      <c r="C188" s="43" t="s">
        <v>1410</v>
      </c>
      <c r="D188" s="43" t="s">
        <v>1415</v>
      </c>
      <c r="E188" s="43" t="s">
        <v>4885</v>
      </c>
      <c r="H188" t="b">
        <f>ISNUMBER(MATCH(B188,'Old Sheet'!$B$2:$B$305,0))</f>
        <v>1</v>
      </c>
      <c r="I188" s="43" t="s">
        <v>4798</v>
      </c>
      <c r="J188" s="43" t="s">
        <v>5023</v>
      </c>
      <c r="K188" t="b">
        <f t="shared" si="2"/>
        <v>0</v>
      </c>
      <c r="M188"/>
      <c r="N188" s="68"/>
    </row>
    <row r="189" spans="1:14">
      <c r="A189">
        <v>224</v>
      </c>
      <c r="B189" t="s">
        <v>1387</v>
      </c>
      <c r="C189" s="43" t="s">
        <v>1383</v>
      </c>
      <c r="D189" s="43" t="s">
        <v>4735</v>
      </c>
      <c r="E189" s="43" t="s">
        <v>4885</v>
      </c>
      <c r="H189" t="b">
        <f>ISNUMBER(MATCH(B189,'Old Sheet'!$B$2:$B$305,0))</f>
        <v>1</v>
      </c>
      <c r="I189" s="43" t="s">
        <v>4798</v>
      </c>
      <c r="J189" s="43" t="s">
        <v>5023</v>
      </c>
      <c r="K189" t="b">
        <f t="shared" si="2"/>
        <v>0</v>
      </c>
      <c r="M189"/>
      <c r="N189" s="68"/>
    </row>
    <row r="190" spans="1:14">
      <c r="A190">
        <v>225</v>
      </c>
      <c r="B190" t="s">
        <v>4746</v>
      </c>
      <c r="C190" s="43" t="s">
        <v>4787</v>
      </c>
      <c r="D190" s="43" t="s">
        <v>4788</v>
      </c>
      <c r="E190" s="43" t="s">
        <v>4788</v>
      </c>
      <c r="H190" t="b">
        <f>ISNUMBER(MATCH(B190,'Old Sheet'!$B$2:$B$305,0))</f>
        <v>0</v>
      </c>
      <c r="I190" s="43" t="s">
        <v>4798</v>
      </c>
      <c r="J190" s="43" t="s">
        <v>5023</v>
      </c>
      <c r="K190" t="b">
        <f t="shared" si="2"/>
        <v>0</v>
      </c>
      <c r="M190"/>
      <c r="N190" s="68"/>
    </row>
    <row r="191" spans="1:14">
      <c r="A191">
        <v>226</v>
      </c>
      <c r="B191" t="s">
        <v>4748</v>
      </c>
      <c r="C191" s="43" t="s">
        <v>4789</v>
      </c>
      <c r="D191" s="43" t="s">
        <v>4790</v>
      </c>
      <c r="E191" s="43" t="s">
        <v>4790</v>
      </c>
      <c r="H191" t="b">
        <f>ISNUMBER(MATCH(B191,'Old Sheet'!$B$2:$B$305,0))</f>
        <v>0</v>
      </c>
      <c r="I191" s="43" t="s">
        <v>4887</v>
      </c>
      <c r="J191" s="43" t="s">
        <v>5023</v>
      </c>
      <c r="K191" t="b">
        <f t="shared" si="2"/>
        <v>0</v>
      </c>
      <c r="M191"/>
      <c r="N191" s="68"/>
    </row>
    <row r="192" spans="1:14">
      <c r="A192">
        <v>227</v>
      </c>
      <c r="B192" t="s">
        <v>4747</v>
      </c>
      <c r="C192" s="43" t="s">
        <v>4791</v>
      </c>
      <c r="D192" s="43" t="s">
        <v>4792</v>
      </c>
      <c r="E192" s="43" t="s">
        <v>4792</v>
      </c>
      <c r="H192" t="b">
        <f>ISNUMBER(MATCH(B192,'Old Sheet'!$B$2:$B$305,0))</f>
        <v>0</v>
      </c>
      <c r="I192" s="43" t="s">
        <v>4798</v>
      </c>
      <c r="J192" s="43" t="s">
        <v>5023</v>
      </c>
      <c r="K192" t="b">
        <f t="shared" si="2"/>
        <v>0</v>
      </c>
      <c r="M192"/>
      <c r="N192" s="68"/>
    </row>
    <row r="193" spans="1:20">
      <c r="A193">
        <v>228</v>
      </c>
      <c r="B193" t="s">
        <v>4759</v>
      </c>
      <c r="C193" s="43" t="s">
        <v>4793</v>
      </c>
      <c r="D193" s="43" t="s">
        <v>4794</v>
      </c>
      <c r="E193" s="43" t="s">
        <v>4794</v>
      </c>
      <c r="F193" s="76" t="s">
        <v>5157</v>
      </c>
      <c r="G193" s="76"/>
      <c r="H193" t="b">
        <f>ISNUMBER(MATCH(B193,'Old Sheet'!$B$2:$B$305,0))</f>
        <v>0</v>
      </c>
      <c r="I193" s="43" t="s">
        <v>4895</v>
      </c>
      <c r="J193" s="43" t="s">
        <v>5149</v>
      </c>
      <c r="K193" t="b">
        <f t="shared" si="2"/>
        <v>0</v>
      </c>
      <c r="M193"/>
      <c r="N193" s="68"/>
    </row>
    <row r="194" spans="1:20" s="79" customFormat="1">
      <c r="A194" s="79">
        <v>229</v>
      </c>
      <c r="B194" s="79" t="s">
        <v>4739</v>
      </c>
      <c r="C194" s="79" t="s">
        <v>4795</v>
      </c>
      <c r="D194" s="79" t="s">
        <v>4796</v>
      </c>
      <c r="E194" s="79" t="s">
        <v>4796</v>
      </c>
      <c r="F194" s="79" t="s">
        <v>5151</v>
      </c>
      <c r="H194" s="79" t="b">
        <f>ISNUMBER(MATCH(B194,'Old Sheet'!$B$2:$B$305,0))</f>
        <v>1</v>
      </c>
      <c r="I194" s="79" t="s">
        <v>4798</v>
      </c>
      <c r="J194" s="79" t="s">
        <v>5023</v>
      </c>
      <c r="K194" s="33" t="b">
        <f t="shared" si="2"/>
        <v>0</v>
      </c>
      <c r="S194"/>
      <c r="T194"/>
    </row>
    <row r="195" spans="1:20">
      <c r="B195" t="s">
        <v>3632</v>
      </c>
    </row>
    <row r="196" spans="1:20">
      <c r="A196" s="79"/>
      <c r="B196" t="s">
        <v>1272</v>
      </c>
    </row>
    <row r="197" spans="1:20">
      <c r="B197" t="s">
        <v>1058</v>
      </c>
    </row>
    <row r="198" spans="1:20">
      <c r="A198" s="79"/>
      <c r="B198" t="s">
        <v>450</v>
      </c>
    </row>
    <row r="199" spans="1:20">
      <c r="B199" t="s">
        <v>3874</v>
      </c>
    </row>
    <row r="200" spans="1:20">
      <c r="A200" s="79"/>
      <c r="B200" t="s">
        <v>3526</v>
      </c>
    </row>
    <row r="201" spans="1:20">
      <c r="B201" t="s">
        <v>839</v>
      </c>
    </row>
    <row r="202" spans="1:20">
      <c r="A202" s="79"/>
      <c r="B202" t="s">
        <v>2108</v>
      </c>
    </row>
    <row r="203" spans="1:20">
      <c r="B203" t="s">
        <v>3544</v>
      </c>
    </row>
    <row r="204" spans="1:20">
      <c r="A204" s="79"/>
      <c r="B204" t="s">
        <v>827</v>
      </c>
    </row>
    <row r="205" spans="1:20">
      <c r="B205" t="s">
        <v>3499</v>
      </c>
    </row>
    <row r="206" spans="1:20">
      <c r="A206" s="79"/>
      <c r="B206" t="s">
        <v>1128</v>
      </c>
    </row>
    <row r="207" spans="1:20">
      <c r="B207" t="s">
        <v>1315</v>
      </c>
    </row>
    <row r="208" spans="1:20">
      <c r="A208" s="79"/>
      <c r="B208" t="s">
        <v>1190</v>
      </c>
    </row>
    <row r="209" spans="1:2">
      <c r="B209" t="s">
        <v>3559</v>
      </c>
    </row>
    <row r="210" spans="1:2">
      <c r="A210" s="79"/>
      <c r="B210" t="s">
        <v>1284</v>
      </c>
    </row>
    <row r="211" spans="1:2">
      <c r="B211" t="s">
        <v>2126</v>
      </c>
    </row>
    <row r="212" spans="1:2">
      <c r="A212" s="79"/>
      <c r="B212" t="s">
        <v>3535</v>
      </c>
    </row>
    <row r="213" spans="1:2">
      <c r="B213" t="s">
        <v>3508</v>
      </c>
    </row>
    <row r="214" spans="1:2">
      <c r="A214" s="79"/>
      <c r="B214" t="s">
        <v>3517</v>
      </c>
    </row>
    <row r="215" spans="1:2">
      <c r="B215" t="s">
        <v>2099</v>
      </c>
    </row>
    <row r="216" spans="1:2">
      <c r="A216" s="79"/>
      <c r="B216" t="s">
        <v>1004</v>
      </c>
    </row>
    <row r="217" spans="1:2">
      <c r="B217" t="s">
        <v>995</v>
      </c>
    </row>
    <row r="218" spans="1:2">
      <c r="A218" s="79"/>
      <c r="B218" t="s">
        <v>1119</v>
      </c>
    </row>
    <row r="219" spans="1:2">
      <c r="B219" t="s">
        <v>2957</v>
      </c>
    </row>
    <row r="220" spans="1:2">
      <c r="A220" s="79"/>
      <c r="B220" t="s">
        <v>3603</v>
      </c>
    </row>
    <row r="221" spans="1:2">
      <c r="B221" t="s">
        <v>2768</v>
      </c>
    </row>
    <row r="222" spans="1:2">
      <c r="A222" s="79"/>
      <c r="B222" t="s">
        <v>1356</v>
      </c>
    </row>
    <row r="223" spans="1:2">
      <c r="B223" t="s">
        <v>821</v>
      </c>
    </row>
    <row r="224" spans="1:2">
      <c r="A224" s="79"/>
      <c r="B224" t="s">
        <v>1306</v>
      </c>
    </row>
    <row r="225" spans="1:2">
      <c r="B225" t="s">
        <v>2598</v>
      </c>
    </row>
    <row r="226" spans="1:2">
      <c r="A226" s="79"/>
      <c r="B226" t="s">
        <v>522</v>
      </c>
    </row>
    <row r="227" spans="1:2">
      <c r="B227" t="s">
        <v>454</v>
      </c>
    </row>
    <row r="228" spans="1:2">
      <c r="A228" s="79"/>
      <c r="B228" t="s">
        <v>3836</v>
      </c>
    </row>
    <row r="229" spans="1:2">
      <c r="B229" t="s">
        <v>2755</v>
      </c>
    </row>
    <row r="230" spans="1:2">
      <c r="A230" s="79"/>
      <c r="B230" t="s">
        <v>2520</v>
      </c>
    </row>
    <row r="231" spans="1:2">
      <c r="B231" t="s">
        <v>1344</v>
      </c>
    </row>
    <row r="232" spans="1:2">
      <c r="A232" s="79"/>
      <c r="B232" t="s">
        <v>2760</v>
      </c>
    </row>
    <row r="233" spans="1:2">
      <c r="B233" t="s">
        <v>524</v>
      </c>
    </row>
    <row r="234" spans="1:2">
      <c r="A234" s="79"/>
      <c r="B234" t="s">
        <v>1130</v>
      </c>
    </row>
    <row r="235" spans="1:2">
      <c r="B235" t="s">
        <v>1220</v>
      </c>
    </row>
    <row r="236" spans="1:2">
      <c r="A236" s="79"/>
      <c r="B236" t="s">
        <v>2740</v>
      </c>
    </row>
    <row r="237" spans="1:2">
      <c r="B237" t="s">
        <v>2766</v>
      </c>
    </row>
    <row r="238" spans="1:2">
      <c r="A238" s="79"/>
      <c r="B238" t="s">
        <v>452</v>
      </c>
    </row>
    <row r="239" spans="1:2">
      <c r="B239" t="s">
        <v>1346</v>
      </c>
    </row>
    <row r="240" spans="1:2">
      <c r="A240" s="79"/>
      <c r="B240" t="s">
        <v>2314</v>
      </c>
    </row>
  </sheetData>
  <protectedRanges>
    <protectedRange sqref="C7:E7 C99:D194 E8:E194 I21:J194" name="Database"/>
    <protectedRange sqref="C8:D9" name="Database_1"/>
    <protectedRange sqref="C10:D10" name="Database_2"/>
    <protectedRange sqref="C11:D11" name="Database_3"/>
    <protectedRange sqref="C12:D12" name="Database_4"/>
    <protectedRange sqref="C13:D13" name="Database_5"/>
    <protectedRange sqref="C14:D14" name="Database_6"/>
    <protectedRange sqref="C15:D15" name="Database_7"/>
    <protectedRange sqref="C16:D16" name="Database_8"/>
    <protectedRange sqref="C17:D17" name="Database_9"/>
    <protectedRange sqref="C18:D18" name="Database_10"/>
    <protectedRange sqref="C19:D19" name="Database_11"/>
    <protectedRange sqref="C20:D20" name="Database_13"/>
    <protectedRange sqref="C21:D21" name="Database_14"/>
    <protectedRange sqref="C22:D22" name="Database_15"/>
    <protectedRange sqref="C23:D23" name="Database_16"/>
    <protectedRange sqref="C24:D24" name="Database_17"/>
    <protectedRange sqref="C25:D25" name="Database_18"/>
    <protectedRange sqref="C26:D26" name="Database_19"/>
    <protectedRange sqref="C27:D28" name="Database_21"/>
    <protectedRange sqref="C29:D29" name="Database_25"/>
    <protectedRange sqref="C30:D30" name="Database_26"/>
    <protectedRange sqref="C31:D31" name="Database_27"/>
    <protectedRange sqref="C32:D32" name="Database_28"/>
    <protectedRange sqref="C33:D33" name="Database_29"/>
    <protectedRange sqref="C34:D34" name="Database_30"/>
    <protectedRange sqref="C35:D35" name="Database_31"/>
    <protectedRange sqref="C36:D36" name="Database_32"/>
    <protectedRange sqref="C37:D37" name="Database_33"/>
    <protectedRange sqref="C38:D38" name="Database_34"/>
    <protectedRange sqref="C39:D39" name="Database_35"/>
    <protectedRange sqref="C40:D40" name="Database_36"/>
    <protectedRange sqref="C41:D41" name="Database_37"/>
    <protectedRange sqref="C42:D42" name="Database_39"/>
    <protectedRange sqref="C43:D43" name="Database_40"/>
    <protectedRange sqref="C44:D44" name="Database_41"/>
    <protectedRange sqref="C45:D45" name="Database_42"/>
    <protectedRange sqref="C46:D46" name="Database_43"/>
    <protectedRange sqref="C47:D47" name="Database_44"/>
    <protectedRange sqref="C48:D48" name="Database_45"/>
    <protectedRange sqref="C49:D49" name="Database_46"/>
    <protectedRange sqref="C50:D50" name="Database_47"/>
    <protectedRange sqref="C51:D51" name="Database_49"/>
    <protectedRange sqref="C52:D52" name="Database_50"/>
    <protectedRange sqref="C53:D54" name="Database_51"/>
    <protectedRange sqref="C55:D55" name="Database_52"/>
    <protectedRange sqref="C56:D57" name="Database_53"/>
    <protectedRange sqref="C58:D58" name="Database_54"/>
    <protectedRange sqref="C59:D59" name="Database_55"/>
    <protectedRange sqref="C60:D60" name="Database_56"/>
    <protectedRange sqref="C61:D61" name="Database_57"/>
    <protectedRange sqref="C62:D62" name="Database_58"/>
    <protectedRange sqref="C63:D63" name="Database_59"/>
    <protectedRange sqref="C64:D64" name="Database_60"/>
    <protectedRange sqref="C65:D65" name="Database_61"/>
    <protectedRange sqref="C66:D66" name="Database_62"/>
    <protectedRange sqref="C67:D67" name="Database_63"/>
    <protectedRange sqref="C68:D68" name="Database_64"/>
    <protectedRange sqref="C69:D69" name="Database_65"/>
    <protectedRange sqref="C70:D70" name="Database_66"/>
    <protectedRange sqref="C71:D71" name="Database_67"/>
    <protectedRange sqref="C72:D72" name="Database_68"/>
    <protectedRange sqref="C73:D73" name="Database_69"/>
    <protectedRange sqref="C74:D74" name="Database_70"/>
    <protectedRange sqref="C75:D75" name="Database_71"/>
    <protectedRange sqref="C76:D76" name="Database_72"/>
    <protectedRange sqref="C77:D77" name="Database_73"/>
    <protectedRange sqref="C78:D78" name="Database_74"/>
    <protectedRange sqref="C79:D79" name="Database_75"/>
    <protectedRange sqref="C80:D80" name="Database_76"/>
    <protectedRange sqref="C81:D81" name="Database_77"/>
    <protectedRange sqref="C82:D82" name="Database_78"/>
    <protectedRange sqref="C83:D83" name="Database_79"/>
    <protectedRange sqref="C84:D84" name="Database_80"/>
    <protectedRange sqref="C85:D85" name="Database_81"/>
    <protectedRange sqref="C86:D86" name="Database_82"/>
    <protectedRange sqref="C87:D87" name="Database_83"/>
    <protectedRange sqref="C88:D88" name="Database_84"/>
    <protectedRange sqref="C89:D89" name="Database_85"/>
    <protectedRange sqref="C90:D90" name="Database_86"/>
    <protectedRange sqref="C91:D91" name="Database_87"/>
    <protectedRange sqref="C92:D92" name="Database_88"/>
    <protectedRange sqref="C93:D94" name="Database_89"/>
    <protectedRange sqref="C95:D95" name="Database_90"/>
    <protectedRange sqref="C96:D96" name="Database_91"/>
    <protectedRange sqref="C97:D97" name="Database_92"/>
    <protectedRange sqref="C98:D98" name="Database_94"/>
    <protectedRange sqref="I7:J7" name="Database_12"/>
    <protectedRange sqref="I8:J9" name="Database_20"/>
    <protectedRange sqref="I10:J10" name="Database_22"/>
    <protectedRange sqref="I11:J11" name="Database_23"/>
    <protectedRange sqref="I12:J12" name="Database_24"/>
    <protectedRange sqref="I13:J13" name="Database_38"/>
    <protectedRange sqref="I14:J14" name="Database_48"/>
    <protectedRange sqref="I15:J15" name="Database_93"/>
    <protectedRange sqref="I16:J16" name="Database_95"/>
    <protectedRange sqref="I17:J17" name="Database_96"/>
    <protectedRange sqref="I18:J18" name="Database_97"/>
    <protectedRange sqref="I19:J19" name="Database_98"/>
    <protectedRange sqref="I20:J20" name="Database_99"/>
  </protectedRanges>
  <conditionalFormatting sqref="C20:E25 C27:E27 C29:E40 C42:E49 C51:E96 C99:E193">
    <cfRule type="expression" dxfId="21" priority="84">
      <formula>$L21&lt;&gt;""</formula>
    </cfRule>
  </conditionalFormatting>
  <conditionalFormatting sqref="C26:E26 C28:E28 C41:E41 C50:E50 C97:E98">
    <cfRule type="expression" dxfId="20" priority="89">
      <formula>#REF!&lt;&gt;""</formula>
    </cfRule>
  </conditionalFormatting>
  <conditionalFormatting sqref="C194:E194">
    <cfRule type="expression" dxfId="19" priority="98">
      <formula>$K195&lt;&gt;""</formula>
    </cfRule>
  </conditionalFormatting>
  <conditionalFormatting sqref="F8:F10 C8:E19 F12:F13 F14:H14 F16:H16 F21:H27 F30:H30 F35:H35 F42:H44 F46:H52 F58:H61 F64:H68 F71:H74 F79:H79 F83:H83 F98:H99 F114:H114">
    <cfRule type="expression" dxfId="18" priority="74">
      <formula>$L8&lt;&gt;""</formula>
    </cfRule>
  </conditionalFormatting>
  <conditionalFormatting sqref="F8:F10 C8:E194 F12:F13 F14:H14 F16:H16 F21:H27 F30:H30 F35:H35 F42:H44 F46:H52 F58:H61 F64:H68 F71:H74 F79:H79 F83:H83 F98:H99 F114:H114">
    <cfRule type="expression" dxfId="17" priority="75">
      <formula>ISEVEN($B8)</formula>
    </cfRule>
  </conditionalFormatting>
  <conditionalFormatting sqref="I8:J194">
    <cfRule type="expression" dxfId="16" priority="69">
      <formula>$L8&lt;&gt;""</formula>
    </cfRule>
    <cfRule type="expression" dxfId="15" priority="71">
      <formula>ISEVEN($B8)</formula>
    </cfRule>
    <cfRule type="expression" dxfId="14" priority="100">
      <formula>AND($F8="Yes",$L8="",I8="")</formula>
    </cfRule>
  </conditionalFormatting>
  <conditionalFormatting sqref="O9:O11">
    <cfRule type="expression" dxfId="13" priority="4">
      <formula>$A9=TODAY()</formula>
    </cfRule>
  </conditionalFormatting>
  <conditionalFormatting sqref="O13:O27">
    <cfRule type="expression" dxfId="12" priority="1">
      <formula>$A13=TODAY()</formula>
    </cfRule>
  </conditionalFormatting>
  <conditionalFormatting sqref="O16">
    <cfRule type="expression" dxfId="11" priority="3">
      <formula>$A96=TODAY()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CF10B-8194-47A9-A30F-0B2322693E8A}">
  <dimension ref="B3:DX204"/>
  <sheetViews>
    <sheetView zoomScale="85" zoomScaleNormal="85" workbookViewId="0">
      <selection activeCell="E11" sqref="E11"/>
    </sheetView>
  </sheetViews>
  <sheetFormatPr defaultRowHeight="12.75"/>
  <cols>
    <col min="2" max="2" width="5.25" bestFit="1" customWidth="1"/>
    <col min="3" max="3" width="27.25" bestFit="1" customWidth="1"/>
    <col min="4" max="4" width="46.375" bestFit="1" customWidth="1"/>
    <col min="5" max="5" width="12" bestFit="1" customWidth="1"/>
    <col min="6" max="6" width="11.75" bestFit="1" customWidth="1"/>
    <col min="7" max="7" width="8.125" bestFit="1" customWidth="1"/>
    <col min="8" max="8" width="62.75" bestFit="1" customWidth="1"/>
    <col min="9" max="9" width="48.375" bestFit="1" customWidth="1"/>
    <col min="11" max="11" width="8.75" bestFit="1" customWidth="1"/>
    <col min="13" max="13" width="8.375" bestFit="1" customWidth="1"/>
    <col min="14" max="14" width="12" bestFit="1" customWidth="1"/>
    <col min="15" max="15" width="37.875" bestFit="1" customWidth="1"/>
    <col min="16" max="16" width="8" bestFit="1" customWidth="1"/>
    <col min="17" max="17" width="154.875" bestFit="1" customWidth="1"/>
    <col min="18" max="18" width="8.875" bestFit="1" customWidth="1"/>
    <col min="19" max="19" width="9.875" bestFit="1" customWidth="1"/>
    <col min="20" max="20" width="8.875" bestFit="1" customWidth="1"/>
    <col min="21" max="21" width="8.375" bestFit="1" customWidth="1"/>
    <col min="22" max="22" width="8.25" bestFit="1" customWidth="1"/>
    <col min="23" max="23" width="52.5" bestFit="1" customWidth="1"/>
    <col min="24" max="24" width="37.375" bestFit="1" customWidth="1"/>
    <col min="25" max="25" width="36.125" bestFit="1" customWidth="1"/>
    <col min="26" max="26" width="41.375" bestFit="1" customWidth="1"/>
    <col min="27" max="27" width="40.625" bestFit="1" customWidth="1"/>
    <col min="28" max="32" width="8.25" bestFit="1" customWidth="1"/>
    <col min="33" max="35" width="8.375" bestFit="1" customWidth="1"/>
    <col min="36" max="55" width="11.75" bestFit="1" customWidth="1"/>
    <col min="56" max="57" width="27.625" bestFit="1" customWidth="1"/>
    <col min="58" max="58" width="25.125" bestFit="1" customWidth="1"/>
    <col min="59" max="59" width="27.625" bestFit="1" customWidth="1"/>
    <col min="60" max="64" width="7.375" bestFit="1" customWidth="1"/>
    <col min="65" max="67" width="8.375" bestFit="1" customWidth="1"/>
    <col min="68" max="69" width="12" bestFit="1" customWidth="1"/>
    <col min="70" max="71" width="11.75" bestFit="1" customWidth="1"/>
    <col min="72" max="76" width="6.375" bestFit="1" customWidth="1"/>
    <col min="77" max="79" width="7.375" bestFit="1" customWidth="1"/>
    <col min="80" max="83" width="11.75" bestFit="1" customWidth="1"/>
    <col min="92" max="100" width="16.875" bestFit="1" customWidth="1"/>
    <col min="101" max="103" width="18" bestFit="1" customWidth="1"/>
    <col min="104" max="112" width="15" bestFit="1" customWidth="1"/>
    <col min="113" max="115" width="16" bestFit="1" customWidth="1"/>
    <col min="116" max="116" width="8.25" bestFit="1" customWidth="1"/>
    <col min="117" max="117" width="7.5" bestFit="1" customWidth="1"/>
    <col min="119" max="119" width="8.75" bestFit="1" customWidth="1"/>
    <col min="120" max="120" width="8.875" bestFit="1" customWidth="1"/>
    <col min="121" max="121" width="7.25" bestFit="1" customWidth="1"/>
    <col min="122" max="122" width="4.875" bestFit="1" customWidth="1"/>
    <col min="123" max="123" width="6.75" bestFit="1" customWidth="1"/>
    <col min="125" max="125" width="7.25" bestFit="1" customWidth="1"/>
    <col min="126" max="126" width="8.625" bestFit="1" customWidth="1"/>
    <col min="127" max="127" width="5.125" bestFit="1" customWidth="1"/>
    <col min="128" max="128" width="6" bestFit="1" customWidth="1"/>
  </cols>
  <sheetData>
    <row r="3" spans="2:128" ht="90">
      <c r="B3" s="45" t="s">
        <v>24</v>
      </c>
      <c r="C3" s="45" t="s">
        <v>4898</v>
      </c>
      <c r="D3" s="45" t="s">
        <v>4897</v>
      </c>
      <c r="E3" s="45" t="s">
        <v>4899</v>
      </c>
      <c r="F3" s="45" t="s">
        <v>4900</v>
      </c>
      <c r="G3" s="45" t="s">
        <v>4901</v>
      </c>
      <c r="H3" s="45" t="s">
        <v>4902</v>
      </c>
      <c r="I3" s="45" t="s">
        <v>4903</v>
      </c>
      <c r="J3" s="45" t="s">
        <v>4904</v>
      </c>
      <c r="K3" s="45" t="s">
        <v>4905</v>
      </c>
      <c r="L3" s="45" t="s">
        <v>4906</v>
      </c>
      <c r="M3" s="45" t="s">
        <v>4907</v>
      </c>
      <c r="N3" s="45" t="s">
        <v>4908</v>
      </c>
      <c r="O3" s="45" t="s">
        <v>4909</v>
      </c>
      <c r="P3" s="45" t="s">
        <v>4910</v>
      </c>
      <c r="Q3" s="45" t="s">
        <v>4911</v>
      </c>
      <c r="R3" s="45" t="s">
        <v>4912</v>
      </c>
      <c r="S3" s="45" t="s">
        <v>4913</v>
      </c>
      <c r="T3" s="45" t="s">
        <v>4914</v>
      </c>
      <c r="U3" s="45" t="s">
        <v>4915</v>
      </c>
      <c r="V3" s="46" t="s">
        <v>4916</v>
      </c>
      <c r="W3" s="46" t="s">
        <v>4917</v>
      </c>
      <c r="X3" s="46" t="s">
        <v>4918</v>
      </c>
      <c r="Y3" s="46" t="s">
        <v>4919</v>
      </c>
      <c r="Z3" s="46" t="s">
        <v>4920</v>
      </c>
      <c r="AA3" s="46" t="s">
        <v>4921</v>
      </c>
      <c r="AB3" s="46" t="s">
        <v>4922</v>
      </c>
      <c r="AC3" s="46" t="s">
        <v>4923</v>
      </c>
      <c r="AD3" s="46" t="s">
        <v>4924</v>
      </c>
      <c r="AE3" s="46" t="s">
        <v>4925</v>
      </c>
      <c r="AF3" s="46" t="s">
        <v>4926</v>
      </c>
      <c r="AG3" s="46" t="s">
        <v>4927</v>
      </c>
      <c r="AH3" s="46" t="s">
        <v>4928</v>
      </c>
      <c r="AI3" s="46" t="s">
        <v>4929</v>
      </c>
      <c r="AJ3" s="46" t="s">
        <v>4930</v>
      </c>
      <c r="AK3" s="46" t="s">
        <v>4931</v>
      </c>
      <c r="AL3" s="46" t="s">
        <v>4932</v>
      </c>
      <c r="AM3" s="46" t="s">
        <v>4933</v>
      </c>
      <c r="AN3" s="46" t="s">
        <v>4934</v>
      </c>
      <c r="AO3" s="46" t="s">
        <v>4935</v>
      </c>
      <c r="AP3" s="46" t="s">
        <v>4936</v>
      </c>
      <c r="AQ3" s="46" t="s">
        <v>4937</v>
      </c>
      <c r="AR3" s="46" t="s">
        <v>4938</v>
      </c>
      <c r="AS3" s="46" t="s">
        <v>4939</v>
      </c>
      <c r="AT3" s="46" t="s">
        <v>4940</v>
      </c>
      <c r="AU3" s="46" t="s">
        <v>4941</v>
      </c>
      <c r="AV3" s="46" t="s">
        <v>4942</v>
      </c>
      <c r="AW3" s="46" t="s">
        <v>4943</v>
      </c>
      <c r="AX3" s="46" t="s">
        <v>4944</v>
      </c>
      <c r="AY3" s="46" t="s">
        <v>4945</v>
      </c>
      <c r="AZ3" s="46" t="s">
        <v>4946</v>
      </c>
      <c r="BA3" s="46" t="s">
        <v>4947</v>
      </c>
      <c r="BB3" s="46" t="s">
        <v>4948</v>
      </c>
      <c r="BC3" s="46" t="s">
        <v>4949</v>
      </c>
      <c r="BD3" s="46" t="s">
        <v>4950</v>
      </c>
      <c r="BE3" s="46" t="s">
        <v>4951</v>
      </c>
      <c r="BF3" s="46" t="s">
        <v>4952</v>
      </c>
      <c r="BG3" s="46" t="s">
        <v>4953</v>
      </c>
      <c r="BH3" s="46" t="s">
        <v>4954</v>
      </c>
      <c r="BI3" s="46" t="s">
        <v>4955</v>
      </c>
      <c r="BJ3" s="46" t="s">
        <v>4956</v>
      </c>
      <c r="BK3" s="46" t="s">
        <v>4957</v>
      </c>
      <c r="BL3" s="46" t="s">
        <v>4958</v>
      </c>
      <c r="BM3" s="46" t="s">
        <v>4959</v>
      </c>
      <c r="BN3" s="46" t="s">
        <v>4960</v>
      </c>
      <c r="BO3" s="46" t="s">
        <v>4961</v>
      </c>
      <c r="BP3" s="46" t="s">
        <v>4962</v>
      </c>
      <c r="BQ3" s="46" t="s">
        <v>4963</v>
      </c>
      <c r="BR3" s="46" t="s">
        <v>4964</v>
      </c>
      <c r="BS3" s="46" t="s">
        <v>4965</v>
      </c>
      <c r="BT3" s="46" t="s">
        <v>4966</v>
      </c>
      <c r="BU3" s="46" t="s">
        <v>4967</v>
      </c>
      <c r="BV3" s="46" t="s">
        <v>4968</v>
      </c>
      <c r="BW3" s="46" t="s">
        <v>4969</v>
      </c>
      <c r="BX3" s="46" t="s">
        <v>4970</v>
      </c>
      <c r="BY3" s="46" t="s">
        <v>4971</v>
      </c>
      <c r="BZ3" s="46" t="s">
        <v>4972</v>
      </c>
      <c r="CA3" s="46" t="s">
        <v>4973</v>
      </c>
      <c r="CB3" s="46" t="s">
        <v>4974</v>
      </c>
      <c r="CC3" s="46" t="s">
        <v>4975</v>
      </c>
      <c r="CD3" s="46" t="s">
        <v>4976</v>
      </c>
      <c r="CE3" s="46" t="s">
        <v>4977</v>
      </c>
      <c r="CF3" s="46" t="s">
        <v>4978</v>
      </c>
      <c r="CG3" s="46" t="s">
        <v>4979</v>
      </c>
      <c r="CH3" s="46" t="s">
        <v>4980</v>
      </c>
      <c r="CI3" s="46" t="s">
        <v>4981</v>
      </c>
      <c r="CJ3" s="46" t="s">
        <v>4982</v>
      </c>
      <c r="CK3" s="46" t="s">
        <v>4983</v>
      </c>
      <c r="CL3" s="46" t="s">
        <v>4984</v>
      </c>
      <c r="CM3" s="46" t="s">
        <v>4985</v>
      </c>
      <c r="CN3" s="47" t="s">
        <v>4986</v>
      </c>
      <c r="CO3" s="47" t="s">
        <v>4987</v>
      </c>
      <c r="CP3" s="47" t="s">
        <v>4988</v>
      </c>
      <c r="CQ3" s="47" t="s">
        <v>4989</v>
      </c>
      <c r="CR3" s="47" t="s">
        <v>4990</v>
      </c>
      <c r="CS3" s="47" t="s">
        <v>4991</v>
      </c>
      <c r="CT3" s="47" t="s">
        <v>4992</v>
      </c>
      <c r="CU3" s="47" t="s">
        <v>4993</v>
      </c>
      <c r="CV3" s="47" t="s">
        <v>4994</v>
      </c>
      <c r="CW3" s="47" t="s">
        <v>4995</v>
      </c>
      <c r="CX3" s="47" t="s">
        <v>4996</v>
      </c>
      <c r="CY3" s="47" t="s">
        <v>4997</v>
      </c>
      <c r="CZ3" s="47" t="s">
        <v>4998</v>
      </c>
      <c r="DA3" s="47" t="s">
        <v>4999</v>
      </c>
      <c r="DB3" s="47" t="s">
        <v>5000</v>
      </c>
      <c r="DC3" s="47" t="s">
        <v>5001</v>
      </c>
      <c r="DD3" s="47" t="s">
        <v>5002</v>
      </c>
      <c r="DE3" s="47" t="s">
        <v>5003</v>
      </c>
      <c r="DF3" s="47" t="s">
        <v>5004</v>
      </c>
      <c r="DG3" s="47" t="s">
        <v>5005</v>
      </c>
      <c r="DH3" s="47" t="s">
        <v>5006</v>
      </c>
      <c r="DI3" s="47" t="s">
        <v>5007</v>
      </c>
      <c r="DJ3" s="47" t="s">
        <v>5008</v>
      </c>
      <c r="DK3" s="47" t="s">
        <v>5009</v>
      </c>
      <c r="DL3" s="46" t="s">
        <v>5010</v>
      </c>
      <c r="DM3" s="46" t="s">
        <v>5011</v>
      </c>
      <c r="DN3" s="46" t="s">
        <v>5012</v>
      </c>
      <c r="DO3" s="46" t="s">
        <v>5013</v>
      </c>
      <c r="DP3" s="46" t="s">
        <v>5014</v>
      </c>
      <c r="DQ3" s="46" t="s">
        <v>5015</v>
      </c>
      <c r="DR3" s="46" t="s">
        <v>5016</v>
      </c>
      <c r="DS3" s="46" t="s">
        <v>5017</v>
      </c>
      <c r="DU3" s="48" t="s">
        <v>5018</v>
      </c>
      <c r="DV3" s="48" t="s">
        <v>5019</v>
      </c>
      <c r="DW3" s="48" t="s">
        <v>5020</v>
      </c>
      <c r="DX3" s="48" t="s">
        <v>5021</v>
      </c>
    </row>
    <row r="4" spans="2:128" ht="15">
      <c r="B4" s="43" t="s">
        <v>5022</v>
      </c>
      <c r="C4" s="43" t="s">
        <v>4803</v>
      </c>
      <c r="D4" s="43" t="s">
        <v>4804</v>
      </c>
      <c r="E4" s="49">
        <v>39986</v>
      </c>
      <c r="F4" s="49"/>
      <c r="G4" s="50">
        <v>1</v>
      </c>
      <c r="H4" s="43" t="s">
        <v>4798</v>
      </c>
      <c r="I4" s="43" t="s">
        <v>5023</v>
      </c>
      <c r="J4" s="43"/>
      <c r="K4" s="43">
        <v>2</v>
      </c>
      <c r="L4" s="43">
        <v>3</v>
      </c>
      <c r="M4" s="43"/>
      <c r="N4" s="43"/>
      <c r="O4" s="43"/>
      <c r="P4" s="43" t="s">
        <v>5024</v>
      </c>
      <c r="Q4" s="43"/>
      <c r="R4" s="43" t="s">
        <v>5025</v>
      </c>
      <c r="S4" s="43" t="s">
        <v>5026</v>
      </c>
      <c r="T4" s="51" t="s">
        <v>5027</v>
      </c>
      <c r="U4" s="52" t="s">
        <v>5028</v>
      </c>
      <c r="V4" s="53" t="s">
        <v>3884</v>
      </c>
      <c r="W4" s="54" t="s">
        <v>5029</v>
      </c>
      <c r="X4" s="55" t="s">
        <v>4889</v>
      </c>
      <c r="Y4" t="s">
        <v>4896</v>
      </c>
      <c r="Z4" t="s">
        <v>4800</v>
      </c>
      <c r="AA4" t="s">
        <v>4891</v>
      </c>
      <c r="AI4" s="54"/>
      <c r="AJ4" s="56">
        <v>45740</v>
      </c>
      <c r="AK4" s="57">
        <v>45831</v>
      </c>
      <c r="AL4" s="57">
        <v>45922</v>
      </c>
      <c r="AM4" s="57">
        <v>46013</v>
      </c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8"/>
      <c r="BD4" s="55" t="s">
        <v>5030</v>
      </c>
      <c r="BE4" t="s">
        <v>5031</v>
      </c>
      <c r="BF4" t="s">
        <v>5032</v>
      </c>
      <c r="BG4" t="s">
        <v>5033</v>
      </c>
      <c r="BO4" s="54"/>
      <c r="BP4" s="56">
        <v>45712</v>
      </c>
      <c r="BQ4" s="57">
        <v>45803</v>
      </c>
      <c r="BR4" s="57">
        <v>45894</v>
      </c>
      <c r="BS4" s="57">
        <v>45985</v>
      </c>
      <c r="BT4" s="57"/>
      <c r="BU4" s="57"/>
      <c r="BV4" s="57"/>
      <c r="BW4" s="57"/>
      <c r="BX4" s="57"/>
      <c r="BY4" s="57"/>
      <c r="BZ4" s="57"/>
      <c r="CA4" s="57"/>
      <c r="CB4" s="56" t="s">
        <v>5034</v>
      </c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6">
        <v>45736</v>
      </c>
      <c r="CO4" s="57">
        <v>45827</v>
      </c>
      <c r="CP4" s="57">
        <v>45918</v>
      </c>
      <c r="CQ4" s="57">
        <v>46009</v>
      </c>
      <c r="CR4" s="57"/>
      <c r="CS4" s="57"/>
      <c r="CT4" s="57"/>
      <c r="CU4" s="57"/>
      <c r="CV4" s="57"/>
      <c r="CW4" s="57"/>
      <c r="CX4" s="57"/>
      <c r="CY4" s="57"/>
      <c r="CZ4" s="56" t="s">
        <v>5034</v>
      </c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8"/>
      <c r="DL4" s="59">
        <v>4</v>
      </c>
      <c r="DM4" s="60">
        <v>4</v>
      </c>
      <c r="DN4" s="61">
        <v>0</v>
      </c>
      <c r="DO4" s="60">
        <v>4</v>
      </c>
      <c r="DP4" s="60">
        <v>0</v>
      </c>
      <c r="DQ4" s="59">
        <v>12</v>
      </c>
      <c r="DR4" s="62">
        <v>112</v>
      </c>
      <c r="DS4" s="62" t="s">
        <v>5034</v>
      </c>
      <c r="DU4" s="62" t="s">
        <v>5034</v>
      </c>
      <c r="DV4" s="63">
        <v>44483.638042002312</v>
      </c>
      <c r="DW4" s="64">
        <v>2021</v>
      </c>
      <c r="DX4" s="65">
        <v>10</v>
      </c>
    </row>
    <row r="5" spans="2:128" ht="15">
      <c r="B5" s="43" t="s">
        <v>5022</v>
      </c>
      <c r="C5" s="43" t="s">
        <v>4803</v>
      </c>
      <c r="D5" s="43" t="s">
        <v>4804</v>
      </c>
      <c r="E5" s="49">
        <v>39986</v>
      </c>
      <c r="F5" s="49"/>
      <c r="G5" s="50">
        <v>1</v>
      </c>
      <c r="H5" s="43" t="s">
        <v>4798</v>
      </c>
      <c r="I5" s="43" t="s">
        <v>5023</v>
      </c>
      <c r="J5" s="43"/>
      <c r="K5" s="43">
        <v>2</v>
      </c>
      <c r="L5" s="43">
        <v>3</v>
      </c>
      <c r="M5" s="43"/>
      <c r="N5" s="43"/>
      <c r="O5" s="43"/>
      <c r="P5" s="43" t="s">
        <v>5024</v>
      </c>
      <c r="Q5" s="43"/>
      <c r="R5" s="43" t="s">
        <v>5025</v>
      </c>
      <c r="S5" s="43" t="s">
        <v>5026</v>
      </c>
      <c r="T5" s="51" t="s">
        <v>5027</v>
      </c>
      <c r="U5" s="52" t="s">
        <v>5028</v>
      </c>
      <c r="V5" s="53" t="s">
        <v>3896</v>
      </c>
      <c r="W5" s="54" t="s">
        <v>5034</v>
      </c>
      <c r="X5" s="55" t="s">
        <v>5034</v>
      </c>
      <c r="AI5" s="54"/>
      <c r="AJ5" s="56" t="s">
        <v>5034</v>
      </c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8"/>
      <c r="BD5" s="55" t="s">
        <v>5034</v>
      </c>
      <c r="BO5" s="54"/>
      <c r="BP5" s="56" t="s">
        <v>5034</v>
      </c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6" t="s">
        <v>5034</v>
      </c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6" t="s">
        <v>5034</v>
      </c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6" t="s">
        <v>5034</v>
      </c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8"/>
      <c r="DL5" s="59">
        <v>0</v>
      </c>
      <c r="DM5" s="60">
        <v>0</v>
      </c>
      <c r="DN5" s="61">
        <v>0</v>
      </c>
      <c r="DO5" s="60">
        <v>0</v>
      </c>
      <c r="DP5" s="60">
        <v>0</v>
      </c>
      <c r="DQ5" s="59">
        <v>0</v>
      </c>
      <c r="DR5" s="62" t="s">
        <v>5034</v>
      </c>
      <c r="DS5" s="62" t="s">
        <v>5034</v>
      </c>
      <c r="DU5" s="62" t="s">
        <v>5034</v>
      </c>
      <c r="DV5" s="63">
        <v>44483.750015625003</v>
      </c>
      <c r="DW5" s="64">
        <v>2021</v>
      </c>
      <c r="DX5" s="65">
        <v>10</v>
      </c>
    </row>
    <row r="6" spans="2:128" ht="15">
      <c r="B6" s="43" t="s">
        <v>5022</v>
      </c>
      <c r="C6" s="43" t="s">
        <v>4803</v>
      </c>
      <c r="D6" s="43" t="s">
        <v>4804</v>
      </c>
      <c r="E6" s="49">
        <v>42118</v>
      </c>
      <c r="F6" s="49"/>
      <c r="G6" s="50">
        <v>1</v>
      </c>
      <c r="H6" s="43" t="s">
        <v>4798</v>
      </c>
      <c r="I6" s="43" t="s">
        <v>5023</v>
      </c>
      <c r="J6" s="43"/>
      <c r="K6" s="43">
        <v>2</v>
      </c>
      <c r="L6" s="43">
        <v>3</v>
      </c>
      <c r="M6" s="43"/>
      <c r="N6" s="43"/>
      <c r="O6" s="43"/>
      <c r="P6" s="43" t="s">
        <v>5024</v>
      </c>
      <c r="Q6" s="43"/>
      <c r="R6" s="43" t="s">
        <v>5025</v>
      </c>
      <c r="S6" s="43" t="s">
        <v>5026</v>
      </c>
      <c r="T6" s="51" t="s">
        <v>5027</v>
      </c>
      <c r="U6" s="52" t="s">
        <v>5028</v>
      </c>
      <c r="V6" s="53" t="s">
        <v>3896</v>
      </c>
      <c r="W6" s="54" t="s">
        <v>5034</v>
      </c>
      <c r="X6" s="55" t="s">
        <v>5034</v>
      </c>
      <c r="AI6" s="54"/>
      <c r="AJ6" s="56" t="s">
        <v>5034</v>
      </c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8"/>
      <c r="BD6" s="55" t="s">
        <v>5034</v>
      </c>
      <c r="BO6" s="54"/>
      <c r="BP6" s="56" t="s">
        <v>5034</v>
      </c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6" t="s">
        <v>5034</v>
      </c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6" t="s">
        <v>5034</v>
      </c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6" t="s">
        <v>5034</v>
      </c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8"/>
      <c r="DL6" s="59">
        <v>0</v>
      </c>
      <c r="DM6" s="60">
        <v>0</v>
      </c>
      <c r="DN6" s="61">
        <v>0</v>
      </c>
      <c r="DO6" s="60">
        <v>0</v>
      </c>
      <c r="DP6" s="60">
        <v>0</v>
      </c>
      <c r="DQ6" s="59">
        <v>0</v>
      </c>
      <c r="DR6" s="62" t="s">
        <v>5034</v>
      </c>
      <c r="DS6" s="62" t="s">
        <v>5034</v>
      </c>
      <c r="DU6" s="62" t="s">
        <v>5034</v>
      </c>
      <c r="DV6" s="63">
        <v>44483.750185462966</v>
      </c>
      <c r="DW6" s="64">
        <v>2021</v>
      </c>
      <c r="DX6" s="65">
        <v>10</v>
      </c>
    </row>
    <row r="7" spans="2:128" ht="15">
      <c r="B7" s="43" t="s">
        <v>5022</v>
      </c>
      <c r="C7" s="43" t="s">
        <v>4803</v>
      </c>
      <c r="D7" s="43" t="s">
        <v>4805</v>
      </c>
      <c r="E7" s="49">
        <v>42268</v>
      </c>
      <c r="F7" s="49"/>
      <c r="G7" s="50">
        <v>1</v>
      </c>
      <c r="H7" s="43" t="s">
        <v>4798</v>
      </c>
      <c r="I7" s="43" t="s">
        <v>5023</v>
      </c>
      <c r="J7" s="43"/>
      <c r="K7" s="43">
        <v>2</v>
      </c>
      <c r="L7" s="43">
        <v>3</v>
      </c>
      <c r="M7" s="43"/>
      <c r="N7" s="43"/>
      <c r="O7" s="43"/>
      <c r="P7" s="43" t="s">
        <v>5024</v>
      </c>
      <c r="Q7" s="43"/>
      <c r="R7" s="43" t="s">
        <v>5025</v>
      </c>
      <c r="S7" s="43" t="s">
        <v>5026</v>
      </c>
      <c r="T7" s="51" t="s">
        <v>5027</v>
      </c>
      <c r="U7" s="52" t="s">
        <v>5028</v>
      </c>
      <c r="V7" s="53" t="s">
        <v>3884</v>
      </c>
      <c r="W7" s="54" t="s">
        <v>1324</v>
      </c>
      <c r="X7" s="55" t="s">
        <v>4889</v>
      </c>
      <c r="Y7" t="s">
        <v>4896</v>
      </c>
      <c r="Z7" t="s">
        <v>4800</v>
      </c>
      <c r="AA7" t="s">
        <v>4891</v>
      </c>
      <c r="AI7" s="54"/>
      <c r="AJ7" s="56">
        <v>45740</v>
      </c>
      <c r="AK7" s="57">
        <v>45831</v>
      </c>
      <c r="AL7" s="57">
        <v>45922</v>
      </c>
      <c r="AM7" s="57">
        <v>46013</v>
      </c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8"/>
      <c r="BD7" s="55" t="s">
        <v>5030</v>
      </c>
      <c r="BE7" t="s">
        <v>5031</v>
      </c>
      <c r="BF7" t="s">
        <v>5032</v>
      </c>
      <c r="BG7" t="s">
        <v>5033</v>
      </c>
      <c r="BO7" s="54"/>
      <c r="BP7" s="56">
        <v>45712</v>
      </c>
      <c r="BQ7" s="57">
        <v>45803</v>
      </c>
      <c r="BR7" s="57">
        <v>45894</v>
      </c>
      <c r="BS7" s="57">
        <v>45985</v>
      </c>
      <c r="BT7" s="57"/>
      <c r="BU7" s="57"/>
      <c r="BV7" s="57"/>
      <c r="BW7" s="57"/>
      <c r="BX7" s="57"/>
      <c r="BY7" s="57"/>
      <c r="BZ7" s="57"/>
      <c r="CA7" s="57"/>
      <c r="CB7" s="56" t="s">
        <v>5034</v>
      </c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6">
        <v>45736</v>
      </c>
      <c r="CO7" s="57">
        <v>45827</v>
      </c>
      <c r="CP7" s="57">
        <v>45918</v>
      </c>
      <c r="CQ7" s="57">
        <v>46009</v>
      </c>
      <c r="CR7" s="57"/>
      <c r="CS7" s="57"/>
      <c r="CT7" s="57"/>
      <c r="CU7" s="57"/>
      <c r="CV7" s="57"/>
      <c r="CW7" s="57"/>
      <c r="CX7" s="57"/>
      <c r="CY7" s="57"/>
      <c r="CZ7" s="56" t="s">
        <v>5034</v>
      </c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8"/>
      <c r="DL7" s="59">
        <v>4</v>
      </c>
      <c r="DM7" s="60">
        <v>4</v>
      </c>
      <c r="DN7" s="61">
        <v>0</v>
      </c>
      <c r="DO7" s="60">
        <v>4</v>
      </c>
      <c r="DP7" s="60">
        <v>0</v>
      </c>
      <c r="DQ7" s="59">
        <v>12</v>
      </c>
      <c r="DR7" s="62">
        <v>174</v>
      </c>
      <c r="DS7" s="62" t="s">
        <v>5034</v>
      </c>
      <c r="DU7" s="62" t="s">
        <v>5034</v>
      </c>
      <c r="DV7" s="63">
        <v>45520</v>
      </c>
      <c r="DW7" s="64">
        <v>2024</v>
      </c>
      <c r="DX7" s="65">
        <v>8</v>
      </c>
    </row>
    <row r="8" spans="2:128" ht="15">
      <c r="B8" s="43" t="s">
        <v>5022</v>
      </c>
      <c r="C8" s="43" t="s">
        <v>4802</v>
      </c>
      <c r="D8" s="43" t="s">
        <v>4806</v>
      </c>
      <c r="E8" s="49">
        <v>42345</v>
      </c>
      <c r="F8" s="49"/>
      <c r="G8" s="50">
        <v>1</v>
      </c>
      <c r="H8" s="43" t="s">
        <v>4798</v>
      </c>
      <c r="I8" s="43" t="s">
        <v>5023</v>
      </c>
      <c r="J8" s="43"/>
      <c r="K8" s="43">
        <v>2</v>
      </c>
      <c r="L8" s="43">
        <v>3</v>
      </c>
      <c r="M8" s="43"/>
      <c r="N8" s="43"/>
      <c r="O8" s="43"/>
      <c r="P8" s="43" t="s">
        <v>5035</v>
      </c>
      <c r="Q8" s="43"/>
      <c r="R8" s="43" t="s">
        <v>5025</v>
      </c>
      <c r="S8" s="43" t="s">
        <v>5026</v>
      </c>
      <c r="T8" s="51" t="s">
        <v>5027</v>
      </c>
      <c r="U8" s="52" t="s">
        <v>5028</v>
      </c>
      <c r="V8" s="53" t="s">
        <v>3884</v>
      </c>
      <c r="W8" s="54" t="s">
        <v>2722</v>
      </c>
      <c r="X8" s="55" t="s">
        <v>4889</v>
      </c>
      <c r="Y8" t="s">
        <v>4896</v>
      </c>
      <c r="Z8" t="s">
        <v>4800</v>
      </c>
      <c r="AA8" t="s">
        <v>4891</v>
      </c>
      <c r="AI8" s="54"/>
      <c r="AJ8" s="56">
        <v>45740</v>
      </c>
      <c r="AK8" s="57">
        <v>45831</v>
      </c>
      <c r="AL8" s="57">
        <v>45922</v>
      </c>
      <c r="AM8" s="57">
        <v>46013</v>
      </c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8"/>
      <c r="BD8" s="55" t="s">
        <v>5030</v>
      </c>
      <c r="BE8" t="s">
        <v>5031</v>
      </c>
      <c r="BF8" t="s">
        <v>5032</v>
      </c>
      <c r="BG8" t="s">
        <v>5033</v>
      </c>
      <c r="BO8" s="54"/>
      <c r="BP8" s="56">
        <v>45712</v>
      </c>
      <c r="BQ8" s="57">
        <v>45803</v>
      </c>
      <c r="BR8" s="57">
        <v>45894</v>
      </c>
      <c r="BS8" s="57">
        <v>45985</v>
      </c>
      <c r="BT8" s="57"/>
      <c r="BU8" s="57"/>
      <c r="BV8" s="57"/>
      <c r="BW8" s="57"/>
      <c r="BX8" s="57"/>
      <c r="BY8" s="57"/>
      <c r="BZ8" s="57"/>
      <c r="CA8" s="57"/>
      <c r="CB8" s="56" t="s">
        <v>5034</v>
      </c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6">
        <v>45736</v>
      </c>
      <c r="CO8" s="57">
        <v>45827</v>
      </c>
      <c r="CP8" s="57">
        <v>45918</v>
      </c>
      <c r="CQ8" s="57">
        <v>46009</v>
      </c>
      <c r="CR8" s="57"/>
      <c r="CS8" s="57"/>
      <c r="CT8" s="57"/>
      <c r="CU8" s="57"/>
      <c r="CV8" s="57"/>
      <c r="CW8" s="57"/>
      <c r="CX8" s="57"/>
      <c r="CY8" s="57"/>
      <c r="CZ8" s="56" t="s">
        <v>5034</v>
      </c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8"/>
      <c r="DL8" s="59">
        <v>4</v>
      </c>
      <c r="DM8" s="60">
        <v>4</v>
      </c>
      <c r="DN8" s="61">
        <v>0</v>
      </c>
      <c r="DO8" s="60">
        <v>4</v>
      </c>
      <c r="DP8" s="60">
        <v>0</v>
      </c>
      <c r="DQ8" s="59">
        <v>12</v>
      </c>
      <c r="DR8" s="62">
        <v>186</v>
      </c>
      <c r="DS8" s="62" t="s">
        <v>5034</v>
      </c>
      <c r="DU8" s="62" t="s">
        <v>5034</v>
      </c>
      <c r="DV8" s="63">
        <v>44483.753065625002</v>
      </c>
      <c r="DW8" s="64">
        <v>2021</v>
      </c>
      <c r="DX8" s="65">
        <v>10</v>
      </c>
    </row>
    <row r="9" spans="2:128" ht="15">
      <c r="B9" s="43" t="s">
        <v>5022</v>
      </c>
      <c r="C9" s="43" t="s">
        <v>4802</v>
      </c>
      <c r="D9" s="43" t="s">
        <v>4807</v>
      </c>
      <c r="E9" s="49">
        <v>42787</v>
      </c>
      <c r="F9" s="49"/>
      <c r="G9" s="50">
        <v>1</v>
      </c>
      <c r="H9" s="43" t="s">
        <v>4798</v>
      </c>
      <c r="I9" s="43" t="s">
        <v>5023</v>
      </c>
      <c r="J9" s="43"/>
      <c r="K9" s="43">
        <v>2</v>
      </c>
      <c r="L9" s="43">
        <v>3</v>
      </c>
      <c r="M9" s="43"/>
      <c r="N9" s="43"/>
      <c r="O9" s="43" t="s">
        <v>4725</v>
      </c>
      <c r="P9" s="43" t="s">
        <v>5024</v>
      </c>
      <c r="Q9" s="43" t="s">
        <v>5036</v>
      </c>
      <c r="R9" s="43" t="s">
        <v>5025</v>
      </c>
      <c r="S9" s="43" t="s">
        <v>5026</v>
      </c>
      <c r="T9" s="51" t="s">
        <v>5027</v>
      </c>
      <c r="U9" s="52" t="s">
        <v>5028</v>
      </c>
      <c r="V9" s="53" t="s">
        <v>3884</v>
      </c>
      <c r="W9" s="54" t="s">
        <v>2694</v>
      </c>
      <c r="X9" s="55" t="s">
        <v>4889</v>
      </c>
      <c r="Y9" t="s">
        <v>4896</v>
      </c>
      <c r="Z9" t="s">
        <v>4800</v>
      </c>
      <c r="AA9" t="s">
        <v>4891</v>
      </c>
      <c r="AI9" s="54"/>
      <c r="AJ9" s="56">
        <v>45740</v>
      </c>
      <c r="AK9" s="57">
        <v>45831</v>
      </c>
      <c r="AL9" s="57">
        <v>45922</v>
      </c>
      <c r="AM9" s="57">
        <v>46013</v>
      </c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8"/>
      <c r="BD9" s="55" t="s">
        <v>5030</v>
      </c>
      <c r="BE9" t="s">
        <v>5031</v>
      </c>
      <c r="BF9" t="s">
        <v>5032</v>
      </c>
      <c r="BG9" t="s">
        <v>5033</v>
      </c>
      <c r="BO9" s="54"/>
      <c r="BP9" s="56">
        <v>45712</v>
      </c>
      <c r="BQ9" s="57">
        <v>45803</v>
      </c>
      <c r="BR9" s="57">
        <v>45894</v>
      </c>
      <c r="BS9" s="57">
        <v>45985</v>
      </c>
      <c r="BT9" s="57"/>
      <c r="BU9" s="57"/>
      <c r="BV9" s="57"/>
      <c r="BW9" s="57"/>
      <c r="BX9" s="57"/>
      <c r="BY9" s="57"/>
      <c r="BZ9" s="57"/>
      <c r="CA9" s="57"/>
      <c r="CB9" s="56" t="s">
        <v>5034</v>
      </c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6">
        <v>45736</v>
      </c>
      <c r="CO9" s="57">
        <v>45827</v>
      </c>
      <c r="CP9" s="57">
        <v>45918</v>
      </c>
      <c r="CQ9" s="57">
        <v>46009</v>
      </c>
      <c r="CR9" s="57"/>
      <c r="CS9" s="57"/>
      <c r="CT9" s="57"/>
      <c r="CU9" s="57"/>
      <c r="CV9" s="57"/>
      <c r="CW9" s="57"/>
      <c r="CX9" s="57"/>
      <c r="CY9" s="57"/>
      <c r="CZ9" s="56" t="s">
        <v>5034</v>
      </c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8"/>
      <c r="DL9" s="59">
        <v>4</v>
      </c>
      <c r="DM9" s="60">
        <v>4</v>
      </c>
      <c r="DN9" s="61">
        <v>0</v>
      </c>
      <c r="DO9" s="60">
        <v>4</v>
      </c>
      <c r="DP9" s="60">
        <v>0</v>
      </c>
      <c r="DQ9" s="59">
        <v>12</v>
      </c>
      <c r="DR9" s="62">
        <v>207</v>
      </c>
      <c r="DS9" s="62" t="s">
        <v>5034</v>
      </c>
      <c r="DU9" s="62" t="s">
        <v>5034</v>
      </c>
      <c r="DV9" s="63">
        <v>44627.477462916664</v>
      </c>
      <c r="DW9" s="64">
        <v>2022</v>
      </c>
      <c r="DX9" s="65">
        <v>3</v>
      </c>
    </row>
    <row r="10" spans="2:128" ht="15">
      <c r="B10" s="43" t="s">
        <v>5022</v>
      </c>
      <c r="C10" s="43" t="s">
        <v>4808</v>
      </c>
      <c r="D10" s="43" t="s">
        <v>4809</v>
      </c>
      <c r="E10" s="49">
        <v>42831</v>
      </c>
      <c r="F10" s="49"/>
      <c r="G10" s="50">
        <v>1</v>
      </c>
      <c r="H10" s="43" t="s">
        <v>4798</v>
      </c>
      <c r="I10" s="43" t="s">
        <v>5023</v>
      </c>
      <c r="J10" s="43">
        <v>6</v>
      </c>
      <c r="K10" s="43">
        <v>2</v>
      </c>
      <c r="L10" s="43">
        <v>3</v>
      </c>
      <c r="M10" s="43">
        <v>20</v>
      </c>
      <c r="N10" s="43"/>
      <c r="O10" s="43"/>
      <c r="P10" s="43" t="s">
        <v>5024</v>
      </c>
      <c r="Q10" s="43" t="s">
        <v>5037</v>
      </c>
      <c r="R10" s="43" t="s">
        <v>5038</v>
      </c>
      <c r="S10" s="43" t="s">
        <v>5026</v>
      </c>
      <c r="T10" s="51" t="s">
        <v>5039</v>
      </c>
      <c r="U10" s="52" t="s">
        <v>5028</v>
      </c>
      <c r="V10" s="53" t="s">
        <v>3884</v>
      </c>
      <c r="W10" s="54" t="s">
        <v>5040</v>
      </c>
      <c r="X10" s="55" t="s">
        <v>4889</v>
      </c>
      <c r="Y10" t="s">
        <v>4896</v>
      </c>
      <c r="Z10" t="s">
        <v>4800</v>
      </c>
      <c r="AA10" t="s">
        <v>4891</v>
      </c>
      <c r="AI10" s="54"/>
      <c r="AJ10" s="56">
        <v>45740</v>
      </c>
      <c r="AK10" s="57">
        <v>45831</v>
      </c>
      <c r="AL10" s="57">
        <v>45922</v>
      </c>
      <c r="AM10" s="57">
        <v>46013</v>
      </c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8"/>
      <c r="BD10" s="55" t="s">
        <v>5030</v>
      </c>
      <c r="BE10" t="s">
        <v>5031</v>
      </c>
      <c r="BF10" t="s">
        <v>5032</v>
      </c>
      <c r="BG10" t="s">
        <v>5033</v>
      </c>
      <c r="BO10" s="54"/>
      <c r="BP10" s="56">
        <v>45712</v>
      </c>
      <c r="BQ10" s="57">
        <v>45803</v>
      </c>
      <c r="BR10" s="57">
        <v>45894</v>
      </c>
      <c r="BS10" s="57">
        <v>45985</v>
      </c>
      <c r="BT10" s="57"/>
      <c r="BU10" s="57"/>
      <c r="BV10" s="57"/>
      <c r="BW10" s="57"/>
      <c r="BX10" s="57"/>
      <c r="BY10" s="57"/>
      <c r="BZ10" s="57"/>
      <c r="CA10" s="57"/>
      <c r="CB10" s="56">
        <v>45730</v>
      </c>
      <c r="CC10" s="57">
        <v>45821</v>
      </c>
      <c r="CD10" s="57">
        <v>45912</v>
      </c>
      <c r="CE10" s="57">
        <v>46003</v>
      </c>
      <c r="CF10" s="57"/>
      <c r="CG10" s="57"/>
      <c r="CH10" s="57"/>
      <c r="CI10" s="57"/>
      <c r="CJ10" s="57"/>
      <c r="CK10" s="57"/>
      <c r="CL10" s="57"/>
      <c r="CM10" s="57"/>
      <c r="CN10" s="56">
        <v>45736</v>
      </c>
      <c r="CO10" s="57">
        <v>45827</v>
      </c>
      <c r="CP10" s="57">
        <v>45918</v>
      </c>
      <c r="CQ10" s="57">
        <v>46009</v>
      </c>
      <c r="CR10" s="57"/>
      <c r="CS10" s="57"/>
      <c r="CT10" s="57"/>
      <c r="CU10" s="57"/>
      <c r="CV10" s="57"/>
      <c r="CW10" s="57"/>
      <c r="CX10" s="57"/>
      <c r="CY10" s="57"/>
      <c r="CZ10" s="56">
        <v>45685</v>
      </c>
      <c r="DA10" s="57">
        <v>45776</v>
      </c>
      <c r="DB10" s="57">
        <v>45867</v>
      </c>
      <c r="DC10" s="57">
        <v>45958</v>
      </c>
      <c r="DD10" s="57"/>
      <c r="DE10" s="57"/>
      <c r="DF10" s="57"/>
      <c r="DG10" s="57"/>
      <c r="DH10" s="57"/>
      <c r="DI10" s="57"/>
      <c r="DJ10" s="57"/>
      <c r="DK10" s="58"/>
      <c r="DL10" s="59">
        <v>4</v>
      </c>
      <c r="DM10" s="60">
        <v>4</v>
      </c>
      <c r="DN10" s="61">
        <v>4</v>
      </c>
      <c r="DO10" s="60">
        <v>4</v>
      </c>
      <c r="DP10" s="60">
        <v>4</v>
      </c>
      <c r="DQ10" s="59">
        <v>20</v>
      </c>
      <c r="DR10" s="62">
        <v>219</v>
      </c>
      <c r="DS10" s="62" t="s">
        <v>5034</v>
      </c>
      <c r="DU10" s="62" t="s">
        <v>5034</v>
      </c>
      <c r="DV10" s="63">
        <v>44992.582864837961</v>
      </c>
      <c r="DW10" s="64">
        <v>2023</v>
      </c>
      <c r="DX10" s="65">
        <v>3</v>
      </c>
    </row>
    <row r="11" spans="2:128" ht="15">
      <c r="B11" s="43" t="s">
        <v>5022</v>
      </c>
      <c r="C11" s="43" t="s">
        <v>4808</v>
      </c>
      <c r="D11" s="43" t="s">
        <v>4809</v>
      </c>
      <c r="E11" s="49">
        <v>42977</v>
      </c>
      <c r="F11" s="49"/>
      <c r="G11" s="50">
        <v>1</v>
      </c>
      <c r="H11" s="43" t="s">
        <v>4798</v>
      </c>
      <c r="I11" s="43" t="s">
        <v>5023</v>
      </c>
      <c r="J11" s="43">
        <v>6</v>
      </c>
      <c r="K11" s="43">
        <v>2</v>
      </c>
      <c r="L11" s="43">
        <v>3</v>
      </c>
      <c r="M11" s="43">
        <v>20</v>
      </c>
      <c r="N11" s="43"/>
      <c r="O11" s="43"/>
      <c r="P11" s="43" t="s">
        <v>5024</v>
      </c>
      <c r="Q11" s="43" t="s">
        <v>5037</v>
      </c>
      <c r="R11" s="43" t="s">
        <v>5038</v>
      </c>
      <c r="S11" s="43" t="s">
        <v>5026</v>
      </c>
      <c r="T11" s="51" t="s">
        <v>5039</v>
      </c>
      <c r="U11" s="52" t="s">
        <v>5028</v>
      </c>
      <c r="V11" s="53" t="s">
        <v>3896</v>
      </c>
      <c r="W11" s="54" t="s">
        <v>5034</v>
      </c>
      <c r="X11" s="55" t="s">
        <v>5034</v>
      </c>
      <c r="AI11" s="54"/>
      <c r="AJ11" s="56" t="s">
        <v>5034</v>
      </c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8"/>
      <c r="BD11" s="55" t="s">
        <v>5034</v>
      </c>
      <c r="BO11" s="54"/>
      <c r="BP11" s="56" t="s">
        <v>5034</v>
      </c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6" t="s">
        <v>5034</v>
      </c>
      <c r="CC11" s="57"/>
      <c r="CD11" s="57"/>
      <c r="CE11" s="57"/>
      <c r="CF11" s="57"/>
      <c r="CG11" s="57"/>
      <c r="CH11" s="57"/>
      <c r="CI11" s="57"/>
      <c r="CJ11" s="57"/>
      <c r="CK11" s="57"/>
      <c r="CL11" s="57"/>
      <c r="CM11" s="57"/>
      <c r="CN11" s="56" t="s">
        <v>5034</v>
      </c>
      <c r="CO11" s="57"/>
      <c r="CP11" s="57"/>
      <c r="CQ11" s="57"/>
      <c r="CR11" s="57"/>
      <c r="CS11" s="57"/>
      <c r="CT11" s="57"/>
      <c r="CU11" s="57"/>
      <c r="CV11" s="57"/>
      <c r="CW11" s="57"/>
      <c r="CX11" s="57"/>
      <c r="CY11" s="57"/>
      <c r="CZ11" s="56" t="s">
        <v>5034</v>
      </c>
      <c r="DA11" s="57"/>
      <c r="DB11" s="57"/>
      <c r="DC11" s="57"/>
      <c r="DD11" s="57"/>
      <c r="DE11" s="57"/>
      <c r="DF11" s="57"/>
      <c r="DG11" s="57"/>
      <c r="DH11" s="57"/>
      <c r="DI11" s="57"/>
      <c r="DJ11" s="57"/>
      <c r="DK11" s="58"/>
      <c r="DL11" s="59">
        <v>0</v>
      </c>
      <c r="DM11" s="60">
        <v>0</v>
      </c>
      <c r="DN11" s="61">
        <v>0</v>
      </c>
      <c r="DO11" s="60">
        <v>0</v>
      </c>
      <c r="DP11" s="60">
        <v>0</v>
      </c>
      <c r="DQ11" s="59">
        <v>0</v>
      </c>
      <c r="DR11" s="62" t="s">
        <v>5034</v>
      </c>
      <c r="DS11" s="62" t="s">
        <v>5034</v>
      </c>
      <c r="DU11" s="62" t="s">
        <v>5034</v>
      </c>
      <c r="DV11" s="63">
        <v>44992.606862349538</v>
      </c>
      <c r="DW11" s="64">
        <v>2023</v>
      </c>
      <c r="DX11" s="65">
        <v>3</v>
      </c>
    </row>
    <row r="12" spans="2:128" ht="15">
      <c r="B12" s="43" t="s">
        <v>5022</v>
      </c>
      <c r="C12" s="43" t="s">
        <v>4808</v>
      </c>
      <c r="D12" s="43" t="s">
        <v>4809</v>
      </c>
      <c r="E12" s="49">
        <v>43299</v>
      </c>
      <c r="F12" s="49"/>
      <c r="G12" s="50">
        <v>1</v>
      </c>
      <c r="H12" s="43" t="s">
        <v>4798</v>
      </c>
      <c r="I12" s="43" t="s">
        <v>5023</v>
      </c>
      <c r="J12" s="43">
        <v>6</v>
      </c>
      <c r="K12" s="43">
        <v>2</v>
      </c>
      <c r="L12" s="43">
        <v>3</v>
      </c>
      <c r="M12" s="43">
        <v>20</v>
      </c>
      <c r="N12" s="43"/>
      <c r="O12" s="43" t="s">
        <v>4725</v>
      </c>
      <c r="P12" s="43" t="s">
        <v>5024</v>
      </c>
      <c r="Q12" s="43" t="s">
        <v>5037</v>
      </c>
      <c r="R12" s="43" t="s">
        <v>5038</v>
      </c>
      <c r="S12" s="43" t="s">
        <v>5026</v>
      </c>
      <c r="T12" s="51" t="s">
        <v>5039</v>
      </c>
      <c r="U12" s="52" t="s">
        <v>5028</v>
      </c>
      <c r="V12" s="53" t="s">
        <v>3896</v>
      </c>
      <c r="W12" s="54" t="s">
        <v>5034</v>
      </c>
      <c r="X12" s="55" t="s">
        <v>5034</v>
      </c>
      <c r="AI12" s="54"/>
      <c r="AJ12" s="56" t="s">
        <v>5034</v>
      </c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8"/>
      <c r="BD12" s="55" t="s">
        <v>5034</v>
      </c>
      <c r="BO12" s="54"/>
      <c r="BP12" s="56" t="s">
        <v>5034</v>
      </c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6" t="s">
        <v>5034</v>
      </c>
      <c r="CC12" s="57"/>
      <c r="CD12" s="57"/>
      <c r="CE12" s="57"/>
      <c r="CF12" s="57"/>
      <c r="CG12" s="57"/>
      <c r="CH12" s="57"/>
      <c r="CI12" s="57"/>
      <c r="CJ12" s="57"/>
      <c r="CK12" s="57"/>
      <c r="CL12" s="57"/>
      <c r="CM12" s="57"/>
      <c r="CN12" s="56" t="s">
        <v>5034</v>
      </c>
      <c r="CO12" s="57"/>
      <c r="CP12" s="57"/>
      <c r="CQ12" s="57"/>
      <c r="CR12" s="57"/>
      <c r="CS12" s="57"/>
      <c r="CT12" s="57"/>
      <c r="CU12" s="57"/>
      <c r="CV12" s="57"/>
      <c r="CW12" s="57"/>
      <c r="CX12" s="57"/>
      <c r="CY12" s="57"/>
      <c r="CZ12" s="56" t="s">
        <v>5034</v>
      </c>
      <c r="DA12" s="57"/>
      <c r="DB12" s="57"/>
      <c r="DC12" s="57"/>
      <c r="DD12" s="57"/>
      <c r="DE12" s="57"/>
      <c r="DF12" s="57"/>
      <c r="DG12" s="57"/>
      <c r="DH12" s="57"/>
      <c r="DI12" s="57"/>
      <c r="DJ12" s="57"/>
      <c r="DK12" s="58"/>
      <c r="DL12" s="59">
        <v>0</v>
      </c>
      <c r="DM12" s="60">
        <v>0</v>
      </c>
      <c r="DN12" s="61">
        <v>0</v>
      </c>
      <c r="DO12" s="60">
        <v>0</v>
      </c>
      <c r="DP12" s="60">
        <v>0</v>
      </c>
      <c r="DQ12" s="59">
        <v>0</v>
      </c>
      <c r="DR12" s="62" t="s">
        <v>5034</v>
      </c>
      <c r="DS12" s="62" t="s">
        <v>5034</v>
      </c>
      <c r="DU12" s="62" t="s">
        <v>5034</v>
      </c>
      <c r="DV12" s="63">
        <v>45084.603225115738</v>
      </c>
      <c r="DW12" s="64">
        <v>2023</v>
      </c>
      <c r="DX12" s="65">
        <v>6</v>
      </c>
    </row>
    <row r="13" spans="2:128" ht="15">
      <c r="B13" s="43" t="s">
        <v>5022</v>
      </c>
      <c r="C13" s="43" t="s">
        <v>4802</v>
      </c>
      <c r="D13" s="43" t="s">
        <v>4810</v>
      </c>
      <c r="E13" s="49">
        <v>42909</v>
      </c>
      <c r="F13" s="49"/>
      <c r="G13" s="50">
        <v>2</v>
      </c>
      <c r="H13" s="43" t="s">
        <v>4798</v>
      </c>
      <c r="I13" s="43" t="s">
        <v>5023</v>
      </c>
      <c r="J13" s="43"/>
      <c r="K13" s="43">
        <v>2</v>
      </c>
      <c r="L13" s="43">
        <v>3</v>
      </c>
      <c r="M13" s="43"/>
      <c r="N13" s="43"/>
      <c r="O13" s="43"/>
      <c r="P13" s="43" t="s">
        <v>5024</v>
      </c>
      <c r="Q13" s="43" t="s">
        <v>5041</v>
      </c>
      <c r="R13" s="43" t="s">
        <v>5038</v>
      </c>
      <c r="S13" s="43" t="s">
        <v>5026</v>
      </c>
      <c r="T13" s="51" t="s">
        <v>5027</v>
      </c>
      <c r="U13" s="52" t="s">
        <v>5028</v>
      </c>
      <c r="V13" s="53" t="s">
        <v>3884</v>
      </c>
      <c r="W13" s="54" t="s">
        <v>1263</v>
      </c>
      <c r="X13" s="55" t="s">
        <v>4889</v>
      </c>
      <c r="Y13" t="s">
        <v>4896</v>
      </c>
      <c r="Z13" t="s">
        <v>4800</v>
      </c>
      <c r="AA13" t="s">
        <v>4891</v>
      </c>
      <c r="AI13" s="54"/>
      <c r="AJ13" s="56">
        <v>45740</v>
      </c>
      <c r="AK13" s="57">
        <v>45741</v>
      </c>
      <c r="AL13" s="57">
        <v>45831</v>
      </c>
      <c r="AM13" s="57">
        <v>45832</v>
      </c>
      <c r="AN13" s="57">
        <v>45922</v>
      </c>
      <c r="AO13" s="57">
        <v>45923</v>
      </c>
      <c r="AP13" s="57">
        <v>46013</v>
      </c>
      <c r="AQ13" s="57">
        <v>46014</v>
      </c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8"/>
      <c r="BD13" s="55" t="s">
        <v>5030</v>
      </c>
      <c r="BE13" t="s">
        <v>5031</v>
      </c>
      <c r="BF13" t="s">
        <v>5032</v>
      </c>
      <c r="BG13" t="s">
        <v>5033</v>
      </c>
      <c r="BO13" s="54"/>
      <c r="BP13" s="56">
        <v>45712</v>
      </c>
      <c r="BQ13" s="57">
        <v>45803</v>
      </c>
      <c r="BR13" s="57">
        <v>45894</v>
      </c>
      <c r="BS13" s="57">
        <v>45985</v>
      </c>
      <c r="BT13" s="57"/>
      <c r="BU13" s="57"/>
      <c r="BV13" s="57"/>
      <c r="BW13" s="57"/>
      <c r="BX13" s="57"/>
      <c r="BY13" s="57"/>
      <c r="BZ13" s="57"/>
      <c r="CA13" s="57"/>
      <c r="CB13" s="56" t="s">
        <v>5034</v>
      </c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6">
        <v>45736</v>
      </c>
      <c r="CO13" s="57">
        <v>45827</v>
      </c>
      <c r="CP13" s="57">
        <v>45918</v>
      </c>
      <c r="CQ13" s="57">
        <v>46009</v>
      </c>
      <c r="CR13" s="57"/>
      <c r="CS13" s="57"/>
      <c r="CT13" s="57"/>
      <c r="CU13" s="57"/>
      <c r="CV13" s="57"/>
      <c r="CW13" s="57"/>
      <c r="CX13" s="57"/>
      <c r="CY13" s="57"/>
      <c r="CZ13" s="56" t="s">
        <v>5034</v>
      </c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8"/>
      <c r="DL13" s="59">
        <v>8</v>
      </c>
      <c r="DM13" s="60">
        <v>4</v>
      </c>
      <c r="DN13" s="61">
        <v>0</v>
      </c>
      <c r="DO13" s="60">
        <v>4</v>
      </c>
      <c r="DP13" s="60">
        <v>0</v>
      </c>
      <c r="DQ13" s="59">
        <v>16</v>
      </c>
      <c r="DR13" s="62">
        <v>255</v>
      </c>
      <c r="DS13" s="62" t="s">
        <v>5034</v>
      </c>
      <c r="DU13" s="62" t="s">
        <v>5034</v>
      </c>
      <c r="DV13" s="63">
        <v>44483.752594212965</v>
      </c>
      <c r="DW13" s="64">
        <v>2021</v>
      </c>
      <c r="DX13" s="65">
        <v>10</v>
      </c>
    </row>
    <row r="14" spans="2:128" ht="15">
      <c r="B14" s="43" t="s">
        <v>5022</v>
      </c>
      <c r="C14" s="43" t="s">
        <v>4802</v>
      </c>
      <c r="D14" s="43" t="s">
        <v>4811</v>
      </c>
      <c r="E14" s="49">
        <v>43049</v>
      </c>
      <c r="F14" s="49"/>
      <c r="G14" s="50">
        <v>1</v>
      </c>
      <c r="H14" s="43" t="s">
        <v>4798</v>
      </c>
      <c r="I14" s="43" t="s">
        <v>5023</v>
      </c>
      <c r="J14" s="43"/>
      <c r="K14" s="43">
        <v>2</v>
      </c>
      <c r="L14" s="43">
        <v>2</v>
      </c>
      <c r="M14" s="43"/>
      <c r="N14" s="43"/>
      <c r="O14" s="43"/>
      <c r="P14" s="43" t="s">
        <v>5024</v>
      </c>
      <c r="Q14" s="43" t="s">
        <v>5041</v>
      </c>
      <c r="R14" s="43" t="s">
        <v>5038</v>
      </c>
      <c r="S14" s="43" t="s">
        <v>5026</v>
      </c>
      <c r="T14" s="51" t="s">
        <v>5027</v>
      </c>
      <c r="U14" s="52" t="s">
        <v>5028</v>
      </c>
      <c r="V14" s="53" t="s">
        <v>3884</v>
      </c>
      <c r="W14" s="54" t="s">
        <v>1211</v>
      </c>
      <c r="X14" s="55" t="s">
        <v>4889</v>
      </c>
      <c r="Y14" t="s">
        <v>4896</v>
      </c>
      <c r="Z14" t="s">
        <v>4800</v>
      </c>
      <c r="AA14" t="s">
        <v>4891</v>
      </c>
      <c r="AI14" s="54"/>
      <c r="AJ14" s="56">
        <v>45740</v>
      </c>
      <c r="AK14" s="57">
        <v>45831</v>
      </c>
      <c r="AL14" s="57">
        <v>45922</v>
      </c>
      <c r="AM14" s="57">
        <v>46013</v>
      </c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8"/>
      <c r="BD14" s="55" t="s">
        <v>5030</v>
      </c>
      <c r="BE14" t="s">
        <v>5031</v>
      </c>
      <c r="BF14" t="s">
        <v>5032</v>
      </c>
      <c r="BG14" t="s">
        <v>5033</v>
      </c>
      <c r="BO14" s="54"/>
      <c r="BP14" s="56">
        <v>45712</v>
      </c>
      <c r="BQ14" s="57">
        <v>45803</v>
      </c>
      <c r="BR14" s="57">
        <v>45894</v>
      </c>
      <c r="BS14" s="57">
        <v>45985</v>
      </c>
      <c r="BT14" s="57"/>
      <c r="BU14" s="57"/>
      <c r="BV14" s="57"/>
      <c r="BW14" s="57"/>
      <c r="BX14" s="57"/>
      <c r="BY14" s="57"/>
      <c r="BZ14" s="57"/>
      <c r="CA14" s="57"/>
      <c r="CB14" s="56" t="s">
        <v>5034</v>
      </c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6">
        <v>45736</v>
      </c>
      <c r="CO14" s="57">
        <v>45827</v>
      </c>
      <c r="CP14" s="57">
        <v>45918</v>
      </c>
      <c r="CQ14" s="57">
        <v>46009</v>
      </c>
      <c r="CR14" s="57"/>
      <c r="CS14" s="57"/>
      <c r="CT14" s="57"/>
      <c r="CU14" s="57"/>
      <c r="CV14" s="57"/>
      <c r="CW14" s="57"/>
      <c r="CX14" s="57"/>
      <c r="CY14" s="57"/>
      <c r="CZ14" s="56" t="s">
        <v>5034</v>
      </c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8"/>
      <c r="DL14" s="59">
        <v>4</v>
      </c>
      <c r="DM14" s="60">
        <v>4</v>
      </c>
      <c r="DN14" s="61">
        <v>0</v>
      </c>
      <c r="DO14" s="60">
        <v>4</v>
      </c>
      <c r="DP14" s="60">
        <v>0</v>
      </c>
      <c r="DQ14" s="59">
        <v>12</v>
      </c>
      <c r="DR14" s="62">
        <v>307</v>
      </c>
      <c r="DS14" s="62" t="s">
        <v>5034</v>
      </c>
      <c r="DU14" s="62" t="s">
        <v>5034</v>
      </c>
      <c r="DV14" s="63">
        <v>44627.44698990741</v>
      </c>
      <c r="DW14" s="64">
        <v>2022</v>
      </c>
      <c r="DX14" s="65">
        <v>3</v>
      </c>
    </row>
    <row r="15" spans="2:128" ht="15">
      <c r="B15" s="43" t="s">
        <v>5022</v>
      </c>
      <c r="C15" s="43" t="s">
        <v>4812</v>
      </c>
      <c r="D15" s="43" t="s">
        <v>4813</v>
      </c>
      <c r="E15" s="49">
        <v>43115</v>
      </c>
      <c r="F15" s="49"/>
      <c r="G15" s="50">
        <v>1</v>
      </c>
      <c r="H15" s="43" t="s">
        <v>4798</v>
      </c>
      <c r="I15" s="43" t="s">
        <v>5023</v>
      </c>
      <c r="J15" s="43"/>
      <c r="K15" s="43">
        <v>2</v>
      </c>
      <c r="L15" s="43">
        <v>3</v>
      </c>
      <c r="M15" s="43"/>
      <c r="N15" s="43"/>
      <c r="O15" s="43"/>
      <c r="P15" s="43" t="s">
        <v>5024</v>
      </c>
      <c r="Q15" s="43" t="s">
        <v>5042</v>
      </c>
      <c r="R15" s="43" t="s">
        <v>5043</v>
      </c>
      <c r="S15" s="43" t="s">
        <v>5026</v>
      </c>
      <c r="T15" s="51" t="s">
        <v>5027</v>
      </c>
      <c r="U15" s="52" t="s">
        <v>5028</v>
      </c>
      <c r="V15" s="53" t="s">
        <v>3884</v>
      </c>
      <c r="W15" s="54" t="s">
        <v>1178</v>
      </c>
      <c r="X15" s="55" t="s">
        <v>4889</v>
      </c>
      <c r="Y15" t="s">
        <v>4896</v>
      </c>
      <c r="Z15" t="s">
        <v>4800</v>
      </c>
      <c r="AA15" t="s">
        <v>4891</v>
      </c>
      <c r="AI15" s="54"/>
      <c r="AJ15" s="56">
        <v>45740</v>
      </c>
      <c r="AK15" s="57">
        <v>45831</v>
      </c>
      <c r="AL15" s="57">
        <v>45922</v>
      </c>
      <c r="AM15" s="57">
        <v>46013</v>
      </c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8"/>
      <c r="BD15" s="55" t="s">
        <v>5030</v>
      </c>
      <c r="BE15" t="s">
        <v>5031</v>
      </c>
      <c r="BF15" t="s">
        <v>5032</v>
      </c>
      <c r="BG15" t="s">
        <v>5033</v>
      </c>
      <c r="BO15" s="54"/>
      <c r="BP15" s="56">
        <v>45712</v>
      </c>
      <c r="BQ15" s="57">
        <v>45803</v>
      </c>
      <c r="BR15" s="57">
        <v>45894</v>
      </c>
      <c r="BS15" s="57">
        <v>45985</v>
      </c>
      <c r="BT15" s="57"/>
      <c r="BU15" s="57"/>
      <c r="BV15" s="57"/>
      <c r="BW15" s="57"/>
      <c r="BX15" s="57"/>
      <c r="BY15" s="57"/>
      <c r="BZ15" s="57"/>
      <c r="CA15" s="57"/>
      <c r="CB15" s="56" t="s">
        <v>5034</v>
      </c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6">
        <v>45736</v>
      </c>
      <c r="CO15" s="57">
        <v>45827</v>
      </c>
      <c r="CP15" s="57">
        <v>45918</v>
      </c>
      <c r="CQ15" s="57">
        <v>46009</v>
      </c>
      <c r="CR15" s="57"/>
      <c r="CS15" s="57"/>
      <c r="CT15" s="57"/>
      <c r="CU15" s="57"/>
      <c r="CV15" s="57"/>
      <c r="CW15" s="57"/>
      <c r="CX15" s="57"/>
      <c r="CY15" s="57"/>
      <c r="CZ15" s="56" t="s">
        <v>5034</v>
      </c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8"/>
      <c r="DL15" s="59">
        <v>4</v>
      </c>
      <c r="DM15" s="60">
        <v>4</v>
      </c>
      <c r="DN15" s="61">
        <v>0</v>
      </c>
      <c r="DO15" s="60">
        <v>4</v>
      </c>
      <c r="DP15" s="60">
        <v>0</v>
      </c>
      <c r="DQ15" s="59">
        <v>12</v>
      </c>
      <c r="DR15" s="62">
        <v>319</v>
      </c>
      <c r="DS15" s="62" t="s">
        <v>5034</v>
      </c>
      <c r="DU15" s="62" t="s">
        <v>5034</v>
      </c>
      <c r="DV15" s="63">
        <v>44483.751221134262</v>
      </c>
      <c r="DW15" s="64">
        <v>2021</v>
      </c>
      <c r="DX15" s="65">
        <v>10</v>
      </c>
    </row>
    <row r="16" spans="2:128" ht="15">
      <c r="B16" s="43" t="s">
        <v>5022</v>
      </c>
      <c r="C16" s="43" t="s">
        <v>4812</v>
      </c>
      <c r="D16" s="43" t="s">
        <v>4814</v>
      </c>
      <c r="E16" s="49">
        <v>43217</v>
      </c>
      <c r="F16" s="49">
        <v>45699</v>
      </c>
      <c r="G16" s="50">
        <v>1</v>
      </c>
      <c r="H16" s="43" t="s">
        <v>4798</v>
      </c>
      <c r="I16" s="43" t="s">
        <v>5023</v>
      </c>
      <c r="J16" s="43"/>
      <c r="K16" s="43">
        <v>2</v>
      </c>
      <c r="L16" s="43">
        <v>3</v>
      </c>
      <c r="M16" s="43"/>
      <c r="N16" s="43"/>
      <c r="O16" s="43"/>
      <c r="P16" s="43" t="s">
        <v>5024</v>
      </c>
      <c r="Q16" s="43" t="s">
        <v>5042</v>
      </c>
      <c r="R16" s="43" t="s">
        <v>5043</v>
      </c>
      <c r="S16" s="43" t="s">
        <v>5026</v>
      </c>
      <c r="T16" s="51" t="s">
        <v>5027</v>
      </c>
      <c r="U16" s="52" t="s">
        <v>5028</v>
      </c>
      <c r="V16" s="53" t="s">
        <v>3896</v>
      </c>
      <c r="W16" s="54" t="s">
        <v>5034</v>
      </c>
      <c r="X16" s="55" t="s">
        <v>5034</v>
      </c>
      <c r="AI16" s="54"/>
      <c r="AJ16" s="56" t="s">
        <v>5034</v>
      </c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8"/>
      <c r="BD16" s="55" t="s">
        <v>5034</v>
      </c>
      <c r="BO16" s="54"/>
      <c r="BP16" s="56" t="s">
        <v>5034</v>
      </c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6" t="s">
        <v>5034</v>
      </c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6" t="s">
        <v>5034</v>
      </c>
      <c r="CO16" s="57"/>
      <c r="CP16" s="57"/>
      <c r="CQ16" s="57"/>
      <c r="CR16" s="57"/>
      <c r="CS16" s="57"/>
      <c r="CT16" s="57"/>
      <c r="CU16" s="57"/>
      <c r="CV16" s="57"/>
      <c r="CW16" s="57"/>
      <c r="CX16" s="57"/>
      <c r="CY16" s="57"/>
      <c r="CZ16" s="56" t="s">
        <v>5034</v>
      </c>
      <c r="DA16" s="57"/>
      <c r="DB16" s="57"/>
      <c r="DC16" s="57"/>
      <c r="DD16" s="57"/>
      <c r="DE16" s="57"/>
      <c r="DF16" s="57"/>
      <c r="DG16" s="57"/>
      <c r="DH16" s="57"/>
      <c r="DI16" s="57"/>
      <c r="DJ16" s="57"/>
      <c r="DK16" s="58"/>
      <c r="DL16" s="59">
        <v>0</v>
      </c>
      <c r="DM16" s="60">
        <v>0</v>
      </c>
      <c r="DN16" s="61">
        <v>0</v>
      </c>
      <c r="DO16" s="60">
        <v>0</v>
      </c>
      <c r="DP16" s="60">
        <v>0</v>
      </c>
      <c r="DQ16" s="59">
        <v>0</v>
      </c>
      <c r="DR16" s="62" t="s">
        <v>5034</v>
      </c>
      <c r="DS16" s="62" t="s">
        <v>5034</v>
      </c>
      <c r="DU16" s="62" t="s">
        <v>5034</v>
      </c>
      <c r="DV16" s="63">
        <v>44483.751311643522</v>
      </c>
      <c r="DW16" s="64">
        <v>2021</v>
      </c>
      <c r="DX16" s="65">
        <v>10</v>
      </c>
    </row>
    <row r="17" spans="2:128" ht="15">
      <c r="B17" s="43" t="s">
        <v>5022</v>
      </c>
      <c r="C17" s="43" t="s">
        <v>4802</v>
      </c>
      <c r="D17" s="43" t="s">
        <v>4815</v>
      </c>
      <c r="E17" s="49">
        <v>43115</v>
      </c>
      <c r="F17" s="49"/>
      <c r="G17" s="50">
        <v>1</v>
      </c>
      <c r="H17" s="43" t="s">
        <v>4798</v>
      </c>
      <c r="I17" s="43" t="s">
        <v>5023</v>
      </c>
      <c r="J17" s="43"/>
      <c r="K17" s="43">
        <v>2</v>
      </c>
      <c r="L17" s="43">
        <v>3</v>
      </c>
      <c r="M17" s="43"/>
      <c r="N17" s="43"/>
      <c r="O17" s="43"/>
      <c r="P17" s="43" t="s">
        <v>5024</v>
      </c>
      <c r="Q17" s="43" t="s">
        <v>5044</v>
      </c>
      <c r="R17" s="43" t="s">
        <v>5045</v>
      </c>
      <c r="S17" s="43" t="s">
        <v>5026</v>
      </c>
      <c r="T17" s="51" t="s">
        <v>5027</v>
      </c>
      <c r="U17" s="52" t="s">
        <v>5028</v>
      </c>
      <c r="V17" s="53" t="s">
        <v>3884</v>
      </c>
      <c r="W17" s="54" t="s">
        <v>1202</v>
      </c>
      <c r="X17" s="55" t="s">
        <v>4889</v>
      </c>
      <c r="Y17" t="s">
        <v>4896</v>
      </c>
      <c r="Z17" t="s">
        <v>4800</v>
      </c>
      <c r="AA17" t="s">
        <v>4891</v>
      </c>
      <c r="AI17" s="54"/>
      <c r="AJ17" s="56">
        <v>45740</v>
      </c>
      <c r="AK17" s="57">
        <v>45831</v>
      </c>
      <c r="AL17" s="57">
        <v>45922</v>
      </c>
      <c r="AM17" s="57">
        <v>46013</v>
      </c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8"/>
      <c r="BD17" s="55" t="s">
        <v>5030</v>
      </c>
      <c r="BE17" t="s">
        <v>5031</v>
      </c>
      <c r="BF17" t="s">
        <v>5032</v>
      </c>
      <c r="BG17" t="s">
        <v>5033</v>
      </c>
      <c r="BO17" s="54"/>
      <c r="BP17" s="56">
        <v>45712</v>
      </c>
      <c r="BQ17" s="57">
        <v>45803</v>
      </c>
      <c r="BR17" s="57">
        <v>45894</v>
      </c>
      <c r="BS17" s="57">
        <v>45985</v>
      </c>
      <c r="BT17" s="57"/>
      <c r="BU17" s="57"/>
      <c r="BV17" s="57"/>
      <c r="BW17" s="57"/>
      <c r="BX17" s="57"/>
      <c r="BY17" s="57"/>
      <c r="BZ17" s="57"/>
      <c r="CA17" s="57"/>
      <c r="CB17" s="56" t="s">
        <v>5034</v>
      </c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6">
        <v>45736</v>
      </c>
      <c r="CO17" s="57">
        <v>45827</v>
      </c>
      <c r="CP17" s="57">
        <v>45918</v>
      </c>
      <c r="CQ17" s="57">
        <v>46009</v>
      </c>
      <c r="CR17" s="57"/>
      <c r="CS17" s="57"/>
      <c r="CT17" s="57"/>
      <c r="CU17" s="57"/>
      <c r="CV17" s="57"/>
      <c r="CW17" s="57"/>
      <c r="CX17" s="57"/>
      <c r="CY17" s="57"/>
      <c r="CZ17" s="56" t="s">
        <v>5034</v>
      </c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8"/>
      <c r="DL17" s="59">
        <v>4</v>
      </c>
      <c r="DM17" s="60">
        <v>4</v>
      </c>
      <c r="DN17" s="61">
        <v>0</v>
      </c>
      <c r="DO17" s="60">
        <v>4</v>
      </c>
      <c r="DP17" s="60">
        <v>0</v>
      </c>
      <c r="DQ17" s="59">
        <v>12</v>
      </c>
      <c r="DR17" s="62">
        <v>331</v>
      </c>
      <c r="DS17" s="62" t="s">
        <v>5034</v>
      </c>
      <c r="DU17" s="62" t="s">
        <v>5034</v>
      </c>
      <c r="DV17" s="63">
        <v>44483.752041655091</v>
      </c>
      <c r="DW17" s="64">
        <v>2021</v>
      </c>
      <c r="DX17" s="65">
        <v>10</v>
      </c>
    </row>
    <row r="18" spans="2:128" ht="15">
      <c r="B18" s="43" t="s">
        <v>5022</v>
      </c>
      <c r="C18" s="43" t="s">
        <v>4802</v>
      </c>
      <c r="D18" s="43" t="s">
        <v>4816</v>
      </c>
      <c r="E18" s="49">
        <v>43154</v>
      </c>
      <c r="F18" s="49"/>
      <c r="G18" s="50">
        <v>1</v>
      </c>
      <c r="H18" s="43" t="s">
        <v>4798</v>
      </c>
      <c r="I18" s="43" t="s">
        <v>5023</v>
      </c>
      <c r="J18" s="43"/>
      <c r="K18" s="43">
        <v>2</v>
      </c>
      <c r="L18" s="43">
        <v>3</v>
      </c>
      <c r="M18" s="43"/>
      <c r="N18" s="43"/>
      <c r="O18" s="43" t="s">
        <v>4725</v>
      </c>
      <c r="P18" s="43" t="s">
        <v>5024</v>
      </c>
      <c r="Q18" s="43" t="s">
        <v>5046</v>
      </c>
      <c r="R18" s="43" t="s">
        <v>5047</v>
      </c>
      <c r="S18" s="43" t="s">
        <v>5026</v>
      </c>
      <c r="T18" s="51" t="s">
        <v>5027</v>
      </c>
      <c r="U18" s="52" t="s">
        <v>5028</v>
      </c>
      <c r="V18" s="53" t="s">
        <v>3884</v>
      </c>
      <c r="W18" s="54" t="s">
        <v>1142</v>
      </c>
      <c r="X18" s="55" t="s">
        <v>4889</v>
      </c>
      <c r="Y18" t="s">
        <v>4896</v>
      </c>
      <c r="Z18" t="s">
        <v>4800</v>
      </c>
      <c r="AA18" t="s">
        <v>4891</v>
      </c>
      <c r="AI18" s="54"/>
      <c r="AJ18" s="56">
        <v>45740</v>
      </c>
      <c r="AK18" s="57">
        <v>45831</v>
      </c>
      <c r="AL18" s="57">
        <v>45922</v>
      </c>
      <c r="AM18" s="57">
        <v>46013</v>
      </c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8"/>
      <c r="BD18" s="55" t="s">
        <v>5030</v>
      </c>
      <c r="BE18" t="s">
        <v>5031</v>
      </c>
      <c r="BF18" t="s">
        <v>5032</v>
      </c>
      <c r="BG18" t="s">
        <v>5033</v>
      </c>
      <c r="BO18" s="54"/>
      <c r="BP18" s="56">
        <v>45712</v>
      </c>
      <c r="BQ18" s="57">
        <v>45803</v>
      </c>
      <c r="BR18" s="57">
        <v>45894</v>
      </c>
      <c r="BS18" s="57">
        <v>45985</v>
      </c>
      <c r="BT18" s="57"/>
      <c r="BU18" s="57"/>
      <c r="BV18" s="57"/>
      <c r="BW18" s="57"/>
      <c r="BX18" s="57"/>
      <c r="BY18" s="57"/>
      <c r="BZ18" s="57"/>
      <c r="CA18" s="57"/>
      <c r="CB18" s="56" t="s">
        <v>5034</v>
      </c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6">
        <v>45736</v>
      </c>
      <c r="CO18" s="57">
        <v>45827</v>
      </c>
      <c r="CP18" s="57">
        <v>45918</v>
      </c>
      <c r="CQ18" s="57">
        <v>46009</v>
      </c>
      <c r="CR18" s="57"/>
      <c r="CS18" s="57"/>
      <c r="CT18" s="57"/>
      <c r="CU18" s="57"/>
      <c r="CV18" s="57"/>
      <c r="CW18" s="57"/>
      <c r="CX18" s="57"/>
      <c r="CY18" s="57"/>
      <c r="CZ18" s="56" t="s">
        <v>5034</v>
      </c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8"/>
      <c r="DL18" s="59">
        <v>4</v>
      </c>
      <c r="DM18" s="60">
        <v>4</v>
      </c>
      <c r="DN18" s="61">
        <v>0</v>
      </c>
      <c r="DO18" s="60">
        <v>4</v>
      </c>
      <c r="DP18" s="60">
        <v>0</v>
      </c>
      <c r="DQ18" s="59">
        <v>12</v>
      </c>
      <c r="DR18" s="62">
        <v>355</v>
      </c>
      <c r="DS18" s="62" t="s">
        <v>5034</v>
      </c>
      <c r="DU18" s="62" t="s">
        <v>5034</v>
      </c>
      <c r="DV18" s="63">
        <v>45061.623712071756</v>
      </c>
      <c r="DW18" s="64">
        <v>2023</v>
      </c>
      <c r="DX18" s="65">
        <v>5</v>
      </c>
    </row>
    <row r="19" spans="2:128" ht="15">
      <c r="B19" s="43" t="s">
        <v>5022</v>
      </c>
      <c r="C19" s="43" t="s">
        <v>4802</v>
      </c>
      <c r="D19" s="43" t="s">
        <v>4817</v>
      </c>
      <c r="E19" s="49">
        <v>43154</v>
      </c>
      <c r="F19" s="49"/>
      <c r="G19" s="50">
        <v>1</v>
      </c>
      <c r="H19" s="43" t="s">
        <v>4890</v>
      </c>
      <c r="I19" s="43" t="s">
        <v>5023</v>
      </c>
      <c r="J19" s="43"/>
      <c r="K19" s="43">
        <v>2</v>
      </c>
      <c r="L19" s="43">
        <v>3</v>
      </c>
      <c r="M19" s="43"/>
      <c r="N19" s="43"/>
      <c r="O19" s="43" t="s">
        <v>4725</v>
      </c>
      <c r="P19" s="43" t="s">
        <v>5024</v>
      </c>
      <c r="Q19" s="43" t="s">
        <v>5042</v>
      </c>
      <c r="R19" s="43" t="s">
        <v>5043</v>
      </c>
      <c r="S19" s="43" t="s">
        <v>5026</v>
      </c>
      <c r="T19" s="51" t="s">
        <v>5027</v>
      </c>
      <c r="U19" s="52" t="s">
        <v>5028</v>
      </c>
      <c r="V19" s="53" t="s">
        <v>3884</v>
      </c>
      <c r="W19" s="54" t="s">
        <v>1154</v>
      </c>
      <c r="X19" s="55" t="s">
        <v>5048</v>
      </c>
      <c r="Y19" t="s">
        <v>4894</v>
      </c>
      <c r="Z19" t="s">
        <v>5049</v>
      </c>
      <c r="AA19" t="s">
        <v>4893</v>
      </c>
      <c r="AI19" s="54"/>
      <c r="AJ19" s="56">
        <v>45670</v>
      </c>
      <c r="AK19" s="57">
        <v>45761</v>
      </c>
      <c r="AL19" s="57">
        <v>45852</v>
      </c>
      <c r="AM19" s="57">
        <v>45943</v>
      </c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8"/>
      <c r="BD19" s="55" t="s">
        <v>5030</v>
      </c>
      <c r="BE19" t="s">
        <v>5031</v>
      </c>
      <c r="BF19" t="s">
        <v>5032</v>
      </c>
      <c r="BG19" t="s">
        <v>5033</v>
      </c>
      <c r="BO19" s="54"/>
      <c r="BP19" s="56">
        <v>45712</v>
      </c>
      <c r="BQ19" s="57">
        <v>45803</v>
      </c>
      <c r="BR19" s="57">
        <v>45894</v>
      </c>
      <c r="BS19" s="57">
        <v>45985</v>
      </c>
      <c r="BT19" s="57"/>
      <c r="BU19" s="57"/>
      <c r="BV19" s="57"/>
      <c r="BW19" s="57"/>
      <c r="BX19" s="57"/>
      <c r="BY19" s="57"/>
      <c r="BZ19" s="57"/>
      <c r="CA19" s="57"/>
      <c r="CB19" s="56" t="s">
        <v>5034</v>
      </c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6">
        <v>45666</v>
      </c>
      <c r="CO19" s="57">
        <v>45757</v>
      </c>
      <c r="CP19" s="57">
        <v>45848</v>
      </c>
      <c r="CQ19" s="57">
        <v>45939</v>
      </c>
      <c r="CR19" s="57"/>
      <c r="CS19" s="57"/>
      <c r="CT19" s="57"/>
      <c r="CU19" s="57"/>
      <c r="CV19" s="57"/>
      <c r="CW19" s="57"/>
      <c r="CX19" s="57"/>
      <c r="CY19" s="57"/>
      <c r="CZ19" s="56" t="s">
        <v>5034</v>
      </c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8"/>
      <c r="DL19" s="59">
        <v>4</v>
      </c>
      <c r="DM19" s="60">
        <v>4</v>
      </c>
      <c r="DN19" s="61">
        <v>0</v>
      </c>
      <c r="DO19" s="60">
        <v>4</v>
      </c>
      <c r="DP19" s="60">
        <v>0</v>
      </c>
      <c r="DQ19" s="59">
        <v>12</v>
      </c>
      <c r="DR19" s="62">
        <v>367</v>
      </c>
      <c r="DS19" s="62" t="s">
        <v>5034</v>
      </c>
      <c r="DU19" s="62" t="s">
        <v>5034</v>
      </c>
      <c r="DV19" s="63">
        <v>44483.751583761572</v>
      </c>
      <c r="DW19" s="64">
        <v>2021</v>
      </c>
      <c r="DX19" s="65">
        <v>10</v>
      </c>
    </row>
    <row r="20" spans="2:128" ht="15">
      <c r="B20" s="43" t="s">
        <v>5022</v>
      </c>
      <c r="C20" s="43" t="s">
        <v>4818</v>
      </c>
      <c r="D20" s="43" t="s">
        <v>4819</v>
      </c>
      <c r="E20" s="49">
        <v>43154</v>
      </c>
      <c r="F20" s="49"/>
      <c r="G20" s="50">
        <v>2</v>
      </c>
      <c r="H20" s="43" t="s">
        <v>4798</v>
      </c>
      <c r="I20" s="43" t="s">
        <v>5023</v>
      </c>
      <c r="J20" s="43"/>
      <c r="K20" s="43">
        <v>2</v>
      </c>
      <c r="L20" s="43">
        <v>3</v>
      </c>
      <c r="M20" s="43"/>
      <c r="N20" s="43"/>
      <c r="O20" s="43" t="s">
        <v>4725</v>
      </c>
      <c r="P20" s="43" t="s">
        <v>5024</v>
      </c>
      <c r="Q20" s="43" t="s">
        <v>5050</v>
      </c>
      <c r="R20" s="43" t="s">
        <v>5025</v>
      </c>
      <c r="S20" s="43" t="s">
        <v>5026</v>
      </c>
      <c r="T20" s="51" t="s">
        <v>5027</v>
      </c>
      <c r="U20" s="52" t="s">
        <v>5028</v>
      </c>
      <c r="V20" s="53" t="s">
        <v>3884</v>
      </c>
      <c r="W20" s="54" t="s">
        <v>1166</v>
      </c>
      <c r="X20" s="55" t="s">
        <v>4889</v>
      </c>
      <c r="Y20" t="s">
        <v>4896</v>
      </c>
      <c r="Z20" t="s">
        <v>4800</v>
      </c>
      <c r="AA20" t="s">
        <v>4891</v>
      </c>
      <c r="AI20" s="54"/>
      <c r="AJ20" s="56">
        <v>45740</v>
      </c>
      <c r="AK20" s="57">
        <v>45741</v>
      </c>
      <c r="AL20" s="57">
        <v>45831</v>
      </c>
      <c r="AM20" s="57">
        <v>45832</v>
      </c>
      <c r="AN20" s="57">
        <v>45922</v>
      </c>
      <c r="AO20" s="57">
        <v>45923</v>
      </c>
      <c r="AP20" s="57">
        <v>46013</v>
      </c>
      <c r="AQ20" s="57">
        <v>46014</v>
      </c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8"/>
      <c r="BD20" s="55" t="s">
        <v>5030</v>
      </c>
      <c r="BE20" t="s">
        <v>5031</v>
      </c>
      <c r="BF20" t="s">
        <v>5032</v>
      </c>
      <c r="BG20" t="s">
        <v>5033</v>
      </c>
      <c r="BO20" s="54"/>
      <c r="BP20" s="56">
        <v>45712</v>
      </c>
      <c r="BQ20" s="57">
        <v>45803</v>
      </c>
      <c r="BR20" s="57">
        <v>45894</v>
      </c>
      <c r="BS20" s="57">
        <v>45985</v>
      </c>
      <c r="BT20" s="57"/>
      <c r="BU20" s="57"/>
      <c r="BV20" s="57"/>
      <c r="BW20" s="57"/>
      <c r="BX20" s="57"/>
      <c r="BY20" s="57"/>
      <c r="BZ20" s="57"/>
      <c r="CA20" s="57"/>
      <c r="CB20" s="56" t="s">
        <v>5034</v>
      </c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6">
        <v>45736</v>
      </c>
      <c r="CO20" s="57">
        <v>45827</v>
      </c>
      <c r="CP20" s="57">
        <v>45918</v>
      </c>
      <c r="CQ20" s="57">
        <v>46009</v>
      </c>
      <c r="CR20" s="57"/>
      <c r="CS20" s="57"/>
      <c r="CT20" s="57"/>
      <c r="CU20" s="57"/>
      <c r="CV20" s="57"/>
      <c r="CW20" s="57"/>
      <c r="CX20" s="57"/>
      <c r="CY20" s="57"/>
      <c r="CZ20" s="56" t="s">
        <v>5034</v>
      </c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8"/>
      <c r="DL20" s="59">
        <v>8</v>
      </c>
      <c r="DM20" s="60">
        <v>4</v>
      </c>
      <c r="DN20" s="61">
        <v>0</v>
      </c>
      <c r="DO20" s="60">
        <v>4</v>
      </c>
      <c r="DP20" s="60">
        <v>0</v>
      </c>
      <c r="DQ20" s="59">
        <v>16</v>
      </c>
      <c r="DR20" s="62">
        <v>379</v>
      </c>
      <c r="DS20" s="62" t="s">
        <v>5034</v>
      </c>
      <c r="DU20" s="62" t="s">
        <v>5034</v>
      </c>
      <c r="DV20" s="63">
        <v>44483.7516746412</v>
      </c>
      <c r="DW20" s="64">
        <v>2021</v>
      </c>
      <c r="DX20" s="65">
        <v>10</v>
      </c>
    </row>
    <row r="21" spans="2:128" ht="15">
      <c r="B21" s="43" t="s">
        <v>5022</v>
      </c>
      <c r="C21" s="43" t="s">
        <v>4802</v>
      </c>
      <c r="D21" s="43" t="s">
        <v>4820</v>
      </c>
      <c r="E21" s="49">
        <v>43154</v>
      </c>
      <c r="F21" s="49"/>
      <c r="G21" s="50">
        <v>1</v>
      </c>
      <c r="H21" s="43" t="s">
        <v>4798</v>
      </c>
      <c r="I21" s="43" t="s">
        <v>5023</v>
      </c>
      <c r="J21" s="43"/>
      <c r="K21" s="43">
        <v>2</v>
      </c>
      <c r="L21" s="43">
        <v>3</v>
      </c>
      <c r="M21" s="43"/>
      <c r="N21" s="43"/>
      <c r="O21" s="43" t="s">
        <v>4725</v>
      </c>
      <c r="P21" s="43" t="s">
        <v>5024</v>
      </c>
      <c r="Q21" s="43"/>
      <c r="R21" s="43" t="s">
        <v>5043</v>
      </c>
      <c r="S21" s="43" t="s">
        <v>5026</v>
      </c>
      <c r="T21" s="51" t="s">
        <v>5027</v>
      </c>
      <c r="U21" s="52" t="s">
        <v>5028</v>
      </c>
      <c r="V21" s="53" t="s">
        <v>3884</v>
      </c>
      <c r="W21" s="54" t="s">
        <v>2667</v>
      </c>
      <c r="X21" s="55" t="s">
        <v>4889</v>
      </c>
      <c r="Y21" t="s">
        <v>4896</v>
      </c>
      <c r="Z21" t="s">
        <v>4800</v>
      </c>
      <c r="AA21" t="s">
        <v>4891</v>
      </c>
      <c r="AI21" s="54"/>
      <c r="AJ21" s="56">
        <v>45740</v>
      </c>
      <c r="AK21" s="57">
        <v>45831</v>
      </c>
      <c r="AL21" s="57">
        <v>45922</v>
      </c>
      <c r="AM21" s="57">
        <v>46013</v>
      </c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8"/>
      <c r="BD21" s="55" t="s">
        <v>5030</v>
      </c>
      <c r="BE21" t="s">
        <v>5031</v>
      </c>
      <c r="BF21" t="s">
        <v>5032</v>
      </c>
      <c r="BG21" t="s">
        <v>5033</v>
      </c>
      <c r="BO21" s="54"/>
      <c r="BP21" s="56">
        <v>45712</v>
      </c>
      <c r="BQ21" s="57">
        <v>45803</v>
      </c>
      <c r="BR21" s="57">
        <v>45894</v>
      </c>
      <c r="BS21" s="57">
        <v>45985</v>
      </c>
      <c r="BT21" s="57"/>
      <c r="BU21" s="57"/>
      <c r="BV21" s="57"/>
      <c r="BW21" s="57"/>
      <c r="BX21" s="57"/>
      <c r="BY21" s="57"/>
      <c r="BZ21" s="57"/>
      <c r="CA21" s="57"/>
      <c r="CB21" s="56" t="s">
        <v>5034</v>
      </c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6">
        <v>45736</v>
      </c>
      <c r="CO21" s="57">
        <v>45827</v>
      </c>
      <c r="CP21" s="57">
        <v>45918</v>
      </c>
      <c r="CQ21" s="57">
        <v>46009</v>
      </c>
      <c r="CR21" s="57"/>
      <c r="CS21" s="57"/>
      <c r="CT21" s="57"/>
      <c r="CU21" s="57"/>
      <c r="CV21" s="57"/>
      <c r="CW21" s="57"/>
      <c r="CX21" s="57"/>
      <c r="CY21" s="57"/>
      <c r="CZ21" s="56" t="s">
        <v>5034</v>
      </c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8"/>
      <c r="DL21" s="59">
        <v>4</v>
      </c>
      <c r="DM21" s="60">
        <v>4</v>
      </c>
      <c r="DN21" s="61">
        <v>0</v>
      </c>
      <c r="DO21" s="60">
        <v>4</v>
      </c>
      <c r="DP21" s="60">
        <v>0</v>
      </c>
      <c r="DQ21" s="59">
        <v>12</v>
      </c>
      <c r="DR21" s="62">
        <v>395</v>
      </c>
      <c r="DS21" s="62" t="s">
        <v>5034</v>
      </c>
      <c r="DU21" s="62" t="s">
        <v>5034</v>
      </c>
      <c r="DV21" s="63">
        <v>44483.752313217592</v>
      </c>
      <c r="DW21" s="64">
        <v>2021</v>
      </c>
      <c r="DX21" s="65">
        <v>10</v>
      </c>
    </row>
    <row r="22" spans="2:128" ht="15">
      <c r="B22" s="43" t="s">
        <v>5022</v>
      </c>
      <c r="C22" s="43" t="s">
        <v>4818</v>
      </c>
      <c r="D22" s="43" t="s">
        <v>4821</v>
      </c>
      <c r="E22" s="49">
        <v>43154</v>
      </c>
      <c r="F22" s="49"/>
      <c r="G22" s="50">
        <v>1</v>
      </c>
      <c r="H22" s="43" t="s">
        <v>4798</v>
      </c>
      <c r="I22" s="43" t="s">
        <v>5023</v>
      </c>
      <c r="J22" s="43"/>
      <c r="K22" s="43">
        <v>2</v>
      </c>
      <c r="L22" s="43">
        <v>3</v>
      </c>
      <c r="M22" s="43"/>
      <c r="N22" s="43"/>
      <c r="O22" s="43" t="s">
        <v>4725</v>
      </c>
      <c r="P22" s="43" t="s">
        <v>5024</v>
      </c>
      <c r="Q22" s="43"/>
      <c r="R22" s="43" t="s">
        <v>5025</v>
      </c>
      <c r="S22" s="43" t="s">
        <v>5026</v>
      </c>
      <c r="T22" s="51" t="s">
        <v>5027</v>
      </c>
      <c r="U22" s="52" t="s">
        <v>5028</v>
      </c>
      <c r="V22" s="53" t="s">
        <v>3884</v>
      </c>
      <c r="W22" s="54" t="s">
        <v>2679</v>
      </c>
      <c r="X22" s="55" t="s">
        <v>4889</v>
      </c>
      <c r="Y22" t="s">
        <v>4896</v>
      </c>
      <c r="Z22" t="s">
        <v>4800</v>
      </c>
      <c r="AA22" t="s">
        <v>4891</v>
      </c>
      <c r="AI22" s="54"/>
      <c r="AJ22" s="56">
        <v>45740</v>
      </c>
      <c r="AK22" s="57">
        <v>45831</v>
      </c>
      <c r="AL22" s="57">
        <v>45922</v>
      </c>
      <c r="AM22" s="57">
        <v>46013</v>
      </c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8"/>
      <c r="BD22" s="55" t="s">
        <v>5030</v>
      </c>
      <c r="BE22" t="s">
        <v>5031</v>
      </c>
      <c r="BF22" t="s">
        <v>5032</v>
      </c>
      <c r="BG22" t="s">
        <v>5033</v>
      </c>
      <c r="BO22" s="54"/>
      <c r="BP22" s="56">
        <v>45712</v>
      </c>
      <c r="BQ22" s="57">
        <v>45803</v>
      </c>
      <c r="BR22" s="57">
        <v>45894</v>
      </c>
      <c r="BS22" s="57">
        <v>45985</v>
      </c>
      <c r="BT22" s="57"/>
      <c r="BU22" s="57"/>
      <c r="BV22" s="57"/>
      <c r="BW22" s="57"/>
      <c r="BX22" s="57"/>
      <c r="BY22" s="57"/>
      <c r="BZ22" s="57"/>
      <c r="CA22" s="57"/>
      <c r="CB22" s="56" t="s">
        <v>5034</v>
      </c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6">
        <v>45736</v>
      </c>
      <c r="CO22" s="57">
        <v>45827</v>
      </c>
      <c r="CP22" s="57">
        <v>45918</v>
      </c>
      <c r="CQ22" s="57">
        <v>46009</v>
      </c>
      <c r="CR22" s="57"/>
      <c r="CS22" s="57"/>
      <c r="CT22" s="57"/>
      <c r="CU22" s="57"/>
      <c r="CV22" s="57"/>
      <c r="CW22" s="57"/>
      <c r="CX22" s="57"/>
      <c r="CY22" s="57"/>
      <c r="CZ22" s="56" t="s">
        <v>5034</v>
      </c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8"/>
      <c r="DL22" s="59">
        <v>4</v>
      </c>
      <c r="DM22" s="60">
        <v>4</v>
      </c>
      <c r="DN22" s="61">
        <v>0</v>
      </c>
      <c r="DO22" s="60">
        <v>4</v>
      </c>
      <c r="DP22" s="60">
        <v>0</v>
      </c>
      <c r="DQ22" s="59">
        <v>12</v>
      </c>
      <c r="DR22" s="62">
        <v>407</v>
      </c>
      <c r="DS22" s="62" t="s">
        <v>5034</v>
      </c>
      <c r="DU22" s="62" t="s">
        <v>5034</v>
      </c>
      <c r="DV22" s="63">
        <v>44483.752408020831</v>
      </c>
      <c r="DW22" s="64">
        <v>2021</v>
      </c>
      <c r="DX22" s="65">
        <v>10</v>
      </c>
    </row>
    <row r="23" spans="2:128" ht="15">
      <c r="B23" s="43" t="s">
        <v>5022</v>
      </c>
      <c r="C23" s="43" t="s">
        <v>4802</v>
      </c>
      <c r="D23" s="43" t="s">
        <v>4822</v>
      </c>
      <c r="E23" s="49">
        <v>43193</v>
      </c>
      <c r="F23" s="49"/>
      <c r="G23" s="50">
        <v>1</v>
      </c>
      <c r="H23" s="43" t="s">
        <v>4798</v>
      </c>
      <c r="I23" s="43" t="s">
        <v>5023</v>
      </c>
      <c r="J23" s="43"/>
      <c r="K23" s="43">
        <v>2</v>
      </c>
      <c r="L23" s="43">
        <v>3</v>
      </c>
      <c r="M23" s="43"/>
      <c r="N23" s="43"/>
      <c r="O23" s="43" t="s">
        <v>4725</v>
      </c>
      <c r="P23" s="43" t="s">
        <v>5024</v>
      </c>
      <c r="Q23" s="43" t="s">
        <v>5051</v>
      </c>
      <c r="R23" s="43" t="s">
        <v>5043</v>
      </c>
      <c r="S23" s="43" t="s">
        <v>5026</v>
      </c>
      <c r="T23" s="51" t="s">
        <v>5027</v>
      </c>
      <c r="U23" s="52" t="s">
        <v>5028</v>
      </c>
      <c r="V23" s="53" t="s">
        <v>3884</v>
      </c>
      <c r="W23" s="54" t="s">
        <v>1250</v>
      </c>
      <c r="X23" s="55" t="s">
        <v>4889</v>
      </c>
      <c r="Y23" t="s">
        <v>4896</v>
      </c>
      <c r="Z23" t="s">
        <v>4800</v>
      </c>
      <c r="AA23" t="s">
        <v>4891</v>
      </c>
      <c r="AI23" s="54"/>
      <c r="AJ23" s="56">
        <v>45740</v>
      </c>
      <c r="AK23" s="57">
        <v>45831</v>
      </c>
      <c r="AL23" s="57">
        <v>45922</v>
      </c>
      <c r="AM23" s="57">
        <v>46013</v>
      </c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8"/>
      <c r="BD23" s="55" t="s">
        <v>5030</v>
      </c>
      <c r="BE23" t="s">
        <v>5031</v>
      </c>
      <c r="BF23" t="s">
        <v>5032</v>
      </c>
      <c r="BG23" t="s">
        <v>5033</v>
      </c>
      <c r="BO23" s="54"/>
      <c r="BP23" s="56">
        <v>45712</v>
      </c>
      <c r="BQ23" s="57">
        <v>45803</v>
      </c>
      <c r="BR23" s="57">
        <v>45894</v>
      </c>
      <c r="BS23" s="57">
        <v>45985</v>
      </c>
      <c r="BT23" s="57"/>
      <c r="BU23" s="57"/>
      <c r="BV23" s="57"/>
      <c r="BW23" s="57"/>
      <c r="BX23" s="57"/>
      <c r="BY23" s="57"/>
      <c r="BZ23" s="57"/>
      <c r="CA23" s="57"/>
      <c r="CB23" s="56" t="s">
        <v>5034</v>
      </c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6">
        <v>45736</v>
      </c>
      <c r="CO23" s="57">
        <v>45827</v>
      </c>
      <c r="CP23" s="57">
        <v>45918</v>
      </c>
      <c r="CQ23" s="57">
        <v>46009</v>
      </c>
      <c r="CR23" s="57"/>
      <c r="CS23" s="57"/>
      <c r="CT23" s="57"/>
      <c r="CU23" s="57"/>
      <c r="CV23" s="57"/>
      <c r="CW23" s="57"/>
      <c r="CX23" s="57"/>
      <c r="CY23" s="57"/>
      <c r="CZ23" s="56" t="s">
        <v>5034</v>
      </c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8"/>
      <c r="DL23" s="59">
        <v>4</v>
      </c>
      <c r="DM23" s="60">
        <v>4</v>
      </c>
      <c r="DN23" s="61">
        <v>0</v>
      </c>
      <c r="DO23" s="60">
        <v>4</v>
      </c>
      <c r="DP23" s="60">
        <v>0</v>
      </c>
      <c r="DQ23" s="59">
        <v>12</v>
      </c>
      <c r="DR23" s="62">
        <v>419</v>
      </c>
      <c r="DS23" s="62" t="s">
        <v>5034</v>
      </c>
      <c r="DU23" s="62" t="s">
        <v>5034</v>
      </c>
      <c r="DV23" s="63">
        <v>44483.750379641206</v>
      </c>
      <c r="DW23" s="64">
        <v>2021</v>
      </c>
      <c r="DX23" s="65">
        <v>10</v>
      </c>
    </row>
    <row r="24" spans="2:128" ht="15">
      <c r="B24" s="43" t="s">
        <v>5022</v>
      </c>
      <c r="C24" s="43" t="s">
        <v>4802</v>
      </c>
      <c r="D24" s="43" t="s">
        <v>4823</v>
      </c>
      <c r="E24" s="49">
        <v>43217</v>
      </c>
      <c r="F24" s="49">
        <v>45699</v>
      </c>
      <c r="G24" s="50">
        <v>1</v>
      </c>
      <c r="H24" s="43" t="s">
        <v>4798</v>
      </c>
      <c r="I24" s="43" t="s">
        <v>5023</v>
      </c>
      <c r="J24" s="43"/>
      <c r="K24" s="43">
        <v>2</v>
      </c>
      <c r="L24" s="43">
        <v>3</v>
      </c>
      <c r="M24" s="43"/>
      <c r="N24" s="43"/>
      <c r="O24" s="43"/>
      <c r="P24" s="43" t="s">
        <v>5024</v>
      </c>
      <c r="Q24" s="43" t="s">
        <v>5042</v>
      </c>
      <c r="R24" s="43" t="s">
        <v>5025</v>
      </c>
      <c r="S24" s="43" t="s">
        <v>5026</v>
      </c>
      <c r="T24" s="51" t="s">
        <v>5027</v>
      </c>
      <c r="U24" s="52" t="s">
        <v>5028</v>
      </c>
      <c r="V24" s="53" t="s">
        <v>3896</v>
      </c>
      <c r="W24" s="54" t="s">
        <v>5034</v>
      </c>
      <c r="X24" s="55" t="s">
        <v>5034</v>
      </c>
      <c r="AI24" s="54"/>
      <c r="AJ24" s="56" t="s">
        <v>5034</v>
      </c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8"/>
      <c r="BD24" s="55" t="s">
        <v>5034</v>
      </c>
      <c r="BO24" s="54"/>
      <c r="BP24" s="56" t="s">
        <v>5034</v>
      </c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6" t="s">
        <v>5034</v>
      </c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6" t="s">
        <v>5034</v>
      </c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6" t="s">
        <v>5034</v>
      </c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8"/>
      <c r="DL24" s="59">
        <v>0</v>
      </c>
      <c r="DM24" s="60">
        <v>0</v>
      </c>
      <c r="DN24" s="61">
        <v>0</v>
      </c>
      <c r="DO24" s="60">
        <v>0</v>
      </c>
      <c r="DP24" s="60">
        <v>0</v>
      </c>
      <c r="DQ24" s="59">
        <v>0</v>
      </c>
      <c r="DR24" s="62" t="s">
        <v>5034</v>
      </c>
      <c r="DS24" s="62" t="s">
        <v>5034</v>
      </c>
      <c r="DU24" s="62" t="s">
        <v>5034</v>
      </c>
      <c r="DV24" s="63">
        <v>44483.752498784721</v>
      </c>
      <c r="DW24" s="64">
        <v>2021</v>
      </c>
      <c r="DX24" s="65">
        <v>10</v>
      </c>
    </row>
    <row r="25" spans="2:128" ht="15">
      <c r="B25" s="43" t="s">
        <v>5022</v>
      </c>
      <c r="C25" s="43" t="s">
        <v>4812</v>
      </c>
      <c r="D25" s="43" t="s">
        <v>4824</v>
      </c>
      <c r="E25" s="49">
        <v>43257</v>
      </c>
      <c r="F25" s="49"/>
      <c r="G25" s="50">
        <v>1</v>
      </c>
      <c r="H25" s="43" t="s">
        <v>4798</v>
      </c>
      <c r="I25" s="43" t="s">
        <v>5023</v>
      </c>
      <c r="J25" s="43"/>
      <c r="K25" s="43">
        <v>2</v>
      </c>
      <c r="L25" s="43">
        <v>3</v>
      </c>
      <c r="M25" s="43"/>
      <c r="N25" s="43"/>
      <c r="O25" s="43"/>
      <c r="P25" s="43" t="s">
        <v>5024</v>
      </c>
      <c r="Q25" s="43" t="s">
        <v>5042</v>
      </c>
      <c r="R25" s="43" t="s">
        <v>5043</v>
      </c>
      <c r="S25" s="43" t="s">
        <v>5026</v>
      </c>
      <c r="T25" s="51" t="s">
        <v>5027</v>
      </c>
      <c r="U25" s="52" t="s">
        <v>5028</v>
      </c>
      <c r="V25" s="53" t="s">
        <v>3884</v>
      </c>
      <c r="W25" s="54" t="s">
        <v>5052</v>
      </c>
      <c r="X25" s="55" t="s">
        <v>4889</v>
      </c>
      <c r="Y25" t="s">
        <v>4896</v>
      </c>
      <c r="Z25" t="s">
        <v>4800</v>
      </c>
      <c r="AA25" t="s">
        <v>4891</v>
      </c>
      <c r="AI25" s="54"/>
      <c r="AJ25" s="56">
        <v>45740</v>
      </c>
      <c r="AK25" s="57">
        <v>45831</v>
      </c>
      <c r="AL25" s="57">
        <v>45922</v>
      </c>
      <c r="AM25" s="57">
        <v>46013</v>
      </c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8"/>
      <c r="BD25" s="55" t="s">
        <v>5030</v>
      </c>
      <c r="BE25" t="s">
        <v>5031</v>
      </c>
      <c r="BF25" t="s">
        <v>5032</v>
      </c>
      <c r="BG25" t="s">
        <v>5033</v>
      </c>
      <c r="BO25" s="54"/>
      <c r="BP25" s="56">
        <v>45712</v>
      </c>
      <c r="BQ25" s="57">
        <v>45803</v>
      </c>
      <c r="BR25" s="57">
        <v>45894</v>
      </c>
      <c r="BS25" s="57">
        <v>45985</v>
      </c>
      <c r="BT25" s="57"/>
      <c r="BU25" s="57"/>
      <c r="BV25" s="57"/>
      <c r="BW25" s="57"/>
      <c r="BX25" s="57"/>
      <c r="BY25" s="57"/>
      <c r="BZ25" s="57"/>
      <c r="CA25" s="57"/>
      <c r="CB25" s="56" t="s">
        <v>5034</v>
      </c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6">
        <v>45736</v>
      </c>
      <c r="CO25" s="57">
        <v>45827</v>
      </c>
      <c r="CP25" s="57">
        <v>45918</v>
      </c>
      <c r="CQ25" s="57">
        <v>46009</v>
      </c>
      <c r="CR25" s="57"/>
      <c r="CS25" s="57"/>
      <c r="CT25" s="57"/>
      <c r="CU25" s="57"/>
      <c r="CV25" s="57"/>
      <c r="CW25" s="57"/>
      <c r="CX25" s="57"/>
      <c r="CY25" s="57"/>
      <c r="CZ25" s="56" t="s">
        <v>5034</v>
      </c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8"/>
      <c r="DL25" s="59">
        <v>4</v>
      </c>
      <c r="DM25" s="60">
        <v>4</v>
      </c>
      <c r="DN25" s="61">
        <v>0</v>
      </c>
      <c r="DO25" s="60">
        <v>4</v>
      </c>
      <c r="DP25" s="60">
        <v>0</v>
      </c>
      <c r="DQ25" s="59">
        <v>12</v>
      </c>
      <c r="DR25" s="62">
        <v>431</v>
      </c>
      <c r="DS25" s="62" t="s">
        <v>5034</v>
      </c>
      <c r="DU25" s="62" t="s">
        <v>5034</v>
      </c>
      <c r="DV25" s="63">
        <v>44483.75113045139</v>
      </c>
      <c r="DW25" s="64">
        <v>2021</v>
      </c>
      <c r="DX25" s="65">
        <v>10</v>
      </c>
    </row>
    <row r="26" spans="2:128" ht="15">
      <c r="B26" s="43" t="s">
        <v>5022</v>
      </c>
      <c r="C26" s="43" t="s">
        <v>4812</v>
      </c>
      <c r="D26" s="43" t="s">
        <v>4824</v>
      </c>
      <c r="E26" s="49">
        <v>43257</v>
      </c>
      <c r="F26" s="49"/>
      <c r="G26" s="50">
        <v>1</v>
      </c>
      <c r="H26" s="43" t="s">
        <v>4798</v>
      </c>
      <c r="I26" s="43" t="s">
        <v>5023</v>
      </c>
      <c r="J26" s="43"/>
      <c r="K26" s="43">
        <v>2</v>
      </c>
      <c r="L26" s="43">
        <v>3</v>
      </c>
      <c r="M26" s="43"/>
      <c r="N26" s="43"/>
      <c r="O26" s="43"/>
      <c r="P26" s="43" t="s">
        <v>5024</v>
      </c>
      <c r="Q26" s="43" t="s">
        <v>5042</v>
      </c>
      <c r="R26" s="43" t="s">
        <v>5043</v>
      </c>
      <c r="S26" s="43" t="s">
        <v>5026</v>
      </c>
      <c r="T26" s="51" t="s">
        <v>5027</v>
      </c>
      <c r="U26" s="52" t="s">
        <v>5028</v>
      </c>
      <c r="V26" s="53" t="s">
        <v>3896</v>
      </c>
      <c r="W26" s="54" t="s">
        <v>5034</v>
      </c>
      <c r="X26" s="55" t="s">
        <v>5034</v>
      </c>
      <c r="AI26" s="54"/>
      <c r="AJ26" s="56" t="s">
        <v>5034</v>
      </c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8"/>
      <c r="BD26" s="55" t="s">
        <v>5034</v>
      </c>
      <c r="BO26" s="54"/>
      <c r="BP26" s="56" t="s">
        <v>5034</v>
      </c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6" t="s">
        <v>5034</v>
      </c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6" t="s">
        <v>5034</v>
      </c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6" t="s">
        <v>5034</v>
      </c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8"/>
      <c r="DL26" s="59">
        <v>0</v>
      </c>
      <c r="DM26" s="60">
        <v>0</v>
      </c>
      <c r="DN26" s="61">
        <v>0</v>
      </c>
      <c r="DO26" s="60">
        <v>0</v>
      </c>
      <c r="DP26" s="60">
        <v>0</v>
      </c>
      <c r="DQ26" s="59">
        <v>0</v>
      </c>
      <c r="DR26" s="62" t="s">
        <v>5034</v>
      </c>
      <c r="DS26" s="62" t="s">
        <v>5034</v>
      </c>
      <c r="DU26" s="62" t="s">
        <v>5034</v>
      </c>
      <c r="DV26" s="63">
        <v>44483.751950902777</v>
      </c>
      <c r="DW26" s="64">
        <v>2021</v>
      </c>
      <c r="DX26" s="65">
        <v>10</v>
      </c>
    </row>
    <row r="27" spans="2:128" ht="15">
      <c r="B27" s="43" t="s">
        <v>5022</v>
      </c>
      <c r="C27" s="43" t="s">
        <v>4812</v>
      </c>
      <c r="D27" s="43" t="s">
        <v>4824</v>
      </c>
      <c r="E27" s="49">
        <v>43264</v>
      </c>
      <c r="F27" s="49">
        <v>45520</v>
      </c>
      <c r="G27" s="50">
        <v>1</v>
      </c>
      <c r="H27" s="43" t="s">
        <v>4798</v>
      </c>
      <c r="I27" s="43" t="s">
        <v>5023</v>
      </c>
      <c r="J27" s="43"/>
      <c r="K27" s="43">
        <v>2</v>
      </c>
      <c r="L27" s="43">
        <v>3</v>
      </c>
      <c r="M27" s="43"/>
      <c r="N27" s="43"/>
      <c r="O27" s="43"/>
      <c r="P27" s="43" t="s">
        <v>5024</v>
      </c>
      <c r="Q27" s="43" t="s">
        <v>5042</v>
      </c>
      <c r="R27" s="43" t="s">
        <v>5043</v>
      </c>
      <c r="S27" s="43" t="s">
        <v>5026</v>
      </c>
      <c r="T27" s="51" t="s">
        <v>5027</v>
      </c>
      <c r="U27" s="52" t="s">
        <v>5028</v>
      </c>
      <c r="V27" s="53" t="s">
        <v>3896</v>
      </c>
      <c r="W27" s="54" t="s">
        <v>5034</v>
      </c>
      <c r="X27" s="55" t="s">
        <v>5034</v>
      </c>
      <c r="AI27" s="54"/>
      <c r="AJ27" s="56" t="s">
        <v>5034</v>
      </c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8"/>
      <c r="BD27" s="55" t="s">
        <v>5034</v>
      </c>
      <c r="BO27" s="54"/>
      <c r="BP27" s="56" t="s">
        <v>5034</v>
      </c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6" t="s">
        <v>5034</v>
      </c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6" t="s">
        <v>5034</v>
      </c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6" t="s">
        <v>5034</v>
      </c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8"/>
      <c r="DL27" s="59">
        <v>0</v>
      </c>
      <c r="DM27" s="60">
        <v>0</v>
      </c>
      <c r="DN27" s="61">
        <v>0</v>
      </c>
      <c r="DO27" s="60">
        <v>0</v>
      </c>
      <c r="DP27" s="60">
        <v>0</v>
      </c>
      <c r="DQ27" s="59">
        <v>0</v>
      </c>
      <c r="DR27" s="62" t="s">
        <v>5034</v>
      </c>
      <c r="DS27" s="62" t="s">
        <v>5034</v>
      </c>
      <c r="DU27" s="62" t="s">
        <v>5034</v>
      </c>
      <c r="DV27" s="63" t="e">
        <v>#N/A</v>
      </c>
      <c r="DW27" s="64" t="e">
        <v>#N/A</v>
      </c>
      <c r="DX27" s="65" t="e">
        <v>#N/A</v>
      </c>
    </row>
    <row r="28" spans="2:128" ht="15">
      <c r="B28" s="43" t="s">
        <v>5022</v>
      </c>
      <c r="C28" s="43" t="s">
        <v>4812</v>
      </c>
      <c r="D28" s="43" t="s">
        <v>4824</v>
      </c>
      <c r="E28" s="49">
        <v>43285</v>
      </c>
      <c r="F28" s="49">
        <v>45520</v>
      </c>
      <c r="G28" s="50">
        <v>1</v>
      </c>
      <c r="H28" s="43" t="s">
        <v>4798</v>
      </c>
      <c r="I28" s="43" t="s">
        <v>5023</v>
      </c>
      <c r="J28" s="43"/>
      <c r="K28" s="43">
        <v>2</v>
      </c>
      <c r="L28" s="43">
        <v>3</v>
      </c>
      <c r="M28" s="43"/>
      <c r="N28" s="43"/>
      <c r="O28" s="43"/>
      <c r="P28" s="43" t="s">
        <v>5024</v>
      </c>
      <c r="Q28" s="43" t="s">
        <v>5042</v>
      </c>
      <c r="R28" s="43" t="s">
        <v>5043</v>
      </c>
      <c r="S28" s="43" t="s">
        <v>5026</v>
      </c>
      <c r="T28" s="51" t="s">
        <v>5027</v>
      </c>
      <c r="U28" s="52" t="s">
        <v>5028</v>
      </c>
      <c r="V28" s="53" t="s">
        <v>3896</v>
      </c>
      <c r="W28" s="54" t="s">
        <v>5034</v>
      </c>
      <c r="X28" s="55" t="s">
        <v>5034</v>
      </c>
      <c r="AI28" s="54"/>
      <c r="AJ28" s="56" t="s">
        <v>5034</v>
      </c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8"/>
      <c r="BD28" s="55" t="s">
        <v>5034</v>
      </c>
      <c r="BO28" s="54"/>
      <c r="BP28" s="56" t="s">
        <v>5034</v>
      </c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6" t="s">
        <v>5034</v>
      </c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6" t="s">
        <v>5034</v>
      </c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6" t="s">
        <v>5034</v>
      </c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8"/>
      <c r="DL28" s="59">
        <v>0</v>
      </c>
      <c r="DM28" s="60">
        <v>0</v>
      </c>
      <c r="DN28" s="61">
        <v>0</v>
      </c>
      <c r="DO28" s="60">
        <v>0</v>
      </c>
      <c r="DP28" s="60">
        <v>0</v>
      </c>
      <c r="DQ28" s="59">
        <v>0</v>
      </c>
      <c r="DR28" s="62" t="s">
        <v>5034</v>
      </c>
      <c r="DS28" s="62" t="s">
        <v>5034</v>
      </c>
      <c r="DU28" s="62" t="s">
        <v>5034</v>
      </c>
      <c r="DV28" s="63" t="e">
        <v>#N/A</v>
      </c>
      <c r="DW28" s="64" t="e">
        <v>#N/A</v>
      </c>
      <c r="DX28" s="65" t="e">
        <v>#N/A</v>
      </c>
    </row>
    <row r="29" spans="2:128" ht="15">
      <c r="B29" s="43" t="s">
        <v>5022</v>
      </c>
      <c r="C29" s="43" t="s">
        <v>4812</v>
      </c>
      <c r="D29" s="43" t="s">
        <v>4824</v>
      </c>
      <c r="E29" s="49">
        <v>43292</v>
      </c>
      <c r="F29" s="49">
        <v>45699</v>
      </c>
      <c r="G29" s="50">
        <v>1</v>
      </c>
      <c r="H29" s="43" t="s">
        <v>4798</v>
      </c>
      <c r="I29" s="43" t="s">
        <v>5023</v>
      </c>
      <c r="J29" s="43"/>
      <c r="K29" s="43">
        <v>2</v>
      </c>
      <c r="L29" s="43">
        <v>3</v>
      </c>
      <c r="M29" s="43"/>
      <c r="N29" s="43"/>
      <c r="O29" s="43"/>
      <c r="P29" s="43" t="s">
        <v>5024</v>
      </c>
      <c r="Q29" s="43" t="s">
        <v>5042</v>
      </c>
      <c r="R29" s="43" t="s">
        <v>5043</v>
      </c>
      <c r="S29" s="43" t="s">
        <v>5026</v>
      </c>
      <c r="T29" s="51" t="s">
        <v>5027</v>
      </c>
      <c r="U29" s="52" t="s">
        <v>5028</v>
      </c>
      <c r="V29" s="53" t="s">
        <v>3896</v>
      </c>
      <c r="W29" s="54" t="s">
        <v>5034</v>
      </c>
      <c r="X29" s="55" t="s">
        <v>5034</v>
      </c>
      <c r="AI29" s="54"/>
      <c r="AJ29" s="56" t="s">
        <v>5034</v>
      </c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8"/>
      <c r="BD29" s="55" t="s">
        <v>5034</v>
      </c>
      <c r="BO29" s="54"/>
      <c r="BP29" s="56" t="s">
        <v>5034</v>
      </c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6" t="s">
        <v>5034</v>
      </c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6" t="s">
        <v>5034</v>
      </c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6" t="s">
        <v>5034</v>
      </c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8"/>
      <c r="DL29" s="59">
        <v>0</v>
      </c>
      <c r="DM29" s="60">
        <v>0</v>
      </c>
      <c r="DN29" s="61">
        <v>0</v>
      </c>
      <c r="DO29" s="60">
        <v>0</v>
      </c>
      <c r="DP29" s="60">
        <v>0</v>
      </c>
      <c r="DQ29" s="59">
        <v>0</v>
      </c>
      <c r="DR29" s="62" t="s">
        <v>5034</v>
      </c>
      <c r="DS29" s="62" t="s">
        <v>5034</v>
      </c>
      <c r="DU29" s="62" t="s">
        <v>5034</v>
      </c>
      <c r="DV29" s="63">
        <v>44483.751860567128</v>
      </c>
      <c r="DW29" s="64">
        <v>2021</v>
      </c>
      <c r="DX29" s="65">
        <v>10</v>
      </c>
    </row>
    <row r="30" spans="2:128" ht="15">
      <c r="B30" s="43" t="s">
        <v>5022</v>
      </c>
      <c r="C30" s="43" t="s">
        <v>4825</v>
      </c>
      <c r="D30" s="43" t="s">
        <v>4826</v>
      </c>
      <c r="E30" s="49">
        <v>43271</v>
      </c>
      <c r="F30" s="49"/>
      <c r="G30" s="50">
        <v>5</v>
      </c>
      <c r="H30" s="43" t="s">
        <v>4798</v>
      </c>
      <c r="I30" s="43" t="s">
        <v>5023</v>
      </c>
      <c r="J30" s="43">
        <v>6</v>
      </c>
      <c r="K30" s="43">
        <v>2</v>
      </c>
      <c r="L30" s="43">
        <v>3</v>
      </c>
      <c r="M30" s="43"/>
      <c r="N30" s="43"/>
      <c r="O30" s="43" t="s">
        <v>5053</v>
      </c>
      <c r="P30" s="43" t="s">
        <v>5024</v>
      </c>
      <c r="Q30" s="43" t="s">
        <v>5054</v>
      </c>
      <c r="R30" s="43" t="s">
        <v>5047</v>
      </c>
      <c r="S30" s="43" t="s">
        <v>5026</v>
      </c>
      <c r="T30" s="51" t="s">
        <v>5027</v>
      </c>
      <c r="U30" s="52" t="s">
        <v>5028</v>
      </c>
      <c r="V30" s="53" t="s">
        <v>3884</v>
      </c>
      <c r="W30" s="54" t="s">
        <v>1085</v>
      </c>
      <c r="X30" s="55" t="s">
        <v>4889</v>
      </c>
      <c r="Y30" t="s">
        <v>4896</v>
      </c>
      <c r="Z30" t="s">
        <v>4800</v>
      </c>
      <c r="AA30" t="s">
        <v>4891</v>
      </c>
      <c r="AI30" s="54"/>
      <c r="AJ30" s="56">
        <v>45740</v>
      </c>
      <c r="AK30" s="57">
        <v>45741</v>
      </c>
      <c r="AL30" s="57">
        <v>45742</v>
      </c>
      <c r="AM30" s="57">
        <v>45743</v>
      </c>
      <c r="AN30" s="57">
        <v>45744</v>
      </c>
      <c r="AO30" s="57">
        <v>45831</v>
      </c>
      <c r="AP30" s="57">
        <v>45832</v>
      </c>
      <c r="AQ30" s="57">
        <v>45833</v>
      </c>
      <c r="AR30" s="57">
        <v>45834</v>
      </c>
      <c r="AS30" s="57">
        <v>45835</v>
      </c>
      <c r="AT30" s="57">
        <v>45922</v>
      </c>
      <c r="AU30" s="57">
        <v>45923</v>
      </c>
      <c r="AV30" s="57">
        <v>45924</v>
      </c>
      <c r="AW30" s="57">
        <v>45925</v>
      </c>
      <c r="AX30" s="57">
        <v>45926</v>
      </c>
      <c r="AY30" s="57">
        <v>46013</v>
      </c>
      <c r="AZ30" s="57">
        <v>46014</v>
      </c>
      <c r="BA30" s="57">
        <v>46015</v>
      </c>
      <c r="BB30" s="57">
        <v>46017</v>
      </c>
      <c r="BC30" s="58">
        <v>46020</v>
      </c>
      <c r="BD30" s="55" t="s">
        <v>5030</v>
      </c>
      <c r="BE30" t="s">
        <v>5031</v>
      </c>
      <c r="BF30" t="s">
        <v>5032</v>
      </c>
      <c r="BG30" t="s">
        <v>5033</v>
      </c>
      <c r="BO30" s="54"/>
      <c r="BP30" s="56">
        <v>45712</v>
      </c>
      <c r="BQ30" s="57">
        <v>45803</v>
      </c>
      <c r="BR30" s="57">
        <v>45894</v>
      </c>
      <c r="BS30" s="57">
        <v>45985</v>
      </c>
      <c r="BT30" s="57"/>
      <c r="BU30" s="57"/>
      <c r="BV30" s="57"/>
      <c r="BW30" s="57"/>
      <c r="BX30" s="57"/>
      <c r="BY30" s="57"/>
      <c r="BZ30" s="57"/>
      <c r="CA30" s="57"/>
      <c r="CB30" s="56">
        <v>45730</v>
      </c>
      <c r="CC30" s="57">
        <v>45821</v>
      </c>
      <c r="CD30" s="57">
        <v>45912</v>
      </c>
      <c r="CE30" s="57">
        <v>46003</v>
      </c>
      <c r="CF30" s="57"/>
      <c r="CG30" s="57"/>
      <c r="CH30" s="57"/>
      <c r="CI30" s="57"/>
      <c r="CJ30" s="57"/>
      <c r="CK30" s="57"/>
      <c r="CL30" s="57"/>
      <c r="CM30" s="57"/>
      <c r="CN30" s="56">
        <v>45736</v>
      </c>
      <c r="CO30" s="57">
        <v>45827</v>
      </c>
      <c r="CP30" s="57">
        <v>45918</v>
      </c>
      <c r="CQ30" s="57">
        <v>46009</v>
      </c>
      <c r="CR30" s="57"/>
      <c r="CS30" s="57"/>
      <c r="CT30" s="57"/>
      <c r="CU30" s="57"/>
      <c r="CV30" s="57"/>
      <c r="CW30" s="57"/>
      <c r="CX30" s="57"/>
      <c r="CY30" s="57"/>
      <c r="CZ30" s="56" t="s">
        <v>5034</v>
      </c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8"/>
      <c r="DL30" s="59">
        <v>20</v>
      </c>
      <c r="DM30" s="60">
        <v>4</v>
      </c>
      <c r="DN30" s="61">
        <v>4</v>
      </c>
      <c r="DO30" s="60">
        <v>4</v>
      </c>
      <c r="DP30" s="60">
        <v>0</v>
      </c>
      <c r="DQ30" s="59">
        <v>32</v>
      </c>
      <c r="DR30" s="62">
        <v>455</v>
      </c>
      <c r="DS30" s="62" t="s">
        <v>5034</v>
      </c>
      <c r="DU30" s="62" t="s">
        <v>5034</v>
      </c>
      <c r="DV30" s="63">
        <v>44610.309395127311</v>
      </c>
      <c r="DW30" s="64">
        <v>2022</v>
      </c>
      <c r="DX30" s="65">
        <v>2</v>
      </c>
    </row>
    <row r="31" spans="2:128" ht="15">
      <c r="B31" s="43" t="s">
        <v>5022</v>
      </c>
      <c r="C31" s="43" t="s">
        <v>4802</v>
      </c>
      <c r="D31" s="43" t="s">
        <v>4827</v>
      </c>
      <c r="E31" s="49">
        <v>43278</v>
      </c>
      <c r="F31" s="49"/>
      <c r="G31" s="50">
        <v>1</v>
      </c>
      <c r="H31" s="43" t="s">
        <v>4798</v>
      </c>
      <c r="I31" s="43" t="s">
        <v>5023</v>
      </c>
      <c r="J31" s="43"/>
      <c r="K31" s="43">
        <v>2</v>
      </c>
      <c r="L31" s="43">
        <v>3</v>
      </c>
      <c r="M31" s="43"/>
      <c r="N31" s="43"/>
      <c r="O31" s="43" t="s">
        <v>4725</v>
      </c>
      <c r="P31" s="43" t="s">
        <v>5024</v>
      </c>
      <c r="Q31" s="43" t="s">
        <v>5055</v>
      </c>
      <c r="R31" s="43" t="s">
        <v>5047</v>
      </c>
      <c r="S31" s="43" t="s">
        <v>5026</v>
      </c>
      <c r="T31" s="51" t="s">
        <v>5027</v>
      </c>
      <c r="U31" s="52" t="s">
        <v>5028</v>
      </c>
      <c r="V31" s="53" t="s">
        <v>3884</v>
      </c>
      <c r="W31" s="54" t="s">
        <v>1067</v>
      </c>
      <c r="X31" s="55" t="s">
        <v>4889</v>
      </c>
      <c r="Y31" t="s">
        <v>4896</v>
      </c>
      <c r="Z31" t="s">
        <v>4800</v>
      </c>
      <c r="AA31" t="s">
        <v>4891</v>
      </c>
      <c r="AI31" s="54"/>
      <c r="AJ31" s="56">
        <v>45740</v>
      </c>
      <c r="AK31" s="57">
        <v>45831</v>
      </c>
      <c r="AL31" s="57">
        <v>45922</v>
      </c>
      <c r="AM31" s="57">
        <v>46013</v>
      </c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8"/>
      <c r="BD31" s="55" t="s">
        <v>5030</v>
      </c>
      <c r="BE31" t="s">
        <v>5031</v>
      </c>
      <c r="BF31" t="s">
        <v>5032</v>
      </c>
      <c r="BG31" t="s">
        <v>5033</v>
      </c>
      <c r="BO31" s="54"/>
      <c r="BP31" s="56">
        <v>45712</v>
      </c>
      <c r="BQ31" s="57">
        <v>45803</v>
      </c>
      <c r="BR31" s="57">
        <v>45894</v>
      </c>
      <c r="BS31" s="57">
        <v>45985</v>
      </c>
      <c r="BT31" s="57"/>
      <c r="BU31" s="57"/>
      <c r="BV31" s="57"/>
      <c r="BW31" s="57"/>
      <c r="BX31" s="57"/>
      <c r="BY31" s="57"/>
      <c r="BZ31" s="57"/>
      <c r="CA31" s="57"/>
      <c r="CB31" s="56" t="s">
        <v>5034</v>
      </c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6">
        <v>45736</v>
      </c>
      <c r="CO31" s="57">
        <v>45827</v>
      </c>
      <c r="CP31" s="57">
        <v>45918</v>
      </c>
      <c r="CQ31" s="57">
        <v>46009</v>
      </c>
      <c r="CR31" s="57"/>
      <c r="CS31" s="57"/>
      <c r="CT31" s="57"/>
      <c r="CU31" s="57"/>
      <c r="CV31" s="57"/>
      <c r="CW31" s="57"/>
      <c r="CX31" s="57"/>
      <c r="CY31" s="57"/>
      <c r="CZ31" s="56" t="s">
        <v>5034</v>
      </c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8"/>
      <c r="DL31" s="59">
        <v>4</v>
      </c>
      <c r="DM31" s="60">
        <v>4</v>
      </c>
      <c r="DN31" s="61">
        <v>0</v>
      </c>
      <c r="DO31" s="60">
        <v>4</v>
      </c>
      <c r="DP31" s="60">
        <v>0</v>
      </c>
      <c r="DQ31" s="59">
        <v>12</v>
      </c>
      <c r="DR31" s="62">
        <v>487</v>
      </c>
      <c r="DS31" s="62" t="s">
        <v>5034</v>
      </c>
      <c r="DU31" s="62" t="s">
        <v>5034</v>
      </c>
      <c r="DV31" s="63">
        <v>44687</v>
      </c>
      <c r="DW31" s="64">
        <v>2022</v>
      </c>
      <c r="DX31" s="65">
        <v>5</v>
      </c>
    </row>
    <row r="32" spans="2:128" ht="15">
      <c r="B32" s="43" t="s">
        <v>5022</v>
      </c>
      <c r="C32" s="43" t="s">
        <v>4802</v>
      </c>
      <c r="D32" s="43" t="s">
        <v>4828</v>
      </c>
      <c r="E32" s="49">
        <v>43299</v>
      </c>
      <c r="F32" s="49"/>
      <c r="G32" s="50">
        <v>1</v>
      </c>
      <c r="H32" s="43" t="s">
        <v>4798</v>
      </c>
      <c r="I32" s="43" t="s">
        <v>5023</v>
      </c>
      <c r="J32" s="43"/>
      <c r="K32" s="43">
        <v>2</v>
      </c>
      <c r="L32" s="43">
        <v>3</v>
      </c>
      <c r="M32" s="43"/>
      <c r="N32" s="43"/>
      <c r="O32" s="43"/>
      <c r="P32" s="43" t="s">
        <v>5024</v>
      </c>
      <c r="Q32" s="43"/>
      <c r="R32" s="43" t="s">
        <v>5025</v>
      </c>
      <c r="S32" s="43" t="s">
        <v>5026</v>
      </c>
      <c r="T32" s="51" t="s">
        <v>5027</v>
      </c>
      <c r="U32" s="52" t="s">
        <v>5028</v>
      </c>
      <c r="V32" s="53" t="s">
        <v>3884</v>
      </c>
      <c r="W32" s="54" t="s">
        <v>2652</v>
      </c>
      <c r="X32" s="55" t="s">
        <v>4889</v>
      </c>
      <c r="Y32" t="s">
        <v>4896</v>
      </c>
      <c r="Z32" t="s">
        <v>4800</v>
      </c>
      <c r="AA32" t="s">
        <v>4891</v>
      </c>
      <c r="AI32" s="54"/>
      <c r="AJ32" s="56">
        <v>45740</v>
      </c>
      <c r="AK32" s="57">
        <v>45831</v>
      </c>
      <c r="AL32" s="57">
        <v>45922</v>
      </c>
      <c r="AM32" s="57">
        <v>46013</v>
      </c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8"/>
      <c r="BD32" s="55" t="s">
        <v>5030</v>
      </c>
      <c r="BE32" t="s">
        <v>5031</v>
      </c>
      <c r="BF32" t="s">
        <v>5032</v>
      </c>
      <c r="BG32" t="s">
        <v>5033</v>
      </c>
      <c r="BO32" s="54"/>
      <c r="BP32" s="56">
        <v>45712</v>
      </c>
      <c r="BQ32" s="57">
        <v>45803</v>
      </c>
      <c r="BR32" s="57">
        <v>45894</v>
      </c>
      <c r="BS32" s="57">
        <v>45985</v>
      </c>
      <c r="BT32" s="57"/>
      <c r="BU32" s="57"/>
      <c r="BV32" s="57"/>
      <c r="BW32" s="57"/>
      <c r="BX32" s="57"/>
      <c r="BY32" s="57"/>
      <c r="BZ32" s="57"/>
      <c r="CA32" s="57"/>
      <c r="CB32" s="56" t="s">
        <v>5034</v>
      </c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6">
        <v>45736</v>
      </c>
      <c r="CO32" s="57">
        <v>45827</v>
      </c>
      <c r="CP32" s="57">
        <v>45918</v>
      </c>
      <c r="CQ32" s="57">
        <v>46009</v>
      </c>
      <c r="CR32" s="57"/>
      <c r="CS32" s="57"/>
      <c r="CT32" s="57"/>
      <c r="CU32" s="57"/>
      <c r="CV32" s="57"/>
      <c r="CW32" s="57"/>
      <c r="CX32" s="57"/>
      <c r="CY32" s="57"/>
      <c r="CZ32" s="56" t="s">
        <v>5034</v>
      </c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8"/>
      <c r="DL32" s="59">
        <v>4</v>
      </c>
      <c r="DM32" s="60">
        <v>4</v>
      </c>
      <c r="DN32" s="61">
        <v>0</v>
      </c>
      <c r="DO32" s="60">
        <v>4</v>
      </c>
      <c r="DP32" s="60">
        <v>0</v>
      </c>
      <c r="DQ32" s="59">
        <v>12</v>
      </c>
      <c r="DR32" s="62">
        <v>515</v>
      </c>
      <c r="DS32" s="62" t="s">
        <v>5034</v>
      </c>
      <c r="DU32" s="62" t="s">
        <v>5034</v>
      </c>
      <c r="DV32" s="63">
        <v>44483.752131875</v>
      </c>
      <c r="DW32" s="64">
        <v>2021</v>
      </c>
      <c r="DX32" s="65">
        <v>10</v>
      </c>
    </row>
    <row r="33" spans="2:128" ht="15">
      <c r="B33" s="43" t="s">
        <v>5022</v>
      </c>
      <c r="C33" s="43" t="s">
        <v>4802</v>
      </c>
      <c r="D33" s="43" t="s">
        <v>4829</v>
      </c>
      <c r="E33" s="49">
        <v>43327</v>
      </c>
      <c r="F33" s="49"/>
      <c r="G33" s="50">
        <v>1</v>
      </c>
      <c r="H33" s="43" t="s">
        <v>4798</v>
      </c>
      <c r="I33" s="43" t="s">
        <v>5023</v>
      </c>
      <c r="J33" s="43"/>
      <c r="K33" s="43">
        <v>2</v>
      </c>
      <c r="L33" s="43">
        <v>3</v>
      </c>
      <c r="M33" s="43"/>
      <c r="N33" s="43"/>
      <c r="O33" s="43"/>
      <c r="P33" s="43" t="s">
        <v>5024</v>
      </c>
      <c r="Q33" s="43" t="s">
        <v>5056</v>
      </c>
      <c r="R33" s="43" t="s">
        <v>5025</v>
      </c>
      <c r="S33" s="43" t="s">
        <v>5026</v>
      </c>
      <c r="T33" s="51" t="s">
        <v>5027</v>
      </c>
      <c r="U33" s="52" t="s">
        <v>5028</v>
      </c>
      <c r="V33" s="53" t="s">
        <v>3884</v>
      </c>
      <c r="W33" s="54" t="s">
        <v>2643</v>
      </c>
      <c r="X33" s="55" t="s">
        <v>4889</v>
      </c>
      <c r="Y33" t="s">
        <v>4896</v>
      </c>
      <c r="Z33" t="s">
        <v>4800</v>
      </c>
      <c r="AA33" t="s">
        <v>4891</v>
      </c>
      <c r="AI33" s="54"/>
      <c r="AJ33" s="56">
        <v>45740</v>
      </c>
      <c r="AK33" s="57">
        <v>45831</v>
      </c>
      <c r="AL33" s="57">
        <v>45922</v>
      </c>
      <c r="AM33" s="57">
        <v>46013</v>
      </c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8"/>
      <c r="BD33" s="55" t="s">
        <v>5030</v>
      </c>
      <c r="BE33" t="s">
        <v>5031</v>
      </c>
      <c r="BF33" t="s">
        <v>5032</v>
      </c>
      <c r="BG33" t="s">
        <v>5033</v>
      </c>
      <c r="BO33" s="54"/>
      <c r="BP33" s="56">
        <v>45712</v>
      </c>
      <c r="BQ33" s="57">
        <v>45803</v>
      </c>
      <c r="BR33" s="57">
        <v>45894</v>
      </c>
      <c r="BS33" s="57">
        <v>45985</v>
      </c>
      <c r="BT33" s="57"/>
      <c r="BU33" s="57"/>
      <c r="BV33" s="57"/>
      <c r="BW33" s="57"/>
      <c r="BX33" s="57"/>
      <c r="BY33" s="57"/>
      <c r="BZ33" s="57"/>
      <c r="CA33" s="57"/>
      <c r="CB33" s="56" t="s">
        <v>5034</v>
      </c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6">
        <v>45736</v>
      </c>
      <c r="CO33" s="57">
        <v>45827</v>
      </c>
      <c r="CP33" s="57">
        <v>45918</v>
      </c>
      <c r="CQ33" s="57">
        <v>46009</v>
      </c>
      <c r="CR33" s="57"/>
      <c r="CS33" s="57"/>
      <c r="CT33" s="57"/>
      <c r="CU33" s="57"/>
      <c r="CV33" s="57"/>
      <c r="CW33" s="57"/>
      <c r="CX33" s="57"/>
      <c r="CY33" s="57"/>
      <c r="CZ33" s="56" t="s">
        <v>5034</v>
      </c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8"/>
      <c r="DL33" s="59">
        <v>4</v>
      </c>
      <c r="DM33" s="60">
        <v>4</v>
      </c>
      <c r="DN33" s="61">
        <v>0</v>
      </c>
      <c r="DO33" s="60">
        <v>4</v>
      </c>
      <c r="DP33" s="60">
        <v>0</v>
      </c>
      <c r="DQ33" s="59">
        <v>12</v>
      </c>
      <c r="DR33" s="62">
        <v>527</v>
      </c>
      <c r="DS33" s="62" t="s">
        <v>5034</v>
      </c>
      <c r="DU33" s="62" t="s">
        <v>5034</v>
      </c>
      <c r="DV33" s="63">
        <v>44483.752689641202</v>
      </c>
      <c r="DW33" s="64">
        <v>2021</v>
      </c>
      <c r="DX33" s="65">
        <v>10</v>
      </c>
    </row>
    <row r="34" spans="2:128" ht="15">
      <c r="B34" s="43" t="s">
        <v>5022</v>
      </c>
      <c r="C34" s="43" t="s">
        <v>4802</v>
      </c>
      <c r="D34" s="43" t="s">
        <v>4830</v>
      </c>
      <c r="E34" s="49">
        <v>43334</v>
      </c>
      <c r="F34" s="49"/>
      <c r="G34" s="50">
        <v>1</v>
      </c>
      <c r="H34" s="43" t="s">
        <v>4798</v>
      </c>
      <c r="I34" s="43" t="s">
        <v>5023</v>
      </c>
      <c r="J34" s="43"/>
      <c r="K34" s="43">
        <v>2</v>
      </c>
      <c r="L34" s="43">
        <v>3</v>
      </c>
      <c r="M34" s="43"/>
      <c r="N34" s="43"/>
      <c r="O34" s="43"/>
      <c r="P34" s="43" t="s">
        <v>5024</v>
      </c>
      <c r="Q34" s="43" t="s">
        <v>5057</v>
      </c>
      <c r="R34" s="43" t="s">
        <v>5025</v>
      </c>
      <c r="S34" s="43" t="s">
        <v>5026</v>
      </c>
      <c r="T34" s="51" t="s">
        <v>5027</v>
      </c>
      <c r="U34" s="52" t="s">
        <v>5028</v>
      </c>
      <c r="V34" s="53" t="s">
        <v>3884</v>
      </c>
      <c r="W34" s="54" t="s">
        <v>2634</v>
      </c>
      <c r="X34" s="55" t="s">
        <v>4889</v>
      </c>
      <c r="Y34" t="s">
        <v>4896</v>
      </c>
      <c r="Z34" t="s">
        <v>4800</v>
      </c>
      <c r="AA34" t="s">
        <v>4891</v>
      </c>
      <c r="AI34" s="54"/>
      <c r="AJ34" s="56">
        <v>45740</v>
      </c>
      <c r="AK34" s="57">
        <v>45831</v>
      </c>
      <c r="AL34" s="57">
        <v>45922</v>
      </c>
      <c r="AM34" s="57">
        <v>46013</v>
      </c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8"/>
      <c r="BD34" s="55" t="s">
        <v>5030</v>
      </c>
      <c r="BE34" t="s">
        <v>5031</v>
      </c>
      <c r="BF34" t="s">
        <v>5032</v>
      </c>
      <c r="BG34" t="s">
        <v>5033</v>
      </c>
      <c r="BO34" s="54"/>
      <c r="BP34" s="56">
        <v>45712</v>
      </c>
      <c r="BQ34" s="57">
        <v>45803</v>
      </c>
      <c r="BR34" s="57">
        <v>45894</v>
      </c>
      <c r="BS34" s="57">
        <v>45985</v>
      </c>
      <c r="BT34" s="57"/>
      <c r="BU34" s="57"/>
      <c r="BV34" s="57"/>
      <c r="BW34" s="57"/>
      <c r="BX34" s="57"/>
      <c r="BY34" s="57"/>
      <c r="BZ34" s="57"/>
      <c r="CA34" s="57"/>
      <c r="CB34" s="56" t="s">
        <v>5034</v>
      </c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6">
        <v>45736</v>
      </c>
      <c r="CO34" s="57">
        <v>45827</v>
      </c>
      <c r="CP34" s="57">
        <v>45918</v>
      </c>
      <c r="CQ34" s="57">
        <v>46009</v>
      </c>
      <c r="CR34" s="57"/>
      <c r="CS34" s="57"/>
      <c r="CT34" s="57"/>
      <c r="CU34" s="57"/>
      <c r="CV34" s="57"/>
      <c r="CW34" s="57"/>
      <c r="CX34" s="57"/>
      <c r="CY34" s="57"/>
      <c r="CZ34" s="56" t="s">
        <v>5034</v>
      </c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8"/>
      <c r="DL34" s="59">
        <v>4</v>
      </c>
      <c r="DM34" s="60">
        <v>4</v>
      </c>
      <c r="DN34" s="61">
        <v>0</v>
      </c>
      <c r="DO34" s="60">
        <v>4</v>
      </c>
      <c r="DP34" s="60">
        <v>0</v>
      </c>
      <c r="DQ34" s="59">
        <v>12</v>
      </c>
      <c r="DR34" s="62">
        <v>539</v>
      </c>
      <c r="DS34" s="62" t="s">
        <v>5034</v>
      </c>
      <c r="DU34" s="62" t="s">
        <v>5034</v>
      </c>
      <c r="DV34" s="63">
        <v>44483.752222430558</v>
      </c>
      <c r="DW34" s="64">
        <v>2021</v>
      </c>
      <c r="DX34" s="65">
        <v>10</v>
      </c>
    </row>
    <row r="35" spans="2:128" ht="15">
      <c r="B35" s="43" t="s">
        <v>5022</v>
      </c>
      <c r="C35" s="43" t="s">
        <v>4825</v>
      </c>
      <c r="D35" s="43" t="s">
        <v>4831</v>
      </c>
      <c r="E35" s="49">
        <v>43341</v>
      </c>
      <c r="F35" s="49"/>
      <c r="G35" s="50">
        <v>1</v>
      </c>
      <c r="H35" s="43" t="s">
        <v>4798</v>
      </c>
      <c r="I35" s="43" t="s">
        <v>5023</v>
      </c>
      <c r="J35" s="43">
        <v>6</v>
      </c>
      <c r="K35" s="43">
        <v>2</v>
      </c>
      <c r="L35" s="43">
        <v>3</v>
      </c>
      <c r="M35" s="43"/>
      <c r="N35" s="43"/>
      <c r="O35" s="43" t="s">
        <v>5053</v>
      </c>
      <c r="P35" s="43" t="s">
        <v>5024</v>
      </c>
      <c r="Q35" s="43" t="s">
        <v>5054</v>
      </c>
      <c r="R35" s="43" t="s">
        <v>5047</v>
      </c>
      <c r="S35" s="43" t="s">
        <v>5026</v>
      </c>
      <c r="T35" s="51" t="s">
        <v>5027</v>
      </c>
      <c r="U35" s="52" t="s">
        <v>5028</v>
      </c>
      <c r="V35" s="53" t="s">
        <v>3884</v>
      </c>
      <c r="W35" s="54" t="s">
        <v>1031</v>
      </c>
      <c r="X35" s="55" t="s">
        <v>4889</v>
      </c>
      <c r="Y35" t="s">
        <v>4896</v>
      </c>
      <c r="Z35" t="s">
        <v>4800</v>
      </c>
      <c r="AA35" t="s">
        <v>4891</v>
      </c>
      <c r="AI35" s="54"/>
      <c r="AJ35" s="56">
        <v>45740</v>
      </c>
      <c r="AK35" s="57">
        <v>45831</v>
      </c>
      <c r="AL35" s="57">
        <v>45922</v>
      </c>
      <c r="AM35" s="57">
        <v>46013</v>
      </c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8"/>
      <c r="BD35" s="55" t="s">
        <v>5030</v>
      </c>
      <c r="BE35" t="s">
        <v>5031</v>
      </c>
      <c r="BF35" t="s">
        <v>5032</v>
      </c>
      <c r="BG35" t="s">
        <v>5033</v>
      </c>
      <c r="BO35" s="54"/>
      <c r="BP35" s="56">
        <v>45712</v>
      </c>
      <c r="BQ35" s="57">
        <v>45803</v>
      </c>
      <c r="BR35" s="57">
        <v>45894</v>
      </c>
      <c r="BS35" s="57">
        <v>45985</v>
      </c>
      <c r="BT35" s="57"/>
      <c r="BU35" s="57"/>
      <c r="BV35" s="57"/>
      <c r="BW35" s="57"/>
      <c r="BX35" s="57"/>
      <c r="BY35" s="57"/>
      <c r="BZ35" s="57"/>
      <c r="CA35" s="57"/>
      <c r="CB35" s="56">
        <v>45730</v>
      </c>
      <c r="CC35" s="57">
        <v>45821</v>
      </c>
      <c r="CD35" s="57">
        <v>45912</v>
      </c>
      <c r="CE35" s="57">
        <v>46003</v>
      </c>
      <c r="CF35" s="57"/>
      <c r="CG35" s="57"/>
      <c r="CH35" s="57"/>
      <c r="CI35" s="57"/>
      <c r="CJ35" s="57"/>
      <c r="CK35" s="57"/>
      <c r="CL35" s="57"/>
      <c r="CM35" s="57"/>
      <c r="CN35" s="56">
        <v>45736</v>
      </c>
      <c r="CO35" s="57">
        <v>45827</v>
      </c>
      <c r="CP35" s="57">
        <v>45918</v>
      </c>
      <c r="CQ35" s="57">
        <v>46009</v>
      </c>
      <c r="CR35" s="57"/>
      <c r="CS35" s="57"/>
      <c r="CT35" s="57"/>
      <c r="CU35" s="57"/>
      <c r="CV35" s="57"/>
      <c r="CW35" s="57"/>
      <c r="CX35" s="57"/>
      <c r="CY35" s="57"/>
      <c r="CZ35" s="56" t="s">
        <v>5034</v>
      </c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8"/>
      <c r="DL35" s="59">
        <v>4</v>
      </c>
      <c r="DM35" s="60">
        <v>4</v>
      </c>
      <c r="DN35" s="61">
        <v>4</v>
      </c>
      <c r="DO35" s="60">
        <v>4</v>
      </c>
      <c r="DP35" s="60">
        <v>0</v>
      </c>
      <c r="DQ35" s="59">
        <v>16</v>
      </c>
      <c r="DR35" s="62">
        <v>551</v>
      </c>
      <c r="DS35" s="62" t="s">
        <v>5034</v>
      </c>
      <c r="DU35" s="62" t="s">
        <v>5034</v>
      </c>
      <c r="DV35" s="63">
        <v>44610.310982754629</v>
      </c>
      <c r="DW35" s="64">
        <v>2022</v>
      </c>
      <c r="DX35" s="65">
        <v>2</v>
      </c>
    </row>
    <row r="36" spans="2:128" ht="15">
      <c r="B36" s="43" t="s">
        <v>5022</v>
      </c>
      <c r="C36" s="43" t="s">
        <v>4802</v>
      </c>
      <c r="D36" s="43" t="s">
        <v>4832</v>
      </c>
      <c r="E36" s="49">
        <v>43390</v>
      </c>
      <c r="F36" s="49"/>
      <c r="G36" s="50">
        <v>1</v>
      </c>
      <c r="H36" s="43" t="s">
        <v>4798</v>
      </c>
      <c r="I36" s="43" t="s">
        <v>5023</v>
      </c>
      <c r="J36" s="43"/>
      <c r="K36" s="43">
        <v>2</v>
      </c>
      <c r="L36" s="43">
        <v>3</v>
      </c>
      <c r="M36" s="43"/>
      <c r="N36" s="43"/>
      <c r="O36" s="43" t="s">
        <v>4725</v>
      </c>
      <c r="P36" s="43" t="s">
        <v>5024</v>
      </c>
      <c r="Q36" s="43" t="s">
        <v>5058</v>
      </c>
      <c r="R36" s="43" t="s">
        <v>5025</v>
      </c>
      <c r="S36" s="43" t="s">
        <v>5026</v>
      </c>
      <c r="T36" s="51" t="s">
        <v>5027</v>
      </c>
      <c r="U36" s="52" t="s">
        <v>5028</v>
      </c>
      <c r="V36" s="53" t="s">
        <v>3884</v>
      </c>
      <c r="W36" s="54" t="s">
        <v>2625</v>
      </c>
      <c r="X36" s="55" t="s">
        <v>4889</v>
      </c>
      <c r="Y36" t="s">
        <v>4896</v>
      </c>
      <c r="Z36" t="s">
        <v>4800</v>
      </c>
      <c r="AA36" t="s">
        <v>4891</v>
      </c>
      <c r="AI36" s="54"/>
      <c r="AJ36" s="56">
        <v>45740</v>
      </c>
      <c r="AK36" s="57">
        <v>45831</v>
      </c>
      <c r="AL36" s="57">
        <v>45922</v>
      </c>
      <c r="AM36" s="57">
        <v>46013</v>
      </c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8"/>
      <c r="BD36" s="55" t="s">
        <v>5030</v>
      </c>
      <c r="BE36" t="s">
        <v>5031</v>
      </c>
      <c r="BF36" t="s">
        <v>5032</v>
      </c>
      <c r="BG36" t="s">
        <v>5033</v>
      </c>
      <c r="BO36" s="54"/>
      <c r="BP36" s="56">
        <v>45712</v>
      </c>
      <c r="BQ36" s="57">
        <v>45803</v>
      </c>
      <c r="BR36" s="57">
        <v>45894</v>
      </c>
      <c r="BS36" s="57">
        <v>45985</v>
      </c>
      <c r="BT36" s="57"/>
      <c r="BU36" s="57"/>
      <c r="BV36" s="57"/>
      <c r="BW36" s="57"/>
      <c r="BX36" s="57"/>
      <c r="BY36" s="57"/>
      <c r="BZ36" s="57"/>
      <c r="CA36" s="57"/>
      <c r="CB36" s="56" t="s">
        <v>5034</v>
      </c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6">
        <v>45736</v>
      </c>
      <c r="CO36" s="57">
        <v>45827</v>
      </c>
      <c r="CP36" s="57">
        <v>45918</v>
      </c>
      <c r="CQ36" s="57">
        <v>46009</v>
      </c>
      <c r="CR36" s="57"/>
      <c r="CS36" s="57"/>
      <c r="CT36" s="57"/>
      <c r="CU36" s="57"/>
      <c r="CV36" s="57"/>
      <c r="CW36" s="57"/>
      <c r="CX36" s="57"/>
      <c r="CY36" s="57"/>
      <c r="CZ36" s="56" t="s">
        <v>5034</v>
      </c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8"/>
      <c r="DL36" s="59">
        <v>4</v>
      </c>
      <c r="DM36" s="60">
        <v>4</v>
      </c>
      <c r="DN36" s="61">
        <v>0</v>
      </c>
      <c r="DO36" s="60">
        <v>4</v>
      </c>
      <c r="DP36" s="60">
        <v>0</v>
      </c>
      <c r="DQ36" s="59">
        <v>12</v>
      </c>
      <c r="DR36" s="62">
        <v>567</v>
      </c>
      <c r="DS36" s="62" t="s">
        <v>5034</v>
      </c>
      <c r="DU36" s="62" t="s">
        <v>5034</v>
      </c>
      <c r="DV36" s="63">
        <v>44483.752975162039</v>
      </c>
      <c r="DW36" s="64">
        <v>2021</v>
      </c>
      <c r="DX36" s="65">
        <v>10</v>
      </c>
    </row>
    <row r="37" spans="2:128" ht="15">
      <c r="B37" s="43" t="s">
        <v>5022</v>
      </c>
      <c r="C37" s="43" t="s">
        <v>4833</v>
      </c>
      <c r="D37" s="43" t="s">
        <v>4834</v>
      </c>
      <c r="E37" s="49">
        <v>43411</v>
      </c>
      <c r="F37" s="49"/>
      <c r="G37" s="50">
        <v>1</v>
      </c>
      <c r="H37" s="43" t="s">
        <v>4798</v>
      </c>
      <c r="I37" s="43" t="s">
        <v>5023</v>
      </c>
      <c r="J37" s="43"/>
      <c r="K37" s="43">
        <v>2</v>
      </c>
      <c r="L37" s="43">
        <v>3</v>
      </c>
      <c r="M37" s="43"/>
      <c r="N37" s="43"/>
      <c r="O37" s="43" t="s">
        <v>5059</v>
      </c>
      <c r="P37" s="43" t="s">
        <v>5024</v>
      </c>
      <c r="Q37" s="43" t="s">
        <v>5060</v>
      </c>
      <c r="R37" s="43" t="s">
        <v>5043</v>
      </c>
      <c r="S37" s="43" t="s">
        <v>5026</v>
      </c>
      <c r="T37" s="51" t="s">
        <v>5027</v>
      </c>
      <c r="U37" s="52" t="s">
        <v>5028</v>
      </c>
      <c r="V37" s="53" t="s">
        <v>3884</v>
      </c>
      <c r="W37" s="54" t="s">
        <v>2607</v>
      </c>
      <c r="X37" s="55" t="s">
        <v>4889</v>
      </c>
      <c r="Y37" t="s">
        <v>4896</v>
      </c>
      <c r="Z37" t="s">
        <v>4800</v>
      </c>
      <c r="AA37" t="s">
        <v>4891</v>
      </c>
      <c r="AI37" s="54"/>
      <c r="AJ37" s="56">
        <v>45740</v>
      </c>
      <c r="AK37" s="57">
        <v>45831</v>
      </c>
      <c r="AL37" s="57">
        <v>45922</v>
      </c>
      <c r="AM37" s="57">
        <v>46013</v>
      </c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8"/>
      <c r="BD37" s="55" t="s">
        <v>5030</v>
      </c>
      <c r="BE37" t="s">
        <v>5031</v>
      </c>
      <c r="BF37" t="s">
        <v>5032</v>
      </c>
      <c r="BG37" t="s">
        <v>5033</v>
      </c>
      <c r="BO37" s="54"/>
      <c r="BP37" s="56">
        <v>45712</v>
      </c>
      <c r="BQ37" s="57">
        <v>45803</v>
      </c>
      <c r="BR37" s="57">
        <v>45894</v>
      </c>
      <c r="BS37" s="57">
        <v>45985</v>
      </c>
      <c r="BT37" s="57"/>
      <c r="BU37" s="57"/>
      <c r="BV37" s="57"/>
      <c r="BW37" s="57"/>
      <c r="BX37" s="57"/>
      <c r="BY37" s="57"/>
      <c r="BZ37" s="57"/>
      <c r="CA37" s="57"/>
      <c r="CB37" s="56" t="s">
        <v>5034</v>
      </c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6">
        <v>45736</v>
      </c>
      <c r="CO37" s="57">
        <v>45827</v>
      </c>
      <c r="CP37" s="57">
        <v>45918</v>
      </c>
      <c r="CQ37" s="57">
        <v>46009</v>
      </c>
      <c r="CR37" s="57"/>
      <c r="CS37" s="57"/>
      <c r="CT37" s="57"/>
      <c r="CU37" s="57"/>
      <c r="CV37" s="57"/>
      <c r="CW37" s="57"/>
      <c r="CX37" s="57"/>
      <c r="CY37" s="57"/>
      <c r="CZ37" s="56" t="s">
        <v>5034</v>
      </c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8"/>
      <c r="DL37" s="59">
        <v>4</v>
      </c>
      <c r="DM37" s="60">
        <v>4</v>
      </c>
      <c r="DN37" s="61">
        <v>0</v>
      </c>
      <c r="DO37" s="60">
        <v>4</v>
      </c>
      <c r="DP37" s="60">
        <v>0</v>
      </c>
      <c r="DQ37" s="59">
        <v>12</v>
      </c>
      <c r="DR37" s="62">
        <v>579</v>
      </c>
      <c r="DS37" s="62" t="s">
        <v>5034</v>
      </c>
      <c r="DU37" s="62" t="s">
        <v>5034</v>
      </c>
      <c r="DV37" s="63">
        <v>44483.75028</v>
      </c>
      <c r="DW37" s="64">
        <v>2021</v>
      </c>
      <c r="DX37" s="65">
        <v>10</v>
      </c>
    </row>
    <row r="38" spans="2:128" ht="15">
      <c r="B38" s="43" t="s">
        <v>5022</v>
      </c>
      <c r="C38" s="43" t="s">
        <v>4833</v>
      </c>
      <c r="D38" s="43" t="s">
        <v>4835</v>
      </c>
      <c r="E38" s="49">
        <v>43411</v>
      </c>
      <c r="F38" s="49"/>
      <c r="G38" s="50">
        <v>1</v>
      </c>
      <c r="H38" s="43" t="s">
        <v>4798</v>
      </c>
      <c r="I38" s="43" t="s">
        <v>5023</v>
      </c>
      <c r="J38" s="43"/>
      <c r="K38" s="43">
        <v>2</v>
      </c>
      <c r="L38" s="43">
        <v>3</v>
      </c>
      <c r="M38" s="43"/>
      <c r="N38" s="43"/>
      <c r="O38" s="43" t="s">
        <v>5059</v>
      </c>
      <c r="P38" s="43" t="s">
        <v>5024</v>
      </c>
      <c r="Q38" s="43" t="s">
        <v>5060</v>
      </c>
      <c r="R38" s="43" t="s">
        <v>5043</v>
      </c>
      <c r="S38" s="43" t="s">
        <v>5026</v>
      </c>
      <c r="T38" s="51" t="s">
        <v>5027</v>
      </c>
      <c r="U38" s="52" t="s">
        <v>5028</v>
      </c>
      <c r="V38" s="53" t="s">
        <v>3884</v>
      </c>
      <c r="W38" s="54" t="s">
        <v>2616</v>
      </c>
      <c r="X38" s="55" t="s">
        <v>4889</v>
      </c>
      <c r="Y38" t="s">
        <v>4896</v>
      </c>
      <c r="Z38" t="s">
        <v>4800</v>
      </c>
      <c r="AA38" t="s">
        <v>4891</v>
      </c>
      <c r="AI38" s="54"/>
      <c r="AJ38" s="56">
        <v>45740</v>
      </c>
      <c r="AK38" s="57">
        <v>45831</v>
      </c>
      <c r="AL38" s="57">
        <v>45922</v>
      </c>
      <c r="AM38" s="57">
        <v>46013</v>
      </c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8"/>
      <c r="BD38" s="55" t="s">
        <v>5030</v>
      </c>
      <c r="BE38" t="s">
        <v>5031</v>
      </c>
      <c r="BF38" t="s">
        <v>5032</v>
      </c>
      <c r="BG38" t="s">
        <v>5033</v>
      </c>
      <c r="BO38" s="54"/>
      <c r="BP38" s="56">
        <v>45712</v>
      </c>
      <c r="BQ38" s="57">
        <v>45803</v>
      </c>
      <c r="BR38" s="57">
        <v>45894</v>
      </c>
      <c r="BS38" s="57">
        <v>45985</v>
      </c>
      <c r="BT38" s="57"/>
      <c r="BU38" s="57"/>
      <c r="BV38" s="57"/>
      <c r="BW38" s="57"/>
      <c r="BX38" s="57"/>
      <c r="BY38" s="57"/>
      <c r="BZ38" s="57"/>
      <c r="CA38" s="57"/>
      <c r="CB38" s="56" t="s">
        <v>5034</v>
      </c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6">
        <v>45736</v>
      </c>
      <c r="CO38" s="57">
        <v>45827</v>
      </c>
      <c r="CP38" s="57">
        <v>45918</v>
      </c>
      <c r="CQ38" s="57">
        <v>46009</v>
      </c>
      <c r="CR38" s="57"/>
      <c r="CS38" s="57"/>
      <c r="CT38" s="57"/>
      <c r="CU38" s="57"/>
      <c r="CV38" s="57"/>
      <c r="CW38" s="57"/>
      <c r="CX38" s="57"/>
      <c r="CY38" s="57"/>
      <c r="CZ38" s="56" t="s">
        <v>5034</v>
      </c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8"/>
      <c r="DL38" s="59">
        <v>4</v>
      </c>
      <c r="DM38" s="60">
        <v>4</v>
      </c>
      <c r="DN38" s="61">
        <v>0</v>
      </c>
      <c r="DO38" s="60">
        <v>4</v>
      </c>
      <c r="DP38" s="60">
        <v>0</v>
      </c>
      <c r="DQ38" s="59">
        <v>12</v>
      </c>
      <c r="DR38" s="62">
        <v>591</v>
      </c>
      <c r="DS38" s="62" t="s">
        <v>5034</v>
      </c>
      <c r="DU38" s="62" t="s">
        <v>5034</v>
      </c>
      <c r="DV38" s="63">
        <v>44483.750474375003</v>
      </c>
      <c r="DW38" s="64">
        <v>2021</v>
      </c>
      <c r="DX38" s="65">
        <v>10</v>
      </c>
    </row>
    <row r="39" spans="2:128" ht="15">
      <c r="B39" s="43" t="s">
        <v>5022</v>
      </c>
      <c r="C39" s="43" t="s">
        <v>4802</v>
      </c>
      <c r="D39" s="43" t="s">
        <v>4836</v>
      </c>
      <c r="E39" s="49">
        <v>43418</v>
      </c>
      <c r="F39" s="49"/>
      <c r="G39" s="50">
        <v>1</v>
      </c>
      <c r="H39" s="43" t="s">
        <v>4798</v>
      </c>
      <c r="I39" s="43" t="s">
        <v>5023</v>
      </c>
      <c r="J39" s="43"/>
      <c r="K39" s="43">
        <v>2</v>
      </c>
      <c r="L39" s="43">
        <v>3</v>
      </c>
      <c r="M39" s="43"/>
      <c r="N39" s="43"/>
      <c r="O39" s="43"/>
      <c r="P39" s="43" t="s">
        <v>1012</v>
      </c>
      <c r="Q39" s="43" t="s">
        <v>5061</v>
      </c>
      <c r="R39" s="43" t="s">
        <v>5038</v>
      </c>
      <c r="S39" s="43" t="s">
        <v>5026</v>
      </c>
      <c r="T39" s="51" t="s">
        <v>5027</v>
      </c>
      <c r="U39" s="52" t="s">
        <v>5028</v>
      </c>
      <c r="V39" s="53" t="s">
        <v>3884</v>
      </c>
      <c r="W39" s="54" t="s">
        <v>1012</v>
      </c>
      <c r="X39" s="55" t="s">
        <v>4889</v>
      </c>
      <c r="Y39" t="s">
        <v>4896</v>
      </c>
      <c r="Z39" t="s">
        <v>4800</v>
      </c>
      <c r="AA39" t="s">
        <v>4891</v>
      </c>
      <c r="AI39" s="54"/>
      <c r="AJ39" s="56">
        <v>45740</v>
      </c>
      <c r="AK39" s="57">
        <v>45831</v>
      </c>
      <c r="AL39" s="57">
        <v>45922</v>
      </c>
      <c r="AM39" s="57">
        <v>46013</v>
      </c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8"/>
      <c r="BD39" s="55" t="s">
        <v>5030</v>
      </c>
      <c r="BE39" t="s">
        <v>5031</v>
      </c>
      <c r="BF39" t="s">
        <v>5032</v>
      </c>
      <c r="BG39" t="s">
        <v>5033</v>
      </c>
      <c r="BO39" s="54"/>
      <c r="BP39" s="56">
        <v>45712</v>
      </c>
      <c r="BQ39" s="57">
        <v>45803</v>
      </c>
      <c r="BR39" s="57">
        <v>45894</v>
      </c>
      <c r="BS39" s="57">
        <v>45985</v>
      </c>
      <c r="BT39" s="57"/>
      <c r="BU39" s="57"/>
      <c r="BV39" s="57"/>
      <c r="BW39" s="57"/>
      <c r="BX39" s="57"/>
      <c r="BY39" s="57"/>
      <c r="BZ39" s="57"/>
      <c r="CA39" s="57"/>
      <c r="CB39" s="56" t="s">
        <v>5034</v>
      </c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6">
        <v>45736</v>
      </c>
      <c r="CO39" s="57">
        <v>45827</v>
      </c>
      <c r="CP39" s="57">
        <v>45918</v>
      </c>
      <c r="CQ39" s="57">
        <v>46009</v>
      </c>
      <c r="CR39" s="57"/>
      <c r="CS39" s="57"/>
      <c r="CT39" s="57"/>
      <c r="CU39" s="57"/>
      <c r="CV39" s="57"/>
      <c r="CW39" s="57"/>
      <c r="CX39" s="57"/>
      <c r="CY39" s="57"/>
      <c r="CZ39" s="56" t="s">
        <v>5034</v>
      </c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8"/>
      <c r="DL39" s="59">
        <v>4</v>
      </c>
      <c r="DM39" s="60">
        <v>4</v>
      </c>
      <c r="DN39" s="61">
        <v>0</v>
      </c>
      <c r="DO39" s="60">
        <v>4</v>
      </c>
      <c r="DP39" s="60">
        <v>0</v>
      </c>
      <c r="DQ39" s="59">
        <v>12</v>
      </c>
      <c r="DR39" s="62">
        <v>603</v>
      </c>
      <c r="DS39" s="62" t="s">
        <v>5034</v>
      </c>
      <c r="DU39" s="62" t="s">
        <v>5034</v>
      </c>
      <c r="DV39" s="63">
        <v>44483.753160787041</v>
      </c>
      <c r="DW39" s="64">
        <v>2021</v>
      </c>
      <c r="DX39" s="65">
        <v>10</v>
      </c>
    </row>
    <row r="40" spans="2:128" ht="15">
      <c r="B40" s="43" t="s">
        <v>5022</v>
      </c>
      <c r="C40" s="43" t="s">
        <v>4833</v>
      </c>
      <c r="D40" s="43" t="s">
        <v>4837</v>
      </c>
      <c r="E40" s="49">
        <v>43439</v>
      </c>
      <c r="F40" s="49"/>
      <c r="G40" s="50">
        <v>1</v>
      </c>
      <c r="H40" s="43" t="s">
        <v>4798</v>
      </c>
      <c r="I40" s="43" t="s">
        <v>5023</v>
      </c>
      <c r="J40" s="43"/>
      <c r="K40" s="43">
        <v>2</v>
      </c>
      <c r="L40" s="43">
        <v>3</v>
      </c>
      <c r="M40" s="43"/>
      <c r="N40" s="43"/>
      <c r="O40" s="43" t="s">
        <v>5059</v>
      </c>
      <c r="P40" s="43" t="s">
        <v>5024</v>
      </c>
      <c r="Q40" s="43" t="s">
        <v>5042</v>
      </c>
      <c r="R40" s="43" t="s">
        <v>5043</v>
      </c>
      <c r="S40" s="43" t="s">
        <v>5026</v>
      </c>
      <c r="T40" s="51" t="s">
        <v>5027</v>
      </c>
      <c r="U40" s="52" t="s">
        <v>5028</v>
      </c>
      <c r="V40" s="53" t="s">
        <v>3884</v>
      </c>
      <c r="W40" s="54" t="s">
        <v>1007</v>
      </c>
      <c r="X40" s="55" t="s">
        <v>4889</v>
      </c>
      <c r="Y40" t="s">
        <v>4896</v>
      </c>
      <c r="Z40" t="s">
        <v>4800</v>
      </c>
      <c r="AA40" t="s">
        <v>4891</v>
      </c>
      <c r="AI40" s="54"/>
      <c r="AJ40" s="56">
        <v>45740</v>
      </c>
      <c r="AK40" s="57">
        <v>45831</v>
      </c>
      <c r="AL40" s="57">
        <v>45922</v>
      </c>
      <c r="AM40" s="57">
        <v>46013</v>
      </c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8"/>
      <c r="BD40" s="55" t="s">
        <v>5030</v>
      </c>
      <c r="BE40" t="s">
        <v>5031</v>
      </c>
      <c r="BF40" t="s">
        <v>5032</v>
      </c>
      <c r="BG40" t="s">
        <v>5033</v>
      </c>
      <c r="BO40" s="54"/>
      <c r="BP40" s="56">
        <v>45712</v>
      </c>
      <c r="BQ40" s="57">
        <v>45803</v>
      </c>
      <c r="BR40" s="57">
        <v>45894</v>
      </c>
      <c r="BS40" s="57">
        <v>45985</v>
      </c>
      <c r="BT40" s="57"/>
      <c r="BU40" s="57"/>
      <c r="BV40" s="57"/>
      <c r="BW40" s="57"/>
      <c r="BX40" s="57"/>
      <c r="BY40" s="57"/>
      <c r="BZ40" s="57"/>
      <c r="CA40" s="57"/>
      <c r="CB40" s="56" t="s">
        <v>5034</v>
      </c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6">
        <v>45736</v>
      </c>
      <c r="CO40" s="57">
        <v>45827</v>
      </c>
      <c r="CP40" s="57">
        <v>45918</v>
      </c>
      <c r="CQ40" s="57">
        <v>46009</v>
      </c>
      <c r="CR40" s="57"/>
      <c r="CS40" s="57"/>
      <c r="CT40" s="57"/>
      <c r="CU40" s="57"/>
      <c r="CV40" s="57"/>
      <c r="CW40" s="57"/>
      <c r="CX40" s="57"/>
      <c r="CY40" s="57"/>
      <c r="CZ40" s="56" t="s">
        <v>5034</v>
      </c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8"/>
      <c r="DL40" s="59">
        <v>4</v>
      </c>
      <c r="DM40" s="60">
        <v>4</v>
      </c>
      <c r="DN40" s="61">
        <v>0</v>
      </c>
      <c r="DO40" s="60">
        <v>4</v>
      </c>
      <c r="DP40" s="60">
        <v>0</v>
      </c>
      <c r="DQ40" s="59">
        <v>12</v>
      </c>
      <c r="DR40" s="62">
        <v>615</v>
      </c>
      <c r="DS40" s="62" t="s">
        <v>5034</v>
      </c>
      <c r="DU40" s="62" t="s">
        <v>5034</v>
      </c>
      <c r="DV40" s="63">
        <v>44610.309977094905</v>
      </c>
      <c r="DW40" s="64">
        <v>2022</v>
      </c>
      <c r="DX40" s="65">
        <v>2</v>
      </c>
    </row>
    <row r="41" spans="2:128" ht="15">
      <c r="B41" s="43" t="s">
        <v>5022</v>
      </c>
      <c r="C41" s="43" t="s">
        <v>4825</v>
      </c>
      <c r="D41" s="43" t="s">
        <v>4838</v>
      </c>
      <c r="E41" s="49">
        <v>43518</v>
      </c>
      <c r="F41" s="49"/>
      <c r="G41" s="50">
        <v>1</v>
      </c>
      <c r="H41" s="43" t="s">
        <v>4798</v>
      </c>
      <c r="I41" s="43" t="s">
        <v>5023</v>
      </c>
      <c r="J41" s="43">
        <v>6</v>
      </c>
      <c r="K41" s="43">
        <v>2</v>
      </c>
      <c r="L41" s="43">
        <v>3</v>
      </c>
      <c r="M41" s="43"/>
      <c r="N41" s="43"/>
      <c r="O41" s="43" t="s">
        <v>5053</v>
      </c>
      <c r="P41" s="43" t="s">
        <v>5024</v>
      </c>
      <c r="Q41" s="43" t="s">
        <v>5062</v>
      </c>
      <c r="R41" s="43" t="s">
        <v>5047</v>
      </c>
      <c r="S41" s="43" t="s">
        <v>5026</v>
      </c>
      <c r="T41" s="51" t="s">
        <v>5027</v>
      </c>
      <c r="U41" s="52" t="s">
        <v>5028</v>
      </c>
      <c r="V41" s="53" t="s">
        <v>3884</v>
      </c>
      <c r="W41" s="54" t="s">
        <v>984</v>
      </c>
      <c r="X41" s="55" t="s">
        <v>4889</v>
      </c>
      <c r="Y41" t="s">
        <v>4896</v>
      </c>
      <c r="Z41" t="s">
        <v>4800</v>
      </c>
      <c r="AA41" t="s">
        <v>4891</v>
      </c>
      <c r="AI41" s="54"/>
      <c r="AJ41" s="56">
        <v>45740</v>
      </c>
      <c r="AK41" s="57">
        <v>45831</v>
      </c>
      <c r="AL41" s="57">
        <v>45922</v>
      </c>
      <c r="AM41" s="57">
        <v>46013</v>
      </c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8"/>
      <c r="BD41" s="55" t="s">
        <v>5030</v>
      </c>
      <c r="BE41" t="s">
        <v>5031</v>
      </c>
      <c r="BF41" t="s">
        <v>5032</v>
      </c>
      <c r="BG41" t="s">
        <v>5033</v>
      </c>
      <c r="BO41" s="54"/>
      <c r="BP41" s="56">
        <v>45712</v>
      </c>
      <c r="BQ41" s="57">
        <v>45803</v>
      </c>
      <c r="BR41" s="57">
        <v>45894</v>
      </c>
      <c r="BS41" s="57">
        <v>45985</v>
      </c>
      <c r="BT41" s="57"/>
      <c r="BU41" s="57"/>
      <c r="BV41" s="57"/>
      <c r="BW41" s="57"/>
      <c r="BX41" s="57"/>
      <c r="BY41" s="57"/>
      <c r="BZ41" s="57"/>
      <c r="CA41" s="57"/>
      <c r="CB41" s="56">
        <v>45730</v>
      </c>
      <c r="CC41" s="57">
        <v>45821</v>
      </c>
      <c r="CD41" s="57">
        <v>45912</v>
      </c>
      <c r="CE41" s="57">
        <v>46003</v>
      </c>
      <c r="CF41" s="57"/>
      <c r="CG41" s="57"/>
      <c r="CH41" s="57"/>
      <c r="CI41" s="57"/>
      <c r="CJ41" s="57"/>
      <c r="CK41" s="57"/>
      <c r="CL41" s="57"/>
      <c r="CM41" s="57"/>
      <c r="CN41" s="56">
        <v>45736</v>
      </c>
      <c r="CO41" s="57">
        <v>45827</v>
      </c>
      <c r="CP41" s="57">
        <v>45918</v>
      </c>
      <c r="CQ41" s="57">
        <v>46009</v>
      </c>
      <c r="CR41" s="57"/>
      <c r="CS41" s="57"/>
      <c r="CT41" s="57"/>
      <c r="CU41" s="57"/>
      <c r="CV41" s="57"/>
      <c r="CW41" s="57"/>
      <c r="CX41" s="57"/>
      <c r="CY41" s="57"/>
      <c r="CZ41" s="56" t="s">
        <v>5034</v>
      </c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8"/>
      <c r="DL41" s="59">
        <v>4</v>
      </c>
      <c r="DM41" s="60">
        <v>4</v>
      </c>
      <c r="DN41" s="61">
        <v>4</v>
      </c>
      <c r="DO41" s="60">
        <v>4</v>
      </c>
      <c r="DP41" s="60">
        <v>0</v>
      </c>
      <c r="DQ41" s="59">
        <v>16</v>
      </c>
      <c r="DR41" s="62">
        <v>691</v>
      </c>
      <c r="DS41" s="62" t="s">
        <v>5034</v>
      </c>
      <c r="DU41" s="62" t="s">
        <v>5034</v>
      </c>
      <c r="DV41" s="63">
        <v>44610.310872870374</v>
      </c>
      <c r="DW41" s="64">
        <v>2022</v>
      </c>
      <c r="DX41" s="65">
        <v>2</v>
      </c>
    </row>
    <row r="42" spans="2:128" ht="15">
      <c r="B42" s="43" t="s">
        <v>5022</v>
      </c>
      <c r="C42" s="43" t="s">
        <v>4825</v>
      </c>
      <c r="D42" s="43" t="s">
        <v>4839</v>
      </c>
      <c r="E42" s="49">
        <v>43518</v>
      </c>
      <c r="F42" s="49"/>
      <c r="G42" s="50">
        <v>1</v>
      </c>
      <c r="H42" s="43" t="s">
        <v>4798</v>
      </c>
      <c r="I42" s="43" t="s">
        <v>5023</v>
      </c>
      <c r="J42" s="43">
        <v>6</v>
      </c>
      <c r="K42" s="43">
        <v>2</v>
      </c>
      <c r="L42" s="43">
        <v>3</v>
      </c>
      <c r="M42" s="43"/>
      <c r="N42" s="43"/>
      <c r="O42" s="43" t="s">
        <v>5053</v>
      </c>
      <c r="P42" s="43" t="s">
        <v>5063</v>
      </c>
      <c r="Q42" s="43" t="s">
        <v>5064</v>
      </c>
      <c r="R42" s="43" t="s">
        <v>5047</v>
      </c>
      <c r="S42" s="43" t="s">
        <v>5026</v>
      </c>
      <c r="T42" s="51" t="s">
        <v>5027</v>
      </c>
      <c r="U42" s="52" t="s">
        <v>5028</v>
      </c>
      <c r="V42" s="53" t="s">
        <v>3884</v>
      </c>
      <c r="W42" s="54" t="s">
        <v>979</v>
      </c>
      <c r="X42" s="55" t="s">
        <v>4889</v>
      </c>
      <c r="Y42" t="s">
        <v>4896</v>
      </c>
      <c r="Z42" t="s">
        <v>4800</v>
      </c>
      <c r="AA42" t="s">
        <v>4891</v>
      </c>
      <c r="AI42" s="54"/>
      <c r="AJ42" s="56">
        <v>45740</v>
      </c>
      <c r="AK42" s="57">
        <v>45831</v>
      </c>
      <c r="AL42" s="57">
        <v>45922</v>
      </c>
      <c r="AM42" s="57">
        <v>46013</v>
      </c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8"/>
      <c r="BD42" s="55" t="s">
        <v>5030</v>
      </c>
      <c r="BE42" t="s">
        <v>5031</v>
      </c>
      <c r="BF42" t="s">
        <v>5032</v>
      </c>
      <c r="BG42" t="s">
        <v>5033</v>
      </c>
      <c r="BO42" s="54"/>
      <c r="BP42" s="56">
        <v>45712</v>
      </c>
      <c r="BQ42" s="57">
        <v>45803</v>
      </c>
      <c r="BR42" s="57">
        <v>45894</v>
      </c>
      <c r="BS42" s="57">
        <v>45985</v>
      </c>
      <c r="BT42" s="57"/>
      <c r="BU42" s="57"/>
      <c r="BV42" s="57"/>
      <c r="BW42" s="57"/>
      <c r="BX42" s="57"/>
      <c r="BY42" s="57"/>
      <c r="BZ42" s="57"/>
      <c r="CA42" s="57"/>
      <c r="CB42" s="56">
        <v>45730</v>
      </c>
      <c r="CC42" s="57">
        <v>45821</v>
      </c>
      <c r="CD42" s="57">
        <v>45912</v>
      </c>
      <c r="CE42" s="57">
        <v>46003</v>
      </c>
      <c r="CF42" s="57"/>
      <c r="CG42" s="57"/>
      <c r="CH42" s="57"/>
      <c r="CI42" s="57"/>
      <c r="CJ42" s="57"/>
      <c r="CK42" s="57"/>
      <c r="CL42" s="57"/>
      <c r="CM42" s="57"/>
      <c r="CN42" s="56">
        <v>45736</v>
      </c>
      <c r="CO42" s="57">
        <v>45827</v>
      </c>
      <c r="CP42" s="57">
        <v>45918</v>
      </c>
      <c r="CQ42" s="57">
        <v>46009</v>
      </c>
      <c r="CR42" s="57"/>
      <c r="CS42" s="57"/>
      <c r="CT42" s="57"/>
      <c r="CU42" s="57"/>
      <c r="CV42" s="57"/>
      <c r="CW42" s="57"/>
      <c r="CX42" s="57"/>
      <c r="CY42" s="57"/>
      <c r="CZ42" s="56" t="s">
        <v>5034</v>
      </c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8"/>
      <c r="DL42" s="59">
        <v>4</v>
      </c>
      <c r="DM42" s="60">
        <v>4</v>
      </c>
      <c r="DN42" s="61">
        <v>4</v>
      </c>
      <c r="DO42" s="60">
        <v>4</v>
      </c>
      <c r="DP42" s="60">
        <v>0</v>
      </c>
      <c r="DQ42" s="59">
        <v>16</v>
      </c>
      <c r="DR42" s="62">
        <v>707</v>
      </c>
      <c r="DS42" s="62" t="s">
        <v>5034</v>
      </c>
      <c r="DU42" s="62" t="s">
        <v>5034</v>
      </c>
      <c r="DV42" s="63">
        <v>44761.328697951387</v>
      </c>
      <c r="DW42" s="64">
        <v>2022</v>
      </c>
      <c r="DX42" s="65">
        <v>7</v>
      </c>
    </row>
    <row r="43" spans="2:128" ht="15">
      <c r="B43" s="43" t="s">
        <v>5022</v>
      </c>
      <c r="C43" s="43" t="s">
        <v>4802</v>
      </c>
      <c r="D43" s="43" t="s">
        <v>4840</v>
      </c>
      <c r="E43" s="49">
        <v>43523</v>
      </c>
      <c r="F43" s="49">
        <v>45664</v>
      </c>
      <c r="G43" s="50">
        <v>1</v>
      </c>
      <c r="H43" s="43" t="s">
        <v>4798</v>
      </c>
      <c r="I43" s="43" t="s">
        <v>5023</v>
      </c>
      <c r="J43" s="43"/>
      <c r="K43" s="43">
        <v>2</v>
      </c>
      <c r="L43" s="43">
        <v>3</v>
      </c>
      <c r="M43" s="43"/>
      <c r="N43" s="43"/>
      <c r="O43" s="43" t="s">
        <v>4725</v>
      </c>
      <c r="P43" s="43" t="s">
        <v>5024</v>
      </c>
      <c r="Q43" s="43" t="s">
        <v>5065</v>
      </c>
      <c r="R43" s="43" t="s">
        <v>5038</v>
      </c>
      <c r="S43" s="43" t="s">
        <v>5026</v>
      </c>
      <c r="T43" s="51" t="s">
        <v>5027</v>
      </c>
      <c r="U43" s="52" t="s">
        <v>5028</v>
      </c>
      <c r="V43" s="53" t="s">
        <v>3896</v>
      </c>
      <c r="W43" s="54" t="s">
        <v>5034</v>
      </c>
      <c r="X43" s="55" t="s">
        <v>5034</v>
      </c>
      <c r="AI43" s="54"/>
      <c r="AJ43" s="56" t="s">
        <v>5034</v>
      </c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8"/>
      <c r="BD43" s="55" t="s">
        <v>5034</v>
      </c>
      <c r="BO43" s="54"/>
      <c r="BP43" s="56" t="s">
        <v>5034</v>
      </c>
      <c r="BQ43" s="57"/>
      <c r="BR43" s="57"/>
      <c r="BS43" s="57"/>
      <c r="BT43" s="57"/>
      <c r="BU43" s="57"/>
      <c r="BV43" s="57"/>
      <c r="BW43" s="57"/>
      <c r="BX43" s="57"/>
      <c r="BY43" s="57"/>
      <c r="BZ43" s="57"/>
      <c r="CA43" s="57"/>
      <c r="CB43" s="56" t="s">
        <v>5034</v>
      </c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6" t="s">
        <v>5034</v>
      </c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6" t="s">
        <v>5034</v>
      </c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8"/>
      <c r="DL43" s="59">
        <v>0</v>
      </c>
      <c r="DM43" s="60">
        <v>0</v>
      </c>
      <c r="DN43" s="61">
        <v>0</v>
      </c>
      <c r="DO43" s="60">
        <v>0</v>
      </c>
      <c r="DP43" s="60">
        <v>0</v>
      </c>
      <c r="DQ43" s="59">
        <v>0</v>
      </c>
      <c r="DR43" s="62" t="s">
        <v>5034</v>
      </c>
      <c r="DS43" s="62" t="s">
        <v>5034</v>
      </c>
      <c r="DU43" s="62" t="s">
        <v>5034</v>
      </c>
      <c r="DV43" s="63">
        <v>44483.751040092589</v>
      </c>
      <c r="DW43" s="64">
        <v>2021</v>
      </c>
      <c r="DX43" s="65">
        <v>10</v>
      </c>
    </row>
    <row r="44" spans="2:128" ht="15">
      <c r="B44" s="43" t="s">
        <v>5022</v>
      </c>
      <c r="C44" s="43" t="s">
        <v>4825</v>
      </c>
      <c r="D44" s="43" t="s">
        <v>3969</v>
      </c>
      <c r="E44" s="49">
        <v>43733</v>
      </c>
      <c r="F44" s="49"/>
      <c r="G44" s="50">
        <v>1</v>
      </c>
      <c r="H44" s="43" t="s">
        <v>4798</v>
      </c>
      <c r="I44" s="43" t="s">
        <v>5023</v>
      </c>
      <c r="J44" s="43">
        <v>6</v>
      </c>
      <c r="K44" s="43">
        <v>2</v>
      </c>
      <c r="L44" s="43">
        <v>3</v>
      </c>
      <c r="M44" s="43"/>
      <c r="N44" s="43"/>
      <c r="O44" s="43" t="s">
        <v>5066</v>
      </c>
      <c r="P44" s="43" t="s">
        <v>5063</v>
      </c>
      <c r="Q44" s="43" t="s">
        <v>5064</v>
      </c>
      <c r="R44" s="43" t="s">
        <v>5047</v>
      </c>
      <c r="S44" s="43" t="s">
        <v>5026</v>
      </c>
      <c r="T44" s="51" t="s">
        <v>5027</v>
      </c>
      <c r="U44" s="52" t="s">
        <v>5028</v>
      </c>
      <c r="V44" s="53" t="s">
        <v>3884</v>
      </c>
      <c r="W44" s="54" t="s">
        <v>962</v>
      </c>
      <c r="X44" s="55" t="s">
        <v>4889</v>
      </c>
      <c r="Y44" t="s">
        <v>4896</v>
      </c>
      <c r="Z44" t="s">
        <v>4800</v>
      </c>
      <c r="AA44" t="s">
        <v>4891</v>
      </c>
      <c r="AI44" s="54"/>
      <c r="AJ44" s="56">
        <v>45740</v>
      </c>
      <c r="AK44" s="57">
        <v>45831</v>
      </c>
      <c r="AL44" s="57">
        <v>45922</v>
      </c>
      <c r="AM44" s="57">
        <v>46013</v>
      </c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8"/>
      <c r="BD44" s="55" t="s">
        <v>5030</v>
      </c>
      <c r="BE44" t="s">
        <v>5031</v>
      </c>
      <c r="BF44" t="s">
        <v>5032</v>
      </c>
      <c r="BG44" t="s">
        <v>5033</v>
      </c>
      <c r="BO44" s="54"/>
      <c r="BP44" s="56">
        <v>45712</v>
      </c>
      <c r="BQ44" s="57">
        <v>45803</v>
      </c>
      <c r="BR44" s="57">
        <v>45894</v>
      </c>
      <c r="BS44" s="57">
        <v>45985</v>
      </c>
      <c r="BT44" s="57"/>
      <c r="BU44" s="57"/>
      <c r="BV44" s="57"/>
      <c r="BW44" s="57"/>
      <c r="BX44" s="57"/>
      <c r="BY44" s="57"/>
      <c r="BZ44" s="57"/>
      <c r="CA44" s="57"/>
      <c r="CB44" s="56">
        <v>45730</v>
      </c>
      <c r="CC44" s="57">
        <v>45821</v>
      </c>
      <c r="CD44" s="57">
        <v>45912</v>
      </c>
      <c r="CE44" s="57">
        <v>46003</v>
      </c>
      <c r="CF44" s="57"/>
      <c r="CG44" s="57"/>
      <c r="CH44" s="57"/>
      <c r="CI44" s="57"/>
      <c r="CJ44" s="57"/>
      <c r="CK44" s="57"/>
      <c r="CL44" s="57"/>
      <c r="CM44" s="57"/>
      <c r="CN44" s="56">
        <v>45736</v>
      </c>
      <c r="CO44" s="57">
        <v>45827</v>
      </c>
      <c r="CP44" s="57">
        <v>45918</v>
      </c>
      <c r="CQ44" s="57">
        <v>46009</v>
      </c>
      <c r="CR44" s="57"/>
      <c r="CS44" s="57"/>
      <c r="CT44" s="57"/>
      <c r="CU44" s="57"/>
      <c r="CV44" s="57"/>
      <c r="CW44" s="57"/>
      <c r="CX44" s="57"/>
      <c r="CY44" s="57"/>
      <c r="CZ44" s="56" t="s">
        <v>5034</v>
      </c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8"/>
      <c r="DL44" s="59">
        <v>4</v>
      </c>
      <c r="DM44" s="60">
        <v>4</v>
      </c>
      <c r="DN44" s="61">
        <v>4</v>
      </c>
      <c r="DO44" s="60">
        <v>4</v>
      </c>
      <c r="DP44" s="60">
        <v>0</v>
      </c>
      <c r="DQ44" s="59">
        <v>16</v>
      </c>
      <c r="DR44" s="62">
        <v>735</v>
      </c>
      <c r="DS44" s="62" t="s">
        <v>5034</v>
      </c>
      <c r="DU44" s="62" t="s">
        <v>5034</v>
      </c>
      <c r="DV44" s="63">
        <v>44761.340180358799</v>
      </c>
      <c r="DW44" s="64">
        <v>2022</v>
      </c>
      <c r="DX44" s="65">
        <v>7</v>
      </c>
    </row>
    <row r="45" spans="2:128" ht="15">
      <c r="B45" s="43" t="s">
        <v>5022</v>
      </c>
      <c r="C45" s="43" t="s">
        <v>4818</v>
      </c>
      <c r="D45" s="43" t="s">
        <v>4841</v>
      </c>
      <c r="E45" s="49">
        <v>43733</v>
      </c>
      <c r="F45" s="49"/>
      <c r="G45" s="50">
        <v>3</v>
      </c>
      <c r="H45" s="43" t="s">
        <v>4798</v>
      </c>
      <c r="I45" s="43" t="s">
        <v>5023</v>
      </c>
      <c r="J45" s="43"/>
      <c r="K45" s="43">
        <v>2</v>
      </c>
      <c r="L45" s="43">
        <v>3</v>
      </c>
      <c r="M45" s="43"/>
      <c r="N45" s="43"/>
      <c r="O45" s="43" t="s">
        <v>4725</v>
      </c>
      <c r="P45" s="43" t="s">
        <v>5063</v>
      </c>
      <c r="Q45" s="43" t="s">
        <v>5067</v>
      </c>
      <c r="R45" s="43" t="s">
        <v>5068</v>
      </c>
      <c r="S45" s="43" t="s">
        <v>5026</v>
      </c>
      <c r="T45" s="51" t="s">
        <v>5027</v>
      </c>
      <c r="U45" s="52" t="s">
        <v>5028</v>
      </c>
      <c r="V45" s="53" t="s">
        <v>3884</v>
      </c>
      <c r="W45" s="54" t="s">
        <v>970</v>
      </c>
      <c r="X45" s="55" t="s">
        <v>4889</v>
      </c>
      <c r="Y45" t="s">
        <v>4896</v>
      </c>
      <c r="Z45" t="s">
        <v>4800</v>
      </c>
      <c r="AA45" t="s">
        <v>4891</v>
      </c>
      <c r="AI45" s="54"/>
      <c r="AJ45" s="56">
        <v>45740</v>
      </c>
      <c r="AK45" s="57">
        <v>45741</v>
      </c>
      <c r="AL45" s="57">
        <v>45742</v>
      </c>
      <c r="AM45" s="57">
        <v>45831</v>
      </c>
      <c r="AN45" s="57">
        <v>45832</v>
      </c>
      <c r="AO45" s="57">
        <v>45833</v>
      </c>
      <c r="AP45" s="57">
        <v>45922</v>
      </c>
      <c r="AQ45" s="57">
        <v>45923</v>
      </c>
      <c r="AR45" s="57">
        <v>45924</v>
      </c>
      <c r="AS45" s="57">
        <v>46013</v>
      </c>
      <c r="AT45" s="57">
        <v>46014</v>
      </c>
      <c r="AU45" s="57">
        <v>46015</v>
      </c>
      <c r="AV45" s="57"/>
      <c r="AW45" s="57"/>
      <c r="AX45" s="57"/>
      <c r="AY45" s="57"/>
      <c r="AZ45" s="57"/>
      <c r="BA45" s="57"/>
      <c r="BB45" s="57"/>
      <c r="BC45" s="58"/>
      <c r="BD45" s="55" t="s">
        <v>5030</v>
      </c>
      <c r="BE45" t="s">
        <v>5031</v>
      </c>
      <c r="BF45" t="s">
        <v>5032</v>
      </c>
      <c r="BG45" t="s">
        <v>5033</v>
      </c>
      <c r="BO45" s="54"/>
      <c r="BP45" s="56">
        <v>45712</v>
      </c>
      <c r="BQ45" s="57">
        <v>45803</v>
      </c>
      <c r="BR45" s="57">
        <v>45894</v>
      </c>
      <c r="BS45" s="57">
        <v>45985</v>
      </c>
      <c r="BT45" s="57"/>
      <c r="BU45" s="57"/>
      <c r="BV45" s="57"/>
      <c r="BW45" s="57"/>
      <c r="BX45" s="57"/>
      <c r="BY45" s="57"/>
      <c r="BZ45" s="57"/>
      <c r="CA45" s="57"/>
      <c r="CB45" s="56" t="s">
        <v>5034</v>
      </c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6">
        <v>45736</v>
      </c>
      <c r="CO45" s="57">
        <v>45827</v>
      </c>
      <c r="CP45" s="57">
        <v>45918</v>
      </c>
      <c r="CQ45" s="57">
        <v>46009</v>
      </c>
      <c r="CR45" s="57"/>
      <c r="CS45" s="57"/>
      <c r="CT45" s="57"/>
      <c r="CU45" s="57"/>
      <c r="CV45" s="57"/>
      <c r="CW45" s="57"/>
      <c r="CX45" s="57"/>
      <c r="CY45" s="57"/>
      <c r="CZ45" s="56" t="s">
        <v>5034</v>
      </c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8"/>
      <c r="DL45" s="59">
        <v>12</v>
      </c>
      <c r="DM45" s="60">
        <v>4</v>
      </c>
      <c r="DN45" s="61">
        <v>0</v>
      </c>
      <c r="DO45" s="60">
        <v>4</v>
      </c>
      <c r="DP45" s="60">
        <v>0</v>
      </c>
      <c r="DQ45" s="59">
        <v>20</v>
      </c>
      <c r="DR45" s="62">
        <v>751</v>
      </c>
      <c r="DS45" s="62" t="s">
        <v>5034</v>
      </c>
      <c r="DU45" s="62" t="s">
        <v>5034</v>
      </c>
      <c r="DV45" s="63">
        <v>44664.600691689811</v>
      </c>
      <c r="DW45" s="64">
        <v>2022</v>
      </c>
      <c r="DX45" s="65">
        <v>4</v>
      </c>
    </row>
    <row r="46" spans="2:128" ht="15">
      <c r="B46" s="43" t="s">
        <v>5022</v>
      </c>
      <c r="C46" s="43" t="s">
        <v>4825</v>
      </c>
      <c r="D46" s="43" t="s">
        <v>4772</v>
      </c>
      <c r="E46" s="49">
        <v>43740</v>
      </c>
      <c r="F46" s="49"/>
      <c r="G46" s="50">
        <v>1</v>
      </c>
      <c r="H46" s="43" t="s">
        <v>4798</v>
      </c>
      <c r="I46" s="43" t="s">
        <v>5023</v>
      </c>
      <c r="J46" s="43">
        <v>6</v>
      </c>
      <c r="K46" s="43">
        <v>2</v>
      </c>
      <c r="L46" s="43">
        <v>3</v>
      </c>
      <c r="M46" s="43"/>
      <c r="N46" s="43"/>
      <c r="O46" s="43" t="s">
        <v>5066</v>
      </c>
      <c r="P46" s="43" t="s">
        <v>5024</v>
      </c>
      <c r="Q46" s="43" t="s">
        <v>5062</v>
      </c>
      <c r="R46" s="43" t="s">
        <v>5047</v>
      </c>
      <c r="S46" s="43" t="s">
        <v>5026</v>
      </c>
      <c r="T46" s="51" t="s">
        <v>5027</v>
      </c>
      <c r="U46" s="52" t="s">
        <v>5028</v>
      </c>
      <c r="V46" s="53" t="s">
        <v>3884</v>
      </c>
      <c r="W46" s="54" t="s">
        <v>948</v>
      </c>
      <c r="X46" s="55" t="s">
        <v>4889</v>
      </c>
      <c r="Y46" t="s">
        <v>4896</v>
      </c>
      <c r="Z46" t="s">
        <v>4800</v>
      </c>
      <c r="AA46" t="s">
        <v>4891</v>
      </c>
      <c r="AI46" s="54"/>
      <c r="AJ46" s="56">
        <v>45740</v>
      </c>
      <c r="AK46" s="57">
        <v>45831</v>
      </c>
      <c r="AL46" s="57">
        <v>45922</v>
      </c>
      <c r="AM46" s="57">
        <v>46013</v>
      </c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8"/>
      <c r="BD46" s="55" t="s">
        <v>5030</v>
      </c>
      <c r="BE46" t="s">
        <v>5031</v>
      </c>
      <c r="BF46" t="s">
        <v>5032</v>
      </c>
      <c r="BG46" t="s">
        <v>5033</v>
      </c>
      <c r="BO46" s="54"/>
      <c r="BP46" s="56">
        <v>45712</v>
      </c>
      <c r="BQ46" s="57">
        <v>45803</v>
      </c>
      <c r="BR46" s="57">
        <v>45894</v>
      </c>
      <c r="BS46" s="57">
        <v>45985</v>
      </c>
      <c r="BT46" s="57"/>
      <c r="BU46" s="57"/>
      <c r="BV46" s="57"/>
      <c r="BW46" s="57"/>
      <c r="BX46" s="57"/>
      <c r="BY46" s="57"/>
      <c r="BZ46" s="57"/>
      <c r="CA46" s="57"/>
      <c r="CB46" s="56">
        <v>45730</v>
      </c>
      <c r="CC46" s="57">
        <v>45821</v>
      </c>
      <c r="CD46" s="57">
        <v>45912</v>
      </c>
      <c r="CE46" s="57">
        <v>46003</v>
      </c>
      <c r="CF46" s="57"/>
      <c r="CG46" s="57"/>
      <c r="CH46" s="57"/>
      <c r="CI46" s="57"/>
      <c r="CJ46" s="57"/>
      <c r="CK46" s="57"/>
      <c r="CL46" s="57"/>
      <c r="CM46" s="57"/>
      <c r="CN46" s="56">
        <v>45736</v>
      </c>
      <c r="CO46" s="57">
        <v>45827</v>
      </c>
      <c r="CP46" s="57">
        <v>45918</v>
      </c>
      <c r="CQ46" s="57">
        <v>46009</v>
      </c>
      <c r="CR46" s="57"/>
      <c r="CS46" s="57"/>
      <c r="CT46" s="57"/>
      <c r="CU46" s="57"/>
      <c r="CV46" s="57"/>
      <c r="CW46" s="57"/>
      <c r="CX46" s="57"/>
      <c r="CY46" s="57"/>
      <c r="CZ46" s="56" t="s">
        <v>5034</v>
      </c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8"/>
      <c r="DL46" s="59">
        <v>4</v>
      </c>
      <c r="DM46" s="60">
        <v>4</v>
      </c>
      <c r="DN46" s="61">
        <v>4</v>
      </c>
      <c r="DO46" s="60">
        <v>4</v>
      </c>
      <c r="DP46" s="60">
        <v>0</v>
      </c>
      <c r="DQ46" s="59">
        <v>16</v>
      </c>
      <c r="DR46" s="62">
        <v>771</v>
      </c>
      <c r="DS46" s="62" t="s">
        <v>5034</v>
      </c>
      <c r="DU46" s="62" t="s">
        <v>5034</v>
      </c>
      <c r="DV46" s="63">
        <v>44610.309254432868</v>
      </c>
      <c r="DW46" s="64">
        <v>2022</v>
      </c>
      <c r="DX46" s="65">
        <v>2</v>
      </c>
    </row>
    <row r="47" spans="2:128" ht="15">
      <c r="B47" s="43" t="s">
        <v>5022</v>
      </c>
      <c r="C47" s="43" t="s">
        <v>4802</v>
      </c>
      <c r="D47" s="43" t="s">
        <v>4773</v>
      </c>
      <c r="E47" s="49">
        <v>43740</v>
      </c>
      <c r="F47" s="49"/>
      <c r="G47" s="50">
        <v>1</v>
      </c>
      <c r="H47" s="43" t="s">
        <v>4891</v>
      </c>
      <c r="I47" s="43" t="s">
        <v>5033</v>
      </c>
      <c r="J47" s="43"/>
      <c r="K47" s="43">
        <v>2</v>
      </c>
      <c r="L47" s="43">
        <v>3</v>
      </c>
      <c r="M47" s="43"/>
      <c r="N47" s="43"/>
      <c r="O47" s="43" t="s">
        <v>5059</v>
      </c>
      <c r="P47" s="43" t="s">
        <v>5024</v>
      </c>
      <c r="Q47" s="43" t="s">
        <v>5069</v>
      </c>
      <c r="R47" s="43" t="s">
        <v>5068</v>
      </c>
      <c r="S47" s="43" t="s">
        <v>5026</v>
      </c>
      <c r="T47" s="51" t="s">
        <v>5027</v>
      </c>
      <c r="U47" s="52" t="s">
        <v>5028</v>
      </c>
      <c r="V47" s="53" t="s">
        <v>3884</v>
      </c>
      <c r="W47" s="54" t="s">
        <v>965</v>
      </c>
      <c r="X47" s="55" t="s">
        <v>4891</v>
      </c>
      <c r="AI47" s="54"/>
      <c r="AJ47" s="56">
        <v>46013</v>
      </c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57"/>
      <c r="AY47" s="57"/>
      <c r="AZ47" s="57"/>
      <c r="BA47" s="57"/>
      <c r="BB47" s="57"/>
      <c r="BC47" s="58"/>
      <c r="BD47" s="55" t="s">
        <v>5033</v>
      </c>
      <c r="BO47" s="54"/>
      <c r="BP47" s="56">
        <v>45985</v>
      </c>
      <c r="BQ47" s="57"/>
      <c r="BR47" s="57"/>
      <c r="BS47" s="57"/>
      <c r="BT47" s="57"/>
      <c r="BU47" s="57"/>
      <c r="BV47" s="57"/>
      <c r="BW47" s="57"/>
      <c r="BX47" s="57"/>
      <c r="BY47" s="57"/>
      <c r="BZ47" s="57"/>
      <c r="CA47" s="57"/>
      <c r="CB47" s="56" t="s">
        <v>5034</v>
      </c>
      <c r="CC47" s="57"/>
      <c r="CD47" s="57"/>
      <c r="CE47" s="57"/>
      <c r="CF47" s="57"/>
      <c r="CG47" s="57"/>
      <c r="CH47" s="57"/>
      <c r="CI47" s="57"/>
      <c r="CJ47" s="57"/>
      <c r="CK47" s="57"/>
      <c r="CL47" s="57"/>
      <c r="CM47" s="57"/>
      <c r="CN47" s="56">
        <v>46009</v>
      </c>
      <c r="CO47" s="57"/>
      <c r="CP47" s="57"/>
      <c r="CQ47" s="57"/>
      <c r="CR47" s="57"/>
      <c r="CS47" s="57"/>
      <c r="CT47" s="57"/>
      <c r="CU47" s="57"/>
      <c r="CV47" s="57"/>
      <c r="CW47" s="57"/>
      <c r="CX47" s="57"/>
      <c r="CY47" s="57"/>
      <c r="CZ47" s="56" t="s">
        <v>5034</v>
      </c>
      <c r="DA47" s="57"/>
      <c r="DB47" s="57"/>
      <c r="DC47" s="57"/>
      <c r="DD47" s="57"/>
      <c r="DE47" s="57"/>
      <c r="DF47" s="57"/>
      <c r="DG47" s="57"/>
      <c r="DH47" s="57"/>
      <c r="DI47" s="57"/>
      <c r="DJ47" s="57"/>
      <c r="DK47" s="58"/>
      <c r="DL47" s="59">
        <v>1</v>
      </c>
      <c r="DM47" s="60">
        <v>1</v>
      </c>
      <c r="DN47" s="61">
        <v>0</v>
      </c>
      <c r="DO47" s="60">
        <v>1</v>
      </c>
      <c r="DP47" s="60">
        <v>0</v>
      </c>
      <c r="DQ47" s="59">
        <v>3</v>
      </c>
      <c r="DR47" s="62">
        <v>787</v>
      </c>
      <c r="DS47" s="62" t="s">
        <v>5034</v>
      </c>
      <c r="DU47" s="62" t="s">
        <v>5034</v>
      </c>
      <c r="DV47" s="63">
        <v>45219.367124340279</v>
      </c>
      <c r="DW47" s="64">
        <v>2023</v>
      </c>
      <c r="DX47" s="65">
        <v>10</v>
      </c>
    </row>
    <row r="48" spans="2:128" ht="15">
      <c r="B48" s="43" t="s">
        <v>5022</v>
      </c>
      <c r="C48" s="43" t="s">
        <v>4825</v>
      </c>
      <c r="D48" s="43" t="s">
        <v>4842</v>
      </c>
      <c r="E48" s="49">
        <v>43745</v>
      </c>
      <c r="F48" s="49"/>
      <c r="G48" s="50">
        <v>1</v>
      </c>
      <c r="H48" s="43" t="s">
        <v>4798</v>
      </c>
      <c r="I48" s="43" t="s">
        <v>5023</v>
      </c>
      <c r="J48" s="43">
        <v>6</v>
      </c>
      <c r="K48" s="43">
        <v>2</v>
      </c>
      <c r="L48" s="43">
        <v>3</v>
      </c>
      <c r="M48" s="43"/>
      <c r="N48" s="43"/>
      <c r="O48" s="43" t="s">
        <v>5066</v>
      </c>
      <c r="P48" s="43" t="s">
        <v>5024</v>
      </c>
      <c r="Q48" s="43" t="s">
        <v>5054</v>
      </c>
      <c r="R48" s="43" t="s">
        <v>5047</v>
      </c>
      <c r="S48" s="43" t="s">
        <v>5026</v>
      </c>
      <c r="T48" s="51" t="s">
        <v>5027</v>
      </c>
      <c r="U48" s="52" t="s">
        <v>5028</v>
      </c>
      <c r="V48" s="53" t="s">
        <v>3884</v>
      </c>
      <c r="W48" s="54" t="s">
        <v>2589</v>
      </c>
      <c r="X48" s="55" t="s">
        <v>4889</v>
      </c>
      <c r="Y48" t="s">
        <v>4896</v>
      </c>
      <c r="Z48" t="s">
        <v>4800</v>
      </c>
      <c r="AA48" t="s">
        <v>4891</v>
      </c>
      <c r="AI48" s="54"/>
      <c r="AJ48" s="56">
        <v>45740</v>
      </c>
      <c r="AK48" s="57">
        <v>45831</v>
      </c>
      <c r="AL48" s="57">
        <v>45922</v>
      </c>
      <c r="AM48" s="57">
        <v>46013</v>
      </c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8"/>
      <c r="BD48" s="55" t="s">
        <v>5030</v>
      </c>
      <c r="BE48" t="s">
        <v>5031</v>
      </c>
      <c r="BF48" t="s">
        <v>5032</v>
      </c>
      <c r="BG48" t="s">
        <v>5033</v>
      </c>
      <c r="BO48" s="54"/>
      <c r="BP48" s="56">
        <v>45712</v>
      </c>
      <c r="BQ48" s="57">
        <v>45803</v>
      </c>
      <c r="BR48" s="57">
        <v>45894</v>
      </c>
      <c r="BS48" s="57">
        <v>45985</v>
      </c>
      <c r="BT48" s="57"/>
      <c r="BU48" s="57"/>
      <c r="BV48" s="57"/>
      <c r="BW48" s="57"/>
      <c r="BX48" s="57"/>
      <c r="BY48" s="57"/>
      <c r="BZ48" s="57"/>
      <c r="CA48" s="57"/>
      <c r="CB48" s="56">
        <v>45730</v>
      </c>
      <c r="CC48" s="57">
        <v>45821</v>
      </c>
      <c r="CD48" s="57">
        <v>45912</v>
      </c>
      <c r="CE48" s="57">
        <v>46003</v>
      </c>
      <c r="CF48" s="57"/>
      <c r="CG48" s="57"/>
      <c r="CH48" s="57"/>
      <c r="CI48" s="57"/>
      <c r="CJ48" s="57"/>
      <c r="CK48" s="57"/>
      <c r="CL48" s="57"/>
      <c r="CM48" s="57"/>
      <c r="CN48" s="56">
        <v>45736</v>
      </c>
      <c r="CO48" s="57">
        <v>45827</v>
      </c>
      <c r="CP48" s="57">
        <v>45918</v>
      </c>
      <c r="CQ48" s="57">
        <v>46009</v>
      </c>
      <c r="CR48" s="57"/>
      <c r="CS48" s="57"/>
      <c r="CT48" s="57"/>
      <c r="CU48" s="57"/>
      <c r="CV48" s="57"/>
      <c r="CW48" s="57"/>
      <c r="CX48" s="57"/>
      <c r="CY48" s="57"/>
      <c r="CZ48" s="56" t="s">
        <v>5034</v>
      </c>
      <c r="DA48" s="57"/>
      <c r="DB48" s="57"/>
      <c r="DC48" s="57"/>
      <c r="DD48" s="57"/>
      <c r="DE48" s="57"/>
      <c r="DF48" s="57"/>
      <c r="DG48" s="57"/>
      <c r="DH48" s="57"/>
      <c r="DI48" s="57"/>
      <c r="DJ48" s="57"/>
      <c r="DK48" s="58"/>
      <c r="DL48" s="59">
        <v>4</v>
      </c>
      <c r="DM48" s="60">
        <v>4</v>
      </c>
      <c r="DN48" s="61">
        <v>4</v>
      </c>
      <c r="DO48" s="60">
        <v>4</v>
      </c>
      <c r="DP48" s="60">
        <v>0</v>
      </c>
      <c r="DQ48" s="59">
        <v>16</v>
      </c>
      <c r="DR48" s="62">
        <v>790</v>
      </c>
      <c r="DS48" s="62" t="s">
        <v>5034</v>
      </c>
      <c r="DU48" s="62" t="s">
        <v>5034</v>
      </c>
      <c r="DV48" s="63">
        <v>44722.356153368055</v>
      </c>
      <c r="DW48" s="64">
        <v>2022</v>
      </c>
      <c r="DX48" s="65">
        <v>6</v>
      </c>
    </row>
    <row r="49" spans="2:128" ht="15">
      <c r="B49" s="43" t="s">
        <v>5022</v>
      </c>
      <c r="C49" s="43" t="s">
        <v>4802</v>
      </c>
      <c r="D49" s="43" t="s">
        <v>4843</v>
      </c>
      <c r="E49" s="49">
        <v>43775</v>
      </c>
      <c r="F49" s="49"/>
      <c r="G49" s="50">
        <v>1</v>
      </c>
      <c r="H49" s="43" t="s">
        <v>4798</v>
      </c>
      <c r="I49" s="43" t="s">
        <v>5023</v>
      </c>
      <c r="J49" s="43"/>
      <c r="K49" s="43">
        <v>2</v>
      </c>
      <c r="L49" s="43">
        <v>3</v>
      </c>
      <c r="M49" s="43"/>
      <c r="N49" s="43"/>
      <c r="O49" s="43" t="s">
        <v>4725</v>
      </c>
      <c r="P49" s="43" t="s">
        <v>5024</v>
      </c>
      <c r="Q49" s="43" t="s">
        <v>5042</v>
      </c>
      <c r="R49" s="43" t="s">
        <v>5045</v>
      </c>
      <c r="S49" s="43" t="s">
        <v>5026</v>
      </c>
      <c r="T49" s="51" t="s">
        <v>5027</v>
      </c>
      <c r="U49" s="52" t="s">
        <v>5028</v>
      </c>
      <c r="V49" s="53" t="s">
        <v>3884</v>
      </c>
      <c r="W49" s="54" t="s">
        <v>2580</v>
      </c>
      <c r="X49" s="55" t="s">
        <v>4889</v>
      </c>
      <c r="Y49" t="s">
        <v>4896</v>
      </c>
      <c r="Z49" t="s">
        <v>4800</v>
      </c>
      <c r="AA49" t="s">
        <v>4891</v>
      </c>
      <c r="AI49" s="54"/>
      <c r="AJ49" s="56">
        <v>45740</v>
      </c>
      <c r="AK49" s="57">
        <v>45831</v>
      </c>
      <c r="AL49" s="57">
        <v>45922</v>
      </c>
      <c r="AM49" s="57">
        <v>46013</v>
      </c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8"/>
      <c r="BD49" s="55" t="s">
        <v>5030</v>
      </c>
      <c r="BE49" t="s">
        <v>5031</v>
      </c>
      <c r="BF49" t="s">
        <v>5032</v>
      </c>
      <c r="BG49" t="s">
        <v>5033</v>
      </c>
      <c r="BO49" s="54"/>
      <c r="BP49" s="56">
        <v>45712</v>
      </c>
      <c r="BQ49" s="57">
        <v>45803</v>
      </c>
      <c r="BR49" s="57">
        <v>45894</v>
      </c>
      <c r="BS49" s="57">
        <v>45985</v>
      </c>
      <c r="BT49" s="57"/>
      <c r="BU49" s="57"/>
      <c r="BV49" s="57"/>
      <c r="BW49" s="57"/>
      <c r="BX49" s="57"/>
      <c r="BY49" s="57"/>
      <c r="BZ49" s="57"/>
      <c r="CA49" s="57"/>
      <c r="CB49" s="56" t="s">
        <v>5034</v>
      </c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6">
        <v>45736</v>
      </c>
      <c r="CO49" s="57">
        <v>45827</v>
      </c>
      <c r="CP49" s="57">
        <v>45918</v>
      </c>
      <c r="CQ49" s="57">
        <v>46009</v>
      </c>
      <c r="CR49" s="57"/>
      <c r="CS49" s="57"/>
      <c r="CT49" s="57"/>
      <c r="CU49" s="57"/>
      <c r="CV49" s="57"/>
      <c r="CW49" s="57"/>
      <c r="CX49" s="57"/>
      <c r="CY49" s="57"/>
      <c r="CZ49" s="56" t="s">
        <v>5034</v>
      </c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8"/>
      <c r="DL49" s="59">
        <v>4</v>
      </c>
      <c r="DM49" s="60">
        <v>4</v>
      </c>
      <c r="DN49" s="61">
        <v>0</v>
      </c>
      <c r="DO49" s="60">
        <v>4</v>
      </c>
      <c r="DP49" s="60">
        <v>0</v>
      </c>
      <c r="DQ49" s="59">
        <v>12</v>
      </c>
      <c r="DR49" s="62">
        <v>806</v>
      </c>
      <c r="DS49" s="62" t="s">
        <v>5034</v>
      </c>
      <c r="DU49" s="62" t="s">
        <v>5034</v>
      </c>
      <c r="DV49" s="63">
        <v>44483.750669259258</v>
      </c>
      <c r="DW49" s="64">
        <v>2021</v>
      </c>
      <c r="DX49" s="65">
        <v>10</v>
      </c>
    </row>
    <row r="50" spans="2:128" ht="15">
      <c r="B50" s="43" t="s">
        <v>5022</v>
      </c>
      <c r="C50" s="43" t="s">
        <v>4818</v>
      </c>
      <c r="D50" s="43" t="s">
        <v>4117</v>
      </c>
      <c r="E50" s="49">
        <v>43852</v>
      </c>
      <c r="F50" s="49"/>
      <c r="G50" s="50">
        <v>1</v>
      </c>
      <c r="H50" s="43" t="s">
        <v>4892</v>
      </c>
      <c r="I50" s="43" t="s">
        <v>5023</v>
      </c>
      <c r="J50" s="43"/>
      <c r="K50" s="43">
        <v>5</v>
      </c>
      <c r="L50" s="43">
        <v>6</v>
      </c>
      <c r="M50" s="43"/>
      <c r="N50" s="43"/>
      <c r="O50" s="43" t="s">
        <v>4725</v>
      </c>
      <c r="P50" s="43" t="s">
        <v>5024</v>
      </c>
      <c r="Q50" s="43"/>
      <c r="R50" s="43" t="s">
        <v>5038</v>
      </c>
      <c r="S50" s="43" t="s">
        <v>5026</v>
      </c>
      <c r="T50" s="51" t="s">
        <v>5027</v>
      </c>
      <c r="U50" s="52" t="s">
        <v>5028</v>
      </c>
      <c r="V50" s="53" t="s">
        <v>3884</v>
      </c>
      <c r="W50" s="54" t="s">
        <v>2553</v>
      </c>
      <c r="X50" s="55" t="s">
        <v>5070</v>
      </c>
      <c r="Y50" t="s">
        <v>5071</v>
      </c>
      <c r="Z50" t="s">
        <v>5072</v>
      </c>
      <c r="AA50" t="s">
        <v>5073</v>
      </c>
      <c r="AI50" s="54"/>
      <c r="AJ50" s="56">
        <v>45743</v>
      </c>
      <c r="AK50" s="57">
        <v>45834</v>
      </c>
      <c r="AL50" s="57">
        <v>45925</v>
      </c>
      <c r="AM50" s="57">
        <v>46017</v>
      </c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8"/>
      <c r="BD50" s="55" t="s">
        <v>5030</v>
      </c>
      <c r="BE50" t="s">
        <v>5031</v>
      </c>
      <c r="BF50" t="s">
        <v>5032</v>
      </c>
      <c r="BG50" t="s">
        <v>5033</v>
      </c>
      <c r="BO50" s="54"/>
      <c r="BP50" s="56">
        <v>45712</v>
      </c>
      <c r="BQ50" s="57">
        <v>45803</v>
      </c>
      <c r="BR50" s="57">
        <v>45894</v>
      </c>
      <c r="BS50" s="57">
        <v>45985</v>
      </c>
      <c r="BT50" s="57"/>
      <c r="BU50" s="57"/>
      <c r="BV50" s="57"/>
      <c r="BW50" s="57"/>
      <c r="BX50" s="57"/>
      <c r="BY50" s="57"/>
      <c r="BZ50" s="57"/>
      <c r="CA50" s="57"/>
      <c r="CB50" s="56" t="s">
        <v>5034</v>
      </c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6">
        <v>45736</v>
      </c>
      <c r="CO50" s="57">
        <v>45827</v>
      </c>
      <c r="CP50" s="57">
        <v>45918</v>
      </c>
      <c r="CQ50" s="57">
        <v>46009</v>
      </c>
      <c r="CR50" s="57"/>
      <c r="CS50" s="57"/>
      <c r="CT50" s="57"/>
      <c r="CU50" s="57"/>
      <c r="CV50" s="57"/>
      <c r="CW50" s="57"/>
      <c r="CX50" s="57"/>
      <c r="CY50" s="57"/>
      <c r="CZ50" s="56" t="s">
        <v>5034</v>
      </c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8"/>
      <c r="DL50" s="59">
        <v>4</v>
      </c>
      <c r="DM50" s="60">
        <v>4</v>
      </c>
      <c r="DN50" s="61">
        <v>0</v>
      </c>
      <c r="DO50" s="60">
        <v>4</v>
      </c>
      <c r="DP50" s="60">
        <v>0</v>
      </c>
      <c r="DQ50" s="59">
        <v>12</v>
      </c>
      <c r="DR50" s="62">
        <v>818</v>
      </c>
      <c r="DS50" s="62" t="s">
        <v>5034</v>
      </c>
      <c r="DU50" s="62" t="s">
        <v>5034</v>
      </c>
      <c r="DV50" s="63">
        <v>44483.751765486108</v>
      </c>
      <c r="DW50" s="64">
        <v>2021</v>
      </c>
      <c r="DX50" s="65">
        <v>10</v>
      </c>
    </row>
    <row r="51" spans="2:128" ht="15">
      <c r="B51" s="43" t="s">
        <v>5022</v>
      </c>
      <c r="C51" s="43" t="s">
        <v>4818</v>
      </c>
      <c r="D51" s="43" t="s">
        <v>4844</v>
      </c>
      <c r="E51" s="49">
        <v>43852</v>
      </c>
      <c r="F51" s="49"/>
      <c r="G51" s="50">
        <v>1</v>
      </c>
      <c r="H51" s="43" t="s">
        <v>4892</v>
      </c>
      <c r="I51" s="43" t="s">
        <v>5023</v>
      </c>
      <c r="J51" s="43"/>
      <c r="K51" s="43">
        <v>5</v>
      </c>
      <c r="L51" s="43">
        <v>6</v>
      </c>
      <c r="M51" s="43"/>
      <c r="N51" s="43"/>
      <c r="O51" s="43" t="s">
        <v>4725</v>
      </c>
      <c r="P51" s="43" t="s">
        <v>5024</v>
      </c>
      <c r="Q51" s="43"/>
      <c r="R51" s="43" t="s">
        <v>5038</v>
      </c>
      <c r="S51" s="43" t="s">
        <v>5026</v>
      </c>
      <c r="T51" s="51" t="s">
        <v>5027</v>
      </c>
      <c r="U51" s="52" t="s">
        <v>5028</v>
      </c>
      <c r="V51" s="53" t="s">
        <v>3884</v>
      </c>
      <c r="W51" s="54" t="s">
        <v>2562</v>
      </c>
      <c r="X51" s="55" t="s">
        <v>5070</v>
      </c>
      <c r="Y51" t="s">
        <v>5071</v>
      </c>
      <c r="Z51" t="s">
        <v>5072</v>
      </c>
      <c r="AA51" t="s">
        <v>5073</v>
      </c>
      <c r="AI51" s="54"/>
      <c r="AJ51" s="56">
        <v>45743</v>
      </c>
      <c r="AK51" s="57">
        <v>45834</v>
      </c>
      <c r="AL51" s="57">
        <v>45925</v>
      </c>
      <c r="AM51" s="57">
        <v>46017</v>
      </c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8"/>
      <c r="BD51" s="55" t="s">
        <v>5030</v>
      </c>
      <c r="BE51" t="s">
        <v>5031</v>
      </c>
      <c r="BF51" t="s">
        <v>5032</v>
      </c>
      <c r="BG51" t="s">
        <v>5033</v>
      </c>
      <c r="BO51" s="54"/>
      <c r="BP51" s="56">
        <v>45712</v>
      </c>
      <c r="BQ51" s="57">
        <v>45803</v>
      </c>
      <c r="BR51" s="57">
        <v>45894</v>
      </c>
      <c r="BS51" s="57">
        <v>45985</v>
      </c>
      <c r="BT51" s="57"/>
      <c r="BU51" s="57"/>
      <c r="BV51" s="57"/>
      <c r="BW51" s="57"/>
      <c r="BX51" s="57"/>
      <c r="BY51" s="57"/>
      <c r="BZ51" s="57"/>
      <c r="CA51" s="57"/>
      <c r="CB51" s="56" t="s">
        <v>5034</v>
      </c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6">
        <v>45736</v>
      </c>
      <c r="CO51" s="57">
        <v>45827</v>
      </c>
      <c r="CP51" s="57">
        <v>45918</v>
      </c>
      <c r="CQ51" s="57">
        <v>46009</v>
      </c>
      <c r="CR51" s="57"/>
      <c r="CS51" s="57"/>
      <c r="CT51" s="57"/>
      <c r="CU51" s="57"/>
      <c r="CV51" s="57"/>
      <c r="CW51" s="57"/>
      <c r="CX51" s="57"/>
      <c r="CY51" s="57"/>
      <c r="CZ51" s="56" t="s">
        <v>5034</v>
      </c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8"/>
      <c r="DL51" s="59">
        <v>4</v>
      </c>
      <c r="DM51" s="60">
        <v>4</v>
      </c>
      <c r="DN51" s="61">
        <v>0</v>
      </c>
      <c r="DO51" s="60">
        <v>4</v>
      </c>
      <c r="DP51" s="60">
        <v>0</v>
      </c>
      <c r="DQ51" s="59">
        <v>12</v>
      </c>
      <c r="DR51" s="62">
        <v>830</v>
      </c>
      <c r="DS51" s="62" t="s">
        <v>5034</v>
      </c>
      <c r="DU51" s="62" t="s">
        <v>5034</v>
      </c>
      <c r="DV51" s="63">
        <v>44627.47481446759</v>
      </c>
      <c r="DW51" s="64">
        <v>2022</v>
      </c>
      <c r="DX51" s="65">
        <v>3</v>
      </c>
    </row>
    <row r="52" spans="2:128" ht="15">
      <c r="B52" s="43" t="s">
        <v>5022</v>
      </c>
      <c r="C52" s="43" t="s">
        <v>4802</v>
      </c>
      <c r="D52" s="43" t="s">
        <v>2545</v>
      </c>
      <c r="E52" s="49">
        <v>43866</v>
      </c>
      <c r="F52" s="49"/>
      <c r="G52" s="50">
        <v>1</v>
      </c>
      <c r="H52" s="43" t="s">
        <v>4798</v>
      </c>
      <c r="I52" s="43" t="s">
        <v>5023</v>
      </c>
      <c r="J52" s="43"/>
      <c r="K52" s="43">
        <v>2</v>
      </c>
      <c r="L52" s="43">
        <v>3</v>
      </c>
      <c r="M52" s="43"/>
      <c r="N52" s="43"/>
      <c r="O52" s="43" t="s">
        <v>4725</v>
      </c>
      <c r="P52" s="43" t="s">
        <v>5024</v>
      </c>
      <c r="Q52" s="43" t="s">
        <v>5042</v>
      </c>
      <c r="R52" s="43" t="s">
        <v>5045</v>
      </c>
      <c r="S52" s="43" t="s">
        <v>5026</v>
      </c>
      <c r="T52" s="51" t="s">
        <v>5027</v>
      </c>
      <c r="U52" s="52" t="s">
        <v>5028</v>
      </c>
      <c r="V52" s="53" t="s">
        <v>3884</v>
      </c>
      <c r="W52" s="54" t="s">
        <v>2544</v>
      </c>
      <c r="X52" s="55" t="s">
        <v>4889</v>
      </c>
      <c r="Y52" t="s">
        <v>4896</v>
      </c>
      <c r="Z52" t="s">
        <v>4800</v>
      </c>
      <c r="AA52" t="s">
        <v>4891</v>
      </c>
      <c r="AI52" s="54"/>
      <c r="AJ52" s="56">
        <v>45740</v>
      </c>
      <c r="AK52" s="57">
        <v>45831</v>
      </c>
      <c r="AL52" s="57">
        <v>45922</v>
      </c>
      <c r="AM52" s="57">
        <v>46013</v>
      </c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8"/>
      <c r="BD52" s="55" t="s">
        <v>5030</v>
      </c>
      <c r="BE52" t="s">
        <v>5031</v>
      </c>
      <c r="BF52" t="s">
        <v>5032</v>
      </c>
      <c r="BG52" t="s">
        <v>5033</v>
      </c>
      <c r="BO52" s="54"/>
      <c r="BP52" s="56">
        <v>45712</v>
      </c>
      <c r="BQ52" s="57">
        <v>45803</v>
      </c>
      <c r="BR52" s="57">
        <v>45894</v>
      </c>
      <c r="BS52" s="57">
        <v>45985</v>
      </c>
      <c r="BT52" s="57"/>
      <c r="BU52" s="57"/>
      <c r="BV52" s="57"/>
      <c r="BW52" s="57"/>
      <c r="BX52" s="57"/>
      <c r="BY52" s="57"/>
      <c r="BZ52" s="57"/>
      <c r="CA52" s="57"/>
      <c r="CB52" s="56" t="s">
        <v>5034</v>
      </c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6">
        <v>45736</v>
      </c>
      <c r="CO52" s="57">
        <v>45827</v>
      </c>
      <c r="CP52" s="57">
        <v>45918</v>
      </c>
      <c r="CQ52" s="57">
        <v>46009</v>
      </c>
      <c r="CR52" s="57"/>
      <c r="CS52" s="57"/>
      <c r="CT52" s="57"/>
      <c r="CU52" s="57"/>
      <c r="CV52" s="57"/>
      <c r="CW52" s="57"/>
      <c r="CX52" s="57"/>
      <c r="CY52" s="57"/>
      <c r="CZ52" s="56" t="s">
        <v>5034</v>
      </c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8"/>
      <c r="DL52" s="59">
        <v>4</v>
      </c>
      <c r="DM52" s="60">
        <v>4</v>
      </c>
      <c r="DN52" s="61">
        <v>0</v>
      </c>
      <c r="DO52" s="60">
        <v>4</v>
      </c>
      <c r="DP52" s="60">
        <v>0</v>
      </c>
      <c r="DQ52" s="59">
        <v>12</v>
      </c>
      <c r="DR52" s="62">
        <v>842</v>
      </c>
      <c r="DS52" s="62" t="s">
        <v>5034</v>
      </c>
      <c r="DU52" s="62" t="s">
        <v>5034</v>
      </c>
      <c r="DV52" s="63">
        <v>44483.750759525465</v>
      </c>
      <c r="DW52" s="64">
        <v>2021</v>
      </c>
      <c r="DX52" s="65">
        <v>10</v>
      </c>
    </row>
    <row r="53" spans="2:128" ht="15">
      <c r="B53" s="43" t="s">
        <v>5022</v>
      </c>
      <c r="C53" s="43" t="s">
        <v>4802</v>
      </c>
      <c r="D53" s="43" t="s">
        <v>4113</v>
      </c>
      <c r="E53" s="49">
        <v>43880</v>
      </c>
      <c r="F53" s="49">
        <v>45664</v>
      </c>
      <c r="G53" s="50">
        <v>1</v>
      </c>
      <c r="H53" s="43" t="s">
        <v>4798</v>
      </c>
      <c r="I53" s="43" t="s">
        <v>5023</v>
      </c>
      <c r="J53" s="43"/>
      <c r="K53" s="43">
        <v>2</v>
      </c>
      <c r="L53" s="43">
        <v>3</v>
      </c>
      <c r="M53" s="43"/>
      <c r="N53" s="43"/>
      <c r="O53" s="43" t="s">
        <v>4725</v>
      </c>
      <c r="P53" s="43" t="s">
        <v>5024</v>
      </c>
      <c r="Q53" s="43" t="s">
        <v>5042</v>
      </c>
      <c r="R53" s="43" t="s">
        <v>5043</v>
      </c>
      <c r="S53" s="43" t="s">
        <v>5026</v>
      </c>
      <c r="T53" s="51" t="s">
        <v>5027</v>
      </c>
      <c r="U53" s="52" t="s">
        <v>5028</v>
      </c>
      <c r="V53" s="53" t="s">
        <v>3896</v>
      </c>
      <c r="W53" s="54" t="s">
        <v>5034</v>
      </c>
      <c r="X53" s="55" t="s">
        <v>5034</v>
      </c>
      <c r="AI53" s="54"/>
      <c r="AJ53" s="56" t="s">
        <v>5034</v>
      </c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8"/>
      <c r="BD53" s="55" t="s">
        <v>5034</v>
      </c>
      <c r="BO53" s="54"/>
      <c r="BP53" s="56" t="s">
        <v>5034</v>
      </c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6" t="s">
        <v>5034</v>
      </c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6" t="s">
        <v>5034</v>
      </c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6" t="s">
        <v>5034</v>
      </c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8"/>
      <c r="DL53" s="59">
        <v>0</v>
      </c>
      <c r="DM53" s="60">
        <v>0</v>
      </c>
      <c r="DN53" s="61">
        <v>0</v>
      </c>
      <c r="DO53" s="60">
        <v>0</v>
      </c>
      <c r="DP53" s="60">
        <v>0</v>
      </c>
      <c r="DQ53" s="59">
        <v>0</v>
      </c>
      <c r="DR53" s="62" t="s">
        <v>5034</v>
      </c>
      <c r="DS53" s="62" t="s">
        <v>5034</v>
      </c>
      <c r="DU53" s="62" t="s">
        <v>5034</v>
      </c>
      <c r="DV53" s="63">
        <v>44483.750949641202</v>
      </c>
      <c r="DW53" s="64">
        <v>2021</v>
      </c>
      <c r="DX53" s="65">
        <v>10</v>
      </c>
    </row>
    <row r="54" spans="2:128" ht="15">
      <c r="B54" s="43" t="s">
        <v>5022</v>
      </c>
      <c r="C54" s="43" t="s">
        <v>4845</v>
      </c>
      <c r="D54" s="43" t="s">
        <v>2572</v>
      </c>
      <c r="E54" s="49">
        <v>43929</v>
      </c>
      <c r="F54" s="49"/>
      <c r="G54" s="50">
        <v>1</v>
      </c>
      <c r="H54" s="43" t="s">
        <v>4798</v>
      </c>
      <c r="I54" s="43" t="s">
        <v>5023</v>
      </c>
      <c r="J54" s="43"/>
      <c r="K54" s="43">
        <v>2</v>
      </c>
      <c r="L54" s="43">
        <v>2</v>
      </c>
      <c r="M54" s="43"/>
      <c r="N54" s="43"/>
      <c r="O54" s="43" t="s">
        <v>4725</v>
      </c>
      <c r="P54" s="43" t="s">
        <v>5024</v>
      </c>
      <c r="Q54" s="43" t="s">
        <v>5074</v>
      </c>
      <c r="R54" s="43" t="s">
        <v>5047</v>
      </c>
      <c r="S54" s="43" t="s">
        <v>5026</v>
      </c>
      <c r="T54" s="51" t="s">
        <v>5027</v>
      </c>
      <c r="U54" s="52" t="s">
        <v>5028</v>
      </c>
      <c r="V54" s="53" t="s">
        <v>3884</v>
      </c>
      <c r="W54" s="54" t="s">
        <v>2571</v>
      </c>
      <c r="X54" s="55" t="s">
        <v>4889</v>
      </c>
      <c r="Y54" t="s">
        <v>4896</v>
      </c>
      <c r="Z54" t="s">
        <v>4800</v>
      </c>
      <c r="AA54" t="s">
        <v>4891</v>
      </c>
      <c r="AI54" s="54"/>
      <c r="AJ54" s="56">
        <v>45740</v>
      </c>
      <c r="AK54" s="57">
        <v>45831</v>
      </c>
      <c r="AL54" s="57">
        <v>45922</v>
      </c>
      <c r="AM54" s="57">
        <v>46013</v>
      </c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8"/>
      <c r="BD54" s="55" t="s">
        <v>5030</v>
      </c>
      <c r="BE54" t="s">
        <v>5031</v>
      </c>
      <c r="BF54" t="s">
        <v>5032</v>
      </c>
      <c r="BG54" t="s">
        <v>5033</v>
      </c>
      <c r="BO54" s="54"/>
      <c r="BP54" s="56">
        <v>45712</v>
      </c>
      <c r="BQ54" s="57">
        <v>45803</v>
      </c>
      <c r="BR54" s="57">
        <v>45894</v>
      </c>
      <c r="BS54" s="57">
        <v>45985</v>
      </c>
      <c r="BT54" s="57"/>
      <c r="BU54" s="57"/>
      <c r="BV54" s="57"/>
      <c r="BW54" s="57"/>
      <c r="BX54" s="57"/>
      <c r="BY54" s="57"/>
      <c r="BZ54" s="57"/>
      <c r="CA54" s="57"/>
      <c r="CB54" s="56" t="s">
        <v>5034</v>
      </c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6">
        <v>45736</v>
      </c>
      <c r="CO54" s="57">
        <v>45827</v>
      </c>
      <c r="CP54" s="57">
        <v>45918</v>
      </c>
      <c r="CQ54" s="57">
        <v>46009</v>
      </c>
      <c r="CR54" s="57"/>
      <c r="CS54" s="57"/>
      <c r="CT54" s="57"/>
      <c r="CU54" s="57"/>
      <c r="CV54" s="57"/>
      <c r="CW54" s="57"/>
      <c r="CX54" s="57"/>
      <c r="CY54" s="57"/>
      <c r="CZ54" s="56" t="s">
        <v>5034</v>
      </c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8"/>
      <c r="DL54" s="59">
        <v>4</v>
      </c>
      <c r="DM54" s="60">
        <v>4</v>
      </c>
      <c r="DN54" s="61">
        <v>0</v>
      </c>
      <c r="DO54" s="60">
        <v>4</v>
      </c>
      <c r="DP54" s="60">
        <v>0</v>
      </c>
      <c r="DQ54" s="59">
        <v>12</v>
      </c>
      <c r="DR54" s="62">
        <v>854</v>
      </c>
      <c r="DS54" s="62" t="s">
        <v>5034</v>
      </c>
      <c r="DU54" s="62" t="s">
        <v>5034</v>
      </c>
      <c r="DV54" s="63">
        <v>45084.584395798614</v>
      </c>
      <c r="DW54" s="64">
        <v>2023</v>
      </c>
      <c r="DX54" s="65">
        <v>6</v>
      </c>
    </row>
    <row r="55" spans="2:128" ht="15">
      <c r="B55" s="43" t="s">
        <v>5022</v>
      </c>
      <c r="C55" s="43" t="s">
        <v>4802</v>
      </c>
      <c r="D55" s="43" t="s">
        <v>4846</v>
      </c>
      <c r="E55" s="49">
        <v>44097</v>
      </c>
      <c r="F55" s="49"/>
      <c r="G55" s="50">
        <v>1</v>
      </c>
      <c r="H55" s="43" t="s">
        <v>4798</v>
      </c>
      <c r="I55" s="43" t="s">
        <v>5023</v>
      </c>
      <c r="J55" s="43"/>
      <c r="K55" s="43">
        <v>2</v>
      </c>
      <c r="L55" s="43">
        <v>3</v>
      </c>
      <c r="M55" s="43"/>
      <c r="N55" s="43"/>
      <c r="O55" s="43" t="s">
        <v>4725</v>
      </c>
      <c r="P55" s="43" t="s">
        <v>5063</v>
      </c>
      <c r="Q55" s="43" t="s">
        <v>5075</v>
      </c>
      <c r="R55" s="43" t="s">
        <v>5045</v>
      </c>
      <c r="S55" s="43" t="s">
        <v>5026</v>
      </c>
      <c r="T55" s="51" t="s">
        <v>5027</v>
      </c>
      <c r="U55" s="52" t="s">
        <v>5028</v>
      </c>
      <c r="V55" s="53" t="s">
        <v>3884</v>
      </c>
      <c r="W55" s="54" t="s">
        <v>2511</v>
      </c>
      <c r="X55" s="55" t="s">
        <v>4889</v>
      </c>
      <c r="Y55" t="s">
        <v>4896</v>
      </c>
      <c r="Z55" t="s">
        <v>4800</v>
      </c>
      <c r="AA55" t="s">
        <v>4891</v>
      </c>
      <c r="AI55" s="54"/>
      <c r="AJ55" s="56">
        <v>45740</v>
      </c>
      <c r="AK55" s="57">
        <v>45831</v>
      </c>
      <c r="AL55" s="57">
        <v>45922</v>
      </c>
      <c r="AM55" s="57">
        <v>46013</v>
      </c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8"/>
      <c r="BD55" s="55" t="s">
        <v>5030</v>
      </c>
      <c r="BE55" t="s">
        <v>5031</v>
      </c>
      <c r="BF55" t="s">
        <v>5032</v>
      </c>
      <c r="BG55" t="s">
        <v>5033</v>
      </c>
      <c r="BO55" s="54"/>
      <c r="BP55" s="56">
        <v>45712</v>
      </c>
      <c r="BQ55" s="57">
        <v>45803</v>
      </c>
      <c r="BR55" s="57">
        <v>45894</v>
      </c>
      <c r="BS55" s="57">
        <v>45985</v>
      </c>
      <c r="BT55" s="57"/>
      <c r="BU55" s="57"/>
      <c r="BV55" s="57"/>
      <c r="BW55" s="57"/>
      <c r="BX55" s="57"/>
      <c r="BY55" s="57"/>
      <c r="BZ55" s="57"/>
      <c r="CA55" s="57"/>
      <c r="CB55" s="56" t="s">
        <v>5034</v>
      </c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6">
        <v>45736</v>
      </c>
      <c r="CO55" s="57">
        <v>45827</v>
      </c>
      <c r="CP55" s="57">
        <v>45918</v>
      </c>
      <c r="CQ55" s="57">
        <v>46009</v>
      </c>
      <c r="CR55" s="57"/>
      <c r="CS55" s="57"/>
      <c r="CT55" s="57"/>
      <c r="CU55" s="57"/>
      <c r="CV55" s="57"/>
      <c r="CW55" s="57"/>
      <c r="CX55" s="57"/>
      <c r="CY55" s="57"/>
      <c r="CZ55" s="56" t="s">
        <v>5034</v>
      </c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8"/>
      <c r="DL55" s="59">
        <v>4</v>
      </c>
      <c r="DM55" s="60">
        <v>4</v>
      </c>
      <c r="DN55" s="61">
        <v>0</v>
      </c>
      <c r="DO55" s="60">
        <v>4</v>
      </c>
      <c r="DP55" s="60">
        <v>0</v>
      </c>
      <c r="DQ55" s="59">
        <v>12</v>
      </c>
      <c r="DR55" s="62">
        <v>886</v>
      </c>
      <c r="DS55" s="62" t="s">
        <v>5034</v>
      </c>
      <c r="DU55" s="62" t="s">
        <v>5034</v>
      </c>
      <c r="DV55" s="63">
        <v>44988</v>
      </c>
      <c r="DW55" s="64">
        <v>2023</v>
      </c>
      <c r="DX55" s="65">
        <v>3</v>
      </c>
    </row>
    <row r="56" spans="2:128" ht="15">
      <c r="B56" s="43" t="s">
        <v>5022</v>
      </c>
      <c r="C56" s="43" t="s">
        <v>4801</v>
      </c>
      <c r="D56" s="43" t="s">
        <v>4847</v>
      </c>
      <c r="E56" s="49">
        <v>44165</v>
      </c>
      <c r="F56" s="49"/>
      <c r="G56" s="50">
        <v>1</v>
      </c>
      <c r="H56" s="43" t="s">
        <v>4799</v>
      </c>
      <c r="I56" s="43" t="s">
        <v>5076</v>
      </c>
      <c r="J56" s="43"/>
      <c r="K56" s="43">
        <v>2</v>
      </c>
      <c r="L56" s="43">
        <v>2</v>
      </c>
      <c r="M56" s="43"/>
      <c r="N56" s="43"/>
      <c r="O56" s="43"/>
      <c r="P56" s="43" t="s">
        <v>5077</v>
      </c>
      <c r="Q56" s="43"/>
      <c r="R56" s="43" t="s">
        <v>5078</v>
      </c>
      <c r="S56" s="43" t="s">
        <v>5079</v>
      </c>
      <c r="T56" s="51" t="s">
        <v>5027</v>
      </c>
      <c r="U56" s="52" t="s">
        <v>5028</v>
      </c>
      <c r="V56" s="53" t="s">
        <v>3884</v>
      </c>
      <c r="W56" s="54" t="s">
        <v>5080</v>
      </c>
      <c r="X56" s="55" t="s">
        <v>4889</v>
      </c>
      <c r="Y56" t="s">
        <v>4800</v>
      </c>
      <c r="AI56" s="54"/>
      <c r="AJ56" s="56">
        <v>45740</v>
      </c>
      <c r="AK56" s="57">
        <v>45922</v>
      </c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8"/>
      <c r="BD56" s="55" t="s">
        <v>5030</v>
      </c>
      <c r="BE56" t="s">
        <v>5032</v>
      </c>
      <c r="BO56" s="54"/>
      <c r="BP56" s="56">
        <v>45712</v>
      </c>
      <c r="BQ56" s="57">
        <v>45894</v>
      </c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6" t="s">
        <v>5034</v>
      </c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6">
        <v>45736</v>
      </c>
      <c r="CO56" s="57">
        <v>45918</v>
      </c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6" t="s">
        <v>5034</v>
      </c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8"/>
      <c r="DL56" s="59">
        <v>2</v>
      </c>
      <c r="DM56" s="60">
        <v>2</v>
      </c>
      <c r="DN56" s="61">
        <v>0</v>
      </c>
      <c r="DO56" s="60">
        <v>2</v>
      </c>
      <c r="DP56" s="60">
        <v>0</v>
      </c>
      <c r="DQ56" s="59">
        <v>6</v>
      </c>
      <c r="DR56" s="62">
        <v>898</v>
      </c>
      <c r="DS56" s="62" t="s">
        <v>5034</v>
      </c>
      <c r="DU56" s="62" t="s">
        <v>5034</v>
      </c>
      <c r="DV56" s="63">
        <v>45469</v>
      </c>
      <c r="DW56" s="64">
        <v>2024</v>
      </c>
      <c r="DX56" s="65">
        <v>6</v>
      </c>
    </row>
    <row r="57" spans="2:128" ht="15">
      <c r="B57" s="43" t="s">
        <v>5022</v>
      </c>
      <c r="C57" s="43" t="s">
        <v>4801</v>
      </c>
      <c r="D57" s="43" t="s">
        <v>4847</v>
      </c>
      <c r="E57" s="49">
        <v>44165</v>
      </c>
      <c r="F57" s="49"/>
      <c r="G57" s="50">
        <v>1</v>
      </c>
      <c r="H57" s="43" t="s">
        <v>4799</v>
      </c>
      <c r="I57" s="43" t="s">
        <v>5076</v>
      </c>
      <c r="J57" s="43"/>
      <c r="K57" s="43">
        <v>2</v>
      </c>
      <c r="L57" s="43">
        <v>2</v>
      </c>
      <c r="M57" s="43"/>
      <c r="N57" s="43"/>
      <c r="O57" s="43"/>
      <c r="P57" s="43" t="s">
        <v>5077</v>
      </c>
      <c r="Q57" s="43"/>
      <c r="R57" s="43" t="s">
        <v>5078</v>
      </c>
      <c r="S57" s="43" t="s">
        <v>5079</v>
      </c>
      <c r="T57" s="51" t="s">
        <v>5027</v>
      </c>
      <c r="U57" s="52" t="s">
        <v>5028</v>
      </c>
      <c r="V57" s="53" t="s">
        <v>3896</v>
      </c>
      <c r="W57" s="54" t="s">
        <v>5034</v>
      </c>
      <c r="X57" s="55" t="s">
        <v>5034</v>
      </c>
      <c r="AI57" s="54"/>
      <c r="AJ57" s="56" t="s">
        <v>5034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8"/>
      <c r="BD57" s="55" t="s">
        <v>5034</v>
      </c>
      <c r="BO57" s="54"/>
      <c r="BP57" s="56" t="s">
        <v>5034</v>
      </c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6" t="s">
        <v>5034</v>
      </c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6" t="s">
        <v>5034</v>
      </c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6" t="s">
        <v>5034</v>
      </c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8"/>
      <c r="DL57" s="59">
        <v>0</v>
      </c>
      <c r="DM57" s="60">
        <v>0</v>
      </c>
      <c r="DN57" s="61">
        <v>0</v>
      </c>
      <c r="DO57" s="60">
        <v>0</v>
      </c>
      <c r="DP57" s="60">
        <v>0</v>
      </c>
      <c r="DQ57" s="59">
        <v>0</v>
      </c>
      <c r="DR57" s="62" t="s">
        <v>5034</v>
      </c>
      <c r="DS57" s="62" t="s">
        <v>5034</v>
      </c>
      <c r="DU57" s="62" t="s">
        <v>5034</v>
      </c>
      <c r="DV57" s="63">
        <v>45469</v>
      </c>
      <c r="DW57" s="64">
        <v>2024</v>
      </c>
      <c r="DX57" s="65">
        <v>6</v>
      </c>
    </row>
    <row r="58" spans="2:128" ht="15">
      <c r="B58" s="43" t="s">
        <v>5022</v>
      </c>
      <c r="C58" s="43" t="s">
        <v>4801</v>
      </c>
      <c r="D58" s="43" t="s">
        <v>4848</v>
      </c>
      <c r="E58" s="49">
        <v>44165</v>
      </c>
      <c r="F58" s="49"/>
      <c r="G58" s="50">
        <v>1</v>
      </c>
      <c r="H58" s="43" t="s">
        <v>4799</v>
      </c>
      <c r="I58" s="43" t="s">
        <v>5076</v>
      </c>
      <c r="J58" s="43">
        <v>8</v>
      </c>
      <c r="K58" s="43">
        <v>2</v>
      </c>
      <c r="L58" s="43">
        <v>2</v>
      </c>
      <c r="M58" s="43"/>
      <c r="N58" s="43"/>
      <c r="O58" s="43"/>
      <c r="P58" s="43" t="s">
        <v>5077</v>
      </c>
      <c r="Q58" s="43"/>
      <c r="R58" s="43" t="s">
        <v>5081</v>
      </c>
      <c r="S58" s="43" t="s">
        <v>5026</v>
      </c>
      <c r="T58" s="51" t="s">
        <v>5078</v>
      </c>
      <c r="U58" s="52" t="s">
        <v>5028</v>
      </c>
      <c r="V58" s="53" t="s">
        <v>3884</v>
      </c>
      <c r="W58" s="54" t="s">
        <v>5082</v>
      </c>
      <c r="X58" s="55" t="s">
        <v>4889</v>
      </c>
      <c r="Y58" t="s">
        <v>4800</v>
      </c>
      <c r="AI58" s="54"/>
      <c r="AJ58" s="56">
        <v>45740</v>
      </c>
      <c r="AK58" s="57">
        <v>45922</v>
      </c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8"/>
      <c r="BD58" s="55" t="s">
        <v>5030</v>
      </c>
      <c r="BE58" t="s">
        <v>5032</v>
      </c>
      <c r="BO58" s="54"/>
      <c r="BP58" s="56">
        <v>45712</v>
      </c>
      <c r="BQ58" s="57">
        <v>45894</v>
      </c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6">
        <v>45728</v>
      </c>
      <c r="CC58" s="57">
        <v>45910</v>
      </c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6">
        <v>45736</v>
      </c>
      <c r="CO58" s="57">
        <v>45918</v>
      </c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6" t="s">
        <v>5034</v>
      </c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8"/>
      <c r="DL58" s="59">
        <v>2</v>
      </c>
      <c r="DM58" s="60">
        <v>2</v>
      </c>
      <c r="DN58" s="61">
        <v>2</v>
      </c>
      <c r="DO58" s="60">
        <v>2</v>
      </c>
      <c r="DP58" s="60">
        <v>0</v>
      </c>
      <c r="DQ58" s="59">
        <v>8</v>
      </c>
      <c r="DR58" s="62">
        <v>904</v>
      </c>
      <c r="DS58" s="62" t="s">
        <v>5034</v>
      </c>
      <c r="DU58" s="62" t="s">
        <v>5034</v>
      </c>
      <c r="DV58" s="63">
        <v>45344</v>
      </c>
      <c r="DW58" s="64">
        <v>2024</v>
      </c>
      <c r="DX58" s="65">
        <v>2</v>
      </c>
    </row>
    <row r="59" spans="2:128" ht="15">
      <c r="B59" s="43" t="s">
        <v>5022</v>
      </c>
      <c r="C59" s="43" t="s">
        <v>4801</v>
      </c>
      <c r="D59" s="43" t="s">
        <v>4849</v>
      </c>
      <c r="E59" s="49">
        <v>44165</v>
      </c>
      <c r="F59" s="49"/>
      <c r="G59" s="50">
        <v>1</v>
      </c>
      <c r="H59" s="43" t="s">
        <v>4799</v>
      </c>
      <c r="I59" s="43" t="s">
        <v>5076</v>
      </c>
      <c r="J59" s="43"/>
      <c r="K59" s="43">
        <v>2</v>
      </c>
      <c r="L59" s="43">
        <v>2</v>
      </c>
      <c r="M59" s="43"/>
      <c r="N59" s="43"/>
      <c r="O59" s="43"/>
      <c r="P59" s="43" t="s">
        <v>5077</v>
      </c>
      <c r="Q59" s="43"/>
      <c r="R59" s="43" t="s">
        <v>5078</v>
      </c>
      <c r="S59" s="43" t="s">
        <v>5079</v>
      </c>
      <c r="T59" s="51" t="s">
        <v>5027</v>
      </c>
      <c r="U59" s="52" t="s">
        <v>5028</v>
      </c>
      <c r="V59" s="53" t="s">
        <v>3884</v>
      </c>
      <c r="W59" s="54" t="s">
        <v>5083</v>
      </c>
      <c r="X59" s="55" t="s">
        <v>4889</v>
      </c>
      <c r="Y59" t="s">
        <v>4800</v>
      </c>
      <c r="AI59" s="54"/>
      <c r="AJ59" s="56">
        <v>45740</v>
      </c>
      <c r="AK59" s="57">
        <v>45922</v>
      </c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8"/>
      <c r="BD59" s="55" t="s">
        <v>5030</v>
      </c>
      <c r="BE59" t="s">
        <v>5032</v>
      </c>
      <c r="BO59" s="54"/>
      <c r="BP59" s="56">
        <v>45712</v>
      </c>
      <c r="BQ59" s="57">
        <v>45894</v>
      </c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6" t="s">
        <v>5034</v>
      </c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6">
        <v>45736</v>
      </c>
      <c r="CO59" s="57">
        <v>45918</v>
      </c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6" t="s">
        <v>5034</v>
      </c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8"/>
      <c r="DL59" s="59">
        <v>2</v>
      </c>
      <c r="DM59" s="60">
        <v>2</v>
      </c>
      <c r="DN59" s="61">
        <v>0</v>
      </c>
      <c r="DO59" s="60">
        <v>2</v>
      </c>
      <c r="DP59" s="60">
        <v>0</v>
      </c>
      <c r="DQ59" s="59">
        <v>6</v>
      </c>
      <c r="DR59" s="62">
        <v>956</v>
      </c>
      <c r="DS59" s="62" t="s">
        <v>5034</v>
      </c>
      <c r="DU59" s="62" t="s">
        <v>5034</v>
      </c>
      <c r="DV59" s="63">
        <v>45469</v>
      </c>
      <c r="DW59" s="64">
        <v>2024</v>
      </c>
      <c r="DX59" s="65">
        <v>6</v>
      </c>
    </row>
    <row r="60" spans="2:128" ht="15">
      <c r="B60" s="43" t="s">
        <v>5022</v>
      </c>
      <c r="C60" s="43" t="s">
        <v>4801</v>
      </c>
      <c r="D60" s="43" t="s">
        <v>4849</v>
      </c>
      <c r="E60" s="49">
        <v>44165</v>
      </c>
      <c r="F60" s="49"/>
      <c r="G60" s="50">
        <v>1</v>
      </c>
      <c r="H60" s="43" t="s">
        <v>4799</v>
      </c>
      <c r="I60" s="43" t="s">
        <v>5076</v>
      </c>
      <c r="J60" s="43"/>
      <c r="K60" s="43">
        <v>2</v>
      </c>
      <c r="L60" s="43">
        <v>2</v>
      </c>
      <c r="M60" s="43"/>
      <c r="N60" s="43"/>
      <c r="O60" s="43"/>
      <c r="P60" s="43" t="s">
        <v>5077</v>
      </c>
      <c r="Q60" s="43"/>
      <c r="R60" s="43" t="s">
        <v>5078</v>
      </c>
      <c r="S60" s="43" t="s">
        <v>5079</v>
      </c>
      <c r="T60" s="51" t="s">
        <v>5027</v>
      </c>
      <c r="U60" s="52" t="s">
        <v>5028</v>
      </c>
      <c r="V60" s="53" t="s">
        <v>3896</v>
      </c>
      <c r="W60" s="54" t="s">
        <v>5034</v>
      </c>
      <c r="X60" s="55" t="s">
        <v>5034</v>
      </c>
      <c r="AI60" s="54"/>
      <c r="AJ60" s="56" t="s">
        <v>5034</v>
      </c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8"/>
      <c r="BD60" s="55" t="s">
        <v>5034</v>
      </c>
      <c r="BO60" s="54"/>
      <c r="BP60" s="56" t="s">
        <v>5034</v>
      </c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6" t="s">
        <v>5034</v>
      </c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6" t="s">
        <v>5034</v>
      </c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6" t="s">
        <v>5034</v>
      </c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8"/>
      <c r="DL60" s="59">
        <v>0</v>
      </c>
      <c r="DM60" s="60">
        <v>0</v>
      </c>
      <c r="DN60" s="61">
        <v>0</v>
      </c>
      <c r="DO60" s="60">
        <v>0</v>
      </c>
      <c r="DP60" s="60">
        <v>0</v>
      </c>
      <c r="DQ60" s="59">
        <v>0</v>
      </c>
      <c r="DR60" s="62" t="s">
        <v>5034</v>
      </c>
      <c r="DS60" s="62" t="s">
        <v>5034</v>
      </c>
      <c r="DU60" s="62" t="s">
        <v>5034</v>
      </c>
      <c r="DV60" s="63">
        <v>45469</v>
      </c>
      <c r="DW60" s="64">
        <v>2024</v>
      </c>
      <c r="DX60" s="65">
        <v>6</v>
      </c>
    </row>
    <row r="61" spans="2:128" ht="15">
      <c r="B61" s="43" t="s">
        <v>5022</v>
      </c>
      <c r="C61" s="43" t="s">
        <v>4825</v>
      </c>
      <c r="D61" s="43" t="s">
        <v>4850</v>
      </c>
      <c r="E61" s="49">
        <v>44202</v>
      </c>
      <c r="F61" s="49"/>
      <c r="G61" s="50">
        <v>1</v>
      </c>
      <c r="H61" s="43" t="s">
        <v>4798</v>
      </c>
      <c r="I61" s="43" t="s">
        <v>5023</v>
      </c>
      <c r="J61" s="43">
        <v>6</v>
      </c>
      <c r="K61" s="43">
        <v>2</v>
      </c>
      <c r="L61" s="43">
        <v>3</v>
      </c>
      <c r="M61" s="43"/>
      <c r="N61" s="43"/>
      <c r="O61" s="43" t="s">
        <v>5066</v>
      </c>
      <c r="P61" s="43" t="s">
        <v>5024</v>
      </c>
      <c r="Q61" s="43" t="s">
        <v>5054</v>
      </c>
      <c r="R61" s="43" t="s">
        <v>5047</v>
      </c>
      <c r="S61" s="43" t="s">
        <v>5026</v>
      </c>
      <c r="T61" s="51" t="s">
        <v>5027</v>
      </c>
      <c r="U61" s="52" t="s">
        <v>5028</v>
      </c>
      <c r="V61" s="53" t="s">
        <v>3884</v>
      </c>
      <c r="W61" s="54" t="s">
        <v>846</v>
      </c>
      <c r="X61" s="55" t="s">
        <v>4889</v>
      </c>
      <c r="Y61" t="s">
        <v>4896</v>
      </c>
      <c r="Z61" t="s">
        <v>4800</v>
      </c>
      <c r="AA61" t="s">
        <v>4891</v>
      </c>
      <c r="AI61" s="54"/>
      <c r="AJ61" s="56">
        <v>45740</v>
      </c>
      <c r="AK61" s="57">
        <v>45831</v>
      </c>
      <c r="AL61" s="57">
        <v>45922</v>
      </c>
      <c r="AM61" s="57">
        <v>46013</v>
      </c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8"/>
      <c r="BD61" s="55" t="s">
        <v>5030</v>
      </c>
      <c r="BE61" t="s">
        <v>5031</v>
      </c>
      <c r="BF61" t="s">
        <v>5032</v>
      </c>
      <c r="BG61" t="s">
        <v>5033</v>
      </c>
      <c r="BO61" s="54"/>
      <c r="BP61" s="56">
        <v>45712</v>
      </c>
      <c r="BQ61" s="57">
        <v>45803</v>
      </c>
      <c r="BR61" s="57">
        <v>45894</v>
      </c>
      <c r="BS61" s="57">
        <v>45985</v>
      </c>
      <c r="BT61" s="57"/>
      <c r="BU61" s="57"/>
      <c r="BV61" s="57"/>
      <c r="BW61" s="57"/>
      <c r="BX61" s="57"/>
      <c r="BY61" s="57"/>
      <c r="BZ61" s="57"/>
      <c r="CA61" s="57"/>
      <c r="CB61" s="56">
        <v>45730</v>
      </c>
      <c r="CC61" s="57">
        <v>45821</v>
      </c>
      <c r="CD61" s="57">
        <v>45912</v>
      </c>
      <c r="CE61" s="57">
        <v>46003</v>
      </c>
      <c r="CF61" s="57"/>
      <c r="CG61" s="57"/>
      <c r="CH61" s="57"/>
      <c r="CI61" s="57"/>
      <c r="CJ61" s="57"/>
      <c r="CK61" s="57"/>
      <c r="CL61" s="57"/>
      <c r="CM61" s="57"/>
      <c r="CN61" s="56">
        <v>45736</v>
      </c>
      <c r="CO61" s="57">
        <v>45827</v>
      </c>
      <c r="CP61" s="57">
        <v>45918</v>
      </c>
      <c r="CQ61" s="57">
        <v>46009</v>
      </c>
      <c r="CR61" s="57"/>
      <c r="CS61" s="57"/>
      <c r="CT61" s="57"/>
      <c r="CU61" s="57"/>
      <c r="CV61" s="57"/>
      <c r="CW61" s="57"/>
      <c r="CX61" s="57"/>
      <c r="CY61" s="57"/>
      <c r="CZ61" s="56" t="s">
        <v>5034</v>
      </c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8"/>
      <c r="DL61" s="59">
        <v>4</v>
      </c>
      <c r="DM61" s="60">
        <v>4</v>
      </c>
      <c r="DN61" s="61">
        <v>4</v>
      </c>
      <c r="DO61" s="60">
        <v>4</v>
      </c>
      <c r="DP61" s="60">
        <v>0</v>
      </c>
      <c r="DQ61" s="59">
        <v>16</v>
      </c>
      <c r="DR61" s="62">
        <v>964</v>
      </c>
      <c r="DS61" s="62" t="s">
        <v>5034</v>
      </c>
      <c r="DU61" s="62" t="s">
        <v>5034</v>
      </c>
      <c r="DV61" s="63">
        <v>45084.581275798613</v>
      </c>
      <c r="DW61" s="64">
        <v>2023</v>
      </c>
      <c r="DX61" s="65">
        <v>6</v>
      </c>
    </row>
    <row r="62" spans="2:128" ht="15">
      <c r="B62" s="43" t="s">
        <v>5022</v>
      </c>
      <c r="C62" s="43" t="s">
        <v>4801</v>
      </c>
      <c r="D62" s="43" t="s">
        <v>2494</v>
      </c>
      <c r="E62" s="49">
        <v>44277</v>
      </c>
      <c r="F62" s="49"/>
      <c r="G62" s="50">
        <v>1</v>
      </c>
      <c r="H62" s="43" t="s">
        <v>4798</v>
      </c>
      <c r="I62" s="43" t="s">
        <v>5023</v>
      </c>
      <c r="J62" s="43">
        <v>7</v>
      </c>
      <c r="K62" s="43">
        <v>2</v>
      </c>
      <c r="L62" s="43">
        <v>2</v>
      </c>
      <c r="M62" s="43"/>
      <c r="N62" s="43"/>
      <c r="O62" s="43" t="s">
        <v>4725</v>
      </c>
      <c r="P62" s="43" t="s">
        <v>5035</v>
      </c>
      <c r="Q62" s="43" t="s">
        <v>5084</v>
      </c>
      <c r="R62" s="43" t="s">
        <v>5068</v>
      </c>
      <c r="S62" s="43" t="s">
        <v>5026</v>
      </c>
      <c r="T62" s="51" t="s">
        <v>5027</v>
      </c>
      <c r="U62" s="52" t="s">
        <v>5028</v>
      </c>
      <c r="V62" s="53" t="s">
        <v>3884</v>
      </c>
      <c r="W62" s="54" t="s">
        <v>2493</v>
      </c>
      <c r="X62" s="55" t="s">
        <v>4889</v>
      </c>
      <c r="Y62" t="s">
        <v>4896</v>
      </c>
      <c r="Z62" t="s">
        <v>4800</v>
      </c>
      <c r="AA62" t="s">
        <v>4891</v>
      </c>
      <c r="AI62" s="54"/>
      <c r="AJ62" s="56">
        <v>45740</v>
      </c>
      <c r="AK62" s="57">
        <v>45831</v>
      </c>
      <c r="AL62" s="57">
        <v>45922</v>
      </c>
      <c r="AM62" s="57">
        <v>46013</v>
      </c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8"/>
      <c r="BD62" s="55" t="s">
        <v>5030</v>
      </c>
      <c r="BE62" t="s">
        <v>5031</v>
      </c>
      <c r="BF62" t="s">
        <v>5032</v>
      </c>
      <c r="BG62" t="s">
        <v>5033</v>
      </c>
      <c r="BO62" s="54"/>
      <c r="BP62" s="56">
        <v>45712</v>
      </c>
      <c r="BQ62" s="57">
        <v>45803</v>
      </c>
      <c r="BR62" s="57">
        <v>45894</v>
      </c>
      <c r="BS62" s="57">
        <v>45985</v>
      </c>
      <c r="BT62" s="57"/>
      <c r="BU62" s="57"/>
      <c r="BV62" s="57"/>
      <c r="BW62" s="57"/>
      <c r="BX62" s="57"/>
      <c r="BY62" s="57"/>
      <c r="BZ62" s="57"/>
      <c r="CA62" s="57"/>
      <c r="CB62" s="56">
        <v>45729</v>
      </c>
      <c r="CC62" s="57">
        <v>45820</v>
      </c>
      <c r="CD62" s="57">
        <v>45911</v>
      </c>
      <c r="CE62" s="57">
        <v>46002</v>
      </c>
      <c r="CF62" s="57"/>
      <c r="CG62" s="57"/>
      <c r="CH62" s="57"/>
      <c r="CI62" s="57"/>
      <c r="CJ62" s="57"/>
      <c r="CK62" s="57"/>
      <c r="CL62" s="57"/>
      <c r="CM62" s="57"/>
      <c r="CN62" s="56">
        <v>45736</v>
      </c>
      <c r="CO62" s="57">
        <v>45827</v>
      </c>
      <c r="CP62" s="57">
        <v>45918</v>
      </c>
      <c r="CQ62" s="57">
        <v>46009</v>
      </c>
      <c r="CR62" s="57"/>
      <c r="CS62" s="57"/>
      <c r="CT62" s="57"/>
      <c r="CU62" s="57"/>
      <c r="CV62" s="57"/>
      <c r="CW62" s="57"/>
      <c r="CX62" s="57"/>
      <c r="CY62" s="57"/>
      <c r="CZ62" s="56" t="s">
        <v>5034</v>
      </c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8"/>
      <c r="DL62" s="59">
        <v>4</v>
      </c>
      <c r="DM62" s="60">
        <v>4</v>
      </c>
      <c r="DN62" s="61">
        <v>4</v>
      </c>
      <c r="DO62" s="60">
        <v>4</v>
      </c>
      <c r="DP62" s="60">
        <v>0</v>
      </c>
      <c r="DQ62" s="59">
        <v>16</v>
      </c>
      <c r="DR62" s="62">
        <v>1000</v>
      </c>
      <c r="DS62" s="62" t="s">
        <v>5034</v>
      </c>
      <c r="DU62" s="62" t="s">
        <v>5034</v>
      </c>
      <c r="DV62" s="63">
        <v>45306</v>
      </c>
      <c r="DW62" s="64">
        <v>2024</v>
      </c>
      <c r="DX62" s="65">
        <v>1</v>
      </c>
    </row>
    <row r="63" spans="2:128" ht="15">
      <c r="B63" s="43" t="s">
        <v>5022</v>
      </c>
      <c r="C63" s="43" t="s">
        <v>4802</v>
      </c>
      <c r="D63" s="43" t="s">
        <v>4851</v>
      </c>
      <c r="E63" s="49">
        <v>44286</v>
      </c>
      <c r="F63" s="49"/>
      <c r="G63" s="50">
        <v>1</v>
      </c>
      <c r="H63" s="43" t="s">
        <v>4798</v>
      </c>
      <c r="I63" s="43" t="s">
        <v>5023</v>
      </c>
      <c r="J63" s="43"/>
      <c r="K63" s="43">
        <v>2</v>
      </c>
      <c r="L63" s="43">
        <v>3</v>
      </c>
      <c r="M63" s="43"/>
      <c r="N63" s="43"/>
      <c r="O63" s="43" t="s">
        <v>4725</v>
      </c>
      <c r="P63" s="43" t="s">
        <v>5024</v>
      </c>
      <c r="Q63" s="43" t="s">
        <v>5085</v>
      </c>
      <c r="R63" s="43" t="s">
        <v>5045</v>
      </c>
      <c r="S63" s="43" t="s">
        <v>5026</v>
      </c>
      <c r="T63" s="51" t="s">
        <v>5027</v>
      </c>
      <c r="U63" s="52" t="s">
        <v>5028</v>
      </c>
      <c r="V63" s="53" t="s">
        <v>3884</v>
      </c>
      <c r="W63" s="54" t="s">
        <v>941</v>
      </c>
      <c r="X63" s="55" t="s">
        <v>4889</v>
      </c>
      <c r="Y63" t="s">
        <v>4896</v>
      </c>
      <c r="Z63" t="s">
        <v>4800</v>
      </c>
      <c r="AA63" t="s">
        <v>4891</v>
      </c>
      <c r="AI63" s="54"/>
      <c r="AJ63" s="56">
        <v>45740</v>
      </c>
      <c r="AK63" s="57">
        <v>45831</v>
      </c>
      <c r="AL63" s="57">
        <v>45922</v>
      </c>
      <c r="AM63" s="57">
        <v>46013</v>
      </c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8"/>
      <c r="BD63" s="55" t="s">
        <v>5030</v>
      </c>
      <c r="BE63" t="s">
        <v>5031</v>
      </c>
      <c r="BF63" t="s">
        <v>5032</v>
      </c>
      <c r="BG63" t="s">
        <v>5033</v>
      </c>
      <c r="BO63" s="54"/>
      <c r="BP63" s="56">
        <v>45712</v>
      </c>
      <c r="BQ63" s="57">
        <v>45803</v>
      </c>
      <c r="BR63" s="57">
        <v>45894</v>
      </c>
      <c r="BS63" s="57">
        <v>45985</v>
      </c>
      <c r="BT63" s="57"/>
      <c r="BU63" s="57"/>
      <c r="BV63" s="57"/>
      <c r="BW63" s="57"/>
      <c r="BX63" s="57"/>
      <c r="BY63" s="57"/>
      <c r="BZ63" s="57"/>
      <c r="CA63" s="57"/>
      <c r="CB63" s="56" t="s">
        <v>5034</v>
      </c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6">
        <v>45736</v>
      </c>
      <c r="CO63" s="57">
        <v>45827</v>
      </c>
      <c r="CP63" s="57">
        <v>45918</v>
      </c>
      <c r="CQ63" s="57">
        <v>46009</v>
      </c>
      <c r="CR63" s="57"/>
      <c r="CS63" s="57"/>
      <c r="CT63" s="57"/>
      <c r="CU63" s="57"/>
      <c r="CV63" s="57"/>
      <c r="CW63" s="57"/>
      <c r="CX63" s="57"/>
      <c r="CY63" s="57"/>
      <c r="CZ63" s="56" t="s">
        <v>5034</v>
      </c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8"/>
      <c r="DL63" s="59">
        <v>4</v>
      </c>
      <c r="DM63" s="60">
        <v>4</v>
      </c>
      <c r="DN63" s="61">
        <v>0</v>
      </c>
      <c r="DO63" s="60">
        <v>4</v>
      </c>
      <c r="DP63" s="60">
        <v>0</v>
      </c>
      <c r="DQ63" s="59">
        <v>12</v>
      </c>
      <c r="DR63" s="62">
        <v>1016</v>
      </c>
      <c r="DS63" s="62" t="s">
        <v>5034</v>
      </c>
      <c r="DU63" s="62" t="s">
        <v>5034</v>
      </c>
      <c r="DV63" s="63">
        <v>44483.750573761572</v>
      </c>
      <c r="DW63" s="64">
        <v>2021</v>
      </c>
      <c r="DX63" s="65">
        <v>10</v>
      </c>
    </row>
    <row r="64" spans="2:128" ht="15">
      <c r="B64" s="43" t="s">
        <v>5022</v>
      </c>
      <c r="C64" s="43" t="s">
        <v>4802</v>
      </c>
      <c r="D64" s="43" t="s">
        <v>4852</v>
      </c>
      <c r="E64" s="49">
        <v>44286</v>
      </c>
      <c r="F64" s="49"/>
      <c r="G64" s="50">
        <v>1</v>
      </c>
      <c r="H64" s="43" t="s">
        <v>4798</v>
      </c>
      <c r="I64" s="43" t="s">
        <v>5023</v>
      </c>
      <c r="J64" s="43"/>
      <c r="K64" s="43">
        <v>2</v>
      </c>
      <c r="L64" s="43">
        <v>3</v>
      </c>
      <c r="M64" s="43"/>
      <c r="N64" s="43"/>
      <c r="O64" s="43" t="s">
        <v>4725</v>
      </c>
      <c r="P64" s="43" t="s">
        <v>5063</v>
      </c>
      <c r="Q64" s="43" t="s">
        <v>5085</v>
      </c>
      <c r="R64" s="43" t="s">
        <v>5045</v>
      </c>
      <c r="S64" s="43" t="s">
        <v>5026</v>
      </c>
      <c r="T64" s="51" t="s">
        <v>5027</v>
      </c>
      <c r="U64" s="52" t="s">
        <v>5028</v>
      </c>
      <c r="V64" s="53" t="s">
        <v>3884</v>
      </c>
      <c r="W64" s="54" t="s">
        <v>917</v>
      </c>
      <c r="X64" s="55" t="s">
        <v>4889</v>
      </c>
      <c r="Y64" t="s">
        <v>4896</v>
      </c>
      <c r="Z64" t="s">
        <v>4800</v>
      </c>
      <c r="AA64" t="s">
        <v>4891</v>
      </c>
      <c r="AI64" s="54"/>
      <c r="AJ64" s="56">
        <v>45740</v>
      </c>
      <c r="AK64" s="57">
        <v>45831</v>
      </c>
      <c r="AL64" s="57">
        <v>45922</v>
      </c>
      <c r="AM64" s="57">
        <v>46013</v>
      </c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8"/>
      <c r="BD64" s="55" t="s">
        <v>5030</v>
      </c>
      <c r="BE64" t="s">
        <v>5031</v>
      </c>
      <c r="BF64" t="s">
        <v>5032</v>
      </c>
      <c r="BG64" t="s">
        <v>5033</v>
      </c>
      <c r="BO64" s="54"/>
      <c r="BP64" s="56">
        <v>45712</v>
      </c>
      <c r="BQ64" s="57">
        <v>45803</v>
      </c>
      <c r="BR64" s="57">
        <v>45894</v>
      </c>
      <c r="BS64" s="57">
        <v>45985</v>
      </c>
      <c r="BT64" s="57"/>
      <c r="BU64" s="57"/>
      <c r="BV64" s="57"/>
      <c r="BW64" s="57"/>
      <c r="BX64" s="57"/>
      <c r="BY64" s="57"/>
      <c r="BZ64" s="57"/>
      <c r="CA64" s="57"/>
      <c r="CB64" s="56" t="s">
        <v>5034</v>
      </c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6">
        <v>45736</v>
      </c>
      <c r="CO64" s="57">
        <v>45827</v>
      </c>
      <c r="CP64" s="57">
        <v>45918</v>
      </c>
      <c r="CQ64" s="57">
        <v>46009</v>
      </c>
      <c r="CR64" s="57"/>
      <c r="CS64" s="57"/>
      <c r="CT64" s="57"/>
      <c r="CU64" s="57"/>
      <c r="CV64" s="57"/>
      <c r="CW64" s="57"/>
      <c r="CX64" s="57"/>
      <c r="CY64" s="57"/>
      <c r="CZ64" s="56" t="s">
        <v>5034</v>
      </c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8"/>
      <c r="DL64" s="59">
        <v>4</v>
      </c>
      <c r="DM64" s="60">
        <v>4</v>
      </c>
      <c r="DN64" s="61">
        <v>0</v>
      </c>
      <c r="DO64" s="60">
        <v>4</v>
      </c>
      <c r="DP64" s="60">
        <v>0</v>
      </c>
      <c r="DQ64" s="59">
        <v>12</v>
      </c>
      <c r="DR64" s="62">
        <v>1028</v>
      </c>
      <c r="DS64" s="62" t="s">
        <v>5034</v>
      </c>
      <c r="DU64" s="62" t="s">
        <v>5034</v>
      </c>
      <c r="DV64" s="63">
        <v>44483.75325130787</v>
      </c>
      <c r="DW64" s="64">
        <v>2021</v>
      </c>
      <c r="DX64" s="65">
        <v>10</v>
      </c>
    </row>
    <row r="65" spans="2:128" ht="15">
      <c r="B65" s="43" t="s">
        <v>5022</v>
      </c>
      <c r="C65" s="43" t="s">
        <v>4845</v>
      </c>
      <c r="D65" s="43" t="s">
        <v>4853</v>
      </c>
      <c r="E65" s="49">
        <v>44300</v>
      </c>
      <c r="F65" s="49"/>
      <c r="G65" s="50">
        <v>1</v>
      </c>
      <c r="H65" s="43" t="s">
        <v>4798</v>
      </c>
      <c r="I65" s="43" t="s">
        <v>5023</v>
      </c>
      <c r="J65" s="43">
        <v>7</v>
      </c>
      <c r="K65" s="43">
        <v>2</v>
      </c>
      <c r="L65" s="43">
        <v>2</v>
      </c>
      <c r="M65" s="43"/>
      <c r="N65" s="43"/>
      <c r="O65" s="43"/>
      <c r="P65" s="43" t="s">
        <v>5024</v>
      </c>
      <c r="Q65" s="43"/>
      <c r="R65" s="43" t="s">
        <v>5086</v>
      </c>
      <c r="S65" s="43" t="s">
        <v>5026</v>
      </c>
      <c r="T65" s="51" t="s">
        <v>5027</v>
      </c>
      <c r="U65" s="52" t="s">
        <v>5028</v>
      </c>
      <c r="V65" s="53" t="s">
        <v>3884</v>
      </c>
      <c r="W65" s="54" t="s">
        <v>929</v>
      </c>
      <c r="X65" s="55" t="s">
        <v>4889</v>
      </c>
      <c r="Y65" t="s">
        <v>4896</v>
      </c>
      <c r="Z65" t="s">
        <v>4800</v>
      </c>
      <c r="AA65" t="s">
        <v>4891</v>
      </c>
      <c r="AI65" s="54"/>
      <c r="AJ65" s="56">
        <v>45740</v>
      </c>
      <c r="AK65" s="57">
        <v>45831</v>
      </c>
      <c r="AL65" s="57">
        <v>45922</v>
      </c>
      <c r="AM65" s="57">
        <v>46013</v>
      </c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8"/>
      <c r="BD65" s="55" t="s">
        <v>5030</v>
      </c>
      <c r="BE65" t="s">
        <v>5031</v>
      </c>
      <c r="BF65" t="s">
        <v>5032</v>
      </c>
      <c r="BG65" t="s">
        <v>5033</v>
      </c>
      <c r="BO65" s="54"/>
      <c r="BP65" s="56">
        <v>45712</v>
      </c>
      <c r="BQ65" s="57">
        <v>45803</v>
      </c>
      <c r="BR65" s="57">
        <v>45894</v>
      </c>
      <c r="BS65" s="57">
        <v>45985</v>
      </c>
      <c r="BT65" s="57"/>
      <c r="BU65" s="57"/>
      <c r="BV65" s="57"/>
      <c r="BW65" s="57"/>
      <c r="BX65" s="57"/>
      <c r="BY65" s="57"/>
      <c r="BZ65" s="57"/>
      <c r="CA65" s="57"/>
      <c r="CB65" s="56">
        <v>45729</v>
      </c>
      <c r="CC65" s="57">
        <v>45820</v>
      </c>
      <c r="CD65" s="57">
        <v>45911</v>
      </c>
      <c r="CE65" s="57">
        <v>46002</v>
      </c>
      <c r="CF65" s="57"/>
      <c r="CG65" s="57"/>
      <c r="CH65" s="57"/>
      <c r="CI65" s="57"/>
      <c r="CJ65" s="57"/>
      <c r="CK65" s="57"/>
      <c r="CL65" s="57"/>
      <c r="CM65" s="57"/>
      <c r="CN65" s="56">
        <v>45736</v>
      </c>
      <c r="CO65" s="57">
        <v>45827</v>
      </c>
      <c r="CP65" s="57">
        <v>45918</v>
      </c>
      <c r="CQ65" s="57">
        <v>46009</v>
      </c>
      <c r="CR65" s="57"/>
      <c r="CS65" s="57"/>
      <c r="CT65" s="57"/>
      <c r="CU65" s="57"/>
      <c r="CV65" s="57"/>
      <c r="CW65" s="57"/>
      <c r="CX65" s="57"/>
      <c r="CY65" s="57"/>
      <c r="CZ65" s="56" t="s">
        <v>5034</v>
      </c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8"/>
      <c r="DL65" s="59">
        <v>4</v>
      </c>
      <c r="DM65" s="60">
        <v>4</v>
      </c>
      <c r="DN65" s="61">
        <v>4</v>
      </c>
      <c r="DO65" s="60">
        <v>4</v>
      </c>
      <c r="DP65" s="60">
        <v>0</v>
      </c>
      <c r="DQ65" s="59">
        <v>16</v>
      </c>
      <c r="DR65" s="62">
        <v>1040</v>
      </c>
      <c r="DS65" s="62" t="s">
        <v>5034</v>
      </c>
      <c r="DU65" s="62" t="s">
        <v>5034</v>
      </c>
      <c r="DV65" s="63">
        <v>45622</v>
      </c>
      <c r="DW65" s="64">
        <v>2024</v>
      </c>
      <c r="DX65" s="65">
        <v>11</v>
      </c>
    </row>
    <row r="66" spans="2:128" ht="15">
      <c r="B66" s="43" t="s">
        <v>5022</v>
      </c>
      <c r="C66" s="43" t="s">
        <v>4802</v>
      </c>
      <c r="D66" s="43" t="s">
        <v>903</v>
      </c>
      <c r="E66" s="49">
        <v>44321</v>
      </c>
      <c r="F66" s="49"/>
      <c r="G66" s="50">
        <v>1</v>
      </c>
      <c r="H66" s="43" t="s">
        <v>4798</v>
      </c>
      <c r="I66" s="43" t="s">
        <v>5023</v>
      </c>
      <c r="J66" s="43"/>
      <c r="K66" s="43">
        <v>2</v>
      </c>
      <c r="L66" s="43">
        <v>3</v>
      </c>
      <c r="M66" s="43"/>
      <c r="N66" s="43" t="s">
        <v>5087</v>
      </c>
      <c r="O66" s="43" t="s">
        <v>4725</v>
      </c>
      <c r="P66" s="43" t="s">
        <v>5063</v>
      </c>
      <c r="Q66" s="43" t="s">
        <v>5088</v>
      </c>
      <c r="R66" s="43" t="s">
        <v>5038</v>
      </c>
      <c r="S66" s="43" t="s">
        <v>5026</v>
      </c>
      <c r="T66" s="51" t="s">
        <v>5027</v>
      </c>
      <c r="U66" s="52" t="s">
        <v>5028</v>
      </c>
      <c r="V66" s="53" t="s">
        <v>3884</v>
      </c>
      <c r="W66" s="54" t="s">
        <v>902</v>
      </c>
      <c r="X66" s="55" t="s">
        <v>4889</v>
      </c>
      <c r="Y66" t="s">
        <v>4896</v>
      </c>
      <c r="Z66" t="s">
        <v>4800</v>
      </c>
      <c r="AA66" t="s">
        <v>4891</v>
      </c>
      <c r="AI66" s="54"/>
      <c r="AJ66" s="56">
        <v>45740</v>
      </c>
      <c r="AK66" s="57">
        <v>45831</v>
      </c>
      <c r="AL66" s="57">
        <v>45922</v>
      </c>
      <c r="AM66" s="57">
        <v>46013</v>
      </c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8"/>
      <c r="BD66" s="55" t="s">
        <v>5030</v>
      </c>
      <c r="BE66" t="s">
        <v>5031</v>
      </c>
      <c r="BF66" t="s">
        <v>5032</v>
      </c>
      <c r="BG66" t="s">
        <v>5033</v>
      </c>
      <c r="BO66" s="54"/>
      <c r="BP66" s="56">
        <v>45712</v>
      </c>
      <c r="BQ66" s="57">
        <v>45803</v>
      </c>
      <c r="BR66" s="57">
        <v>45894</v>
      </c>
      <c r="BS66" s="57">
        <v>45985</v>
      </c>
      <c r="BT66" s="57"/>
      <c r="BU66" s="57"/>
      <c r="BV66" s="57"/>
      <c r="BW66" s="57"/>
      <c r="BX66" s="57"/>
      <c r="BY66" s="57"/>
      <c r="BZ66" s="57"/>
      <c r="CA66" s="57"/>
      <c r="CB66" s="56" t="s">
        <v>5034</v>
      </c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6">
        <v>45736</v>
      </c>
      <c r="CO66" s="57">
        <v>45827</v>
      </c>
      <c r="CP66" s="57">
        <v>45918</v>
      </c>
      <c r="CQ66" s="57">
        <v>46009</v>
      </c>
      <c r="CR66" s="57"/>
      <c r="CS66" s="57"/>
      <c r="CT66" s="57"/>
      <c r="CU66" s="57"/>
      <c r="CV66" s="57"/>
      <c r="CW66" s="57"/>
      <c r="CX66" s="57"/>
      <c r="CY66" s="57"/>
      <c r="CZ66" s="56" t="s">
        <v>5034</v>
      </c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8"/>
      <c r="DL66" s="59">
        <v>4</v>
      </c>
      <c r="DM66" s="60">
        <v>4</v>
      </c>
      <c r="DN66" s="61">
        <v>0</v>
      </c>
      <c r="DO66" s="60">
        <v>4</v>
      </c>
      <c r="DP66" s="60">
        <v>0</v>
      </c>
      <c r="DQ66" s="59">
        <v>12</v>
      </c>
      <c r="DR66" s="62">
        <v>1104</v>
      </c>
      <c r="DS66" s="62" t="s">
        <v>5034</v>
      </c>
      <c r="DU66" s="62" t="s">
        <v>5034</v>
      </c>
      <c r="DV66" s="63">
        <v>44610.311862893519</v>
      </c>
      <c r="DW66" s="64">
        <v>2022</v>
      </c>
      <c r="DX66" s="65">
        <v>2</v>
      </c>
    </row>
    <row r="67" spans="2:128" ht="15">
      <c r="B67" s="43" t="s">
        <v>5022</v>
      </c>
      <c r="C67" s="43" t="s">
        <v>4854</v>
      </c>
      <c r="D67" s="43" t="s">
        <v>2422</v>
      </c>
      <c r="E67" s="49">
        <v>44321</v>
      </c>
      <c r="F67" s="49"/>
      <c r="G67" s="50">
        <v>1</v>
      </c>
      <c r="H67" s="43" t="s">
        <v>4891</v>
      </c>
      <c r="I67" s="43" t="s">
        <v>5033</v>
      </c>
      <c r="J67" s="43">
        <v>6</v>
      </c>
      <c r="K67" s="43">
        <v>2</v>
      </c>
      <c r="L67" s="43">
        <v>3</v>
      </c>
      <c r="M67" s="43"/>
      <c r="N67" s="43"/>
      <c r="O67" s="43" t="s">
        <v>4725</v>
      </c>
      <c r="P67" s="43" t="s">
        <v>5024</v>
      </c>
      <c r="Q67" s="43" t="s">
        <v>5089</v>
      </c>
      <c r="R67" s="43" t="s">
        <v>5045</v>
      </c>
      <c r="S67" s="43" t="s">
        <v>5026</v>
      </c>
      <c r="T67" s="51" t="s">
        <v>5027</v>
      </c>
      <c r="U67" s="52" t="s">
        <v>5028</v>
      </c>
      <c r="V67" s="53" t="s">
        <v>3884</v>
      </c>
      <c r="W67" s="54" t="s">
        <v>2421</v>
      </c>
      <c r="X67" s="55" t="s">
        <v>4891</v>
      </c>
      <c r="AI67" s="54"/>
      <c r="AJ67" s="56">
        <v>46013</v>
      </c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8"/>
      <c r="BD67" s="55" t="s">
        <v>5033</v>
      </c>
      <c r="BO67" s="54"/>
      <c r="BP67" s="56">
        <v>45985</v>
      </c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6">
        <v>46003</v>
      </c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6">
        <v>46009</v>
      </c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6" t="s">
        <v>5034</v>
      </c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8"/>
      <c r="DL67" s="59">
        <v>1</v>
      </c>
      <c r="DM67" s="60">
        <v>1</v>
      </c>
      <c r="DN67" s="61">
        <v>1</v>
      </c>
      <c r="DO67" s="60">
        <v>1</v>
      </c>
      <c r="DP67" s="60">
        <v>0</v>
      </c>
      <c r="DQ67" s="59">
        <v>4</v>
      </c>
      <c r="DR67" s="62">
        <v>1116</v>
      </c>
      <c r="DS67" s="62" t="s">
        <v>5034</v>
      </c>
      <c r="DU67" s="62" t="s">
        <v>5034</v>
      </c>
      <c r="DV67" s="63">
        <v>45236.558134942126</v>
      </c>
      <c r="DW67" s="64">
        <v>2023</v>
      </c>
      <c r="DX67" s="65">
        <v>11</v>
      </c>
    </row>
    <row r="68" spans="2:128" ht="15">
      <c r="B68" s="43" t="s">
        <v>5022</v>
      </c>
      <c r="C68" s="43" t="s">
        <v>4802</v>
      </c>
      <c r="D68" s="43" t="s">
        <v>4083</v>
      </c>
      <c r="E68" s="49">
        <v>44328</v>
      </c>
      <c r="F68" s="49"/>
      <c r="G68" s="50">
        <v>1</v>
      </c>
      <c r="H68" s="43" t="s">
        <v>4798</v>
      </c>
      <c r="I68" s="43" t="s">
        <v>5023</v>
      </c>
      <c r="J68" s="43">
        <v>7</v>
      </c>
      <c r="K68" s="43">
        <v>2</v>
      </c>
      <c r="L68" s="43">
        <v>3</v>
      </c>
      <c r="M68" s="43"/>
      <c r="N68" s="43" t="s">
        <v>5090</v>
      </c>
      <c r="O68" s="43" t="s">
        <v>4725</v>
      </c>
      <c r="P68" s="43" t="s">
        <v>5063</v>
      </c>
      <c r="Q68" s="43" t="s">
        <v>5091</v>
      </c>
      <c r="R68" s="43" t="s">
        <v>5038</v>
      </c>
      <c r="S68" s="43" t="s">
        <v>5026</v>
      </c>
      <c r="T68" s="51" t="s">
        <v>5027</v>
      </c>
      <c r="U68" s="52" t="s">
        <v>5028</v>
      </c>
      <c r="V68" s="53" t="s">
        <v>3884</v>
      </c>
      <c r="W68" s="54" t="s">
        <v>2469</v>
      </c>
      <c r="X68" s="55" t="s">
        <v>4889</v>
      </c>
      <c r="Y68" t="s">
        <v>4896</v>
      </c>
      <c r="Z68" t="s">
        <v>4800</v>
      </c>
      <c r="AA68" t="s">
        <v>4891</v>
      </c>
      <c r="AI68" s="54"/>
      <c r="AJ68" s="56">
        <v>45740</v>
      </c>
      <c r="AK68" s="57">
        <v>45831</v>
      </c>
      <c r="AL68" s="57">
        <v>45922</v>
      </c>
      <c r="AM68" s="57">
        <v>46013</v>
      </c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8"/>
      <c r="BD68" s="55" t="s">
        <v>5030</v>
      </c>
      <c r="BE68" t="s">
        <v>5031</v>
      </c>
      <c r="BF68" t="s">
        <v>5032</v>
      </c>
      <c r="BG68" t="s">
        <v>5033</v>
      </c>
      <c r="BO68" s="54"/>
      <c r="BP68" s="56">
        <v>45712</v>
      </c>
      <c r="BQ68" s="57">
        <v>45803</v>
      </c>
      <c r="BR68" s="57">
        <v>45894</v>
      </c>
      <c r="BS68" s="57">
        <v>45985</v>
      </c>
      <c r="BT68" s="57"/>
      <c r="BU68" s="57"/>
      <c r="BV68" s="57"/>
      <c r="BW68" s="57"/>
      <c r="BX68" s="57"/>
      <c r="BY68" s="57"/>
      <c r="BZ68" s="57"/>
      <c r="CA68" s="57"/>
      <c r="CB68" s="56">
        <v>45729</v>
      </c>
      <c r="CC68" s="57">
        <v>45820</v>
      </c>
      <c r="CD68" s="57">
        <v>45911</v>
      </c>
      <c r="CE68" s="57">
        <v>46002</v>
      </c>
      <c r="CF68" s="57"/>
      <c r="CG68" s="57"/>
      <c r="CH68" s="57"/>
      <c r="CI68" s="57"/>
      <c r="CJ68" s="57"/>
      <c r="CK68" s="57"/>
      <c r="CL68" s="57"/>
      <c r="CM68" s="57"/>
      <c r="CN68" s="56">
        <v>45736</v>
      </c>
      <c r="CO68" s="57">
        <v>45827</v>
      </c>
      <c r="CP68" s="57">
        <v>45918</v>
      </c>
      <c r="CQ68" s="57">
        <v>46009</v>
      </c>
      <c r="CR68" s="57"/>
      <c r="CS68" s="57"/>
      <c r="CT68" s="57"/>
      <c r="CU68" s="57"/>
      <c r="CV68" s="57"/>
      <c r="CW68" s="57"/>
      <c r="CX68" s="57"/>
      <c r="CY68" s="57"/>
      <c r="CZ68" s="56" t="s">
        <v>5034</v>
      </c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8"/>
      <c r="DL68" s="59">
        <v>4</v>
      </c>
      <c r="DM68" s="60">
        <v>4</v>
      </c>
      <c r="DN68" s="61">
        <v>4</v>
      </c>
      <c r="DO68" s="60">
        <v>4</v>
      </c>
      <c r="DP68" s="60">
        <v>0</v>
      </c>
      <c r="DQ68" s="59">
        <v>16</v>
      </c>
      <c r="DR68" s="62">
        <v>1120</v>
      </c>
      <c r="DS68" s="62" t="s">
        <v>5034</v>
      </c>
      <c r="DU68" s="62" t="s">
        <v>5034</v>
      </c>
      <c r="DV68" s="63">
        <v>44900.647156134262</v>
      </c>
      <c r="DW68" s="64">
        <v>2022</v>
      </c>
      <c r="DX68" s="65">
        <v>12</v>
      </c>
    </row>
    <row r="69" spans="2:128" ht="15">
      <c r="B69" s="43" t="s">
        <v>5022</v>
      </c>
      <c r="C69" s="43" t="s">
        <v>4854</v>
      </c>
      <c r="D69" s="43" t="s">
        <v>2433</v>
      </c>
      <c r="E69" s="49">
        <v>44349</v>
      </c>
      <c r="F69" s="49"/>
      <c r="G69" s="50">
        <v>1</v>
      </c>
      <c r="H69" s="43" t="s">
        <v>4891</v>
      </c>
      <c r="I69" s="43" t="s">
        <v>5033</v>
      </c>
      <c r="J69" s="43">
        <v>6</v>
      </c>
      <c r="K69" s="43">
        <v>2</v>
      </c>
      <c r="L69" s="43">
        <v>3</v>
      </c>
      <c r="M69" s="43"/>
      <c r="N69" s="43"/>
      <c r="O69" s="43" t="s">
        <v>4725</v>
      </c>
      <c r="P69" s="43" t="s">
        <v>5024</v>
      </c>
      <c r="Q69" s="43" t="s">
        <v>5092</v>
      </c>
      <c r="R69" s="43" t="s">
        <v>5045</v>
      </c>
      <c r="S69" s="43" t="s">
        <v>5026</v>
      </c>
      <c r="T69" s="51" t="s">
        <v>5027</v>
      </c>
      <c r="U69" s="52" t="s">
        <v>5028</v>
      </c>
      <c r="V69" s="53" t="s">
        <v>3884</v>
      </c>
      <c r="W69" s="54" t="s">
        <v>2432</v>
      </c>
      <c r="X69" s="55" t="s">
        <v>4891</v>
      </c>
      <c r="AI69" s="54"/>
      <c r="AJ69" s="56">
        <v>46013</v>
      </c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8"/>
      <c r="BD69" s="55" t="s">
        <v>5033</v>
      </c>
      <c r="BO69" s="54"/>
      <c r="BP69" s="56">
        <v>45985</v>
      </c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6">
        <v>46003</v>
      </c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6">
        <v>46009</v>
      </c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6" t="s">
        <v>5034</v>
      </c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8"/>
      <c r="DL69" s="59">
        <v>1</v>
      </c>
      <c r="DM69" s="60">
        <v>1</v>
      </c>
      <c r="DN69" s="61">
        <v>1</v>
      </c>
      <c r="DO69" s="60">
        <v>1</v>
      </c>
      <c r="DP69" s="60">
        <v>0</v>
      </c>
      <c r="DQ69" s="59">
        <v>4</v>
      </c>
      <c r="DR69" s="62">
        <v>1136</v>
      </c>
      <c r="DS69" s="62" t="s">
        <v>5034</v>
      </c>
      <c r="DU69" s="62" t="s">
        <v>5034</v>
      </c>
      <c r="DV69" s="63">
        <v>45236.626975590276</v>
      </c>
      <c r="DW69" s="64">
        <v>2023</v>
      </c>
      <c r="DX69" s="65">
        <v>11</v>
      </c>
    </row>
    <row r="70" spans="2:128" ht="15">
      <c r="B70" s="43" t="s">
        <v>5022</v>
      </c>
      <c r="C70" s="43" t="s">
        <v>4802</v>
      </c>
      <c r="D70" s="43" t="s">
        <v>3959</v>
      </c>
      <c r="E70" s="49">
        <v>44349</v>
      </c>
      <c r="F70" s="49"/>
      <c r="G70" s="50">
        <v>1</v>
      </c>
      <c r="H70" s="43" t="s">
        <v>4798</v>
      </c>
      <c r="I70" s="43" t="s">
        <v>5023</v>
      </c>
      <c r="J70" s="43"/>
      <c r="K70" s="43">
        <v>2</v>
      </c>
      <c r="L70" s="43">
        <v>3</v>
      </c>
      <c r="M70" s="43"/>
      <c r="N70" s="43"/>
      <c r="O70" s="43" t="s">
        <v>4725</v>
      </c>
      <c r="P70" s="43" t="s">
        <v>5024</v>
      </c>
      <c r="Q70" s="43" t="s">
        <v>5093</v>
      </c>
      <c r="R70" s="43" t="s">
        <v>5043</v>
      </c>
      <c r="S70" s="43" t="s">
        <v>5026</v>
      </c>
      <c r="T70" s="51" t="s">
        <v>5027</v>
      </c>
      <c r="U70" s="52" t="s">
        <v>5028</v>
      </c>
      <c r="V70" s="53" t="s">
        <v>3884</v>
      </c>
      <c r="W70" s="54" t="s">
        <v>2448</v>
      </c>
      <c r="X70" s="55" t="s">
        <v>4889</v>
      </c>
      <c r="Y70" t="s">
        <v>4896</v>
      </c>
      <c r="Z70" t="s">
        <v>4800</v>
      </c>
      <c r="AA70" t="s">
        <v>4891</v>
      </c>
      <c r="AI70" s="54"/>
      <c r="AJ70" s="56">
        <v>45740</v>
      </c>
      <c r="AK70" s="57">
        <v>45831</v>
      </c>
      <c r="AL70" s="57">
        <v>45922</v>
      </c>
      <c r="AM70" s="57">
        <v>46013</v>
      </c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8"/>
      <c r="BD70" s="55" t="s">
        <v>5030</v>
      </c>
      <c r="BE70" t="s">
        <v>5031</v>
      </c>
      <c r="BF70" t="s">
        <v>5032</v>
      </c>
      <c r="BG70" t="s">
        <v>5033</v>
      </c>
      <c r="BO70" s="54"/>
      <c r="BP70" s="56">
        <v>45712</v>
      </c>
      <c r="BQ70" s="57">
        <v>45803</v>
      </c>
      <c r="BR70" s="57">
        <v>45894</v>
      </c>
      <c r="BS70" s="57">
        <v>45985</v>
      </c>
      <c r="BT70" s="57"/>
      <c r="BU70" s="57"/>
      <c r="BV70" s="57"/>
      <c r="BW70" s="57"/>
      <c r="BX70" s="57"/>
      <c r="BY70" s="57"/>
      <c r="BZ70" s="57"/>
      <c r="CA70" s="57"/>
      <c r="CB70" s="56" t="s">
        <v>5034</v>
      </c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6">
        <v>45736</v>
      </c>
      <c r="CO70" s="57">
        <v>45827</v>
      </c>
      <c r="CP70" s="57">
        <v>45918</v>
      </c>
      <c r="CQ70" s="57">
        <v>46009</v>
      </c>
      <c r="CR70" s="57"/>
      <c r="CS70" s="57"/>
      <c r="CT70" s="57"/>
      <c r="CU70" s="57"/>
      <c r="CV70" s="57"/>
      <c r="CW70" s="57"/>
      <c r="CX70" s="57"/>
      <c r="CY70" s="57"/>
      <c r="CZ70" s="56" t="s">
        <v>5034</v>
      </c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8"/>
      <c r="DL70" s="59">
        <v>4</v>
      </c>
      <c r="DM70" s="60">
        <v>4</v>
      </c>
      <c r="DN70" s="61">
        <v>0</v>
      </c>
      <c r="DO70" s="60">
        <v>4</v>
      </c>
      <c r="DP70" s="60">
        <v>0</v>
      </c>
      <c r="DQ70" s="59">
        <v>12</v>
      </c>
      <c r="DR70" s="62">
        <v>1140</v>
      </c>
      <c r="DS70" s="62" t="s">
        <v>5034</v>
      </c>
      <c r="DU70" s="62" t="s">
        <v>5034</v>
      </c>
      <c r="DV70" s="63">
        <v>44992.413680844904</v>
      </c>
      <c r="DW70" s="64">
        <v>2023</v>
      </c>
      <c r="DX70" s="65">
        <v>3</v>
      </c>
    </row>
    <row r="71" spans="2:128" ht="15">
      <c r="B71" s="43" t="s">
        <v>5022</v>
      </c>
      <c r="C71" s="43" t="s">
        <v>4854</v>
      </c>
      <c r="D71" s="43" t="s">
        <v>2443</v>
      </c>
      <c r="E71" s="49">
        <v>44349</v>
      </c>
      <c r="F71" s="49"/>
      <c r="G71" s="50">
        <v>1</v>
      </c>
      <c r="H71" s="43" t="s">
        <v>4891</v>
      </c>
      <c r="I71" s="43" t="s">
        <v>5033</v>
      </c>
      <c r="J71" s="43">
        <v>6</v>
      </c>
      <c r="K71" s="43">
        <v>2</v>
      </c>
      <c r="L71" s="43">
        <v>3</v>
      </c>
      <c r="M71" s="43"/>
      <c r="N71" s="43"/>
      <c r="O71" s="43" t="s">
        <v>4725</v>
      </c>
      <c r="P71" s="43" t="s">
        <v>5024</v>
      </c>
      <c r="Q71" s="43" t="s">
        <v>5092</v>
      </c>
      <c r="R71" s="43" t="s">
        <v>5045</v>
      </c>
      <c r="S71" s="43" t="s">
        <v>5026</v>
      </c>
      <c r="T71" s="51" t="s">
        <v>5027</v>
      </c>
      <c r="U71" s="52" t="s">
        <v>5028</v>
      </c>
      <c r="V71" s="53" t="s">
        <v>3884</v>
      </c>
      <c r="W71" s="54" t="s">
        <v>2442</v>
      </c>
      <c r="X71" s="55" t="s">
        <v>4891</v>
      </c>
      <c r="AI71" s="54"/>
      <c r="AJ71" s="56">
        <v>46013</v>
      </c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8"/>
      <c r="BD71" s="55" t="s">
        <v>5033</v>
      </c>
      <c r="BO71" s="54"/>
      <c r="BP71" s="56">
        <v>45985</v>
      </c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6">
        <v>46003</v>
      </c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6">
        <v>46009</v>
      </c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6" t="s">
        <v>5034</v>
      </c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8"/>
      <c r="DL71" s="59">
        <v>1</v>
      </c>
      <c r="DM71" s="60">
        <v>1</v>
      </c>
      <c r="DN71" s="61">
        <v>1</v>
      </c>
      <c r="DO71" s="60">
        <v>1</v>
      </c>
      <c r="DP71" s="60">
        <v>0</v>
      </c>
      <c r="DQ71" s="59">
        <v>4</v>
      </c>
      <c r="DR71" s="62">
        <v>1152</v>
      </c>
      <c r="DS71" s="62" t="s">
        <v>5034</v>
      </c>
      <c r="DU71" s="62" t="s">
        <v>5034</v>
      </c>
      <c r="DV71" s="63">
        <v>45236.559790208332</v>
      </c>
      <c r="DW71" s="64">
        <v>2023</v>
      </c>
      <c r="DX71" s="65">
        <v>11</v>
      </c>
    </row>
    <row r="72" spans="2:128" ht="15">
      <c r="B72" s="43" t="s">
        <v>5022</v>
      </c>
      <c r="C72" s="43" t="s">
        <v>4802</v>
      </c>
      <c r="D72" s="43" t="s">
        <v>888</v>
      </c>
      <c r="E72" s="49">
        <v>44356</v>
      </c>
      <c r="F72" s="49"/>
      <c r="G72" s="50">
        <v>1</v>
      </c>
      <c r="H72" s="43" t="s">
        <v>4798</v>
      </c>
      <c r="I72" s="43" t="s">
        <v>5023</v>
      </c>
      <c r="J72" s="43"/>
      <c r="K72" s="43">
        <v>2</v>
      </c>
      <c r="L72" s="43">
        <v>2</v>
      </c>
      <c r="M72" s="43"/>
      <c r="N72" s="43" t="s">
        <v>995</v>
      </c>
      <c r="O72" s="43"/>
      <c r="P72" s="43" t="s">
        <v>5024</v>
      </c>
      <c r="Q72" s="43" t="s">
        <v>5093</v>
      </c>
      <c r="R72" s="43" t="s">
        <v>5043</v>
      </c>
      <c r="S72" s="43" t="s">
        <v>5026</v>
      </c>
      <c r="T72" s="51" t="s">
        <v>5027</v>
      </c>
      <c r="U72" s="52" t="s">
        <v>5028</v>
      </c>
      <c r="V72" s="53" t="s">
        <v>3884</v>
      </c>
      <c r="W72" s="54" t="s">
        <v>887</v>
      </c>
      <c r="X72" s="55" t="s">
        <v>4889</v>
      </c>
      <c r="Y72" t="s">
        <v>4896</v>
      </c>
      <c r="Z72" t="s">
        <v>4800</v>
      </c>
      <c r="AA72" t="s">
        <v>4891</v>
      </c>
      <c r="AI72" s="54"/>
      <c r="AJ72" s="56">
        <v>45740</v>
      </c>
      <c r="AK72" s="57">
        <v>45831</v>
      </c>
      <c r="AL72" s="57">
        <v>45922</v>
      </c>
      <c r="AM72" s="57">
        <v>46013</v>
      </c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8"/>
      <c r="BD72" s="55" t="s">
        <v>5030</v>
      </c>
      <c r="BE72" t="s">
        <v>5031</v>
      </c>
      <c r="BF72" t="s">
        <v>5032</v>
      </c>
      <c r="BG72" t="s">
        <v>5033</v>
      </c>
      <c r="BO72" s="54"/>
      <c r="BP72" s="56">
        <v>45712</v>
      </c>
      <c r="BQ72" s="57">
        <v>45803</v>
      </c>
      <c r="BR72" s="57">
        <v>45894</v>
      </c>
      <c r="BS72" s="57">
        <v>45985</v>
      </c>
      <c r="BT72" s="57"/>
      <c r="BU72" s="57"/>
      <c r="BV72" s="57"/>
      <c r="BW72" s="57"/>
      <c r="BX72" s="57"/>
      <c r="BY72" s="57"/>
      <c r="BZ72" s="57"/>
      <c r="CA72" s="57"/>
      <c r="CB72" s="56" t="s">
        <v>5034</v>
      </c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6">
        <v>45736</v>
      </c>
      <c r="CO72" s="57">
        <v>45827</v>
      </c>
      <c r="CP72" s="57">
        <v>45918</v>
      </c>
      <c r="CQ72" s="57">
        <v>46009</v>
      </c>
      <c r="CR72" s="57"/>
      <c r="CS72" s="57"/>
      <c r="CT72" s="57"/>
      <c r="CU72" s="57"/>
      <c r="CV72" s="57"/>
      <c r="CW72" s="57"/>
      <c r="CX72" s="57"/>
      <c r="CY72" s="57"/>
      <c r="CZ72" s="56" t="s">
        <v>5034</v>
      </c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8"/>
      <c r="DL72" s="59">
        <v>4</v>
      </c>
      <c r="DM72" s="60">
        <v>4</v>
      </c>
      <c r="DN72" s="61">
        <v>0</v>
      </c>
      <c r="DO72" s="60">
        <v>4</v>
      </c>
      <c r="DP72" s="60">
        <v>0</v>
      </c>
      <c r="DQ72" s="59">
        <v>12</v>
      </c>
      <c r="DR72" s="62">
        <v>1156</v>
      </c>
      <c r="DS72" s="62" t="s">
        <v>5034</v>
      </c>
      <c r="DU72" s="62" t="s">
        <v>5034</v>
      </c>
      <c r="DV72" s="63">
        <v>44698.595036446757</v>
      </c>
      <c r="DW72" s="64">
        <v>2022</v>
      </c>
      <c r="DX72" s="65">
        <v>5</v>
      </c>
    </row>
    <row r="73" spans="2:128" ht="15">
      <c r="B73" s="43" t="s">
        <v>5022</v>
      </c>
      <c r="C73" s="43" t="s">
        <v>4855</v>
      </c>
      <c r="D73" s="43" t="s">
        <v>871</v>
      </c>
      <c r="E73" s="49">
        <v>44377</v>
      </c>
      <c r="F73" s="49"/>
      <c r="G73" s="50">
        <v>1</v>
      </c>
      <c r="H73" s="43" t="s">
        <v>4798</v>
      </c>
      <c r="I73" s="43" t="s">
        <v>5023</v>
      </c>
      <c r="J73" s="43"/>
      <c r="K73" s="43">
        <v>2</v>
      </c>
      <c r="L73" s="43">
        <v>3</v>
      </c>
      <c r="M73" s="43"/>
      <c r="N73" s="43"/>
      <c r="O73" s="43"/>
      <c r="P73" s="43" t="s">
        <v>5094</v>
      </c>
      <c r="Q73" s="43" t="s">
        <v>5095</v>
      </c>
      <c r="R73" s="43" t="s">
        <v>5086</v>
      </c>
      <c r="S73" s="43" t="s">
        <v>5026</v>
      </c>
      <c r="T73" s="51" t="s">
        <v>5027</v>
      </c>
      <c r="U73" s="52" t="s">
        <v>5028</v>
      </c>
      <c r="V73" s="53" t="s">
        <v>3884</v>
      </c>
      <c r="W73" s="54" t="s">
        <v>870</v>
      </c>
      <c r="X73" s="55" t="s">
        <v>4889</v>
      </c>
      <c r="Y73" t="s">
        <v>4896</v>
      </c>
      <c r="Z73" t="s">
        <v>4800</v>
      </c>
      <c r="AA73" t="s">
        <v>4891</v>
      </c>
      <c r="AI73" s="54"/>
      <c r="AJ73" s="56">
        <v>45740</v>
      </c>
      <c r="AK73" s="57">
        <v>45831</v>
      </c>
      <c r="AL73" s="57">
        <v>45922</v>
      </c>
      <c r="AM73" s="57">
        <v>46013</v>
      </c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8"/>
      <c r="BD73" s="55" t="s">
        <v>5030</v>
      </c>
      <c r="BE73" t="s">
        <v>5031</v>
      </c>
      <c r="BF73" t="s">
        <v>5032</v>
      </c>
      <c r="BG73" t="s">
        <v>5033</v>
      </c>
      <c r="BO73" s="54"/>
      <c r="BP73" s="56">
        <v>45712</v>
      </c>
      <c r="BQ73" s="57">
        <v>45803</v>
      </c>
      <c r="BR73" s="57">
        <v>45894</v>
      </c>
      <c r="BS73" s="57">
        <v>45985</v>
      </c>
      <c r="BT73" s="57"/>
      <c r="BU73" s="57"/>
      <c r="BV73" s="57"/>
      <c r="BW73" s="57"/>
      <c r="BX73" s="57"/>
      <c r="BY73" s="57"/>
      <c r="BZ73" s="57"/>
      <c r="CA73" s="57"/>
      <c r="CB73" s="56" t="s">
        <v>5034</v>
      </c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6">
        <v>45736</v>
      </c>
      <c r="CO73" s="57">
        <v>45827</v>
      </c>
      <c r="CP73" s="57">
        <v>45918</v>
      </c>
      <c r="CQ73" s="57">
        <v>46009</v>
      </c>
      <c r="CR73" s="57"/>
      <c r="CS73" s="57"/>
      <c r="CT73" s="57"/>
      <c r="CU73" s="57"/>
      <c r="CV73" s="57"/>
      <c r="CW73" s="57"/>
      <c r="CX73" s="57"/>
      <c r="CY73" s="57"/>
      <c r="CZ73" s="56" t="s">
        <v>5034</v>
      </c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8"/>
      <c r="DL73" s="59">
        <v>4</v>
      </c>
      <c r="DM73" s="60">
        <v>4</v>
      </c>
      <c r="DN73" s="61">
        <v>0</v>
      </c>
      <c r="DO73" s="60">
        <v>4</v>
      </c>
      <c r="DP73" s="60">
        <v>0</v>
      </c>
      <c r="DQ73" s="59">
        <v>12</v>
      </c>
      <c r="DR73" s="62">
        <v>1168</v>
      </c>
      <c r="DS73" s="62" t="s">
        <v>5034</v>
      </c>
      <c r="DU73" s="62" t="s">
        <v>5034</v>
      </c>
      <c r="DV73" s="63">
        <v>44627.473579710648</v>
      </c>
      <c r="DW73" s="64">
        <v>2022</v>
      </c>
      <c r="DX73" s="65">
        <v>3</v>
      </c>
    </row>
    <row r="74" spans="2:128" ht="15">
      <c r="B74" s="43" t="s">
        <v>5022</v>
      </c>
      <c r="C74" s="43" t="s">
        <v>4856</v>
      </c>
      <c r="D74" s="43" t="s">
        <v>4857</v>
      </c>
      <c r="E74" s="49">
        <v>44386</v>
      </c>
      <c r="F74" s="49"/>
      <c r="G74" s="50">
        <v>1</v>
      </c>
      <c r="H74" s="43" t="s">
        <v>4888</v>
      </c>
      <c r="I74" s="43" t="s">
        <v>5031</v>
      </c>
      <c r="J74" s="43">
        <v>6</v>
      </c>
      <c r="K74" s="43">
        <v>2</v>
      </c>
      <c r="L74" s="43">
        <v>3</v>
      </c>
      <c r="M74" s="43"/>
      <c r="N74" s="43"/>
      <c r="O74" s="43" t="s">
        <v>4725</v>
      </c>
      <c r="P74" s="43" t="s">
        <v>5094</v>
      </c>
      <c r="Q74" s="43" t="s">
        <v>5096</v>
      </c>
      <c r="R74" s="43" t="s">
        <v>5068</v>
      </c>
      <c r="S74" s="43" t="s">
        <v>5026</v>
      </c>
      <c r="T74" s="51" t="s">
        <v>5027</v>
      </c>
      <c r="U74" s="52" t="s">
        <v>5028</v>
      </c>
      <c r="V74" s="53" t="s">
        <v>3884</v>
      </c>
      <c r="W74" s="54" t="s">
        <v>892</v>
      </c>
      <c r="X74" s="55" t="s">
        <v>4888</v>
      </c>
      <c r="AI74" s="54"/>
      <c r="AJ74" s="56">
        <v>45839</v>
      </c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8"/>
      <c r="BD74" s="55" t="s">
        <v>5031</v>
      </c>
      <c r="BO74" s="54"/>
      <c r="BP74" s="56">
        <v>45803</v>
      </c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6">
        <v>45831</v>
      </c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6">
        <v>45835</v>
      </c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6" t="s">
        <v>5034</v>
      </c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8"/>
      <c r="DL74" s="59">
        <v>1</v>
      </c>
      <c r="DM74" s="60">
        <v>1</v>
      </c>
      <c r="DN74" s="61">
        <v>1</v>
      </c>
      <c r="DO74" s="60">
        <v>1</v>
      </c>
      <c r="DP74" s="60">
        <v>0</v>
      </c>
      <c r="DQ74" s="59">
        <v>4</v>
      </c>
      <c r="DR74" s="62">
        <v>1180</v>
      </c>
      <c r="DS74" s="62" t="s">
        <v>5034</v>
      </c>
      <c r="DU74" s="62" t="s">
        <v>5034</v>
      </c>
      <c r="DV74" s="63">
        <v>45028.331805960646</v>
      </c>
      <c r="DW74" s="64">
        <v>2023</v>
      </c>
      <c r="DX74" s="65">
        <v>4</v>
      </c>
    </row>
    <row r="75" spans="2:128" ht="15">
      <c r="B75" s="43" t="s">
        <v>5022</v>
      </c>
      <c r="C75" s="43" t="s">
        <v>4802</v>
      </c>
      <c r="D75" s="43" t="s">
        <v>4858</v>
      </c>
      <c r="E75" s="49">
        <v>44391</v>
      </c>
      <c r="F75" s="49"/>
      <c r="G75" s="50">
        <v>1</v>
      </c>
      <c r="H75" s="43" t="s">
        <v>4798</v>
      </c>
      <c r="I75" s="43" t="s">
        <v>5023</v>
      </c>
      <c r="J75" s="43"/>
      <c r="K75" s="43">
        <v>2</v>
      </c>
      <c r="L75" s="43">
        <v>3</v>
      </c>
      <c r="M75" s="43"/>
      <c r="N75" s="43"/>
      <c r="O75" s="43" t="s">
        <v>4725</v>
      </c>
      <c r="P75" s="43" t="s">
        <v>5024</v>
      </c>
      <c r="Q75" s="43" t="s">
        <v>5093</v>
      </c>
      <c r="R75" s="43" t="s">
        <v>5045</v>
      </c>
      <c r="S75" s="43" t="s">
        <v>5026</v>
      </c>
      <c r="T75" s="51" t="s">
        <v>5027</v>
      </c>
      <c r="U75" s="43" t="s">
        <v>5028</v>
      </c>
      <c r="V75" s="53" t="s">
        <v>3884</v>
      </c>
      <c r="W75" s="54" t="s">
        <v>2403</v>
      </c>
      <c r="X75" s="55" t="s">
        <v>4889</v>
      </c>
      <c r="Y75" t="s">
        <v>4896</v>
      </c>
      <c r="Z75" t="s">
        <v>4800</v>
      </c>
      <c r="AA75" t="s">
        <v>4891</v>
      </c>
      <c r="AI75" s="54"/>
      <c r="AJ75" s="56">
        <v>45740</v>
      </c>
      <c r="AK75" s="57">
        <v>45831</v>
      </c>
      <c r="AL75" s="57">
        <v>45922</v>
      </c>
      <c r="AM75" s="57">
        <v>46013</v>
      </c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8"/>
      <c r="BD75" s="55" t="s">
        <v>5030</v>
      </c>
      <c r="BE75" t="s">
        <v>5031</v>
      </c>
      <c r="BF75" t="s">
        <v>5032</v>
      </c>
      <c r="BG75" t="s">
        <v>5033</v>
      </c>
      <c r="BO75" s="54"/>
      <c r="BP75" s="56">
        <v>45712</v>
      </c>
      <c r="BQ75" s="57">
        <v>45803</v>
      </c>
      <c r="BR75" s="57">
        <v>45894</v>
      </c>
      <c r="BS75" s="57">
        <v>45985</v>
      </c>
      <c r="BT75" s="57"/>
      <c r="BU75" s="57"/>
      <c r="BV75" s="57"/>
      <c r="BW75" s="57"/>
      <c r="BX75" s="57"/>
      <c r="BY75" s="57"/>
      <c r="BZ75" s="57"/>
      <c r="CA75" s="57"/>
      <c r="CB75" s="56" t="s">
        <v>5034</v>
      </c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6">
        <v>45736</v>
      </c>
      <c r="CO75" s="57">
        <v>45827</v>
      </c>
      <c r="CP75" s="57">
        <v>45918</v>
      </c>
      <c r="CQ75" s="57">
        <v>46009</v>
      </c>
      <c r="CR75" s="57"/>
      <c r="CS75" s="57"/>
      <c r="CT75" s="57"/>
      <c r="CU75" s="57"/>
      <c r="CV75" s="57"/>
      <c r="CW75" s="57"/>
      <c r="CX75" s="57"/>
      <c r="CY75" s="57"/>
      <c r="CZ75" s="56" t="s">
        <v>5034</v>
      </c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8"/>
      <c r="DL75" s="59">
        <v>4</v>
      </c>
      <c r="DM75" s="60">
        <v>4</v>
      </c>
      <c r="DN75" s="61">
        <v>0</v>
      </c>
      <c r="DO75" s="60">
        <v>4</v>
      </c>
      <c r="DP75" s="60">
        <v>0</v>
      </c>
      <c r="DQ75" s="59">
        <v>12</v>
      </c>
      <c r="DR75" s="62">
        <v>1184</v>
      </c>
      <c r="DS75" s="62" t="s">
        <v>5034</v>
      </c>
      <c r="DU75" s="62" t="s">
        <v>5034</v>
      </c>
      <c r="DV75" s="63">
        <v>44992.61665880787</v>
      </c>
      <c r="DW75" s="64">
        <v>2023</v>
      </c>
      <c r="DX75" s="65">
        <v>3</v>
      </c>
    </row>
    <row r="76" spans="2:128" ht="15">
      <c r="B76" s="43" t="s">
        <v>5022</v>
      </c>
      <c r="C76" s="43" t="s">
        <v>4818</v>
      </c>
      <c r="D76" s="43" t="s">
        <v>2395</v>
      </c>
      <c r="E76" s="49">
        <v>44393</v>
      </c>
      <c r="F76" s="49"/>
      <c r="G76" s="50">
        <v>1</v>
      </c>
      <c r="H76" s="43" t="s">
        <v>4890</v>
      </c>
      <c r="I76" s="43" t="s">
        <v>5023</v>
      </c>
      <c r="J76" s="43"/>
      <c r="K76" s="43">
        <v>2</v>
      </c>
      <c r="L76" s="43">
        <v>2</v>
      </c>
      <c r="M76" s="43"/>
      <c r="N76" s="43"/>
      <c r="O76" s="43" t="s">
        <v>4725</v>
      </c>
      <c r="P76" s="43" t="s">
        <v>5024</v>
      </c>
      <c r="Q76" s="43" t="s">
        <v>5097</v>
      </c>
      <c r="R76" s="43" t="s">
        <v>5038</v>
      </c>
      <c r="S76" s="43" t="s">
        <v>5026</v>
      </c>
      <c r="T76" s="51" t="s">
        <v>5027</v>
      </c>
      <c r="U76" s="52" t="s">
        <v>5028</v>
      </c>
      <c r="V76" s="53" t="s">
        <v>3884</v>
      </c>
      <c r="W76" s="54" t="s">
        <v>2394</v>
      </c>
      <c r="X76" s="55" t="s">
        <v>5048</v>
      </c>
      <c r="Y76" t="s">
        <v>4894</v>
      </c>
      <c r="Z76" t="s">
        <v>5049</v>
      </c>
      <c r="AA76" t="s">
        <v>4893</v>
      </c>
      <c r="AI76" s="54"/>
      <c r="AJ76" s="56">
        <v>45670</v>
      </c>
      <c r="AK76" s="57">
        <v>45761</v>
      </c>
      <c r="AL76" s="57">
        <v>45852</v>
      </c>
      <c r="AM76" s="57">
        <v>45943</v>
      </c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8"/>
      <c r="BD76" s="55" t="s">
        <v>5030</v>
      </c>
      <c r="BE76" t="s">
        <v>5031</v>
      </c>
      <c r="BF76" t="s">
        <v>5032</v>
      </c>
      <c r="BG76" t="s">
        <v>5033</v>
      </c>
      <c r="BO76" s="54"/>
      <c r="BP76" s="56">
        <v>45712</v>
      </c>
      <c r="BQ76" s="57">
        <v>45803</v>
      </c>
      <c r="BR76" s="57">
        <v>45894</v>
      </c>
      <c r="BS76" s="57">
        <v>45985</v>
      </c>
      <c r="BT76" s="57"/>
      <c r="BU76" s="57"/>
      <c r="BV76" s="57"/>
      <c r="BW76" s="57"/>
      <c r="BX76" s="57"/>
      <c r="BY76" s="57"/>
      <c r="BZ76" s="57"/>
      <c r="CA76" s="57"/>
      <c r="CB76" s="56" t="s">
        <v>5034</v>
      </c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6">
        <v>45666</v>
      </c>
      <c r="CO76" s="57">
        <v>45757</v>
      </c>
      <c r="CP76" s="57">
        <v>45848</v>
      </c>
      <c r="CQ76" s="57">
        <v>45939</v>
      </c>
      <c r="CR76" s="57"/>
      <c r="CS76" s="57"/>
      <c r="CT76" s="57"/>
      <c r="CU76" s="57"/>
      <c r="CV76" s="57"/>
      <c r="CW76" s="57"/>
      <c r="CX76" s="57"/>
      <c r="CY76" s="57"/>
      <c r="CZ76" s="56" t="s">
        <v>5034</v>
      </c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8"/>
      <c r="DL76" s="59">
        <v>4</v>
      </c>
      <c r="DM76" s="60">
        <v>4</v>
      </c>
      <c r="DN76" s="61">
        <v>0</v>
      </c>
      <c r="DO76" s="60">
        <v>4</v>
      </c>
      <c r="DP76" s="60">
        <v>0</v>
      </c>
      <c r="DQ76" s="59">
        <v>12</v>
      </c>
      <c r="DR76" s="62">
        <v>1196</v>
      </c>
      <c r="DS76" s="62" t="s">
        <v>5034</v>
      </c>
      <c r="DU76" s="62" t="s">
        <v>5034</v>
      </c>
      <c r="DV76" s="63">
        <v>44610.310698263886</v>
      </c>
      <c r="DW76" s="64">
        <v>2022</v>
      </c>
      <c r="DX76" s="65">
        <v>2</v>
      </c>
    </row>
    <row r="77" spans="2:128" ht="15">
      <c r="B77" s="43" t="s">
        <v>5022</v>
      </c>
      <c r="C77" s="43" t="s">
        <v>4825</v>
      </c>
      <c r="D77" s="43" t="s">
        <v>2389</v>
      </c>
      <c r="E77" s="49">
        <v>44405</v>
      </c>
      <c r="F77" s="49"/>
      <c r="G77" s="50">
        <v>1</v>
      </c>
      <c r="H77" s="43" t="s">
        <v>4798</v>
      </c>
      <c r="I77" s="43" t="s">
        <v>5023</v>
      </c>
      <c r="J77" s="43">
        <v>6</v>
      </c>
      <c r="K77" s="43">
        <v>2</v>
      </c>
      <c r="L77" s="43">
        <v>3</v>
      </c>
      <c r="M77" s="43"/>
      <c r="N77" s="43"/>
      <c r="O77" s="43" t="s">
        <v>5066</v>
      </c>
      <c r="P77" s="43" t="s">
        <v>5063</v>
      </c>
      <c r="Q77" s="43" t="s">
        <v>5064</v>
      </c>
      <c r="R77" s="43" t="s">
        <v>5047</v>
      </c>
      <c r="S77" s="43" t="s">
        <v>5026</v>
      </c>
      <c r="T77" s="51" t="s">
        <v>5027</v>
      </c>
      <c r="U77" s="43" t="s">
        <v>5028</v>
      </c>
      <c r="V77" s="53" t="s">
        <v>3884</v>
      </c>
      <c r="W77" s="54" t="s">
        <v>2388</v>
      </c>
      <c r="X77" s="55" t="s">
        <v>4889</v>
      </c>
      <c r="Y77" t="s">
        <v>4896</v>
      </c>
      <c r="Z77" t="s">
        <v>4800</v>
      </c>
      <c r="AA77" t="s">
        <v>4891</v>
      </c>
      <c r="AI77" s="54"/>
      <c r="AJ77" s="56">
        <v>45740</v>
      </c>
      <c r="AK77" s="57">
        <v>45831</v>
      </c>
      <c r="AL77" s="57">
        <v>45922</v>
      </c>
      <c r="AM77" s="57">
        <v>46013</v>
      </c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8"/>
      <c r="BD77" s="55" t="s">
        <v>5030</v>
      </c>
      <c r="BE77" t="s">
        <v>5031</v>
      </c>
      <c r="BF77" t="s">
        <v>5032</v>
      </c>
      <c r="BG77" t="s">
        <v>5033</v>
      </c>
      <c r="BO77" s="54"/>
      <c r="BP77" s="56">
        <v>45712</v>
      </c>
      <c r="BQ77" s="57">
        <v>45803</v>
      </c>
      <c r="BR77" s="57">
        <v>45894</v>
      </c>
      <c r="BS77" s="57">
        <v>45985</v>
      </c>
      <c r="BT77" s="57"/>
      <c r="BU77" s="57"/>
      <c r="BV77" s="57"/>
      <c r="BW77" s="57"/>
      <c r="BX77" s="57"/>
      <c r="BY77" s="57"/>
      <c r="BZ77" s="57"/>
      <c r="CA77" s="57"/>
      <c r="CB77" s="56">
        <v>45730</v>
      </c>
      <c r="CC77" s="57">
        <v>45821</v>
      </c>
      <c r="CD77" s="57">
        <v>45912</v>
      </c>
      <c r="CE77" s="57">
        <v>46003</v>
      </c>
      <c r="CF77" s="57"/>
      <c r="CG77" s="57"/>
      <c r="CH77" s="57"/>
      <c r="CI77" s="57"/>
      <c r="CJ77" s="57"/>
      <c r="CK77" s="57"/>
      <c r="CL77" s="57"/>
      <c r="CM77" s="57"/>
      <c r="CN77" s="56">
        <v>45736</v>
      </c>
      <c r="CO77" s="57">
        <v>45827</v>
      </c>
      <c r="CP77" s="57">
        <v>45918</v>
      </c>
      <c r="CQ77" s="57">
        <v>46009</v>
      </c>
      <c r="CR77" s="57"/>
      <c r="CS77" s="57"/>
      <c r="CT77" s="57"/>
      <c r="CU77" s="57"/>
      <c r="CV77" s="57"/>
      <c r="CW77" s="57"/>
      <c r="CX77" s="57"/>
      <c r="CY77" s="57"/>
      <c r="CZ77" s="56" t="s">
        <v>5034</v>
      </c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8"/>
      <c r="DL77" s="59">
        <v>4</v>
      </c>
      <c r="DM77" s="60">
        <v>4</v>
      </c>
      <c r="DN77" s="61">
        <v>4</v>
      </c>
      <c r="DO77" s="60">
        <v>4</v>
      </c>
      <c r="DP77" s="60">
        <v>0</v>
      </c>
      <c r="DQ77" s="59">
        <v>16</v>
      </c>
      <c r="DR77" s="62">
        <v>1208</v>
      </c>
      <c r="DS77" s="62" t="s">
        <v>5034</v>
      </c>
      <c r="DU77" s="62" t="s">
        <v>5034</v>
      </c>
      <c r="DV77" s="63">
        <v>44761.347048090276</v>
      </c>
      <c r="DW77" s="64">
        <v>2022</v>
      </c>
      <c r="DX77" s="65">
        <v>7</v>
      </c>
    </row>
    <row r="78" spans="2:128" ht="15">
      <c r="B78" s="43" t="s">
        <v>5022</v>
      </c>
      <c r="C78" s="43" t="s">
        <v>4859</v>
      </c>
      <c r="D78" s="43" t="s">
        <v>2368</v>
      </c>
      <c r="E78" s="49">
        <v>44426</v>
      </c>
      <c r="F78" s="49"/>
      <c r="G78" s="50">
        <v>1</v>
      </c>
      <c r="H78" s="43" t="s">
        <v>4798</v>
      </c>
      <c r="I78" s="43" t="s">
        <v>5023</v>
      </c>
      <c r="J78" s="43"/>
      <c r="K78" s="43">
        <v>2</v>
      </c>
      <c r="L78" s="43">
        <v>3</v>
      </c>
      <c r="M78" s="43"/>
      <c r="N78" s="43"/>
      <c r="O78" s="43" t="s">
        <v>5059</v>
      </c>
      <c r="P78" s="43" t="s">
        <v>5024</v>
      </c>
      <c r="Q78" s="43" t="s">
        <v>5093</v>
      </c>
      <c r="R78" s="43" t="s">
        <v>5098</v>
      </c>
      <c r="S78" s="43" t="s">
        <v>5026</v>
      </c>
      <c r="T78" s="51" t="s">
        <v>5027</v>
      </c>
      <c r="U78" s="43" t="s">
        <v>5028</v>
      </c>
      <c r="V78" s="53" t="s">
        <v>3884</v>
      </c>
      <c r="W78" s="54" t="s">
        <v>2367</v>
      </c>
      <c r="X78" s="55" t="s">
        <v>4889</v>
      </c>
      <c r="Y78" t="s">
        <v>4896</v>
      </c>
      <c r="Z78" t="s">
        <v>4800</v>
      </c>
      <c r="AA78" t="s">
        <v>4891</v>
      </c>
      <c r="AI78" s="54"/>
      <c r="AJ78" s="56">
        <v>45740</v>
      </c>
      <c r="AK78" s="57">
        <v>45831</v>
      </c>
      <c r="AL78" s="57">
        <v>45922</v>
      </c>
      <c r="AM78" s="57">
        <v>46013</v>
      </c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8"/>
      <c r="BD78" s="55" t="s">
        <v>5030</v>
      </c>
      <c r="BE78" t="s">
        <v>5031</v>
      </c>
      <c r="BF78" t="s">
        <v>5032</v>
      </c>
      <c r="BG78" t="s">
        <v>5033</v>
      </c>
      <c r="BO78" s="54"/>
      <c r="BP78" s="56">
        <v>45712</v>
      </c>
      <c r="BQ78" s="57">
        <v>45803</v>
      </c>
      <c r="BR78" s="57">
        <v>45894</v>
      </c>
      <c r="BS78" s="57">
        <v>45985</v>
      </c>
      <c r="BT78" s="57"/>
      <c r="BU78" s="57"/>
      <c r="BV78" s="57"/>
      <c r="BW78" s="57"/>
      <c r="BX78" s="57"/>
      <c r="BY78" s="57"/>
      <c r="BZ78" s="57"/>
      <c r="CA78" s="57"/>
      <c r="CB78" s="56" t="s">
        <v>5034</v>
      </c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6">
        <v>45736</v>
      </c>
      <c r="CO78" s="57">
        <v>45827</v>
      </c>
      <c r="CP78" s="57">
        <v>45918</v>
      </c>
      <c r="CQ78" s="57">
        <v>46009</v>
      </c>
      <c r="CR78" s="57"/>
      <c r="CS78" s="57"/>
      <c r="CT78" s="57"/>
      <c r="CU78" s="57"/>
      <c r="CV78" s="57"/>
      <c r="CW78" s="57"/>
      <c r="CX78" s="57"/>
      <c r="CY78" s="57"/>
      <c r="CZ78" s="56" t="s">
        <v>5034</v>
      </c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8"/>
      <c r="DL78" s="59">
        <v>4</v>
      </c>
      <c r="DM78" s="60">
        <v>4</v>
      </c>
      <c r="DN78" s="61">
        <v>0</v>
      </c>
      <c r="DO78" s="60">
        <v>4</v>
      </c>
      <c r="DP78" s="60">
        <v>0</v>
      </c>
      <c r="DQ78" s="59">
        <v>12</v>
      </c>
      <c r="DR78" s="62">
        <v>1224</v>
      </c>
      <c r="DS78" s="62" t="s">
        <v>5034</v>
      </c>
      <c r="DU78" s="62" t="s">
        <v>5034</v>
      </c>
      <c r="DV78" s="63">
        <v>44992.618154467593</v>
      </c>
      <c r="DW78" s="64">
        <v>2023</v>
      </c>
      <c r="DX78" s="65">
        <v>3</v>
      </c>
    </row>
    <row r="79" spans="2:128" ht="15">
      <c r="B79" s="43" t="s">
        <v>5022</v>
      </c>
      <c r="C79" s="43" t="s">
        <v>4855</v>
      </c>
      <c r="D79" s="43" t="s">
        <v>857</v>
      </c>
      <c r="E79" s="49">
        <v>44433</v>
      </c>
      <c r="F79" s="49"/>
      <c r="G79" s="50">
        <v>1</v>
      </c>
      <c r="H79" s="43" t="s">
        <v>4798</v>
      </c>
      <c r="I79" s="43" t="s">
        <v>5023</v>
      </c>
      <c r="J79" s="43"/>
      <c r="K79" s="43">
        <v>2</v>
      </c>
      <c r="L79" s="43">
        <v>3</v>
      </c>
      <c r="M79" s="43"/>
      <c r="N79" s="43"/>
      <c r="O79" s="43"/>
      <c r="P79" s="43" t="s">
        <v>5099</v>
      </c>
      <c r="Q79" s="43" t="s">
        <v>5100</v>
      </c>
      <c r="R79" s="43" t="s">
        <v>5086</v>
      </c>
      <c r="S79" s="43" t="s">
        <v>5026</v>
      </c>
      <c r="T79" s="51" t="s">
        <v>5027</v>
      </c>
      <c r="U79" s="43" t="s">
        <v>5028</v>
      </c>
      <c r="V79" s="53" t="s">
        <v>3884</v>
      </c>
      <c r="W79" s="54" t="s">
        <v>5101</v>
      </c>
      <c r="X79" s="55" t="s">
        <v>4889</v>
      </c>
      <c r="Y79" t="s">
        <v>4896</v>
      </c>
      <c r="Z79" t="s">
        <v>4800</v>
      </c>
      <c r="AA79" t="s">
        <v>4891</v>
      </c>
      <c r="AI79" s="54"/>
      <c r="AJ79" s="56">
        <v>45740</v>
      </c>
      <c r="AK79" s="57">
        <v>45831</v>
      </c>
      <c r="AL79" s="57">
        <v>45922</v>
      </c>
      <c r="AM79" s="57">
        <v>46013</v>
      </c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8"/>
      <c r="BD79" s="55" t="s">
        <v>5030</v>
      </c>
      <c r="BE79" t="s">
        <v>5031</v>
      </c>
      <c r="BF79" t="s">
        <v>5032</v>
      </c>
      <c r="BG79" t="s">
        <v>5033</v>
      </c>
      <c r="BO79" s="54"/>
      <c r="BP79" s="56">
        <v>45712</v>
      </c>
      <c r="BQ79" s="57">
        <v>45803</v>
      </c>
      <c r="BR79" s="57">
        <v>45894</v>
      </c>
      <c r="BS79" s="57">
        <v>45985</v>
      </c>
      <c r="BT79" s="57"/>
      <c r="BU79" s="57"/>
      <c r="BV79" s="57"/>
      <c r="BW79" s="57"/>
      <c r="BX79" s="57"/>
      <c r="BY79" s="57"/>
      <c r="BZ79" s="57"/>
      <c r="CA79" s="57"/>
      <c r="CB79" s="56" t="s">
        <v>5034</v>
      </c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6">
        <v>45736</v>
      </c>
      <c r="CO79" s="57">
        <v>45827</v>
      </c>
      <c r="CP79" s="57">
        <v>45918</v>
      </c>
      <c r="CQ79" s="57">
        <v>46009</v>
      </c>
      <c r="CR79" s="57"/>
      <c r="CS79" s="57"/>
      <c r="CT79" s="57"/>
      <c r="CU79" s="57"/>
      <c r="CV79" s="57"/>
      <c r="CW79" s="57"/>
      <c r="CX79" s="57"/>
      <c r="CY79" s="57"/>
      <c r="CZ79" s="56" t="s">
        <v>5034</v>
      </c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8"/>
      <c r="DL79" s="59">
        <v>4</v>
      </c>
      <c r="DM79" s="60">
        <v>4</v>
      </c>
      <c r="DN79" s="61">
        <v>0</v>
      </c>
      <c r="DO79" s="60">
        <v>4</v>
      </c>
      <c r="DP79" s="60">
        <v>0</v>
      </c>
      <c r="DQ79" s="59">
        <v>12</v>
      </c>
      <c r="DR79" s="62">
        <v>1236</v>
      </c>
      <c r="DS79" s="62" t="s">
        <v>5034</v>
      </c>
      <c r="DU79" s="62" t="s">
        <v>5034</v>
      </c>
      <c r="DV79" s="63">
        <v>44627.471723148148</v>
      </c>
      <c r="DW79" s="64">
        <v>2022</v>
      </c>
      <c r="DX79" s="65">
        <v>3</v>
      </c>
    </row>
    <row r="80" spans="2:128" ht="15">
      <c r="B80" s="43" t="s">
        <v>5022</v>
      </c>
      <c r="C80" s="43" t="s">
        <v>4855</v>
      </c>
      <c r="D80" s="43" t="s">
        <v>857</v>
      </c>
      <c r="E80" s="49">
        <v>44525</v>
      </c>
      <c r="F80" s="49"/>
      <c r="G80" s="50">
        <v>1</v>
      </c>
      <c r="H80" s="43" t="s">
        <v>4798</v>
      </c>
      <c r="I80" s="43" t="s">
        <v>5023</v>
      </c>
      <c r="J80" s="43"/>
      <c r="K80" s="43">
        <v>2</v>
      </c>
      <c r="L80" s="43">
        <v>3</v>
      </c>
      <c r="M80" s="43"/>
      <c r="N80" s="43"/>
      <c r="O80" s="43"/>
      <c r="P80" s="43" t="s">
        <v>5099</v>
      </c>
      <c r="Q80" s="43" t="s">
        <v>5100</v>
      </c>
      <c r="R80" s="43" t="s">
        <v>5086</v>
      </c>
      <c r="S80" s="43" t="s">
        <v>5026</v>
      </c>
      <c r="T80" s="51" t="s">
        <v>5027</v>
      </c>
      <c r="U80" s="52" t="s">
        <v>5028</v>
      </c>
      <c r="V80" s="53" t="s">
        <v>3896</v>
      </c>
      <c r="W80" s="54" t="s">
        <v>5034</v>
      </c>
      <c r="X80" s="55" t="s">
        <v>5034</v>
      </c>
      <c r="AI80" s="54"/>
      <c r="AJ80" s="56" t="s">
        <v>5034</v>
      </c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8"/>
      <c r="BD80" s="55" t="s">
        <v>5034</v>
      </c>
      <c r="BO80" s="54"/>
      <c r="BP80" s="56" t="s">
        <v>5034</v>
      </c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6" t="s">
        <v>5034</v>
      </c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6" t="s">
        <v>5034</v>
      </c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6" t="s">
        <v>5034</v>
      </c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8"/>
      <c r="DL80" s="59">
        <v>0</v>
      </c>
      <c r="DM80" s="60">
        <v>0</v>
      </c>
      <c r="DN80" s="61">
        <v>0</v>
      </c>
      <c r="DO80" s="60">
        <v>0</v>
      </c>
      <c r="DP80" s="60">
        <v>0</v>
      </c>
      <c r="DQ80" s="59">
        <v>0</v>
      </c>
      <c r="DR80" s="62" t="s">
        <v>5034</v>
      </c>
      <c r="DS80" s="62" t="s">
        <v>5034</v>
      </c>
      <c r="DU80" s="62" t="s">
        <v>5034</v>
      </c>
      <c r="DV80" s="63">
        <v>44627.471723148148</v>
      </c>
      <c r="DW80" s="64">
        <v>2022</v>
      </c>
      <c r="DX80" s="65">
        <v>3</v>
      </c>
    </row>
    <row r="81" spans="2:128" ht="15">
      <c r="B81" s="43" t="s">
        <v>5022</v>
      </c>
      <c r="C81" s="43" t="s">
        <v>4855</v>
      </c>
      <c r="D81" s="43" t="s">
        <v>865</v>
      </c>
      <c r="E81" s="49">
        <v>44433</v>
      </c>
      <c r="F81" s="49"/>
      <c r="G81" s="50">
        <v>1</v>
      </c>
      <c r="H81" s="43" t="s">
        <v>4798</v>
      </c>
      <c r="I81" s="43" t="s">
        <v>5023</v>
      </c>
      <c r="J81" s="43"/>
      <c r="K81" s="43">
        <v>2</v>
      </c>
      <c r="L81" s="43">
        <v>3</v>
      </c>
      <c r="M81" s="43"/>
      <c r="N81" s="43"/>
      <c r="O81" s="43"/>
      <c r="P81" s="43" t="s">
        <v>864</v>
      </c>
      <c r="Q81" s="43" t="s">
        <v>5100</v>
      </c>
      <c r="R81" s="43" t="s">
        <v>5086</v>
      </c>
      <c r="S81" s="43" t="s">
        <v>5026</v>
      </c>
      <c r="T81" s="51" t="s">
        <v>5027</v>
      </c>
      <c r="U81" s="52" t="s">
        <v>5028</v>
      </c>
      <c r="V81" s="53" t="s">
        <v>3884</v>
      </c>
      <c r="W81" s="54" t="s">
        <v>864</v>
      </c>
      <c r="X81" s="55" t="s">
        <v>4889</v>
      </c>
      <c r="Y81" t="s">
        <v>4896</v>
      </c>
      <c r="Z81" t="s">
        <v>4800</v>
      </c>
      <c r="AA81" t="s">
        <v>4891</v>
      </c>
      <c r="AI81" s="54"/>
      <c r="AJ81" s="56">
        <v>45740</v>
      </c>
      <c r="AK81" s="57">
        <v>45831</v>
      </c>
      <c r="AL81" s="57">
        <v>45922</v>
      </c>
      <c r="AM81" s="57">
        <v>46013</v>
      </c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8"/>
      <c r="BD81" s="55" t="s">
        <v>5030</v>
      </c>
      <c r="BE81" t="s">
        <v>5031</v>
      </c>
      <c r="BF81" t="s">
        <v>5032</v>
      </c>
      <c r="BG81" t="s">
        <v>5033</v>
      </c>
      <c r="BO81" s="54"/>
      <c r="BP81" s="56">
        <v>45712</v>
      </c>
      <c r="BQ81" s="57">
        <v>45803</v>
      </c>
      <c r="BR81" s="57">
        <v>45894</v>
      </c>
      <c r="BS81" s="57">
        <v>45985</v>
      </c>
      <c r="BT81" s="57"/>
      <c r="BU81" s="57"/>
      <c r="BV81" s="57"/>
      <c r="BW81" s="57"/>
      <c r="BX81" s="57"/>
      <c r="BY81" s="57"/>
      <c r="BZ81" s="57"/>
      <c r="CA81" s="57"/>
      <c r="CB81" s="56" t="s">
        <v>5034</v>
      </c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6">
        <v>45736</v>
      </c>
      <c r="CO81" s="57">
        <v>45827</v>
      </c>
      <c r="CP81" s="57">
        <v>45918</v>
      </c>
      <c r="CQ81" s="57">
        <v>46009</v>
      </c>
      <c r="CR81" s="57"/>
      <c r="CS81" s="57"/>
      <c r="CT81" s="57"/>
      <c r="CU81" s="57"/>
      <c r="CV81" s="57"/>
      <c r="CW81" s="57"/>
      <c r="CX81" s="57"/>
      <c r="CY81" s="57"/>
      <c r="CZ81" s="56" t="s">
        <v>5034</v>
      </c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8"/>
      <c r="DL81" s="59">
        <v>4</v>
      </c>
      <c r="DM81" s="60">
        <v>4</v>
      </c>
      <c r="DN81" s="61">
        <v>0</v>
      </c>
      <c r="DO81" s="60">
        <v>4</v>
      </c>
      <c r="DP81" s="60">
        <v>0</v>
      </c>
      <c r="DQ81" s="59">
        <v>12</v>
      </c>
      <c r="DR81" s="62">
        <v>1248</v>
      </c>
      <c r="DS81" s="62" t="s">
        <v>5034</v>
      </c>
      <c r="DU81" s="62" t="s">
        <v>5034</v>
      </c>
      <c r="DV81" s="63">
        <v>44629.430889861113</v>
      </c>
      <c r="DW81" s="64">
        <v>2022</v>
      </c>
      <c r="DX81" s="65">
        <v>3</v>
      </c>
    </row>
    <row r="82" spans="2:128" ht="15">
      <c r="B82" s="43" t="s">
        <v>5022</v>
      </c>
      <c r="C82" s="43" t="s">
        <v>4802</v>
      </c>
      <c r="D82" s="43" t="s">
        <v>2362</v>
      </c>
      <c r="E82" s="49">
        <v>44461</v>
      </c>
      <c r="F82" s="49"/>
      <c r="G82" s="50">
        <v>1</v>
      </c>
      <c r="H82" s="43" t="s">
        <v>4890</v>
      </c>
      <c r="I82" s="43" t="s">
        <v>5102</v>
      </c>
      <c r="J82" s="43"/>
      <c r="K82" s="43">
        <v>2</v>
      </c>
      <c r="L82" s="43">
        <v>2</v>
      </c>
      <c r="M82" s="43"/>
      <c r="N82" s="43"/>
      <c r="O82" s="43" t="s">
        <v>4725</v>
      </c>
      <c r="P82" s="43" t="s">
        <v>5024</v>
      </c>
      <c r="Q82" s="43" t="s">
        <v>5103</v>
      </c>
      <c r="R82" s="43" t="s">
        <v>5047</v>
      </c>
      <c r="S82" s="43" t="s">
        <v>5026</v>
      </c>
      <c r="T82" s="51" t="s">
        <v>5027</v>
      </c>
      <c r="U82" s="52" t="s">
        <v>5028</v>
      </c>
      <c r="V82" s="53" t="s">
        <v>3884</v>
      </c>
      <c r="W82" s="54" t="s">
        <v>2361</v>
      </c>
      <c r="X82" s="55" t="s">
        <v>5048</v>
      </c>
      <c r="Y82" t="s">
        <v>4894</v>
      </c>
      <c r="Z82" t="s">
        <v>5049</v>
      </c>
      <c r="AA82" t="s">
        <v>4893</v>
      </c>
      <c r="AI82" s="54"/>
      <c r="AJ82" s="56">
        <v>45670</v>
      </c>
      <c r="AK82" s="57">
        <v>45761</v>
      </c>
      <c r="AL82" s="57">
        <v>45852</v>
      </c>
      <c r="AM82" s="57">
        <v>45943</v>
      </c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8"/>
      <c r="BD82" s="55" t="s">
        <v>5104</v>
      </c>
      <c r="BE82" t="s">
        <v>5105</v>
      </c>
      <c r="BF82" t="s">
        <v>5106</v>
      </c>
      <c r="BG82" t="s">
        <v>5107</v>
      </c>
      <c r="BO82" s="54"/>
      <c r="BP82" s="56">
        <v>45663</v>
      </c>
      <c r="BQ82" s="57">
        <v>45754</v>
      </c>
      <c r="BR82" s="57">
        <v>45845</v>
      </c>
      <c r="BS82" s="57">
        <v>45936</v>
      </c>
      <c r="BT82" s="57"/>
      <c r="BU82" s="57"/>
      <c r="BV82" s="57"/>
      <c r="BW82" s="57"/>
      <c r="BX82" s="57"/>
      <c r="BY82" s="57"/>
      <c r="BZ82" s="57"/>
      <c r="CA82" s="57"/>
      <c r="CB82" s="56" t="s">
        <v>5034</v>
      </c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6">
        <v>45666</v>
      </c>
      <c r="CO82" s="57">
        <v>45757</v>
      </c>
      <c r="CP82" s="57">
        <v>45848</v>
      </c>
      <c r="CQ82" s="57">
        <v>45939</v>
      </c>
      <c r="CR82" s="57"/>
      <c r="CS82" s="57"/>
      <c r="CT82" s="57"/>
      <c r="CU82" s="57"/>
      <c r="CV82" s="57"/>
      <c r="CW82" s="57"/>
      <c r="CX82" s="57"/>
      <c r="CY82" s="57"/>
      <c r="CZ82" s="56" t="s">
        <v>5034</v>
      </c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8"/>
      <c r="DL82" s="59">
        <v>4</v>
      </c>
      <c r="DM82" s="60">
        <v>4</v>
      </c>
      <c r="DN82" s="61">
        <v>0</v>
      </c>
      <c r="DO82" s="60">
        <v>4</v>
      </c>
      <c r="DP82" s="60">
        <v>0</v>
      </c>
      <c r="DQ82" s="59">
        <v>12</v>
      </c>
      <c r="DR82" s="62">
        <v>1260</v>
      </c>
      <c r="DS82" s="62" t="s">
        <v>5034</v>
      </c>
      <c r="DU82" s="62" t="s">
        <v>5034</v>
      </c>
      <c r="DV82" s="63">
        <v>45198.439690798608</v>
      </c>
      <c r="DW82" s="64">
        <v>2023</v>
      </c>
      <c r="DX82" s="65">
        <v>9</v>
      </c>
    </row>
    <row r="83" spans="2:128" ht="15">
      <c r="B83" s="43" t="s">
        <v>5022</v>
      </c>
      <c r="C83" s="43" t="s">
        <v>4859</v>
      </c>
      <c r="D83" s="43" t="s">
        <v>2330</v>
      </c>
      <c r="E83" s="49">
        <v>44470</v>
      </c>
      <c r="F83" s="49"/>
      <c r="G83" s="50">
        <v>1</v>
      </c>
      <c r="H83" s="43" t="s">
        <v>4798</v>
      </c>
      <c r="I83" s="43" t="s">
        <v>5023</v>
      </c>
      <c r="J83" s="43"/>
      <c r="K83" s="43">
        <v>2</v>
      </c>
      <c r="L83" s="43">
        <v>3</v>
      </c>
      <c r="M83" s="43"/>
      <c r="N83" s="43"/>
      <c r="O83" s="43" t="s">
        <v>5059</v>
      </c>
      <c r="P83" s="43" t="s">
        <v>5024</v>
      </c>
      <c r="Q83" s="43" t="s">
        <v>5093</v>
      </c>
      <c r="R83" s="43" t="s">
        <v>5098</v>
      </c>
      <c r="S83" s="43" t="s">
        <v>5026</v>
      </c>
      <c r="T83" s="51" t="s">
        <v>5027</v>
      </c>
      <c r="U83" s="52" t="s">
        <v>5028</v>
      </c>
      <c r="V83" s="53" t="s">
        <v>3884</v>
      </c>
      <c r="W83" s="54" t="s">
        <v>2329</v>
      </c>
      <c r="X83" s="55" t="s">
        <v>4889</v>
      </c>
      <c r="Y83" t="s">
        <v>4896</v>
      </c>
      <c r="Z83" t="s">
        <v>4800</v>
      </c>
      <c r="AA83" t="s">
        <v>4891</v>
      </c>
      <c r="AI83" s="54"/>
      <c r="AJ83" s="56">
        <v>45740</v>
      </c>
      <c r="AK83" s="57">
        <v>45831</v>
      </c>
      <c r="AL83" s="57">
        <v>45922</v>
      </c>
      <c r="AM83" s="57">
        <v>46013</v>
      </c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8"/>
      <c r="BD83" s="55" t="s">
        <v>5030</v>
      </c>
      <c r="BE83" t="s">
        <v>5031</v>
      </c>
      <c r="BF83" t="s">
        <v>5032</v>
      </c>
      <c r="BG83" t="s">
        <v>5033</v>
      </c>
      <c r="BO83" s="54"/>
      <c r="BP83" s="56">
        <v>45712</v>
      </c>
      <c r="BQ83" s="57">
        <v>45803</v>
      </c>
      <c r="BR83" s="57">
        <v>45894</v>
      </c>
      <c r="BS83" s="57">
        <v>45985</v>
      </c>
      <c r="BT83" s="57"/>
      <c r="BU83" s="57"/>
      <c r="BV83" s="57"/>
      <c r="BW83" s="57"/>
      <c r="BX83" s="57"/>
      <c r="BY83" s="57"/>
      <c r="BZ83" s="57"/>
      <c r="CA83" s="57"/>
      <c r="CB83" s="56" t="s">
        <v>5034</v>
      </c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6">
        <v>45736</v>
      </c>
      <c r="CO83" s="57">
        <v>45827</v>
      </c>
      <c r="CP83" s="57">
        <v>45918</v>
      </c>
      <c r="CQ83" s="57">
        <v>46009</v>
      </c>
      <c r="CR83" s="57"/>
      <c r="CS83" s="57"/>
      <c r="CT83" s="57"/>
      <c r="CU83" s="57"/>
      <c r="CV83" s="57"/>
      <c r="CW83" s="57"/>
      <c r="CX83" s="57"/>
      <c r="CY83" s="57"/>
      <c r="CZ83" s="56" t="s">
        <v>5034</v>
      </c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8"/>
      <c r="DL83" s="59">
        <v>4</v>
      </c>
      <c r="DM83" s="60">
        <v>4</v>
      </c>
      <c r="DN83" s="61">
        <v>0</v>
      </c>
      <c r="DO83" s="60">
        <v>4</v>
      </c>
      <c r="DP83" s="60">
        <v>0</v>
      </c>
      <c r="DQ83" s="59">
        <v>12</v>
      </c>
      <c r="DR83" s="62">
        <v>1272</v>
      </c>
      <c r="DS83" s="62" t="s">
        <v>5034</v>
      </c>
      <c r="DU83" s="62" t="s">
        <v>5034</v>
      </c>
      <c r="DV83" s="63">
        <v>44865.596558495374</v>
      </c>
      <c r="DW83" s="64">
        <v>2022</v>
      </c>
      <c r="DX83" s="65">
        <v>10</v>
      </c>
    </row>
    <row r="84" spans="2:128" ht="15">
      <c r="B84" s="43" t="s">
        <v>5022</v>
      </c>
      <c r="C84" s="43" t="s">
        <v>4859</v>
      </c>
      <c r="D84" s="43" t="s">
        <v>2332</v>
      </c>
      <c r="E84" s="49">
        <v>44470</v>
      </c>
      <c r="F84" s="49"/>
      <c r="G84" s="50">
        <v>1</v>
      </c>
      <c r="H84" s="43" t="s">
        <v>4798</v>
      </c>
      <c r="I84" s="43" t="s">
        <v>5023</v>
      </c>
      <c r="J84" s="43"/>
      <c r="K84" s="43">
        <v>2</v>
      </c>
      <c r="L84" s="43">
        <v>3</v>
      </c>
      <c r="M84" s="43"/>
      <c r="N84" s="43"/>
      <c r="O84" s="43" t="s">
        <v>5059</v>
      </c>
      <c r="P84" s="43" t="s">
        <v>5063</v>
      </c>
      <c r="Q84" s="43" t="s">
        <v>5108</v>
      </c>
      <c r="R84" s="43" t="s">
        <v>5098</v>
      </c>
      <c r="S84" s="43" t="s">
        <v>5026</v>
      </c>
      <c r="T84" s="51" t="s">
        <v>5027</v>
      </c>
      <c r="U84" s="52" t="s">
        <v>5028</v>
      </c>
      <c r="V84" s="53" t="s">
        <v>3884</v>
      </c>
      <c r="W84" s="54" t="s">
        <v>2331</v>
      </c>
      <c r="X84" s="55" t="s">
        <v>4889</v>
      </c>
      <c r="Y84" t="s">
        <v>4896</v>
      </c>
      <c r="Z84" t="s">
        <v>4800</v>
      </c>
      <c r="AA84" t="s">
        <v>4891</v>
      </c>
      <c r="AI84" s="54"/>
      <c r="AJ84" s="56">
        <v>45740</v>
      </c>
      <c r="AK84" s="57">
        <v>45831</v>
      </c>
      <c r="AL84" s="57">
        <v>45922</v>
      </c>
      <c r="AM84" s="57">
        <v>46013</v>
      </c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8"/>
      <c r="BD84" s="55" t="s">
        <v>5030</v>
      </c>
      <c r="BE84" t="s">
        <v>5031</v>
      </c>
      <c r="BF84" t="s">
        <v>5032</v>
      </c>
      <c r="BG84" t="s">
        <v>5033</v>
      </c>
      <c r="BO84" s="54"/>
      <c r="BP84" s="56">
        <v>45712</v>
      </c>
      <c r="BQ84" s="57">
        <v>45803</v>
      </c>
      <c r="BR84" s="57">
        <v>45894</v>
      </c>
      <c r="BS84" s="57">
        <v>45985</v>
      </c>
      <c r="BT84" s="57"/>
      <c r="BU84" s="57"/>
      <c r="BV84" s="57"/>
      <c r="BW84" s="57"/>
      <c r="BX84" s="57"/>
      <c r="BY84" s="57"/>
      <c r="BZ84" s="57"/>
      <c r="CA84" s="57"/>
      <c r="CB84" s="56" t="s">
        <v>5034</v>
      </c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6">
        <v>45736</v>
      </c>
      <c r="CO84" s="57">
        <v>45827</v>
      </c>
      <c r="CP84" s="57">
        <v>45918</v>
      </c>
      <c r="CQ84" s="57">
        <v>46009</v>
      </c>
      <c r="CR84" s="57"/>
      <c r="CS84" s="57"/>
      <c r="CT84" s="57"/>
      <c r="CU84" s="57"/>
      <c r="CV84" s="57"/>
      <c r="CW84" s="57"/>
      <c r="CX84" s="57"/>
      <c r="CY84" s="57"/>
      <c r="CZ84" s="56" t="s">
        <v>5034</v>
      </c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8"/>
      <c r="DL84" s="59">
        <v>4</v>
      </c>
      <c r="DM84" s="60">
        <v>4</v>
      </c>
      <c r="DN84" s="61">
        <v>0</v>
      </c>
      <c r="DO84" s="60">
        <v>4</v>
      </c>
      <c r="DP84" s="60">
        <v>0</v>
      </c>
      <c r="DQ84" s="59">
        <v>12</v>
      </c>
      <c r="DR84" s="62">
        <v>1284</v>
      </c>
      <c r="DS84" s="62" t="s">
        <v>5034</v>
      </c>
      <c r="DU84" s="62" t="s">
        <v>5034</v>
      </c>
      <c r="DV84" s="63">
        <v>44865.602864814813</v>
      </c>
      <c r="DW84" s="64">
        <v>2022</v>
      </c>
      <c r="DX84" s="65">
        <v>10</v>
      </c>
    </row>
    <row r="85" spans="2:128" ht="15">
      <c r="B85" s="43" t="s">
        <v>5022</v>
      </c>
      <c r="C85" s="43" t="s">
        <v>4859</v>
      </c>
      <c r="D85" s="43" t="s">
        <v>4776</v>
      </c>
      <c r="E85" s="49">
        <v>44470</v>
      </c>
      <c r="F85" s="49"/>
      <c r="G85" s="50">
        <v>1</v>
      </c>
      <c r="H85" s="43" t="s">
        <v>4798</v>
      </c>
      <c r="I85" s="43" t="s">
        <v>5023</v>
      </c>
      <c r="J85" s="43"/>
      <c r="K85" s="43">
        <v>2</v>
      </c>
      <c r="L85" s="43">
        <v>3</v>
      </c>
      <c r="M85" s="43"/>
      <c r="N85" s="43"/>
      <c r="O85" s="43" t="s">
        <v>5059</v>
      </c>
      <c r="P85" s="43" t="s">
        <v>5063</v>
      </c>
      <c r="Q85" s="43" t="s">
        <v>5109</v>
      </c>
      <c r="R85" s="43" t="s">
        <v>5098</v>
      </c>
      <c r="S85" s="43" t="s">
        <v>5026</v>
      </c>
      <c r="T85" s="51" t="s">
        <v>5027</v>
      </c>
      <c r="U85" s="52" t="s">
        <v>5028</v>
      </c>
      <c r="V85" s="53" t="s">
        <v>3884</v>
      </c>
      <c r="W85" s="54" t="s">
        <v>2352</v>
      </c>
      <c r="X85" s="55" t="s">
        <v>4889</v>
      </c>
      <c r="Y85" t="s">
        <v>4896</v>
      </c>
      <c r="Z85" t="s">
        <v>4800</v>
      </c>
      <c r="AA85" t="s">
        <v>4891</v>
      </c>
      <c r="AI85" s="54"/>
      <c r="AJ85" s="56">
        <v>45740</v>
      </c>
      <c r="AK85" s="57">
        <v>45831</v>
      </c>
      <c r="AL85" s="57">
        <v>45922</v>
      </c>
      <c r="AM85" s="57">
        <v>46013</v>
      </c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8"/>
      <c r="BD85" s="55" t="s">
        <v>5030</v>
      </c>
      <c r="BE85" t="s">
        <v>5031</v>
      </c>
      <c r="BF85" t="s">
        <v>5032</v>
      </c>
      <c r="BG85" t="s">
        <v>5033</v>
      </c>
      <c r="BO85" s="54"/>
      <c r="BP85" s="56">
        <v>45712</v>
      </c>
      <c r="BQ85" s="57">
        <v>45803</v>
      </c>
      <c r="BR85" s="57">
        <v>45894</v>
      </c>
      <c r="BS85" s="57">
        <v>45985</v>
      </c>
      <c r="BT85" s="57"/>
      <c r="BU85" s="57"/>
      <c r="BV85" s="57"/>
      <c r="BW85" s="57"/>
      <c r="BX85" s="57"/>
      <c r="BY85" s="57"/>
      <c r="BZ85" s="57"/>
      <c r="CA85" s="57"/>
      <c r="CB85" s="56" t="s">
        <v>5034</v>
      </c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6">
        <v>45736</v>
      </c>
      <c r="CO85" s="57">
        <v>45827</v>
      </c>
      <c r="CP85" s="57">
        <v>45918</v>
      </c>
      <c r="CQ85" s="57">
        <v>46009</v>
      </c>
      <c r="CR85" s="57"/>
      <c r="CS85" s="57"/>
      <c r="CT85" s="57"/>
      <c r="CU85" s="57"/>
      <c r="CV85" s="57"/>
      <c r="CW85" s="57"/>
      <c r="CX85" s="57"/>
      <c r="CY85" s="57"/>
      <c r="CZ85" s="56" t="s">
        <v>5034</v>
      </c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8"/>
      <c r="DL85" s="59">
        <v>4</v>
      </c>
      <c r="DM85" s="60">
        <v>4</v>
      </c>
      <c r="DN85" s="61">
        <v>0</v>
      </c>
      <c r="DO85" s="60">
        <v>4</v>
      </c>
      <c r="DP85" s="60">
        <v>0</v>
      </c>
      <c r="DQ85" s="59">
        <v>12</v>
      </c>
      <c r="DR85" s="62">
        <v>1296</v>
      </c>
      <c r="DS85" s="62" t="s">
        <v>5034</v>
      </c>
      <c r="DU85" s="62" t="s">
        <v>5034</v>
      </c>
      <c r="DV85" s="63">
        <v>44865.601369525466</v>
      </c>
      <c r="DW85" s="64">
        <v>2022</v>
      </c>
      <c r="DX85" s="65">
        <v>10</v>
      </c>
    </row>
    <row r="86" spans="2:128" ht="15">
      <c r="B86" s="43" t="s">
        <v>5022</v>
      </c>
      <c r="C86" s="43" t="s">
        <v>4802</v>
      </c>
      <c r="D86" s="43" t="s">
        <v>4777</v>
      </c>
      <c r="E86" s="49">
        <v>44497</v>
      </c>
      <c r="F86" s="49"/>
      <c r="G86" s="50">
        <v>1</v>
      </c>
      <c r="H86" s="43" t="s">
        <v>4798</v>
      </c>
      <c r="I86" s="43" t="s">
        <v>5023</v>
      </c>
      <c r="J86" s="43"/>
      <c r="K86" s="43">
        <v>2</v>
      </c>
      <c r="L86" s="43">
        <v>3</v>
      </c>
      <c r="M86" s="43"/>
      <c r="N86" s="43"/>
      <c r="O86" s="43" t="s">
        <v>4725</v>
      </c>
      <c r="P86" s="43" t="s">
        <v>5063</v>
      </c>
      <c r="Q86" s="43" t="s">
        <v>5110</v>
      </c>
      <c r="R86" s="43" t="s">
        <v>5038</v>
      </c>
      <c r="S86" s="43" t="s">
        <v>5026</v>
      </c>
      <c r="T86" s="51" t="s">
        <v>5027</v>
      </c>
      <c r="U86" s="52" t="s">
        <v>5028</v>
      </c>
      <c r="V86" s="53" t="s">
        <v>3884</v>
      </c>
      <c r="W86" s="54" t="s">
        <v>3728</v>
      </c>
      <c r="X86" s="55" t="s">
        <v>4889</v>
      </c>
      <c r="Y86" t="s">
        <v>4896</v>
      </c>
      <c r="Z86" t="s">
        <v>4800</v>
      </c>
      <c r="AA86" t="s">
        <v>4891</v>
      </c>
      <c r="AI86" s="54"/>
      <c r="AJ86" s="56">
        <v>45740</v>
      </c>
      <c r="AK86" s="57">
        <v>45831</v>
      </c>
      <c r="AL86" s="57">
        <v>45922</v>
      </c>
      <c r="AM86" s="57">
        <v>46013</v>
      </c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8"/>
      <c r="BD86" s="55" t="s">
        <v>5030</v>
      </c>
      <c r="BE86" t="s">
        <v>5031</v>
      </c>
      <c r="BF86" t="s">
        <v>5032</v>
      </c>
      <c r="BG86" t="s">
        <v>5033</v>
      </c>
      <c r="BO86" s="54"/>
      <c r="BP86" s="56">
        <v>45712</v>
      </c>
      <c r="BQ86" s="57">
        <v>45803</v>
      </c>
      <c r="BR86" s="57">
        <v>45894</v>
      </c>
      <c r="BS86" s="57">
        <v>45985</v>
      </c>
      <c r="BT86" s="57"/>
      <c r="BU86" s="57"/>
      <c r="BV86" s="57"/>
      <c r="BW86" s="57"/>
      <c r="BX86" s="57"/>
      <c r="BY86" s="57"/>
      <c r="BZ86" s="57"/>
      <c r="CA86" s="57"/>
      <c r="CB86" s="56" t="s">
        <v>5034</v>
      </c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6">
        <v>45736</v>
      </c>
      <c r="CO86" s="57">
        <v>45827</v>
      </c>
      <c r="CP86" s="57">
        <v>45918</v>
      </c>
      <c r="CQ86" s="57">
        <v>46009</v>
      </c>
      <c r="CR86" s="57"/>
      <c r="CS86" s="57"/>
      <c r="CT86" s="57"/>
      <c r="CU86" s="57"/>
      <c r="CV86" s="57"/>
      <c r="CW86" s="57"/>
      <c r="CX86" s="57"/>
      <c r="CY86" s="57"/>
      <c r="CZ86" s="56" t="s">
        <v>5034</v>
      </c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8"/>
      <c r="DL86" s="59">
        <v>4</v>
      </c>
      <c r="DM86" s="60">
        <v>4</v>
      </c>
      <c r="DN86" s="61">
        <v>0</v>
      </c>
      <c r="DO86" s="60">
        <v>4</v>
      </c>
      <c r="DP86" s="60">
        <v>0</v>
      </c>
      <c r="DQ86" s="59">
        <v>12</v>
      </c>
      <c r="DR86" s="62">
        <v>1336</v>
      </c>
      <c r="DS86" s="62" t="s">
        <v>5034</v>
      </c>
      <c r="DU86" s="62" t="s">
        <v>5034</v>
      </c>
      <c r="DV86" s="63">
        <v>44610.309710821763</v>
      </c>
      <c r="DW86" s="64">
        <v>2022</v>
      </c>
      <c r="DX86" s="65">
        <v>2</v>
      </c>
    </row>
    <row r="87" spans="2:128" ht="15">
      <c r="B87" s="43" t="s">
        <v>5022</v>
      </c>
      <c r="C87" s="43" t="s">
        <v>4860</v>
      </c>
      <c r="D87" s="43" t="s">
        <v>4147</v>
      </c>
      <c r="E87" s="49">
        <v>44518</v>
      </c>
      <c r="F87" s="49"/>
      <c r="G87" s="50">
        <v>1</v>
      </c>
      <c r="H87" s="43" t="s">
        <v>4798</v>
      </c>
      <c r="I87" s="43" t="s">
        <v>5023</v>
      </c>
      <c r="J87" s="43"/>
      <c r="K87" s="43">
        <v>2</v>
      </c>
      <c r="L87" s="43">
        <v>2</v>
      </c>
      <c r="M87" s="43"/>
      <c r="N87" s="43" t="s">
        <v>995</v>
      </c>
      <c r="O87" s="43" t="s">
        <v>5111</v>
      </c>
      <c r="P87" s="43" t="s">
        <v>5024</v>
      </c>
      <c r="Q87" s="43" t="s">
        <v>5112</v>
      </c>
      <c r="R87" s="43" t="s">
        <v>5081</v>
      </c>
      <c r="S87" s="43" t="s">
        <v>5026</v>
      </c>
      <c r="T87" s="51" t="s">
        <v>5027</v>
      </c>
      <c r="U87" s="52" t="s">
        <v>5028</v>
      </c>
      <c r="V87" s="53" t="s">
        <v>3884</v>
      </c>
      <c r="W87" s="54" t="s">
        <v>3707</v>
      </c>
      <c r="X87" s="55" t="s">
        <v>4889</v>
      </c>
      <c r="Y87" t="s">
        <v>4896</v>
      </c>
      <c r="Z87" t="s">
        <v>4800</v>
      </c>
      <c r="AA87" t="s">
        <v>4891</v>
      </c>
      <c r="AI87" s="54"/>
      <c r="AJ87" s="56">
        <v>45740</v>
      </c>
      <c r="AK87" s="57">
        <v>45831</v>
      </c>
      <c r="AL87" s="57">
        <v>45922</v>
      </c>
      <c r="AM87" s="57">
        <v>46013</v>
      </c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8"/>
      <c r="BD87" s="55" t="s">
        <v>5030</v>
      </c>
      <c r="BE87" t="s">
        <v>5031</v>
      </c>
      <c r="BF87" t="s">
        <v>5032</v>
      </c>
      <c r="BG87" t="s">
        <v>5033</v>
      </c>
      <c r="BO87" s="54"/>
      <c r="BP87" s="56">
        <v>45712</v>
      </c>
      <c r="BQ87" s="57">
        <v>45803</v>
      </c>
      <c r="BR87" s="57">
        <v>45894</v>
      </c>
      <c r="BS87" s="57">
        <v>45985</v>
      </c>
      <c r="BT87" s="57"/>
      <c r="BU87" s="57"/>
      <c r="BV87" s="57"/>
      <c r="BW87" s="57"/>
      <c r="BX87" s="57"/>
      <c r="BY87" s="57"/>
      <c r="BZ87" s="57"/>
      <c r="CA87" s="57"/>
      <c r="CB87" s="56" t="s">
        <v>5034</v>
      </c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6">
        <v>45736</v>
      </c>
      <c r="CO87" s="57">
        <v>45827</v>
      </c>
      <c r="CP87" s="57">
        <v>45918</v>
      </c>
      <c r="CQ87" s="57">
        <v>46009</v>
      </c>
      <c r="CR87" s="57"/>
      <c r="CS87" s="57"/>
      <c r="CT87" s="57"/>
      <c r="CU87" s="57"/>
      <c r="CV87" s="57"/>
      <c r="CW87" s="57"/>
      <c r="CX87" s="57"/>
      <c r="CY87" s="57"/>
      <c r="CZ87" s="56" t="s">
        <v>5034</v>
      </c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8"/>
      <c r="DL87" s="59">
        <v>4</v>
      </c>
      <c r="DM87" s="60">
        <v>4</v>
      </c>
      <c r="DN87" s="61">
        <v>0</v>
      </c>
      <c r="DO87" s="60">
        <v>4</v>
      </c>
      <c r="DP87" s="60">
        <v>0</v>
      </c>
      <c r="DQ87" s="59">
        <v>12</v>
      </c>
      <c r="DR87" s="62">
        <v>1348</v>
      </c>
      <c r="DS87" s="62" t="s">
        <v>5034</v>
      </c>
      <c r="DU87" s="62" t="s">
        <v>5034</v>
      </c>
      <c r="DV87" s="63">
        <v>44910.442887210651</v>
      </c>
      <c r="DW87" s="64">
        <v>2022</v>
      </c>
      <c r="DX87" s="65">
        <v>12</v>
      </c>
    </row>
    <row r="88" spans="2:128" ht="15">
      <c r="B88" s="43" t="s">
        <v>5022</v>
      </c>
      <c r="C88" s="43" t="s">
        <v>4860</v>
      </c>
      <c r="D88" s="43" t="s">
        <v>3999</v>
      </c>
      <c r="E88" s="49">
        <v>44518</v>
      </c>
      <c r="F88" s="49"/>
      <c r="G88" s="50">
        <v>1</v>
      </c>
      <c r="H88" s="43" t="s">
        <v>4798</v>
      </c>
      <c r="I88" s="43" t="s">
        <v>5023</v>
      </c>
      <c r="J88" s="43">
        <v>6</v>
      </c>
      <c r="K88" s="43">
        <v>2</v>
      </c>
      <c r="L88" s="43">
        <v>3</v>
      </c>
      <c r="M88" s="43"/>
      <c r="N88" s="43" t="s">
        <v>864</v>
      </c>
      <c r="O88" s="43" t="s">
        <v>5111</v>
      </c>
      <c r="P88" s="43" t="s">
        <v>5063</v>
      </c>
      <c r="Q88" s="43" t="s">
        <v>5113</v>
      </c>
      <c r="R88" s="43" t="s">
        <v>5081</v>
      </c>
      <c r="S88" s="43" t="s">
        <v>5026</v>
      </c>
      <c r="T88" s="51" t="s">
        <v>5027</v>
      </c>
      <c r="U88" s="43" t="s">
        <v>5028</v>
      </c>
      <c r="V88" s="53" t="s">
        <v>3884</v>
      </c>
      <c r="W88" s="54" t="s">
        <v>4741</v>
      </c>
      <c r="X88" s="55" t="s">
        <v>4889</v>
      </c>
      <c r="Y88" t="s">
        <v>4896</v>
      </c>
      <c r="Z88" t="s">
        <v>4800</v>
      </c>
      <c r="AA88" t="s">
        <v>4891</v>
      </c>
      <c r="AI88" s="54"/>
      <c r="AJ88" s="56">
        <v>45740</v>
      </c>
      <c r="AK88" s="57">
        <v>45831</v>
      </c>
      <c r="AL88" s="57">
        <v>45922</v>
      </c>
      <c r="AM88" s="57">
        <v>46013</v>
      </c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8"/>
      <c r="BD88" s="55" t="s">
        <v>5030</v>
      </c>
      <c r="BE88" t="s">
        <v>5031</v>
      </c>
      <c r="BF88" t="s">
        <v>5032</v>
      </c>
      <c r="BG88" t="s">
        <v>5033</v>
      </c>
      <c r="BO88" s="54"/>
      <c r="BP88" s="56">
        <v>45712</v>
      </c>
      <c r="BQ88" s="57">
        <v>45803</v>
      </c>
      <c r="BR88" s="57">
        <v>45894</v>
      </c>
      <c r="BS88" s="57">
        <v>45985</v>
      </c>
      <c r="BT88" s="57"/>
      <c r="BU88" s="57"/>
      <c r="BV88" s="57"/>
      <c r="BW88" s="57"/>
      <c r="BX88" s="57"/>
      <c r="BY88" s="57"/>
      <c r="BZ88" s="57"/>
      <c r="CA88" s="57"/>
      <c r="CB88" s="56">
        <v>45730</v>
      </c>
      <c r="CC88" s="57">
        <v>45821</v>
      </c>
      <c r="CD88" s="57">
        <v>45912</v>
      </c>
      <c r="CE88" s="57">
        <v>46003</v>
      </c>
      <c r="CF88" s="57"/>
      <c r="CG88" s="57"/>
      <c r="CH88" s="57"/>
      <c r="CI88" s="57"/>
      <c r="CJ88" s="57"/>
      <c r="CK88" s="57"/>
      <c r="CL88" s="57"/>
      <c r="CM88" s="57"/>
      <c r="CN88" s="56">
        <v>45736</v>
      </c>
      <c r="CO88" s="57">
        <v>45827</v>
      </c>
      <c r="CP88" s="57">
        <v>45918</v>
      </c>
      <c r="CQ88" s="57">
        <v>46009</v>
      </c>
      <c r="CR88" s="57"/>
      <c r="CS88" s="57"/>
      <c r="CT88" s="57"/>
      <c r="CU88" s="57"/>
      <c r="CV88" s="57"/>
      <c r="CW88" s="57"/>
      <c r="CX88" s="57"/>
      <c r="CY88" s="57"/>
      <c r="CZ88" s="56" t="s">
        <v>5034</v>
      </c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8"/>
      <c r="DL88" s="59">
        <v>4</v>
      </c>
      <c r="DM88" s="60">
        <v>4</v>
      </c>
      <c r="DN88" s="61">
        <v>4</v>
      </c>
      <c r="DO88" s="60">
        <v>4</v>
      </c>
      <c r="DP88" s="60">
        <v>0</v>
      </c>
      <c r="DQ88" s="59">
        <v>16</v>
      </c>
      <c r="DR88" s="62">
        <v>1360</v>
      </c>
      <c r="DS88" s="62" t="s">
        <v>5034</v>
      </c>
      <c r="DU88" s="62" t="s">
        <v>5034</v>
      </c>
      <c r="DV88" s="63">
        <v>44910.440751782407</v>
      </c>
      <c r="DW88" s="64">
        <v>2022</v>
      </c>
      <c r="DX88" s="65">
        <v>12</v>
      </c>
    </row>
    <row r="89" spans="2:128" ht="15">
      <c r="B89" s="43" t="s">
        <v>5022</v>
      </c>
      <c r="C89" s="43" t="s">
        <v>4860</v>
      </c>
      <c r="D89" s="43" t="s">
        <v>3999</v>
      </c>
      <c r="E89" s="49">
        <v>44533</v>
      </c>
      <c r="F89" s="49"/>
      <c r="G89" s="50">
        <v>1</v>
      </c>
      <c r="H89" s="43" t="s">
        <v>4798</v>
      </c>
      <c r="I89" s="43" t="s">
        <v>5023</v>
      </c>
      <c r="J89" s="43">
        <v>6</v>
      </c>
      <c r="K89" s="43">
        <v>2</v>
      </c>
      <c r="L89" s="43">
        <v>3</v>
      </c>
      <c r="M89" s="43"/>
      <c r="N89" s="43" t="s">
        <v>864</v>
      </c>
      <c r="O89" s="43" t="s">
        <v>5111</v>
      </c>
      <c r="P89" s="43" t="s">
        <v>5063</v>
      </c>
      <c r="Q89" s="43" t="s">
        <v>5113</v>
      </c>
      <c r="R89" s="43" t="s">
        <v>5081</v>
      </c>
      <c r="S89" s="43" t="s">
        <v>5026</v>
      </c>
      <c r="T89" s="51" t="s">
        <v>5027</v>
      </c>
      <c r="U89" s="43" t="s">
        <v>5028</v>
      </c>
      <c r="V89" s="53" t="s">
        <v>3896</v>
      </c>
      <c r="W89" s="54" t="s">
        <v>5034</v>
      </c>
      <c r="X89" s="55" t="s">
        <v>5034</v>
      </c>
      <c r="AI89" s="54"/>
      <c r="AJ89" s="56" t="s">
        <v>5034</v>
      </c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8"/>
      <c r="BD89" s="55" t="s">
        <v>5034</v>
      </c>
      <c r="BO89" s="54"/>
      <c r="BP89" s="56" t="s">
        <v>5034</v>
      </c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6" t="s">
        <v>5034</v>
      </c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6" t="s">
        <v>5034</v>
      </c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6" t="s">
        <v>5034</v>
      </c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8"/>
      <c r="DL89" s="59">
        <v>0</v>
      </c>
      <c r="DM89" s="60">
        <v>0</v>
      </c>
      <c r="DN89" s="61">
        <v>0</v>
      </c>
      <c r="DO89" s="60">
        <v>0</v>
      </c>
      <c r="DP89" s="60">
        <v>0</v>
      </c>
      <c r="DQ89" s="59">
        <v>0</v>
      </c>
      <c r="DR89" s="62" t="s">
        <v>5034</v>
      </c>
      <c r="DS89" s="62" t="s">
        <v>5034</v>
      </c>
      <c r="DU89" s="62" t="s">
        <v>5034</v>
      </c>
      <c r="DV89" s="63">
        <v>44910.440751782407</v>
      </c>
      <c r="DW89" s="64">
        <v>2022</v>
      </c>
      <c r="DX89" s="65">
        <v>12</v>
      </c>
    </row>
    <row r="90" spans="2:128" ht="15">
      <c r="B90" s="43" t="s">
        <v>5022</v>
      </c>
      <c r="C90" s="43" t="s">
        <v>4859</v>
      </c>
      <c r="D90" s="43" t="s">
        <v>3671</v>
      </c>
      <c r="E90" s="49">
        <v>44566</v>
      </c>
      <c r="F90" s="49"/>
      <c r="G90" s="50">
        <v>1</v>
      </c>
      <c r="H90" s="43" t="s">
        <v>4798</v>
      </c>
      <c r="I90" s="43" t="s">
        <v>5023</v>
      </c>
      <c r="J90" s="43"/>
      <c r="K90" s="43">
        <v>2</v>
      </c>
      <c r="L90" s="43">
        <v>3</v>
      </c>
      <c r="M90" s="43"/>
      <c r="N90" s="43"/>
      <c r="O90" s="43" t="s">
        <v>5059</v>
      </c>
      <c r="P90" s="43" t="s">
        <v>5024</v>
      </c>
      <c r="Q90" s="43" t="s">
        <v>5114</v>
      </c>
      <c r="R90" s="43" t="s">
        <v>5098</v>
      </c>
      <c r="S90" s="43" t="s">
        <v>5026</v>
      </c>
      <c r="T90" s="51" t="s">
        <v>5027</v>
      </c>
      <c r="U90" s="43" t="s">
        <v>5028</v>
      </c>
      <c r="V90" s="53" t="s">
        <v>3884</v>
      </c>
      <c r="W90" s="54" t="s">
        <v>3670</v>
      </c>
      <c r="X90" s="55" t="s">
        <v>4889</v>
      </c>
      <c r="Y90" t="s">
        <v>4896</v>
      </c>
      <c r="Z90" t="s">
        <v>4800</v>
      </c>
      <c r="AA90" t="s">
        <v>4891</v>
      </c>
      <c r="AI90" s="54"/>
      <c r="AJ90" s="56">
        <v>45740</v>
      </c>
      <c r="AK90" s="57">
        <v>45831</v>
      </c>
      <c r="AL90" s="57">
        <v>45922</v>
      </c>
      <c r="AM90" s="57">
        <v>46013</v>
      </c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8"/>
      <c r="BD90" s="55" t="s">
        <v>5030</v>
      </c>
      <c r="BE90" t="s">
        <v>5031</v>
      </c>
      <c r="BF90" t="s">
        <v>5032</v>
      </c>
      <c r="BG90" t="s">
        <v>5033</v>
      </c>
      <c r="BO90" s="54"/>
      <c r="BP90" s="56">
        <v>45712</v>
      </c>
      <c r="BQ90" s="57">
        <v>45803</v>
      </c>
      <c r="BR90" s="57">
        <v>45894</v>
      </c>
      <c r="BS90" s="57">
        <v>45985</v>
      </c>
      <c r="BT90" s="57"/>
      <c r="BU90" s="57"/>
      <c r="BV90" s="57"/>
      <c r="BW90" s="57"/>
      <c r="BX90" s="57"/>
      <c r="BY90" s="57"/>
      <c r="BZ90" s="57"/>
      <c r="CA90" s="57"/>
      <c r="CB90" s="56" t="s">
        <v>5034</v>
      </c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6">
        <v>45736</v>
      </c>
      <c r="CO90" s="57">
        <v>45827</v>
      </c>
      <c r="CP90" s="57">
        <v>45918</v>
      </c>
      <c r="CQ90" s="57">
        <v>46009</v>
      </c>
      <c r="CR90" s="57"/>
      <c r="CS90" s="57"/>
      <c r="CT90" s="57"/>
      <c r="CU90" s="57"/>
      <c r="CV90" s="57"/>
      <c r="CW90" s="57"/>
      <c r="CX90" s="57"/>
      <c r="CY90" s="57"/>
      <c r="CZ90" s="56" t="s">
        <v>5034</v>
      </c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8"/>
      <c r="DL90" s="59">
        <v>4</v>
      </c>
      <c r="DM90" s="60">
        <v>4</v>
      </c>
      <c r="DN90" s="61">
        <v>0</v>
      </c>
      <c r="DO90" s="60">
        <v>4</v>
      </c>
      <c r="DP90" s="60">
        <v>0</v>
      </c>
      <c r="DQ90" s="59">
        <v>12</v>
      </c>
      <c r="DR90" s="62">
        <v>1376</v>
      </c>
      <c r="DS90" s="62" t="s">
        <v>5034</v>
      </c>
      <c r="DU90" s="62" t="s">
        <v>5034</v>
      </c>
      <c r="DV90" s="63">
        <v>44865.605852604167</v>
      </c>
      <c r="DW90" s="64">
        <v>2022</v>
      </c>
      <c r="DX90" s="65">
        <v>10</v>
      </c>
    </row>
    <row r="91" spans="2:128" ht="15">
      <c r="B91" s="43" t="s">
        <v>5022</v>
      </c>
      <c r="C91" s="43" t="s">
        <v>4859</v>
      </c>
      <c r="D91" s="43" t="s">
        <v>3680</v>
      </c>
      <c r="E91" s="49">
        <v>44566</v>
      </c>
      <c r="F91" s="49"/>
      <c r="G91" s="50">
        <v>1</v>
      </c>
      <c r="H91" s="43" t="s">
        <v>4798</v>
      </c>
      <c r="I91" s="43" t="s">
        <v>5023</v>
      </c>
      <c r="J91" s="43"/>
      <c r="K91" s="43">
        <v>2</v>
      </c>
      <c r="L91" s="43">
        <v>3</v>
      </c>
      <c r="M91" s="43"/>
      <c r="N91" s="43"/>
      <c r="O91" s="43" t="s">
        <v>5059</v>
      </c>
      <c r="P91" s="43" t="s">
        <v>5024</v>
      </c>
      <c r="Q91" s="43" t="s">
        <v>5114</v>
      </c>
      <c r="R91" s="43" t="s">
        <v>5098</v>
      </c>
      <c r="S91" s="43" t="s">
        <v>5026</v>
      </c>
      <c r="T91" s="51" t="s">
        <v>5027</v>
      </c>
      <c r="U91" s="43" t="s">
        <v>5028</v>
      </c>
      <c r="V91" s="53" t="s">
        <v>3884</v>
      </c>
      <c r="W91" s="54" t="s">
        <v>3679</v>
      </c>
      <c r="X91" s="55" t="s">
        <v>4889</v>
      </c>
      <c r="Y91" t="s">
        <v>4896</v>
      </c>
      <c r="Z91" t="s">
        <v>4800</v>
      </c>
      <c r="AA91" t="s">
        <v>4891</v>
      </c>
      <c r="AI91" s="54"/>
      <c r="AJ91" s="56">
        <v>45740</v>
      </c>
      <c r="AK91" s="57">
        <v>45831</v>
      </c>
      <c r="AL91" s="57">
        <v>45922</v>
      </c>
      <c r="AM91" s="57">
        <v>46013</v>
      </c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8"/>
      <c r="BD91" s="55" t="s">
        <v>5030</v>
      </c>
      <c r="BE91" t="s">
        <v>5031</v>
      </c>
      <c r="BF91" t="s">
        <v>5032</v>
      </c>
      <c r="BG91" t="s">
        <v>5033</v>
      </c>
      <c r="BO91" s="54"/>
      <c r="BP91" s="56">
        <v>45712</v>
      </c>
      <c r="BQ91" s="57">
        <v>45803</v>
      </c>
      <c r="BR91" s="57">
        <v>45894</v>
      </c>
      <c r="BS91" s="57">
        <v>45985</v>
      </c>
      <c r="BT91" s="57"/>
      <c r="BU91" s="57"/>
      <c r="BV91" s="57"/>
      <c r="BW91" s="57"/>
      <c r="BX91" s="57"/>
      <c r="BY91" s="57"/>
      <c r="BZ91" s="57"/>
      <c r="CA91" s="57"/>
      <c r="CB91" s="56" t="s">
        <v>5034</v>
      </c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6">
        <v>45736</v>
      </c>
      <c r="CO91" s="57">
        <v>45827</v>
      </c>
      <c r="CP91" s="57">
        <v>45918</v>
      </c>
      <c r="CQ91" s="57">
        <v>46009</v>
      </c>
      <c r="CR91" s="57"/>
      <c r="CS91" s="57"/>
      <c r="CT91" s="57"/>
      <c r="CU91" s="57"/>
      <c r="CV91" s="57"/>
      <c r="CW91" s="57"/>
      <c r="CX91" s="57"/>
      <c r="CY91" s="57"/>
      <c r="CZ91" s="56" t="s">
        <v>5034</v>
      </c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8"/>
      <c r="DL91" s="59">
        <v>4</v>
      </c>
      <c r="DM91" s="60">
        <v>4</v>
      </c>
      <c r="DN91" s="61">
        <v>0</v>
      </c>
      <c r="DO91" s="60">
        <v>4</v>
      </c>
      <c r="DP91" s="60">
        <v>0</v>
      </c>
      <c r="DQ91" s="59">
        <v>12</v>
      </c>
      <c r="DR91" s="62">
        <v>1388</v>
      </c>
      <c r="DS91" s="62" t="s">
        <v>5034</v>
      </c>
      <c r="DU91" s="62" t="s">
        <v>5034</v>
      </c>
      <c r="DV91" s="63">
        <v>44865.60484777778</v>
      </c>
      <c r="DW91" s="64">
        <v>2022</v>
      </c>
      <c r="DX91" s="65">
        <v>10</v>
      </c>
    </row>
    <row r="92" spans="2:128" ht="15">
      <c r="B92" s="43" t="s">
        <v>5022</v>
      </c>
      <c r="C92" s="43" t="s">
        <v>4859</v>
      </c>
      <c r="D92" s="43" t="s">
        <v>3653</v>
      </c>
      <c r="E92" s="49">
        <v>44566</v>
      </c>
      <c r="F92" s="49"/>
      <c r="G92" s="50">
        <v>1</v>
      </c>
      <c r="H92" s="43" t="s">
        <v>4798</v>
      </c>
      <c r="I92" s="43" t="s">
        <v>5023</v>
      </c>
      <c r="J92" s="43"/>
      <c r="K92" s="43">
        <v>2</v>
      </c>
      <c r="L92" s="43">
        <v>3</v>
      </c>
      <c r="M92" s="43"/>
      <c r="N92" s="43"/>
      <c r="O92" s="43" t="s">
        <v>5059</v>
      </c>
      <c r="P92" s="43" t="s">
        <v>5063</v>
      </c>
      <c r="Q92" s="43" t="s">
        <v>5115</v>
      </c>
      <c r="R92" s="43" t="s">
        <v>5098</v>
      </c>
      <c r="S92" s="43" t="s">
        <v>5026</v>
      </c>
      <c r="T92" s="51" t="s">
        <v>5027</v>
      </c>
      <c r="U92" s="43" t="s">
        <v>5028</v>
      </c>
      <c r="V92" s="53" t="s">
        <v>3884</v>
      </c>
      <c r="W92" s="54" t="s">
        <v>3652</v>
      </c>
      <c r="X92" s="55" t="s">
        <v>4889</v>
      </c>
      <c r="Y92" t="s">
        <v>4896</v>
      </c>
      <c r="Z92" t="s">
        <v>4800</v>
      </c>
      <c r="AA92" t="s">
        <v>4891</v>
      </c>
      <c r="AI92" s="54"/>
      <c r="AJ92" s="56">
        <v>45740</v>
      </c>
      <c r="AK92" s="57">
        <v>45831</v>
      </c>
      <c r="AL92" s="57">
        <v>45922</v>
      </c>
      <c r="AM92" s="57">
        <v>46013</v>
      </c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8"/>
      <c r="BD92" s="55" t="s">
        <v>5030</v>
      </c>
      <c r="BE92" t="s">
        <v>5031</v>
      </c>
      <c r="BF92" t="s">
        <v>5032</v>
      </c>
      <c r="BG92" t="s">
        <v>5033</v>
      </c>
      <c r="BO92" s="54"/>
      <c r="BP92" s="56">
        <v>45712</v>
      </c>
      <c r="BQ92" s="57">
        <v>45803</v>
      </c>
      <c r="BR92" s="57">
        <v>45894</v>
      </c>
      <c r="BS92" s="57">
        <v>45985</v>
      </c>
      <c r="BT92" s="57"/>
      <c r="BU92" s="57"/>
      <c r="BV92" s="57"/>
      <c r="BW92" s="57"/>
      <c r="BX92" s="57"/>
      <c r="BY92" s="57"/>
      <c r="BZ92" s="57"/>
      <c r="CA92" s="57"/>
      <c r="CB92" s="56" t="s">
        <v>5034</v>
      </c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6">
        <v>45736</v>
      </c>
      <c r="CO92" s="57">
        <v>45827</v>
      </c>
      <c r="CP92" s="57">
        <v>45918</v>
      </c>
      <c r="CQ92" s="57">
        <v>46009</v>
      </c>
      <c r="CR92" s="57"/>
      <c r="CS92" s="57"/>
      <c r="CT92" s="57"/>
      <c r="CU92" s="57"/>
      <c r="CV92" s="57"/>
      <c r="CW92" s="57"/>
      <c r="CX92" s="57"/>
      <c r="CY92" s="57"/>
      <c r="CZ92" s="56" t="s">
        <v>5034</v>
      </c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8"/>
      <c r="DL92" s="59">
        <v>4</v>
      </c>
      <c r="DM92" s="60">
        <v>4</v>
      </c>
      <c r="DN92" s="61">
        <v>0</v>
      </c>
      <c r="DO92" s="60">
        <v>4</v>
      </c>
      <c r="DP92" s="60">
        <v>0</v>
      </c>
      <c r="DQ92" s="59">
        <v>12</v>
      </c>
      <c r="DR92" s="62">
        <v>1400</v>
      </c>
      <c r="DS92" s="62" t="s">
        <v>5034</v>
      </c>
      <c r="DU92" s="62" t="s">
        <v>5034</v>
      </c>
      <c r="DV92" s="63">
        <v>44865.609082106479</v>
      </c>
      <c r="DW92" s="64">
        <v>2022</v>
      </c>
      <c r="DX92" s="65">
        <v>10</v>
      </c>
    </row>
    <row r="93" spans="2:128" ht="15">
      <c r="B93" s="43" t="s">
        <v>5022</v>
      </c>
      <c r="C93" s="43" t="s">
        <v>4859</v>
      </c>
      <c r="D93" s="43" t="s">
        <v>3662</v>
      </c>
      <c r="E93" s="49">
        <v>44566</v>
      </c>
      <c r="F93" s="49"/>
      <c r="G93" s="50">
        <v>1</v>
      </c>
      <c r="H93" s="43" t="s">
        <v>4798</v>
      </c>
      <c r="I93" s="43" t="s">
        <v>5023</v>
      </c>
      <c r="J93" s="43"/>
      <c r="K93" s="43">
        <v>2</v>
      </c>
      <c r="L93" s="43">
        <v>3</v>
      </c>
      <c r="M93" s="43"/>
      <c r="N93" s="43"/>
      <c r="O93" s="43" t="s">
        <v>5059</v>
      </c>
      <c r="P93" s="43" t="s">
        <v>5063</v>
      </c>
      <c r="Q93" s="43" t="s">
        <v>5115</v>
      </c>
      <c r="R93" s="43" t="s">
        <v>5098</v>
      </c>
      <c r="S93" s="43" t="s">
        <v>5026</v>
      </c>
      <c r="T93" s="51" t="s">
        <v>5027</v>
      </c>
      <c r="U93" s="43" t="s">
        <v>5028</v>
      </c>
      <c r="V93" s="53" t="s">
        <v>3884</v>
      </c>
      <c r="W93" s="54" t="s">
        <v>3661</v>
      </c>
      <c r="X93" s="55" t="s">
        <v>4889</v>
      </c>
      <c r="Y93" t="s">
        <v>4896</v>
      </c>
      <c r="Z93" t="s">
        <v>4800</v>
      </c>
      <c r="AA93" t="s">
        <v>4891</v>
      </c>
      <c r="AI93" s="54"/>
      <c r="AJ93" s="56">
        <v>45740</v>
      </c>
      <c r="AK93" s="57">
        <v>45831</v>
      </c>
      <c r="AL93" s="57">
        <v>45922</v>
      </c>
      <c r="AM93" s="57">
        <v>46013</v>
      </c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8"/>
      <c r="BD93" s="55" t="s">
        <v>5030</v>
      </c>
      <c r="BE93" t="s">
        <v>5031</v>
      </c>
      <c r="BF93" t="s">
        <v>5032</v>
      </c>
      <c r="BG93" t="s">
        <v>5033</v>
      </c>
      <c r="BO93" s="54"/>
      <c r="BP93" s="56">
        <v>45712</v>
      </c>
      <c r="BQ93" s="57">
        <v>45803</v>
      </c>
      <c r="BR93" s="57">
        <v>45894</v>
      </c>
      <c r="BS93" s="57">
        <v>45985</v>
      </c>
      <c r="BT93" s="57"/>
      <c r="BU93" s="57"/>
      <c r="BV93" s="57"/>
      <c r="BW93" s="57"/>
      <c r="BX93" s="57"/>
      <c r="BY93" s="57"/>
      <c r="BZ93" s="57"/>
      <c r="CA93" s="57"/>
      <c r="CB93" s="56" t="s">
        <v>5034</v>
      </c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6">
        <v>45736</v>
      </c>
      <c r="CO93" s="57">
        <v>45827</v>
      </c>
      <c r="CP93" s="57">
        <v>45918</v>
      </c>
      <c r="CQ93" s="57">
        <v>46009</v>
      </c>
      <c r="CR93" s="57"/>
      <c r="CS93" s="57"/>
      <c r="CT93" s="57"/>
      <c r="CU93" s="57"/>
      <c r="CV93" s="57"/>
      <c r="CW93" s="57"/>
      <c r="CX93" s="57"/>
      <c r="CY93" s="57"/>
      <c r="CZ93" s="56" t="s">
        <v>5034</v>
      </c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8"/>
      <c r="DL93" s="59">
        <v>4</v>
      </c>
      <c r="DM93" s="60">
        <v>4</v>
      </c>
      <c r="DN93" s="61">
        <v>0</v>
      </c>
      <c r="DO93" s="60">
        <v>4</v>
      </c>
      <c r="DP93" s="60">
        <v>0</v>
      </c>
      <c r="DQ93" s="59">
        <v>12</v>
      </c>
      <c r="DR93" s="62">
        <v>1412</v>
      </c>
      <c r="DS93" s="62" t="s">
        <v>5034</v>
      </c>
      <c r="DU93" s="62" t="s">
        <v>5034</v>
      </c>
      <c r="DV93" s="63">
        <v>44865.607705034723</v>
      </c>
      <c r="DW93" s="64">
        <v>2022</v>
      </c>
      <c r="DX93" s="65">
        <v>10</v>
      </c>
    </row>
    <row r="94" spans="2:128" ht="15">
      <c r="B94" s="43" t="s">
        <v>5022</v>
      </c>
      <c r="C94" s="43" t="s">
        <v>4860</v>
      </c>
      <c r="D94" s="43" t="s">
        <v>4861</v>
      </c>
      <c r="E94" s="49">
        <v>44583</v>
      </c>
      <c r="F94" s="49"/>
      <c r="G94" s="50">
        <v>1</v>
      </c>
      <c r="H94" s="43" t="s">
        <v>4798</v>
      </c>
      <c r="I94" s="43" t="s">
        <v>5023</v>
      </c>
      <c r="J94" s="43"/>
      <c r="K94" s="43">
        <v>2</v>
      </c>
      <c r="L94" s="43">
        <v>2</v>
      </c>
      <c r="M94" s="43"/>
      <c r="N94" s="43" t="s">
        <v>995</v>
      </c>
      <c r="O94" s="43" t="s">
        <v>5116</v>
      </c>
      <c r="P94" s="43" t="s">
        <v>5024</v>
      </c>
      <c r="Q94" s="43" t="s">
        <v>5117</v>
      </c>
      <c r="R94" s="43" t="s">
        <v>5081</v>
      </c>
      <c r="S94" s="43" t="s">
        <v>5026</v>
      </c>
      <c r="T94" s="51" t="s">
        <v>5027</v>
      </c>
      <c r="U94" s="43" t="s">
        <v>5028</v>
      </c>
      <c r="V94" s="53" t="s">
        <v>3884</v>
      </c>
      <c r="W94" s="54" t="s">
        <v>3643</v>
      </c>
      <c r="X94" s="55" t="s">
        <v>4889</v>
      </c>
      <c r="Y94" t="s">
        <v>4896</v>
      </c>
      <c r="Z94" t="s">
        <v>4800</v>
      </c>
      <c r="AA94" t="s">
        <v>4891</v>
      </c>
      <c r="AI94" s="54"/>
      <c r="AJ94" s="56">
        <v>45740</v>
      </c>
      <c r="AK94" s="57">
        <v>45831</v>
      </c>
      <c r="AL94" s="57">
        <v>45922</v>
      </c>
      <c r="AM94" s="57">
        <v>46013</v>
      </c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8"/>
      <c r="BD94" s="55" t="s">
        <v>5030</v>
      </c>
      <c r="BE94" t="s">
        <v>5031</v>
      </c>
      <c r="BF94" t="s">
        <v>5032</v>
      </c>
      <c r="BG94" t="s">
        <v>5033</v>
      </c>
      <c r="BO94" s="54"/>
      <c r="BP94" s="56">
        <v>45712</v>
      </c>
      <c r="BQ94" s="57">
        <v>45803</v>
      </c>
      <c r="BR94" s="57">
        <v>45894</v>
      </c>
      <c r="BS94" s="57">
        <v>45985</v>
      </c>
      <c r="BT94" s="57"/>
      <c r="BU94" s="57"/>
      <c r="BV94" s="57"/>
      <c r="BW94" s="57"/>
      <c r="BX94" s="57"/>
      <c r="BY94" s="57"/>
      <c r="BZ94" s="57"/>
      <c r="CA94" s="57"/>
      <c r="CB94" s="56" t="s">
        <v>5034</v>
      </c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6">
        <v>45736</v>
      </c>
      <c r="CO94" s="57">
        <v>45827</v>
      </c>
      <c r="CP94" s="57">
        <v>45918</v>
      </c>
      <c r="CQ94" s="57">
        <v>46009</v>
      </c>
      <c r="CR94" s="57"/>
      <c r="CS94" s="57"/>
      <c r="CT94" s="57"/>
      <c r="CU94" s="57"/>
      <c r="CV94" s="57"/>
      <c r="CW94" s="57"/>
      <c r="CX94" s="57"/>
      <c r="CY94" s="57"/>
      <c r="CZ94" s="56" t="s">
        <v>5034</v>
      </c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8"/>
      <c r="DL94" s="59">
        <v>4</v>
      </c>
      <c r="DM94" s="60">
        <v>4</v>
      </c>
      <c r="DN94" s="61">
        <v>0</v>
      </c>
      <c r="DO94" s="60">
        <v>4</v>
      </c>
      <c r="DP94" s="60">
        <v>0</v>
      </c>
      <c r="DQ94" s="59">
        <v>12</v>
      </c>
      <c r="DR94" s="62">
        <v>1424</v>
      </c>
      <c r="DS94" s="62" t="s">
        <v>5034</v>
      </c>
      <c r="DU94" s="62" t="s">
        <v>5034</v>
      </c>
      <c r="DV94" s="63">
        <v>45334</v>
      </c>
      <c r="DW94" s="64">
        <v>2024</v>
      </c>
      <c r="DX94" s="65">
        <v>2</v>
      </c>
    </row>
    <row r="95" spans="2:128" ht="15">
      <c r="B95" s="43" t="s">
        <v>5022</v>
      </c>
      <c r="C95" s="43" t="s">
        <v>4860</v>
      </c>
      <c r="D95" s="43" t="s">
        <v>4778</v>
      </c>
      <c r="E95" s="49">
        <v>44622</v>
      </c>
      <c r="F95" s="49"/>
      <c r="G95" s="50">
        <v>1</v>
      </c>
      <c r="H95" s="43" t="s">
        <v>4798</v>
      </c>
      <c r="I95" s="43" t="s">
        <v>5023</v>
      </c>
      <c r="J95" s="43"/>
      <c r="K95" s="43">
        <v>2</v>
      </c>
      <c r="L95" s="43">
        <v>3</v>
      </c>
      <c r="M95" s="43"/>
      <c r="N95" s="43"/>
      <c r="O95" s="43" t="s">
        <v>5111</v>
      </c>
      <c r="P95" s="43" t="s">
        <v>5063</v>
      </c>
      <c r="Q95" s="43" t="s">
        <v>5118</v>
      </c>
      <c r="R95" s="43" t="s">
        <v>5081</v>
      </c>
      <c r="S95" s="43" t="s">
        <v>5026</v>
      </c>
      <c r="T95" s="51" t="s">
        <v>5027</v>
      </c>
      <c r="U95" s="52" t="s">
        <v>5028</v>
      </c>
      <c r="V95" s="53" t="s">
        <v>3884</v>
      </c>
      <c r="W95" s="54" t="s">
        <v>3618</v>
      </c>
      <c r="X95" s="55" t="s">
        <v>4889</v>
      </c>
      <c r="Y95" t="s">
        <v>4896</v>
      </c>
      <c r="Z95" t="s">
        <v>4800</v>
      </c>
      <c r="AA95" t="s">
        <v>4891</v>
      </c>
      <c r="AI95" s="54"/>
      <c r="AJ95" s="56">
        <v>45740</v>
      </c>
      <c r="AK95" s="57">
        <v>45831</v>
      </c>
      <c r="AL95" s="57">
        <v>45922</v>
      </c>
      <c r="AM95" s="57">
        <v>46013</v>
      </c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8"/>
      <c r="BD95" s="55" t="s">
        <v>5030</v>
      </c>
      <c r="BE95" t="s">
        <v>5031</v>
      </c>
      <c r="BF95" t="s">
        <v>5032</v>
      </c>
      <c r="BG95" t="s">
        <v>5033</v>
      </c>
      <c r="BO95" s="54"/>
      <c r="BP95" s="56">
        <v>45712</v>
      </c>
      <c r="BQ95" s="57">
        <v>45803</v>
      </c>
      <c r="BR95" s="57">
        <v>45894</v>
      </c>
      <c r="BS95" s="57">
        <v>45985</v>
      </c>
      <c r="BT95" s="57"/>
      <c r="BU95" s="57"/>
      <c r="BV95" s="57"/>
      <c r="BW95" s="57"/>
      <c r="BX95" s="57"/>
      <c r="BY95" s="57"/>
      <c r="BZ95" s="57"/>
      <c r="CA95" s="57"/>
      <c r="CB95" s="56" t="s">
        <v>5034</v>
      </c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6">
        <v>45736</v>
      </c>
      <c r="CO95" s="57">
        <v>45827</v>
      </c>
      <c r="CP95" s="57">
        <v>45918</v>
      </c>
      <c r="CQ95" s="57">
        <v>46009</v>
      </c>
      <c r="CR95" s="57"/>
      <c r="CS95" s="57"/>
      <c r="CT95" s="57"/>
      <c r="CU95" s="57"/>
      <c r="CV95" s="57"/>
      <c r="CW95" s="57"/>
      <c r="CX95" s="57"/>
      <c r="CY95" s="57"/>
      <c r="CZ95" s="56" t="s">
        <v>5034</v>
      </c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8"/>
      <c r="DL95" s="59">
        <v>4</v>
      </c>
      <c r="DM95" s="60">
        <v>4</v>
      </c>
      <c r="DN95" s="61">
        <v>0</v>
      </c>
      <c r="DO95" s="60">
        <v>4</v>
      </c>
      <c r="DP95" s="60">
        <v>0</v>
      </c>
      <c r="DQ95" s="59">
        <v>12</v>
      </c>
      <c r="DR95" s="62">
        <v>1448</v>
      </c>
      <c r="DS95" s="62" t="s">
        <v>5034</v>
      </c>
      <c r="DU95" s="62" t="s">
        <v>5034</v>
      </c>
      <c r="DV95" s="63">
        <v>44910.454852719908</v>
      </c>
      <c r="DW95" s="64">
        <v>2022</v>
      </c>
      <c r="DX95" s="65">
        <v>12</v>
      </c>
    </row>
    <row r="96" spans="2:128" ht="15">
      <c r="B96" s="43" t="s">
        <v>5022</v>
      </c>
      <c r="C96" s="43" t="s">
        <v>4801</v>
      </c>
      <c r="D96" s="43" t="s">
        <v>601</v>
      </c>
      <c r="E96" s="49">
        <v>44687</v>
      </c>
      <c r="F96" s="49"/>
      <c r="G96" s="50">
        <v>1</v>
      </c>
      <c r="H96" s="43" t="s">
        <v>4799</v>
      </c>
      <c r="I96" s="43" t="s">
        <v>5076</v>
      </c>
      <c r="J96" s="43">
        <v>8</v>
      </c>
      <c r="K96" s="43">
        <v>2</v>
      </c>
      <c r="L96" s="43">
        <v>2</v>
      </c>
      <c r="M96" s="43"/>
      <c r="N96" s="43"/>
      <c r="O96" s="43" t="s">
        <v>5119</v>
      </c>
      <c r="P96" s="43" t="s">
        <v>5077</v>
      </c>
      <c r="Q96" s="43" t="s">
        <v>5120</v>
      </c>
      <c r="R96" s="43" t="s">
        <v>5047</v>
      </c>
      <c r="S96" s="43" t="s">
        <v>5026</v>
      </c>
      <c r="T96" s="51" t="s">
        <v>5027</v>
      </c>
      <c r="U96" s="52" t="s">
        <v>5028</v>
      </c>
      <c r="V96" s="53" t="s">
        <v>3884</v>
      </c>
      <c r="W96" s="54" t="s">
        <v>5121</v>
      </c>
      <c r="X96" s="55" t="s">
        <v>4889</v>
      </c>
      <c r="Y96" t="s">
        <v>4800</v>
      </c>
      <c r="AI96" s="54"/>
      <c r="AJ96" s="56">
        <v>45740</v>
      </c>
      <c r="AK96" s="57">
        <v>45922</v>
      </c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8"/>
      <c r="BD96" s="55" t="s">
        <v>5030</v>
      </c>
      <c r="BE96" t="s">
        <v>5032</v>
      </c>
      <c r="BO96" s="54"/>
      <c r="BP96" s="56">
        <v>45712</v>
      </c>
      <c r="BQ96" s="57">
        <v>45894</v>
      </c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6">
        <v>45728</v>
      </c>
      <c r="CC96" s="57">
        <v>45910</v>
      </c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6">
        <v>45736</v>
      </c>
      <c r="CO96" s="57">
        <v>45918</v>
      </c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6" t="s">
        <v>5034</v>
      </c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8"/>
      <c r="DL96" s="59">
        <v>2</v>
      </c>
      <c r="DM96" s="60">
        <v>2</v>
      </c>
      <c r="DN96" s="61">
        <v>2</v>
      </c>
      <c r="DO96" s="60">
        <v>2</v>
      </c>
      <c r="DP96" s="60">
        <v>0</v>
      </c>
      <c r="DQ96" s="59">
        <v>8</v>
      </c>
      <c r="DR96" s="62">
        <v>1463</v>
      </c>
      <c r="DS96" s="62" t="s">
        <v>5034</v>
      </c>
      <c r="DU96" s="62" t="s">
        <v>5034</v>
      </c>
      <c r="DV96" s="63">
        <v>45531</v>
      </c>
      <c r="DW96" s="64">
        <v>2024</v>
      </c>
      <c r="DX96" s="65">
        <v>8</v>
      </c>
    </row>
    <row r="97" spans="2:128" ht="15">
      <c r="B97" s="43" t="s">
        <v>5022</v>
      </c>
      <c r="C97" s="43" t="s">
        <v>4801</v>
      </c>
      <c r="D97" s="43" t="s">
        <v>601</v>
      </c>
      <c r="E97" s="49">
        <v>44687</v>
      </c>
      <c r="F97" s="49"/>
      <c r="G97" s="50">
        <v>1</v>
      </c>
      <c r="H97" s="43" t="s">
        <v>4799</v>
      </c>
      <c r="I97" s="43" t="s">
        <v>5076</v>
      </c>
      <c r="J97" s="43">
        <v>8</v>
      </c>
      <c r="K97" s="43">
        <v>2</v>
      </c>
      <c r="L97" s="43">
        <v>2</v>
      </c>
      <c r="M97" s="43"/>
      <c r="N97" s="43"/>
      <c r="O97" s="43" t="s">
        <v>5119</v>
      </c>
      <c r="P97" s="43" t="s">
        <v>5077</v>
      </c>
      <c r="Q97" s="43" t="s">
        <v>5120</v>
      </c>
      <c r="R97" s="43" t="s">
        <v>5047</v>
      </c>
      <c r="S97" s="43" t="s">
        <v>5026</v>
      </c>
      <c r="T97" s="51" t="s">
        <v>5027</v>
      </c>
      <c r="U97" s="43" t="s">
        <v>5028</v>
      </c>
      <c r="V97" s="53" t="s">
        <v>3896</v>
      </c>
      <c r="W97" s="54" t="s">
        <v>5034</v>
      </c>
      <c r="X97" s="55" t="s">
        <v>5034</v>
      </c>
      <c r="AI97" s="54"/>
      <c r="AJ97" s="56" t="s">
        <v>5034</v>
      </c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8"/>
      <c r="BD97" s="55" t="s">
        <v>5034</v>
      </c>
      <c r="BO97" s="54"/>
      <c r="BP97" s="56" t="s">
        <v>5034</v>
      </c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6" t="s">
        <v>5034</v>
      </c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6" t="s">
        <v>5034</v>
      </c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6" t="s">
        <v>5034</v>
      </c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8"/>
      <c r="DL97" s="59">
        <v>0</v>
      </c>
      <c r="DM97" s="60">
        <v>0</v>
      </c>
      <c r="DN97" s="61">
        <v>0</v>
      </c>
      <c r="DO97" s="60">
        <v>0</v>
      </c>
      <c r="DP97" s="60">
        <v>0</v>
      </c>
      <c r="DQ97" s="59">
        <v>0</v>
      </c>
      <c r="DR97" s="62" t="s">
        <v>5034</v>
      </c>
      <c r="DS97" s="62" t="s">
        <v>5034</v>
      </c>
      <c r="DU97" s="62" t="s">
        <v>5034</v>
      </c>
      <c r="DV97" s="63">
        <v>45531</v>
      </c>
      <c r="DW97" s="64">
        <v>2024</v>
      </c>
      <c r="DX97" s="65">
        <v>8</v>
      </c>
    </row>
    <row r="98" spans="2:128" ht="15">
      <c r="B98" s="43" t="s">
        <v>5022</v>
      </c>
      <c r="C98" s="43" t="s">
        <v>4801</v>
      </c>
      <c r="D98" s="43" t="s">
        <v>2202</v>
      </c>
      <c r="E98" s="49">
        <v>44693</v>
      </c>
      <c r="F98" s="49"/>
      <c r="G98" s="50">
        <v>1</v>
      </c>
      <c r="H98" s="43" t="s">
        <v>4798</v>
      </c>
      <c r="I98" s="43" t="s">
        <v>5023</v>
      </c>
      <c r="J98" s="43">
        <v>9</v>
      </c>
      <c r="K98" s="43">
        <v>2</v>
      </c>
      <c r="L98" s="43">
        <v>2</v>
      </c>
      <c r="M98" s="43"/>
      <c r="N98" s="43"/>
      <c r="O98" s="43" t="s">
        <v>5119</v>
      </c>
      <c r="P98" s="43" t="s">
        <v>5122</v>
      </c>
      <c r="Q98" s="43" t="s">
        <v>5123</v>
      </c>
      <c r="R98" s="43" t="s">
        <v>5045</v>
      </c>
      <c r="S98" s="43" t="s">
        <v>5026</v>
      </c>
      <c r="T98" s="51" t="s">
        <v>5027</v>
      </c>
      <c r="U98" s="52" t="s">
        <v>5028</v>
      </c>
      <c r="V98" s="53" t="s">
        <v>3884</v>
      </c>
      <c r="W98" s="54" t="s">
        <v>2201</v>
      </c>
      <c r="X98" s="55" t="s">
        <v>4889</v>
      </c>
      <c r="Y98" t="s">
        <v>4896</v>
      </c>
      <c r="Z98" t="s">
        <v>4800</v>
      </c>
      <c r="AA98" t="s">
        <v>4891</v>
      </c>
      <c r="AI98" s="54"/>
      <c r="AJ98" s="56">
        <v>45740</v>
      </c>
      <c r="AK98" s="57">
        <v>45831</v>
      </c>
      <c r="AL98" s="57">
        <v>45922</v>
      </c>
      <c r="AM98" s="57">
        <v>46013</v>
      </c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8"/>
      <c r="BD98" s="55" t="s">
        <v>5030</v>
      </c>
      <c r="BE98" t="s">
        <v>5031</v>
      </c>
      <c r="BF98" t="s">
        <v>5032</v>
      </c>
      <c r="BG98" t="s">
        <v>5033</v>
      </c>
      <c r="BO98" s="54"/>
      <c r="BP98" s="56">
        <v>45712</v>
      </c>
      <c r="BQ98" s="57">
        <v>45803</v>
      </c>
      <c r="BR98" s="57">
        <v>45894</v>
      </c>
      <c r="BS98" s="57">
        <v>45985</v>
      </c>
      <c r="BT98" s="57"/>
      <c r="BU98" s="57"/>
      <c r="BV98" s="57"/>
      <c r="BW98" s="57"/>
      <c r="BX98" s="57"/>
      <c r="BY98" s="57"/>
      <c r="BZ98" s="57"/>
      <c r="CA98" s="57"/>
      <c r="CB98" s="56">
        <v>45727</v>
      </c>
      <c r="CC98" s="57">
        <v>45818</v>
      </c>
      <c r="CD98" s="57">
        <v>45909</v>
      </c>
      <c r="CE98" s="57">
        <v>46000</v>
      </c>
      <c r="CF98" s="57"/>
      <c r="CG98" s="57"/>
      <c r="CH98" s="57"/>
      <c r="CI98" s="57"/>
      <c r="CJ98" s="57"/>
      <c r="CK98" s="57"/>
      <c r="CL98" s="57"/>
      <c r="CM98" s="57"/>
      <c r="CN98" s="56">
        <v>45736</v>
      </c>
      <c r="CO98" s="57">
        <v>45827</v>
      </c>
      <c r="CP98" s="57">
        <v>45918</v>
      </c>
      <c r="CQ98" s="57">
        <v>46009</v>
      </c>
      <c r="CR98" s="57"/>
      <c r="CS98" s="57"/>
      <c r="CT98" s="57"/>
      <c r="CU98" s="57"/>
      <c r="CV98" s="57"/>
      <c r="CW98" s="57"/>
      <c r="CX98" s="57"/>
      <c r="CY98" s="57"/>
      <c r="CZ98" s="56" t="s">
        <v>5034</v>
      </c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8"/>
      <c r="DL98" s="59">
        <v>4</v>
      </c>
      <c r="DM98" s="60">
        <v>4</v>
      </c>
      <c r="DN98" s="61">
        <v>4</v>
      </c>
      <c r="DO98" s="60">
        <v>4</v>
      </c>
      <c r="DP98" s="60">
        <v>0</v>
      </c>
      <c r="DQ98" s="59">
        <v>16</v>
      </c>
      <c r="DR98" s="62">
        <v>1471</v>
      </c>
      <c r="DS98" s="62" t="s">
        <v>5034</v>
      </c>
      <c r="DU98" s="62" t="s">
        <v>5034</v>
      </c>
      <c r="DV98" s="63">
        <v>45344</v>
      </c>
      <c r="DW98" s="64">
        <v>2024</v>
      </c>
      <c r="DX98" s="65">
        <v>2</v>
      </c>
    </row>
    <row r="99" spans="2:128" ht="15">
      <c r="B99" s="43" t="s">
        <v>5022</v>
      </c>
      <c r="C99" s="43" t="s">
        <v>4854</v>
      </c>
      <c r="D99" s="43" t="s">
        <v>3591</v>
      </c>
      <c r="E99" s="49">
        <v>44699</v>
      </c>
      <c r="F99" s="49"/>
      <c r="G99" s="50">
        <v>1</v>
      </c>
      <c r="H99" s="43" t="s">
        <v>4889</v>
      </c>
      <c r="I99" s="43" t="s">
        <v>5030</v>
      </c>
      <c r="J99" s="43"/>
      <c r="K99" s="43">
        <v>2</v>
      </c>
      <c r="L99" s="43">
        <v>3</v>
      </c>
      <c r="M99" s="43"/>
      <c r="N99" s="43"/>
      <c r="O99" s="43" t="s">
        <v>5059</v>
      </c>
      <c r="P99" s="43" t="s">
        <v>5024</v>
      </c>
      <c r="Q99" s="43" t="s">
        <v>5124</v>
      </c>
      <c r="R99" s="43" t="s">
        <v>5045</v>
      </c>
      <c r="S99" s="43" t="s">
        <v>5026</v>
      </c>
      <c r="T99" s="51" t="s">
        <v>5027</v>
      </c>
      <c r="U99" s="52" t="s">
        <v>5028</v>
      </c>
      <c r="V99" s="53" t="s">
        <v>3884</v>
      </c>
      <c r="W99" s="54" t="s">
        <v>3590</v>
      </c>
      <c r="X99" s="55" t="s">
        <v>4889</v>
      </c>
      <c r="AI99" s="54"/>
      <c r="AJ99" s="56">
        <v>45740</v>
      </c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8"/>
      <c r="BD99" s="55" t="s">
        <v>5030</v>
      </c>
      <c r="BO99" s="54"/>
      <c r="BP99" s="56">
        <v>45712</v>
      </c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6" t="s">
        <v>5034</v>
      </c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6">
        <v>45736</v>
      </c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6" t="s">
        <v>5034</v>
      </c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8"/>
      <c r="DL99" s="59">
        <v>1</v>
      </c>
      <c r="DM99" s="60">
        <v>1</v>
      </c>
      <c r="DN99" s="61">
        <v>0</v>
      </c>
      <c r="DO99" s="60">
        <v>1</v>
      </c>
      <c r="DP99" s="60">
        <v>0</v>
      </c>
      <c r="DQ99" s="59">
        <v>3</v>
      </c>
      <c r="DR99" s="62">
        <v>1487</v>
      </c>
      <c r="DS99" s="62" t="s">
        <v>5034</v>
      </c>
      <c r="DU99" s="62" t="s">
        <v>5034</v>
      </c>
      <c r="DV99" s="63">
        <v>45400</v>
      </c>
      <c r="DW99" s="64">
        <v>2024</v>
      </c>
      <c r="DX99" s="65">
        <v>4</v>
      </c>
    </row>
    <row r="100" spans="2:128" ht="15">
      <c r="B100" s="43" t="s">
        <v>5022</v>
      </c>
      <c r="C100" s="43" t="s">
        <v>4854</v>
      </c>
      <c r="D100" s="43" t="s">
        <v>3576</v>
      </c>
      <c r="E100" s="49">
        <v>44699</v>
      </c>
      <c r="F100" s="49"/>
      <c r="G100" s="50">
        <v>1</v>
      </c>
      <c r="H100" s="43" t="s">
        <v>4889</v>
      </c>
      <c r="I100" s="43" t="s">
        <v>5030</v>
      </c>
      <c r="J100" s="43"/>
      <c r="K100" s="43">
        <v>2</v>
      </c>
      <c r="L100" s="43">
        <v>3</v>
      </c>
      <c r="M100" s="43"/>
      <c r="N100" s="43"/>
      <c r="O100" s="43" t="s">
        <v>5059</v>
      </c>
      <c r="P100" s="43" t="s">
        <v>5024</v>
      </c>
      <c r="Q100" s="43" t="s">
        <v>5124</v>
      </c>
      <c r="R100" s="43" t="s">
        <v>5045</v>
      </c>
      <c r="S100" s="43" t="s">
        <v>5026</v>
      </c>
      <c r="T100" s="51" t="s">
        <v>5027</v>
      </c>
      <c r="U100" s="52" t="s">
        <v>5028</v>
      </c>
      <c r="V100" s="53" t="s">
        <v>3884</v>
      </c>
      <c r="W100" s="54" t="s">
        <v>3575</v>
      </c>
      <c r="X100" s="55" t="s">
        <v>4889</v>
      </c>
      <c r="AI100" s="54"/>
      <c r="AJ100" s="56">
        <v>45740</v>
      </c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8"/>
      <c r="BD100" s="55" t="s">
        <v>5030</v>
      </c>
      <c r="BO100" s="54"/>
      <c r="BP100" s="56">
        <v>45712</v>
      </c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6" t="s">
        <v>5034</v>
      </c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6">
        <v>45736</v>
      </c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6" t="s">
        <v>5034</v>
      </c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8"/>
      <c r="DL100" s="59">
        <v>1</v>
      </c>
      <c r="DM100" s="60">
        <v>1</v>
      </c>
      <c r="DN100" s="61">
        <v>0</v>
      </c>
      <c r="DO100" s="60">
        <v>1</v>
      </c>
      <c r="DP100" s="60">
        <v>0</v>
      </c>
      <c r="DQ100" s="59">
        <v>3</v>
      </c>
      <c r="DR100" s="62">
        <v>1490</v>
      </c>
      <c r="DS100" s="62" t="s">
        <v>5034</v>
      </c>
      <c r="DU100" s="62" t="s">
        <v>5034</v>
      </c>
      <c r="DV100" s="63">
        <v>45400</v>
      </c>
      <c r="DW100" s="64">
        <v>2024</v>
      </c>
      <c r="DX100" s="65">
        <v>4</v>
      </c>
    </row>
    <row r="101" spans="2:128" ht="15">
      <c r="B101" s="43" t="s">
        <v>5022</v>
      </c>
      <c r="C101" s="43" t="s">
        <v>4854</v>
      </c>
      <c r="D101" s="43" t="s">
        <v>3560</v>
      </c>
      <c r="E101" s="49">
        <v>44699</v>
      </c>
      <c r="F101" s="49">
        <v>45699</v>
      </c>
      <c r="G101" s="50">
        <v>1</v>
      </c>
      <c r="H101" s="43" t="s">
        <v>4889</v>
      </c>
      <c r="I101" s="43" t="s">
        <v>5030</v>
      </c>
      <c r="J101" s="43"/>
      <c r="K101" s="43">
        <v>2</v>
      </c>
      <c r="L101" s="43">
        <v>3</v>
      </c>
      <c r="M101" s="43"/>
      <c r="N101" s="43"/>
      <c r="O101" s="43" t="s">
        <v>5059</v>
      </c>
      <c r="P101" s="43" t="s">
        <v>5024</v>
      </c>
      <c r="Q101" s="43" t="s">
        <v>5124</v>
      </c>
      <c r="R101" s="43" t="s">
        <v>5045</v>
      </c>
      <c r="S101" s="43" t="s">
        <v>5026</v>
      </c>
      <c r="T101" s="51" t="s">
        <v>5027</v>
      </c>
      <c r="U101" s="52" t="s">
        <v>5028</v>
      </c>
      <c r="V101" s="53" t="s">
        <v>3896</v>
      </c>
      <c r="W101" s="54" t="s">
        <v>5034</v>
      </c>
      <c r="X101" s="55" t="s">
        <v>5034</v>
      </c>
      <c r="AI101" s="54"/>
      <c r="AJ101" s="56" t="s">
        <v>5034</v>
      </c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8"/>
      <c r="BD101" s="55" t="s">
        <v>5034</v>
      </c>
      <c r="BO101" s="54"/>
      <c r="BP101" s="56" t="s">
        <v>5034</v>
      </c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6" t="s">
        <v>5034</v>
      </c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6" t="s">
        <v>5034</v>
      </c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6" t="s">
        <v>5034</v>
      </c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8"/>
      <c r="DL101" s="59">
        <v>0</v>
      </c>
      <c r="DM101" s="60">
        <v>0</v>
      </c>
      <c r="DN101" s="61">
        <v>0</v>
      </c>
      <c r="DO101" s="60">
        <v>0</v>
      </c>
      <c r="DP101" s="60">
        <v>0</v>
      </c>
      <c r="DQ101" s="59">
        <v>0</v>
      </c>
      <c r="DR101" s="62" t="s">
        <v>5034</v>
      </c>
      <c r="DS101" s="62" t="s">
        <v>5034</v>
      </c>
      <c r="DU101" s="62" t="s">
        <v>5034</v>
      </c>
      <c r="DV101" s="63">
        <v>45400</v>
      </c>
      <c r="DW101" s="64">
        <v>2024</v>
      </c>
      <c r="DX101" s="65">
        <v>4</v>
      </c>
    </row>
    <row r="102" spans="2:128" ht="15">
      <c r="B102" s="43" t="s">
        <v>5022</v>
      </c>
      <c r="C102" s="43" t="s">
        <v>4860</v>
      </c>
      <c r="D102" s="43" t="s">
        <v>3627</v>
      </c>
      <c r="E102" s="49">
        <v>44739</v>
      </c>
      <c r="F102" s="49"/>
      <c r="G102" s="50">
        <v>1</v>
      </c>
      <c r="H102" s="43" t="s">
        <v>4800</v>
      </c>
      <c r="I102" s="43" t="s">
        <v>5032</v>
      </c>
      <c r="J102" s="43">
        <v>6</v>
      </c>
      <c r="K102" s="43">
        <v>2</v>
      </c>
      <c r="L102" s="43">
        <v>3</v>
      </c>
      <c r="M102" s="43"/>
      <c r="N102" s="43"/>
      <c r="O102" s="43" t="s">
        <v>5125</v>
      </c>
      <c r="P102" s="43" t="s">
        <v>5024</v>
      </c>
      <c r="Q102" s="43" t="s">
        <v>5126</v>
      </c>
      <c r="R102" s="43" t="s">
        <v>5045</v>
      </c>
      <c r="S102" s="43" t="s">
        <v>5026</v>
      </c>
      <c r="T102" s="51" t="s">
        <v>5027</v>
      </c>
      <c r="U102" s="43" t="s">
        <v>5028</v>
      </c>
      <c r="V102" s="53" t="s">
        <v>3884</v>
      </c>
      <c r="W102" s="54" t="s">
        <v>3626</v>
      </c>
      <c r="X102" s="55" t="s">
        <v>4800</v>
      </c>
      <c r="AI102" s="54"/>
      <c r="AJ102" s="56">
        <v>45922</v>
      </c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8"/>
      <c r="BD102" s="55" t="s">
        <v>5032</v>
      </c>
      <c r="BO102" s="54"/>
      <c r="BP102" s="56">
        <v>45894</v>
      </c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6">
        <v>45912</v>
      </c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6">
        <v>45918</v>
      </c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6" t="s">
        <v>5034</v>
      </c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8"/>
      <c r="DL102" s="59">
        <v>1</v>
      </c>
      <c r="DM102" s="60">
        <v>1</v>
      </c>
      <c r="DN102" s="61">
        <v>1</v>
      </c>
      <c r="DO102" s="60">
        <v>1</v>
      </c>
      <c r="DP102" s="60">
        <v>0</v>
      </c>
      <c r="DQ102" s="59">
        <v>4</v>
      </c>
      <c r="DR102" s="62">
        <v>1493</v>
      </c>
      <c r="DS102" s="62" t="s">
        <v>5034</v>
      </c>
      <c r="DU102" s="62" t="s">
        <v>5034</v>
      </c>
      <c r="DV102" s="63">
        <v>45169.536259803244</v>
      </c>
      <c r="DW102" s="64">
        <v>2023</v>
      </c>
      <c r="DX102" s="65">
        <v>8</v>
      </c>
    </row>
    <row r="103" spans="2:128" ht="15">
      <c r="B103" s="43" t="s">
        <v>5022</v>
      </c>
      <c r="C103" s="43" t="s">
        <v>4862</v>
      </c>
      <c r="D103" s="43" t="s">
        <v>3545</v>
      </c>
      <c r="E103" s="49">
        <v>44763</v>
      </c>
      <c r="F103" s="49">
        <v>45699</v>
      </c>
      <c r="G103" s="50">
        <v>1</v>
      </c>
      <c r="H103" s="43" t="s">
        <v>4894</v>
      </c>
      <c r="I103" s="43" t="s">
        <v>5105</v>
      </c>
      <c r="J103" s="43"/>
      <c r="K103" s="43">
        <v>2</v>
      </c>
      <c r="L103" s="43">
        <v>3</v>
      </c>
      <c r="M103" s="43"/>
      <c r="N103" s="43"/>
      <c r="O103" s="43" t="s">
        <v>4725</v>
      </c>
      <c r="P103" s="43" t="s">
        <v>5063</v>
      </c>
      <c r="Q103" s="43" t="s">
        <v>5127</v>
      </c>
      <c r="R103" s="43" t="s">
        <v>5047</v>
      </c>
      <c r="S103" s="43" t="s">
        <v>5026</v>
      </c>
      <c r="T103" s="51" t="s">
        <v>5027</v>
      </c>
      <c r="U103" s="43" t="s">
        <v>5028</v>
      </c>
      <c r="V103" s="53" t="s">
        <v>3896</v>
      </c>
      <c r="W103" s="54" t="s">
        <v>5034</v>
      </c>
      <c r="X103" s="55" t="s">
        <v>5034</v>
      </c>
      <c r="AI103" s="54"/>
      <c r="AJ103" s="56" t="s">
        <v>5034</v>
      </c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8"/>
      <c r="BD103" s="55" t="s">
        <v>5034</v>
      </c>
      <c r="BO103" s="54"/>
      <c r="BP103" s="56" t="s">
        <v>5034</v>
      </c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6" t="s">
        <v>5034</v>
      </c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6" t="s">
        <v>5034</v>
      </c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6" t="s">
        <v>5034</v>
      </c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8"/>
      <c r="DL103" s="59">
        <v>0</v>
      </c>
      <c r="DM103" s="60">
        <v>0</v>
      </c>
      <c r="DN103" s="61">
        <v>0</v>
      </c>
      <c r="DO103" s="60">
        <v>0</v>
      </c>
      <c r="DP103" s="60">
        <v>0</v>
      </c>
      <c r="DQ103" s="59">
        <v>0</v>
      </c>
      <c r="DR103" s="62" t="s">
        <v>5034</v>
      </c>
      <c r="DS103" s="62" t="s">
        <v>5034</v>
      </c>
      <c r="DU103" s="62" t="s">
        <v>5034</v>
      </c>
      <c r="DV103" s="63">
        <v>45321</v>
      </c>
      <c r="DW103" s="64">
        <v>2024</v>
      </c>
      <c r="DX103" s="65">
        <v>1</v>
      </c>
    </row>
    <row r="104" spans="2:128" ht="15">
      <c r="B104" s="43" t="s">
        <v>5022</v>
      </c>
      <c r="C104" s="43" t="s">
        <v>4862</v>
      </c>
      <c r="D104" s="43" t="s">
        <v>3527</v>
      </c>
      <c r="E104" s="49">
        <v>44763</v>
      </c>
      <c r="F104" s="49">
        <v>45699</v>
      </c>
      <c r="G104" s="50">
        <v>1</v>
      </c>
      <c r="H104" s="43" t="s">
        <v>4894</v>
      </c>
      <c r="I104" s="43" t="s">
        <v>5105</v>
      </c>
      <c r="J104" s="43"/>
      <c r="K104" s="43">
        <v>2</v>
      </c>
      <c r="L104" s="43">
        <v>3</v>
      </c>
      <c r="M104" s="43"/>
      <c r="N104" s="43"/>
      <c r="O104" s="43" t="s">
        <v>4725</v>
      </c>
      <c r="P104" s="43" t="s">
        <v>3526</v>
      </c>
      <c r="Q104" s="43" t="s">
        <v>5127</v>
      </c>
      <c r="R104" s="43" t="s">
        <v>5086</v>
      </c>
      <c r="S104" s="43" t="s">
        <v>5026</v>
      </c>
      <c r="T104" s="51" t="s">
        <v>5027</v>
      </c>
      <c r="U104" s="52" t="s">
        <v>5028</v>
      </c>
      <c r="V104" s="53" t="s">
        <v>3896</v>
      </c>
      <c r="W104" s="54" t="s">
        <v>5034</v>
      </c>
      <c r="X104" s="55" t="s">
        <v>5034</v>
      </c>
      <c r="AI104" s="54"/>
      <c r="AJ104" s="56" t="s">
        <v>5034</v>
      </c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8"/>
      <c r="BD104" s="55" t="s">
        <v>5034</v>
      </c>
      <c r="BO104" s="54"/>
      <c r="BP104" s="56" t="s">
        <v>5034</v>
      </c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6" t="s">
        <v>5034</v>
      </c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6" t="s">
        <v>5034</v>
      </c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6" t="s">
        <v>5034</v>
      </c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8"/>
      <c r="DL104" s="59">
        <v>0</v>
      </c>
      <c r="DM104" s="60">
        <v>0</v>
      </c>
      <c r="DN104" s="61">
        <v>0</v>
      </c>
      <c r="DO104" s="60">
        <v>0</v>
      </c>
      <c r="DP104" s="60">
        <v>0</v>
      </c>
      <c r="DQ104" s="59">
        <v>0</v>
      </c>
      <c r="DR104" s="62" t="s">
        <v>5034</v>
      </c>
      <c r="DS104" s="62" t="s">
        <v>5034</v>
      </c>
      <c r="DU104" s="62" t="s">
        <v>5034</v>
      </c>
      <c r="DV104" s="63">
        <v>45321</v>
      </c>
      <c r="DW104" s="64">
        <v>2024</v>
      </c>
      <c r="DX104" s="65">
        <v>1</v>
      </c>
    </row>
    <row r="105" spans="2:128" ht="15">
      <c r="B105" s="43" t="s">
        <v>5022</v>
      </c>
      <c r="C105" s="43" t="s">
        <v>4862</v>
      </c>
      <c r="D105" s="43" t="s">
        <v>3536</v>
      </c>
      <c r="E105" s="49">
        <v>44768</v>
      </c>
      <c r="F105" s="49">
        <v>45699</v>
      </c>
      <c r="G105" s="50">
        <v>1</v>
      </c>
      <c r="H105" s="43" t="s">
        <v>4894</v>
      </c>
      <c r="I105" s="43" t="s">
        <v>5105</v>
      </c>
      <c r="J105" s="43"/>
      <c r="K105" s="43">
        <v>2</v>
      </c>
      <c r="L105" s="43">
        <v>3</v>
      </c>
      <c r="M105" s="43"/>
      <c r="N105" s="43"/>
      <c r="O105" s="43" t="s">
        <v>4725</v>
      </c>
      <c r="P105" s="43" t="s">
        <v>5024</v>
      </c>
      <c r="Q105" s="43" t="s">
        <v>5127</v>
      </c>
      <c r="R105" s="43" t="s">
        <v>5047</v>
      </c>
      <c r="S105" s="43" t="s">
        <v>5026</v>
      </c>
      <c r="T105" s="51" t="s">
        <v>5027</v>
      </c>
      <c r="U105" s="52" t="s">
        <v>5028</v>
      </c>
      <c r="V105" s="53" t="s">
        <v>3896</v>
      </c>
      <c r="W105" s="54" t="s">
        <v>5034</v>
      </c>
      <c r="X105" s="55" t="s">
        <v>5034</v>
      </c>
      <c r="AI105" s="54"/>
      <c r="AJ105" s="56" t="s">
        <v>5034</v>
      </c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8"/>
      <c r="BD105" s="55" t="s">
        <v>5034</v>
      </c>
      <c r="BO105" s="54"/>
      <c r="BP105" s="56" t="s">
        <v>5034</v>
      </c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6" t="s">
        <v>5034</v>
      </c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6" t="s">
        <v>5034</v>
      </c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6" t="s">
        <v>5034</v>
      </c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8"/>
      <c r="DL105" s="59">
        <v>0</v>
      </c>
      <c r="DM105" s="60">
        <v>0</v>
      </c>
      <c r="DN105" s="61">
        <v>0</v>
      </c>
      <c r="DO105" s="60">
        <v>0</v>
      </c>
      <c r="DP105" s="60">
        <v>0</v>
      </c>
      <c r="DQ105" s="59">
        <v>0</v>
      </c>
      <c r="DR105" s="62" t="s">
        <v>5034</v>
      </c>
      <c r="DS105" s="62" t="s">
        <v>5034</v>
      </c>
      <c r="DU105" s="62" t="s">
        <v>5034</v>
      </c>
      <c r="DV105" s="63">
        <v>45321</v>
      </c>
      <c r="DW105" s="64">
        <v>2024</v>
      </c>
      <c r="DX105" s="65">
        <v>1</v>
      </c>
    </row>
    <row r="106" spans="2:128" ht="15">
      <c r="B106" s="43" t="s">
        <v>5022</v>
      </c>
      <c r="C106" s="43" t="s">
        <v>4862</v>
      </c>
      <c r="D106" s="43" t="s">
        <v>3518</v>
      </c>
      <c r="E106" s="49">
        <v>44768</v>
      </c>
      <c r="F106" s="49">
        <v>45699</v>
      </c>
      <c r="G106" s="50">
        <v>1</v>
      </c>
      <c r="H106" s="43" t="s">
        <v>4894</v>
      </c>
      <c r="I106" s="43" t="s">
        <v>5105</v>
      </c>
      <c r="J106" s="43"/>
      <c r="K106" s="43">
        <v>2</v>
      </c>
      <c r="L106" s="43">
        <v>3</v>
      </c>
      <c r="M106" s="43"/>
      <c r="N106" s="43"/>
      <c r="O106" s="43" t="s">
        <v>4725</v>
      </c>
      <c r="P106" s="43" t="s">
        <v>5024</v>
      </c>
      <c r="Q106" s="43" t="s">
        <v>5127</v>
      </c>
      <c r="R106" s="43" t="s">
        <v>5086</v>
      </c>
      <c r="S106" s="43" t="s">
        <v>5026</v>
      </c>
      <c r="T106" s="51" t="s">
        <v>5027</v>
      </c>
      <c r="U106" s="52" t="s">
        <v>5028</v>
      </c>
      <c r="V106" s="53" t="s">
        <v>3896</v>
      </c>
      <c r="W106" s="54" t="s">
        <v>5034</v>
      </c>
      <c r="X106" s="55" t="s">
        <v>5034</v>
      </c>
      <c r="AI106" s="54"/>
      <c r="AJ106" s="56" t="s">
        <v>5034</v>
      </c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8"/>
      <c r="BD106" s="55" t="s">
        <v>5034</v>
      </c>
      <c r="BO106" s="54"/>
      <c r="BP106" s="56" t="s">
        <v>5034</v>
      </c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6" t="s">
        <v>5034</v>
      </c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6" t="s">
        <v>5034</v>
      </c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6" t="s">
        <v>5034</v>
      </c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8"/>
      <c r="DL106" s="59">
        <v>0</v>
      </c>
      <c r="DM106" s="60">
        <v>0</v>
      </c>
      <c r="DN106" s="61">
        <v>0</v>
      </c>
      <c r="DO106" s="60">
        <v>0</v>
      </c>
      <c r="DP106" s="60">
        <v>0</v>
      </c>
      <c r="DQ106" s="59">
        <v>0</v>
      </c>
      <c r="DR106" s="62" t="s">
        <v>5034</v>
      </c>
      <c r="DS106" s="62" t="s">
        <v>5034</v>
      </c>
      <c r="DU106" s="62" t="s">
        <v>5034</v>
      </c>
      <c r="DV106" s="63">
        <v>45321</v>
      </c>
      <c r="DW106" s="64">
        <v>2024</v>
      </c>
      <c r="DX106" s="65">
        <v>1</v>
      </c>
    </row>
    <row r="107" spans="2:128" ht="15">
      <c r="B107" s="43" t="s">
        <v>5022</v>
      </c>
      <c r="C107" s="43" t="s">
        <v>4862</v>
      </c>
      <c r="D107" s="43" t="s">
        <v>4063</v>
      </c>
      <c r="E107" s="49">
        <v>44775</v>
      </c>
      <c r="F107" s="49">
        <v>45699</v>
      </c>
      <c r="G107" s="50">
        <v>1</v>
      </c>
      <c r="H107" s="43" t="s">
        <v>4894</v>
      </c>
      <c r="I107" s="43" t="s">
        <v>5105</v>
      </c>
      <c r="J107" s="43"/>
      <c r="K107" s="43">
        <v>2</v>
      </c>
      <c r="L107" s="43">
        <v>3</v>
      </c>
      <c r="M107" s="43"/>
      <c r="N107" s="43"/>
      <c r="O107" s="43" t="s">
        <v>4725</v>
      </c>
      <c r="P107" s="43" t="s">
        <v>5024</v>
      </c>
      <c r="Q107" s="43" t="s">
        <v>5127</v>
      </c>
      <c r="R107" s="43" t="s">
        <v>5038</v>
      </c>
      <c r="S107" s="43" t="s">
        <v>5026</v>
      </c>
      <c r="T107" s="51" t="s">
        <v>5027</v>
      </c>
      <c r="U107" s="52" t="s">
        <v>5028</v>
      </c>
      <c r="V107" s="53" t="s">
        <v>3896</v>
      </c>
      <c r="W107" s="54" t="s">
        <v>5034</v>
      </c>
      <c r="X107" s="55" t="s">
        <v>5034</v>
      </c>
      <c r="AI107" s="54"/>
      <c r="AJ107" s="56" t="s">
        <v>5034</v>
      </c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8"/>
      <c r="BD107" s="55" t="s">
        <v>5034</v>
      </c>
      <c r="BO107" s="54"/>
      <c r="BP107" s="56" t="s">
        <v>5034</v>
      </c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6" t="s">
        <v>5034</v>
      </c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6" t="s">
        <v>5034</v>
      </c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6" t="s">
        <v>5034</v>
      </c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8"/>
      <c r="DL107" s="59">
        <v>0</v>
      </c>
      <c r="DM107" s="60">
        <v>0</v>
      </c>
      <c r="DN107" s="61">
        <v>0</v>
      </c>
      <c r="DO107" s="60">
        <v>0</v>
      </c>
      <c r="DP107" s="60">
        <v>0</v>
      </c>
      <c r="DQ107" s="59">
        <v>0</v>
      </c>
      <c r="DR107" s="62" t="s">
        <v>5034</v>
      </c>
      <c r="DS107" s="62" t="s">
        <v>5034</v>
      </c>
      <c r="DU107" s="62" t="s">
        <v>5034</v>
      </c>
      <c r="DV107" s="63">
        <v>45320</v>
      </c>
      <c r="DW107" s="64">
        <v>2024</v>
      </c>
      <c r="DX107" s="65">
        <v>1</v>
      </c>
    </row>
    <row r="108" spans="2:128" ht="15">
      <c r="B108" s="43" t="s">
        <v>5022</v>
      </c>
      <c r="C108" s="43" t="s">
        <v>4862</v>
      </c>
      <c r="D108" s="43" t="s">
        <v>3500</v>
      </c>
      <c r="E108" s="49">
        <v>44775</v>
      </c>
      <c r="F108" s="49">
        <v>45699</v>
      </c>
      <c r="G108" s="50">
        <v>1</v>
      </c>
      <c r="H108" s="43" t="s">
        <v>4894</v>
      </c>
      <c r="I108" s="43" t="s">
        <v>5105</v>
      </c>
      <c r="J108" s="43"/>
      <c r="K108" s="43">
        <v>2</v>
      </c>
      <c r="L108" s="43">
        <v>3</v>
      </c>
      <c r="M108" s="43"/>
      <c r="N108" s="43"/>
      <c r="O108" s="43" t="s">
        <v>4725</v>
      </c>
      <c r="P108" s="43" t="s">
        <v>3499</v>
      </c>
      <c r="Q108" s="43" t="s">
        <v>5127</v>
      </c>
      <c r="R108" s="43" t="s">
        <v>5038</v>
      </c>
      <c r="S108" s="43" t="s">
        <v>5026</v>
      </c>
      <c r="T108" s="51" t="s">
        <v>5027</v>
      </c>
      <c r="U108" s="52" t="s">
        <v>5028</v>
      </c>
      <c r="V108" s="53" t="s">
        <v>3896</v>
      </c>
      <c r="W108" s="54" t="s">
        <v>5034</v>
      </c>
      <c r="X108" s="55" t="s">
        <v>5034</v>
      </c>
      <c r="AI108" s="54"/>
      <c r="AJ108" s="56" t="s">
        <v>5034</v>
      </c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8"/>
      <c r="BD108" s="55" t="s">
        <v>5034</v>
      </c>
      <c r="BO108" s="54"/>
      <c r="BP108" s="56" t="s">
        <v>5034</v>
      </c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6" t="s">
        <v>5034</v>
      </c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6" t="s">
        <v>5034</v>
      </c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6" t="s">
        <v>5034</v>
      </c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8"/>
      <c r="DL108" s="59">
        <v>0</v>
      </c>
      <c r="DM108" s="60">
        <v>0</v>
      </c>
      <c r="DN108" s="61">
        <v>0</v>
      </c>
      <c r="DO108" s="60">
        <v>0</v>
      </c>
      <c r="DP108" s="60">
        <v>0</v>
      </c>
      <c r="DQ108" s="59">
        <v>0</v>
      </c>
      <c r="DR108" s="62" t="s">
        <v>5034</v>
      </c>
      <c r="DS108" s="62" t="s">
        <v>5034</v>
      </c>
      <c r="DU108" s="62" t="s">
        <v>5034</v>
      </c>
      <c r="DV108" s="63">
        <v>45320</v>
      </c>
      <c r="DW108" s="64">
        <v>2024</v>
      </c>
      <c r="DX108" s="65">
        <v>1</v>
      </c>
    </row>
    <row r="109" spans="2:128" ht="15">
      <c r="B109" s="43" t="s">
        <v>5022</v>
      </c>
      <c r="C109" s="43" t="s">
        <v>4825</v>
      </c>
      <c r="D109" s="43" t="s">
        <v>3491</v>
      </c>
      <c r="E109" s="49">
        <v>44845</v>
      </c>
      <c r="F109" s="49"/>
      <c r="G109" s="50">
        <v>5</v>
      </c>
      <c r="H109" s="43" t="s">
        <v>4887</v>
      </c>
      <c r="I109" s="43" t="s">
        <v>5023</v>
      </c>
      <c r="J109" s="43">
        <v>9</v>
      </c>
      <c r="K109" s="43">
        <v>2</v>
      </c>
      <c r="L109" s="43">
        <v>3</v>
      </c>
      <c r="M109" s="43"/>
      <c r="N109" s="43"/>
      <c r="O109" s="43" t="s">
        <v>5128</v>
      </c>
      <c r="P109" s="43" t="s">
        <v>5024</v>
      </c>
      <c r="Q109" s="43" t="s">
        <v>5129</v>
      </c>
      <c r="R109" s="43" t="s">
        <v>5047</v>
      </c>
      <c r="S109" s="43" t="s">
        <v>5026</v>
      </c>
      <c r="T109" s="51" t="s">
        <v>5027</v>
      </c>
      <c r="U109" s="52" t="s">
        <v>5028</v>
      </c>
      <c r="V109" s="53" t="s">
        <v>3884</v>
      </c>
      <c r="W109" s="54" t="s">
        <v>3490</v>
      </c>
      <c r="X109" s="55" t="s">
        <v>4886</v>
      </c>
      <c r="Y109" t="s">
        <v>4888</v>
      </c>
      <c r="Z109" t="s">
        <v>5130</v>
      </c>
      <c r="AA109" t="s">
        <v>5131</v>
      </c>
      <c r="AI109" s="54"/>
      <c r="AJ109" s="56">
        <v>45748</v>
      </c>
      <c r="AK109" s="57">
        <v>45749</v>
      </c>
      <c r="AL109" s="57">
        <v>45750</v>
      </c>
      <c r="AM109" s="57">
        <v>45751</v>
      </c>
      <c r="AN109" s="57">
        <v>45754</v>
      </c>
      <c r="AO109" s="57">
        <v>45839</v>
      </c>
      <c r="AP109" s="57">
        <v>45840</v>
      </c>
      <c r="AQ109" s="57">
        <v>45841</v>
      </c>
      <c r="AR109" s="57">
        <v>45842</v>
      </c>
      <c r="AS109" s="57">
        <v>45845</v>
      </c>
      <c r="AT109" s="57">
        <v>45931</v>
      </c>
      <c r="AU109" s="57">
        <v>45932</v>
      </c>
      <c r="AV109" s="57">
        <v>45933</v>
      </c>
      <c r="AW109" s="57">
        <v>45936</v>
      </c>
      <c r="AX109" s="57">
        <v>45937</v>
      </c>
      <c r="AY109" s="57">
        <v>46024</v>
      </c>
      <c r="AZ109" s="57">
        <v>46027</v>
      </c>
      <c r="BA109" s="57">
        <v>46028</v>
      </c>
      <c r="BB109" s="57">
        <v>46029</v>
      </c>
      <c r="BC109" s="58">
        <v>46030</v>
      </c>
      <c r="BD109" s="55" t="s">
        <v>5030</v>
      </c>
      <c r="BE109" t="s">
        <v>5031</v>
      </c>
      <c r="BF109" t="s">
        <v>5032</v>
      </c>
      <c r="BG109" t="s">
        <v>5033</v>
      </c>
      <c r="BO109" s="54"/>
      <c r="BP109" s="56">
        <v>45712</v>
      </c>
      <c r="BQ109" s="57">
        <v>45803</v>
      </c>
      <c r="BR109" s="57">
        <v>45894</v>
      </c>
      <c r="BS109" s="57">
        <v>45985</v>
      </c>
      <c r="BT109" s="57"/>
      <c r="BU109" s="57"/>
      <c r="BV109" s="57"/>
      <c r="BW109" s="57"/>
      <c r="BX109" s="57"/>
      <c r="BY109" s="57"/>
      <c r="BZ109" s="57"/>
      <c r="CA109" s="57"/>
      <c r="CB109" s="56">
        <v>45735</v>
      </c>
      <c r="CC109" s="57">
        <v>45826</v>
      </c>
      <c r="CD109" s="57">
        <v>45918</v>
      </c>
      <c r="CE109" s="57">
        <v>46009</v>
      </c>
      <c r="CF109" s="57"/>
      <c r="CG109" s="57"/>
      <c r="CH109" s="57"/>
      <c r="CI109" s="57"/>
      <c r="CJ109" s="57"/>
      <c r="CK109" s="57"/>
      <c r="CL109" s="57"/>
      <c r="CM109" s="57"/>
      <c r="CN109" s="56">
        <v>45744</v>
      </c>
      <c r="CO109" s="57">
        <v>45835</v>
      </c>
      <c r="CP109" s="57">
        <v>45929</v>
      </c>
      <c r="CQ109" s="57">
        <v>46021</v>
      </c>
      <c r="CR109" s="57"/>
      <c r="CS109" s="57"/>
      <c r="CT109" s="57"/>
      <c r="CU109" s="57"/>
      <c r="CV109" s="57"/>
      <c r="CW109" s="57"/>
      <c r="CX109" s="57"/>
      <c r="CY109" s="57"/>
      <c r="CZ109" s="56" t="s">
        <v>5034</v>
      </c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8"/>
      <c r="DL109" s="59">
        <v>20</v>
      </c>
      <c r="DM109" s="60">
        <v>4</v>
      </c>
      <c r="DN109" s="61">
        <v>4</v>
      </c>
      <c r="DO109" s="60">
        <v>4</v>
      </c>
      <c r="DP109" s="60">
        <v>0</v>
      </c>
      <c r="DQ109" s="59">
        <v>32</v>
      </c>
      <c r="DR109" s="62">
        <v>1513</v>
      </c>
      <c r="DS109" s="62" t="s">
        <v>5034</v>
      </c>
      <c r="DU109" s="62" t="s">
        <v>5034</v>
      </c>
      <c r="DV109" s="63">
        <v>45028.344096863424</v>
      </c>
      <c r="DW109" s="64">
        <v>2023</v>
      </c>
      <c r="DX109" s="65">
        <v>4</v>
      </c>
    </row>
    <row r="110" spans="2:128" ht="15">
      <c r="B110" s="43" t="s">
        <v>5022</v>
      </c>
      <c r="C110" s="43" t="s">
        <v>4862</v>
      </c>
      <c r="D110" s="43" t="s">
        <v>3461</v>
      </c>
      <c r="E110" s="49">
        <v>44881</v>
      </c>
      <c r="F110" s="49"/>
      <c r="G110" s="50">
        <v>1</v>
      </c>
      <c r="H110" s="43" t="s">
        <v>4890</v>
      </c>
      <c r="I110" s="43" t="s">
        <v>5102</v>
      </c>
      <c r="J110" s="43"/>
      <c r="K110" s="43">
        <v>2</v>
      </c>
      <c r="L110" s="43">
        <v>3</v>
      </c>
      <c r="M110" s="43"/>
      <c r="N110" s="43"/>
      <c r="O110" s="43" t="s">
        <v>5132</v>
      </c>
      <c r="P110" s="43" t="s">
        <v>5024</v>
      </c>
      <c r="Q110" s="43" t="s">
        <v>5133</v>
      </c>
      <c r="R110" s="43" t="s">
        <v>5047</v>
      </c>
      <c r="S110" s="43" t="s">
        <v>5026</v>
      </c>
      <c r="T110" s="51" t="s">
        <v>5027</v>
      </c>
      <c r="U110" s="52" t="s">
        <v>5028</v>
      </c>
      <c r="V110" s="53" t="s">
        <v>3884</v>
      </c>
      <c r="W110" s="54" t="s">
        <v>3460</v>
      </c>
      <c r="X110" s="55" t="s">
        <v>5048</v>
      </c>
      <c r="Y110" t="s">
        <v>4894</v>
      </c>
      <c r="Z110" t="s">
        <v>5049</v>
      </c>
      <c r="AA110" t="s">
        <v>4893</v>
      </c>
      <c r="AI110" s="54"/>
      <c r="AJ110" s="56">
        <v>45670</v>
      </c>
      <c r="AK110" s="57">
        <v>45761</v>
      </c>
      <c r="AL110" s="57">
        <v>45852</v>
      </c>
      <c r="AM110" s="57">
        <v>45943</v>
      </c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8"/>
      <c r="BD110" s="55" t="s">
        <v>5104</v>
      </c>
      <c r="BE110" t="s">
        <v>5105</v>
      </c>
      <c r="BF110" t="s">
        <v>5106</v>
      </c>
      <c r="BG110" t="s">
        <v>5107</v>
      </c>
      <c r="BO110" s="54"/>
      <c r="BP110" s="56">
        <v>45663</v>
      </c>
      <c r="BQ110" s="57">
        <v>45754</v>
      </c>
      <c r="BR110" s="57">
        <v>45845</v>
      </c>
      <c r="BS110" s="57">
        <v>45936</v>
      </c>
      <c r="BT110" s="57"/>
      <c r="BU110" s="57"/>
      <c r="BV110" s="57"/>
      <c r="BW110" s="57"/>
      <c r="BX110" s="57"/>
      <c r="BY110" s="57"/>
      <c r="BZ110" s="57"/>
      <c r="CA110" s="57"/>
      <c r="CB110" s="56" t="s">
        <v>5034</v>
      </c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6">
        <v>45666</v>
      </c>
      <c r="CO110" s="57">
        <v>45757</v>
      </c>
      <c r="CP110" s="57">
        <v>45848</v>
      </c>
      <c r="CQ110" s="57">
        <v>45939</v>
      </c>
      <c r="CR110" s="57"/>
      <c r="CS110" s="57"/>
      <c r="CT110" s="57"/>
      <c r="CU110" s="57"/>
      <c r="CV110" s="57"/>
      <c r="CW110" s="57"/>
      <c r="CX110" s="57"/>
      <c r="CY110" s="57"/>
      <c r="CZ110" s="56" t="s">
        <v>5034</v>
      </c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8"/>
      <c r="DL110" s="59">
        <v>4</v>
      </c>
      <c r="DM110" s="60">
        <v>4</v>
      </c>
      <c r="DN110" s="61">
        <v>0</v>
      </c>
      <c r="DO110" s="60">
        <v>4</v>
      </c>
      <c r="DP110" s="60">
        <v>0</v>
      </c>
      <c r="DQ110" s="59">
        <v>12</v>
      </c>
      <c r="DR110" s="62">
        <v>1557</v>
      </c>
      <c r="DS110" s="62" t="s">
        <v>5034</v>
      </c>
      <c r="DU110" s="62" t="s">
        <v>5034</v>
      </c>
      <c r="DV110" s="63">
        <v>45198.441839953703</v>
      </c>
      <c r="DW110" s="64">
        <v>2023</v>
      </c>
      <c r="DX110" s="65">
        <v>9</v>
      </c>
    </row>
    <row r="111" spans="2:128" ht="15">
      <c r="B111" s="43" t="s">
        <v>5022</v>
      </c>
      <c r="C111" s="43" t="s">
        <v>4862</v>
      </c>
      <c r="D111" s="43" t="s">
        <v>3470</v>
      </c>
      <c r="E111" s="49">
        <v>44881</v>
      </c>
      <c r="F111" s="49"/>
      <c r="G111" s="50">
        <v>1</v>
      </c>
      <c r="H111" s="43" t="s">
        <v>4890</v>
      </c>
      <c r="I111" s="43" t="s">
        <v>5102</v>
      </c>
      <c r="J111" s="43"/>
      <c r="K111" s="43">
        <v>2</v>
      </c>
      <c r="L111" s="43">
        <v>3</v>
      </c>
      <c r="M111" s="43"/>
      <c r="N111" s="43"/>
      <c r="O111" s="43" t="s">
        <v>5132</v>
      </c>
      <c r="P111" s="43" t="s">
        <v>5024</v>
      </c>
      <c r="Q111" s="43" t="s">
        <v>5133</v>
      </c>
      <c r="R111" s="43" t="s">
        <v>5047</v>
      </c>
      <c r="S111" s="43" t="s">
        <v>5026</v>
      </c>
      <c r="T111" s="51" t="s">
        <v>5027</v>
      </c>
      <c r="U111" s="52" t="s">
        <v>5028</v>
      </c>
      <c r="V111" s="53" t="s">
        <v>3884</v>
      </c>
      <c r="W111" s="54" t="s">
        <v>3469</v>
      </c>
      <c r="X111" s="55" t="s">
        <v>5048</v>
      </c>
      <c r="Y111" t="s">
        <v>4894</v>
      </c>
      <c r="Z111" t="s">
        <v>5049</v>
      </c>
      <c r="AA111" t="s">
        <v>4893</v>
      </c>
      <c r="AI111" s="54"/>
      <c r="AJ111" s="56">
        <v>45670</v>
      </c>
      <c r="AK111" s="57">
        <v>45761</v>
      </c>
      <c r="AL111" s="57">
        <v>45852</v>
      </c>
      <c r="AM111" s="57">
        <v>45943</v>
      </c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8"/>
      <c r="BD111" s="55" t="s">
        <v>5104</v>
      </c>
      <c r="BE111" t="s">
        <v>5105</v>
      </c>
      <c r="BF111" t="s">
        <v>5106</v>
      </c>
      <c r="BG111" t="s">
        <v>5107</v>
      </c>
      <c r="BO111" s="54"/>
      <c r="BP111" s="56">
        <v>45663</v>
      </c>
      <c r="BQ111" s="57">
        <v>45754</v>
      </c>
      <c r="BR111" s="57">
        <v>45845</v>
      </c>
      <c r="BS111" s="57">
        <v>45936</v>
      </c>
      <c r="BT111" s="57"/>
      <c r="BU111" s="57"/>
      <c r="BV111" s="57"/>
      <c r="BW111" s="57"/>
      <c r="BX111" s="57"/>
      <c r="BY111" s="57"/>
      <c r="BZ111" s="57"/>
      <c r="CA111" s="57"/>
      <c r="CB111" s="56" t="s">
        <v>5034</v>
      </c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6">
        <v>45666</v>
      </c>
      <c r="CO111" s="57">
        <v>45757</v>
      </c>
      <c r="CP111" s="57">
        <v>45848</v>
      </c>
      <c r="CQ111" s="57">
        <v>45939</v>
      </c>
      <c r="CR111" s="57"/>
      <c r="CS111" s="57"/>
      <c r="CT111" s="57"/>
      <c r="CU111" s="57"/>
      <c r="CV111" s="57"/>
      <c r="CW111" s="57"/>
      <c r="CX111" s="57"/>
      <c r="CY111" s="57"/>
      <c r="CZ111" s="56" t="s">
        <v>5034</v>
      </c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8"/>
      <c r="DL111" s="59">
        <v>4</v>
      </c>
      <c r="DM111" s="60">
        <v>4</v>
      </c>
      <c r="DN111" s="61">
        <v>0</v>
      </c>
      <c r="DO111" s="60">
        <v>4</v>
      </c>
      <c r="DP111" s="60">
        <v>0</v>
      </c>
      <c r="DQ111" s="59">
        <v>12</v>
      </c>
      <c r="DR111" s="62">
        <v>1569</v>
      </c>
      <c r="DS111" s="62" t="s">
        <v>5034</v>
      </c>
      <c r="DU111" s="62" t="s">
        <v>5034</v>
      </c>
      <c r="DV111" s="63">
        <v>45198.443464999997</v>
      </c>
      <c r="DW111" s="64">
        <v>2023</v>
      </c>
      <c r="DX111" s="65">
        <v>9</v>
      </c>
    </row>
    <row r="112" spans="2:128" ht="15">
      <c r="B112" s="43" t="s">
        <v>5022</v>
      </c>
      <c r="C112" s="43" t="s">
        <v>4863</v>
      </c>
      <c r="D112" s="43" t="s">
        <v>4864</v>
      </c>
      <c r="E112" s="49">
        <v>44901</v>
      </c>
      <c r="F112" s="49"/>
      <c r="G112" s="50">
        <v>1</v>
      </c>
      <c r="H112" s="43" t="s">
        <v>4798</v>
      </c>
      <c r="I112" s="43" t="s">
        <v>5023</v>
      </c>
      <c r="J112" s="43">
        <v>7</v>
      </c>
      <c r="K112" s="43">
        <v>2</v>
      </c>
      <c r="L112" s="43">
        <v>2</v>
      </c>
      <c r="M112" s="43"/>
      <c r="N112" s="43"/>
      <c r="O112" s="43" t="s">
        <v>5134</v>
      </c>
      <c r="P112" s="43" t="s">
        <v>5035</v>
      </c>
      <c r="Q112" s="43" t="s">
        <v>5135</v>
      </c>
      <c r="R112" s="43" t="s">
        <v>5038</v>
      </c>
      <c r="S112" s="43" t="s">
        <v>5026</v>
      </c>
      <c r="T112" s="51" t="s">
        <v>5027</v>
      </c>
      <c r="U112" s="52" t="s">
        <v>5028</v>
      </c>
      <c r="V112" s="53" t="s">
        <v>3884</v>
      </c>
      <c r="W112" s="54" t="s">
        <v>3448</v>
      </c>
      <c r="X112" s="55" t="s">
        <v>4889</v>
      </c>
      <c r="Y112" t="s">
        <v>4896</v>
      </c>
      <c r="Z112" t="s">
        <v>4800</v>
      </c>
      <c r="AA112" t="s">
        <v>4891</v>
      </c>
      <c r="AI112" s="54"/>
      <c r="AJ112" s="56">
        <v>45740</v>
      </c>
      <c r="AK112" s="57">
        <v>45831</v>
      </c>
      <c r="AL112" s="57">
        <v>45922</v>
      </c>
      <c r="AM112" s="57">
        <v>46013</v>
      </c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8"/>
      <c r="BD112" s="55" t="s">
        <v>5030</v>
      </c>
      <c r="BE112" t="s">
        <v>5031</v>
      </c>
      <c r="BF112" t="s">
        <v>5032</v>
      </c>
      <c r="BG112" t="s">
        <v>5033</v>
      </c>
      <c r="BO112" s="54"/>
      <c r="BP112" s="56">
        <v>45712</v>
      </c>
      <c r="BQ112" s="57">
        <v>45803</v>
      </c>
      <c r="BR112" s="57">
        <v>45894</v>
      </c>
      <c r="BS112" s="57">
        <v>45985</v>
      </c>
      <c r="BT112" s="57"/>
      <c r="BU112" s="57"/>
      <c r="BV112" s="57"/>
      <c r="BW112" s="57"/>
      <c r="BX112" s="57"/>
      <c r="BY112" s="57"/>
      <c r="BZ112" s="57"/>
      <c r="CA112" s="57"/>
      <c r="CB112" s="56">
        <v>45729</v>
      </c>
      <c r="CC112" s="57">
        <v>45820</v>
      </c>
      <c r="CD112" s="57">
        <v>45911</v>
      </c>
      <c r="CE112" s="57">
        <v>46002</v>
      </c>
      <c r="CF112" s="57"/>
      <c r="CG112" s="57"/>
      <c r="CH112" s="57"/>
      <c r="CI112" s="57"/>
      <c r="CJ112" s="57"/>
      <c r="CK112" s="57"/>
      <c r="CL112" s="57"/>
      <c r="CM112" s="57"/>
      <c r="CN112" s="56">
        <v>45736</v>
      </c>
      <c r="CO112" s="57">
        <v>45827</v>
      </c>
      <c r="CP112" s="57">
        <v>45918</v>
      </c>
      <c r="CQ112" s="57">
        <v>46009</v>
      </c>
      <c r="CR112" s="57"/>
      <c r="CS112" s="57"/>
      <c r="CT112" s="57"/>
      <c r="CU112" s="57"/>
      <c r="CV112" s="57"/>
      <c r="CW112" s="57"/>
      <c r="CX112" s="57"/>
      <c r="CY112" s="57"/>
      <c r="CZ112" s="56" t="s">
        <v>5034</v>
      </c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8"/>
      <c r="DL112" s="59">
        <v>4</v>
      </c>
      <c r="DM112" s="60">
        <v>4</v>
      </c>
      <c r="DN112" s="61">
        <v>4</v>
      </c>
      <c r="DO112" s="60">
        <v>4</v>
      </c>
      <c r="DP112" s="60">
        <v>0</v>
      </c>
      <c r="DQ112" s="59">
        <v>16</v>
      </c>
      <c r="DR112" s="62">
        <v>1581</v>
      </c>
      <c r="DS112" s="62" t="s">
        <v>5034</v>
      </c>
      <c r="DU112" s="62" t="s">
        <v>5034</v>
      </c>
      <c r="DV112" s="63">
        <v>45229.588307280093</v>
      </c>
      <c r="DW112" s="64">
        <v>2023</v>
      </c>
      <c r="DX112" s="65">
        <v>10</v>
      </c>
    </row>
    <row r="113" spans="2:128" ht="15">
      <c r="B113" s="43" t="s">
        <v>5022</v>
      </c>
      <c r="C113" s="43" t="s">
        <v>4855</v>
      </c>
      <c r="D113" s="43" t="s">
        <v>4779</v>
      </c>
      <c r="E113" s="49">
        <v>44944</v>
      </c>
      <c r="F113" s="49"/>
      <c r="G113" s="50">
        <v>1</v>
      </c>
      <c r="H113" s="43" t="s">
        <v>4798</v>
      </c>
      <c r="I113" s="43" t="s">
        <v>5023</v>
      </c>
      <c r="J113" s="43"/>
      <c r="K113" s="43">
        <v>2</v>
      </c>
      <c r="L113" s="43">
        <v>3</v>
      </c>
      <c r="M113" s="43"/>
      <c r="N113" s="43" t="s">
        <v>5090</v>
      </c>
      <c r="O113" s="43"/>
      <c r="P113" s="43" t="s">
        <v>2117</v>
      </c>
      <c r="Q113" s="43" t="s">
        <v>5136</v>
      </c>
      <c r="R113" s="43" t="s">
        <v>5086</v>
      </c>
      <c r="S113" s="43" t="s">
        <v>5026</v>
      </c>
      <c r="T113" s="51" t="s">
        <v>5027</v>
      </c>
      <c r="U113" s="52" t="s">
        <v>5028</v>
      </c>
      <c r="V113" s="53" t="s">
        <v>3884</v>
      </c>
      <c r="W113" s="54" t="s">
        <v>2117</v>
      </c>
      <c r="X113" s="55" t="s">
        <v>4889</v>
      </c>
      <c r="Y113" t="s">
        <v>4896</v>
      </c>
      <c r="Z113" t="s">
        <v>4800</v>
      </c>
      <c r="AA113" t="s">
        <v>4891</v>
      </c>
      <c r="AI113" s="54"/>
      <c r="AJ113" s="56">
        <v>45740</v>
      </c>
      <c r="AK113" s="57">
        <v>45831</v>
      </c>
      <c r="AL113" s="57">
        <v>45922</v>
      </c>
      <c r="AM113" s="57">
        <v>46013</v>
      </c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8"/>
      <c r="BD113" s="55" t="s">
        <v>5030</v>
      </c>
      <c r="BE113" t="s">
        <v>5031</v>
      </c>
      <c r="BF113" t="s">
        <v>5032</v>
      </c>
      <c r="BG113" t="s">
        <v>5033</v>
      </c>
      <c r="BO113" s="54"/>
      <c r="BP113" s="56">
        <v>45712</v>
      </c>
      <c r="BQ113" s="57">
        <v>45803</v>
      </c>
      <c r="BR113" s="57">
        <v>45894</v>
      </c>
      <c r="BS113" s="57">
        <v>45985</v>
      </c>
      <c r="BT113" s="57"/>
      <c r="BU113" s="57"/>
      <c r="BV113" s="57"/>
      <c r="BW113" s="57"/>
      <c r="BX113" s="57"/>
      <c r="BY113" s="57"/>
      <c r="BZ113" s="57"/>
      <c r="CA113" s="57"/>
      <c r="CB113" s="56" t="s">
        <v>5034</v>
      </c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6">
        <v>45736</v>
      </c>
      <c r="CO113" s="57">
        <v>45827</v>
      </c>
      <c r="CP113" s="57">
        <v>45918</v>
      </c>
      <c r="CQ113" s="57">
        <v>46009</v>
      </c>
      <c r="CR113" s="57"/>
      <c r="CS113" s="57"/>
      <c r="CT113" s="57"/>
      <c r="CU113" s="57"/>
      <c r="CV113" s="57"/>
      <c r="CW113" s="57"/>
      <c r="CX113" s="57"/>
      <c r="CY113" s="57"/>
      <c r="CZ113" s="56" t="s">
        <v>5034</v>
      </c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8"/>
      <c r="DL113" s="59">
        <v>4</v>
      </c>
      <c r="DM113" s="60">
        <v>4</v>
      </c>
      <c r="DN113" s="61">
        <v>0</v>
      </c>
      <c r="DO113" s="60">
        <v>4</v>
      </c>
      <c r="DP113" s="60">
        <v>0</v>
      </c>
      <c r="DQ113" s="59">
        <v>12</v>
      </c>
      <c r="DR113" s="62">
        <v>1597</v>
      </c>
      <c r="DS113" s="62" t="s">
        <v>5034</v>
      </c>
      <c r="DU113" s="62" t="s">
        <v>5034</v>
      </c>
      <c r="DV113" s="63">
        <v>44992.610355173609</v>
      </c>
      <c r="DW113" s="64">
        <v>2023</v>
      </c>
      <c r="DX113" s="65">
        <v>3</v>
      </c>
    </row>
    <row r="114" spans="2:128" ht="15">
      <c r="B114" s="43" t="s">
        <v>5022</v>
      </c>
      <c r="C114" s="43" t="s">
        <v>4855</v>
      </c>
      <c r="D114" s="43" t="s">
        <v>4780</v>
      </c>
      <c r="E114" s="49">
        <v>44952</v>
      </c>
      <c r="F114" s="49"/>
      <c r="G114" s="50">
        <v>1</v>
      </c>
      <c r="H114" s="43" t="s">
        <v>4798</v>
      </c>
      <c r="I114" s="43" t="s">
        <v>5023</v>
      </c>
      <c r="J114" s="43"/>
      <c r="K114" s="43">
        <v>2</v>
      </c>
      <c r="L114" s="43">
        <v>3</v>
      </c>
      <c r="M114" s="43"/>
      <c r="N114" s="43" t="s">
        <v>5087</v>
      </c>
      <c r="O114" s="43"/>
      <c r="P114" s="43" t="s">
        <v>2090</v>
      </c>
      <c r="Q114" s="43" t="s">
        <v>5137</v>
      </c>
      <c r="R114" s="43" t="s">
        <v>5086</v>
      </c>
      <c r="S114" s="43" t="s">
        <v>5026</v>
      </c>
      <c r="T114" s="51" t="s">
        <v>5027</v>
      </c>
      <c r="U114" s="52" t="s">
        <v>5028</v>
      </c>
      <c r="V114" s="53" t="s">
        <v>3884</v>
      </c>
      <c r="W114" s="54" t="s">
        <v>2090</v>
      </c>
      <c r="X114" s="55" t="s">
        <v>4889</v>
      </c>
      <c r="Y114" t="s">
        <v>4896</v>
      </c>
      <c r="Z114" t="s">
        <v>4800</v>
      </c>
      <c r="AA114" t="s">
        <v>4891</v>
      </c>
      <c r="AI114" s="54"/>
      <c r="AJ114" s="56">
        <v>45740</v>
      </c>
      <c r="AK114" s="57">
        <v>45831</v>
      </c>
      <c r="AL114" s="57">
        <v>45922</v>
      </c>
      <c r="AM114" s="57">
        <v>46013</v>
      </c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8"/>
      <c r="BD114" s="55" t="s">
        <v>5030</v>
      </c>
      <c r="BE114" t="s">
        <v>5031</v>
      </c>
      <c r="BF114" t="s">
        <v>5032</v>
      </c>
      <c r="BG114" t="s">
        <v>5033</v>
      </c>
      <c r="BO114" s="54"/>
      <c r="BP114" s="56">
        <v>45712</v>
      </c>
      <c r="BQ114" s="57">
        <v>45803</v>
      </c>
      <c r="BR114" s="57">
        <v>45894</v>
      </c>
      <c r="BS114" s="57">
        <v>45985</v>
      </c>
      <c r="BT114" s="57"/>
      <c r="BU114" s="57"/>
      <c r="BV114" s="57"/>
      <c r="BW114" s="57"/>
      <c r="BX114" s="57"/>
      <c r="BY114" s="57"/>
      <c r="BZ114" s="57"/>
      <c r="CA114" s="57"/>
      <c r="CB114" s="56" t="s">
        <v>5034</v>
      </c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6">
        <v>45736</v>
      </c>
      <c r="CO114" s="57">
        <v>45827</v>
      </c>
      <c r="CP114" s="57">
        <v>45918</v>
      </c>
      <c r="CQ114" s="57">
        <v>46009</v>
      </c>
      <c r="CR114" s="57"/>
      <c r="CS114" s="57"/>
      <c r="CT114" s="57"/>
      <c r="CU114" s="57"/>
      <c r="CV114" s="57"/>
      <c r="CW114" s="57"/>
      <c r="CX114" s="57"/>
      <c r="CY114" s="57"/>
      <c r="CZ114" s="56" t="s">
        <v>5034</v>
      </c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8"/>
      <c r="DL114" s="59">
        <v>4</v>
      </c>
      <c r="DM114" s="60">
        <v>4</v>
      </c>
      <c r="DN114" s="61">
        <v>0</v>
      </c>
      <c r="DO114" s="60">
        <v>4</v>
      </c>
      <c r="DP114" s="60">
        <v>0</v>
      </c>
      <c r="DQ114" s="59">
        <v>12</v>
      </c>
      <c r="DR114" s="62">
        <v>1633</v>
      </c>
      <c r="DS114" s="62" t="s">
        <v>5034</v>
      </c>
      <c r="DU114" s="62" t="s">
        <v>5034</v>
      </c>
      <c r="DV114" s="63">
        <v>44992.613278935183</v>
      </c>
      <c r="DW114" s="64">
        <v>2023</v>
      </c>
      <c r="DX114" s="65">
        <v>3</v>
      </c>
    </row>
    <row r="115" spans="2:128" ht="15">
      <c r="B115" s="43" t="s">
        <v>5022</v>
      </c>
      <c r="C115" s="43" t="s">
        <v>4802</v>
      </c>
      <c r="D115" s="43" t="s">
        <v>3437</v>
      </c>
      <c r="E115" s="49">
        <v>44987</v>
      </c>
      <c r="F115" s="49"/>
      <c r="G115" s="50">
        <v>5</v>
      </c>
      <c r="H115" s="43" t="s">
        <v>4889</v>
      </c>
      <c r="I115" s="43" t="s">
        <v>5030</v>
      </c>
      <c r="J115" s="43"/>
      <c r="K115" s="43">
        <v>2</v>
      </c>
      <c r="L115" s="43">
        <v>3</v>
      </c>
      <c r="M115" s="43"/>
      <c r="N115" s="43"/>
      <c r="O115" s="43" t="s">
        <v>5059</v>
      </c>
      <c r="P115" s="43" t="s">
        <v>5024</v>
      </c>
      <c r="Q115" s="43" t="s">
        <v>5138</v>
      </c>
      <c r="R115" s="43" t="s">
        <v>5081</v>
      </c>
      <c r="S115" s="43" t="s">
        <v>5026</v>
      </c>
      <c r="T115" s="51" t="s">
        <v>5027</v>
      </c>
      <c r="U115" s="52" t="s">
        <v>5028</v>
      </c>
      <c r="V115" s="53" t="s">
        <v>3884</v>
      </c>
      <c r="W115" s="54" t="s">
        <v>3436</v>
      </c>
      <c r="X115" s="55" t="s">
        <v>4889</v>
      </c>
      <c r="AI115" s="54"/>
      <c r="AJ115" s="56">
        <v>45740</v>
      </c>
      <c r="AK115" s="57">
        <v>45741</v>
      </c>
      <c r="AL115" s="57">
        <v>45742</v>
      </c>
      <c r="AM115" s="57">
        <v>45743</v>
      </c>
      <c r="AN115" s="57">
        <v>45744</v>
      </c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8"/>
      <c r="BD115" s="55" t="s">
        <v>5030</v>
      </c>
      <c r="BO115" s="54"/>
      <c r="BP115" s="56">
        <v>45712</v>
      </c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6" t="s">
        <v>5034</v>
      </c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6">
        <v>45736</v>
      </c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6" t="s">
        <v>5034</v>
      </c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8"/>
      <c r="DL115" s="59">
        <v>5</v>
      </c>
      <c r="DM115" s="60">
        <v>1</v>
      </c>
      <c r="DN115" s="61">
        <v>0</v>
      </c>
      <c r="DO115" s="60">
        <v>1</v>
      </c>
      <c r="DP115" s="60">
        <v>0</v>
      </c>
      <c r="DQ115" s="59">
        <v>7</v>
      </c>
      <c r="DR115" s="62">
        <v>1661</v>
      </c>
      <c r="DS115" s="62" t="s">
        <v>5034</v>
      </c>
      <c r="DU115" s="62" t="s">
        <v>5034</v>
      </c>
      <c r="DV115" s="63">
        <v>45362</v>
      </c>
      <c r="DW115" s="64">
        <v>2024</v>
      </c>
      <c r="DX115" s="65">
        <v>3</v>
      </c>
    </row>
    <row r="116" spans="2:128" ht="15">
      <c r="B116" s="43" t="s">
        <v>5022</v>
      </c>
      <c r="C116" s="43" t="s">
        <v>4863</v>
      </c>
      <c r="D116" s="43" t="s">
        <v>4865</v>
      </c>
      <c r="E116" s="49">
        <v>45040</v>
      </c>
      <c r="F116" s="49"/>
      <c r="G116" s="50">
        <v>1</v>
      </c>
      <c r="H116" s="43" t="s">
        <v>4798</v>
      </c>
      <c r="I116" s="43" t="s">
        <v>5023</v>
      </c>
      <c r="J116" s="43">
        <v>7</v>
      </c>
      <c r="K116" s="43">
        <v>2</v>
      </c>
      <c r="L116" s="43">
        <v>2</v>
      </c>
      <c r="M116" s="43"/>
      <c r="N116" s="43"/>
      <c r="O116" s="43" t="s">
        <v>5134</v>
      </c>
      <c r="P116" s="43" t="s">
        <v>5024</v>
      </c>
      <c r="Q116" s="43" t="s">
        <v>5139</v>
      </c>
      <c r="R116" s="43" t="s">
        <v>5038</v>
      </c>
      <c r="S116" s="43" t="s">
        <v>5026</v>
      </c>
      <c r="T116" s="51" t="s">
        <v>5027</v>
      </c>
      <c r="U116" s="52" t="s">
        <v>5028</v>
      </c>
      <c r="V116" s="53" t="s">
        <v>3884</v>
      </c>
      <c r="W116" s="54" t="s">
        <v>3394</v>
      </c>
      <c r="X116" s="55" t="s">
        <v>4889</v>
      </c>
      <c r="Y116" t="s">
        <v>4896</v>
      </c>
      <c r="Z116" t="s">
        <v>4800</v>
      </c>
      <c r="AA116" t="s">
        <v>4891</v>
      </c>
      <c r="AI116" s="54"/>
      <c r="AJ116" s="56">
        <v>45740</v>
      </c>
      <c r="AK116" s="57">
        <v>45831</v>
      </c>
      <c r="AL116" s="57">
        <v>45922</v>
      </c>
      <c r="AM116" s="57">
        <v>46013</v>
      </c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8"/>
      <c r="BD116" s="55" t="s">
        <v>5030</v>
      </c>
      <c r="BE116" t="s">
        <v>5031</v>
      </c>
      <c r="BF116" t="s">
        <v>5032</v>
      </c>
      <c r="BG116" t="s">
        <v>5033</v>
      </c>
      <c r="BO116" s="54"/>
      <c r="BP116" s="56">
        <v>45712</v>
      </c>
      <c r="BQ116" s="57">
        <v>45803</v>
      </c>
      <c r="BR116" s="57">
        <v>45894</v>
      </c>
      <c r="BS116" s="57">
        <v>45985</v>
      </c>
      <c r="BT116" s="57"/>
      <c r="BU116" s="57"/>
      <c r="BV116" s="57"/>
      <c r="BW116" s="57"/>
      <c r="BX116" s="57"/>
      <c r="BY116" s="57"/>
      <c r="BZ116" s="57"/>
      <c r="CA116" s="57"/>
      <c r="CB116" s="56">
        <v>45729</v>
      </c>
      <c r="CC116" s="57">
        <v>45820</v>
      </c>
      <c r="CD116" s="57">
        <v>45911</v>
      </c>
      <c r="CE116" s="57">
        <v>46002</v>
      </c>
      <c r="CF116" s="57"/>
      <c r="CG116" s="57"/>
      <c r="CH116" s="57"/>
      <c r="CI116" s="57"/>
      <c r="CJ116" s="57"/>
      <c r="CK116" s="57"/>
      <c r="CL116" s="57"/>
      <c r="CM116" s="57"/>
      <c r="CN116" s="56">
        <v>45736</v>
      </c>
      <c r="CO116" s="57">
        <v>45827</v>
      </c>
      <c r="CP116" s="57">
        <v>45918</v>
      </c>
      <c r="CQ116" s="57">
        <v>46009</v>
      </c>
      <c r="CR116" s="57"/>
      <c r="CS116" s="57"/>
      <c r="CT116" s="57"/>
      <c r="CU116" s="57"/>
      <c r="CV116" s="57"/>
      <c r="CW116" s="57"/>
      <c r="CX116" s="57"/>
      <c r="CY116" s="57"/>
      <c r="CZ116" s="56" t="s">
        <v>5034</v>
      </c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8"/>
      <c r="DL116" s="59">
        <v>4</v>
      </c>
      <c r="DM116" s="60">
        <v>4</v>
      </c>
      <c r="DN116" s="61">
        <v>4</v>
      </c>
      <c r="DO116" s="60">
        <v>4</v>
      </c>
      <c r="DP116" s="60">
        <v>0</v>
      </c>
      <c r="DQ116" s="59">
        <v>16</v>
      </c>
      <c r="DR116" s="62">
        <v>1668</v>
      </c>
      <c r="DS116" s="62" t="s">
        <v>5034</v>
      </c>
      <c r="DU116" s="62" t="s">
        <v>5034</v>
      </c>
      <c r="DV116" s="63">
        <v>45168.565546631944</v>
      </c>
      <c r="DW116" s="64">
        <v>2023</v>
      </c>
      <c r="DX116" s="65">
        <v>8</v>
      </c>
    </row>
    <row r="117" spans="2:128" ht="15">
      <c r="B117" s="43" t="s">
        <v>5022</v>
      </c>
      <c r="C117" s="43" t="s">
        <v>4863</v>
      </c>
      <c r="D117" s="43" t="s">
        <v>4137</v>
      </c>
      <c r="E117" s="49">
        <v>45040</v>
      </c>
      <c r="F117" s="49"/>
      <c r="G117" s="50">
        <v>1</v>
      </c>
      <c r="H117" s="43" t="s">
        <v>4798</v>
      </c>
      <c r="I117" s="43" t="s">
        <v>5023</v>
      </c>
      <c r="J117" s="43">
        <v>7</v>
      </c>
      <c r="K117" s="43">
        <v>2</v>
      </c>
      <c r="L117" s="43">
        <v>2</v>
      </c>
      <c r="M117" s="43"/>
      <c r="N117" s="43"/>
      <c r="O117" s="43" t="s">
        <v>5134</v>
      </c>
      <c r="P117" s="43" t="s">
        <v>5024</v>
      </c>
      <c r="Q117" s="43" t="s">
        <v>5093</v>
      </c>
      <c r="R117" s="43" t="s">
        <v>5038</v>
      </c>
      <c r="S117" s="43" t="s">
        <v>5026</v>
      </c>
      <c r="T117" s="51" t="s">
        <v>5027</v>
      </c>
      <c r="U117" s="52" t="s">
        <v>5028</v>
      </c>
      <c r="V117" s="53" t="s">
        <v>3884</v>
      </c>
      <c r="W117" s="54" t="s">
        <v>3421</v>
      </c>
      <c r="X117" s="55" t="s">
        <v>4889</v>
      </c>
      <c r="Y117" t="s">
        <v>4896</v>
      </c>
      <c r="Z117" t="s">
        <v>4800</v>
      </c>
      <c r="AA117" t="s">
        <v>4891</v>
      </c>
      <c r="AI117" s="54"/>
      <c r="AJ117" s="56">
        <v>45740</v>
      </c>
      <c r="AK117" s="57">
        <v>45831</v>
      </c>
      <c r="AL117" s="57">
        <v>45922</v>
      </c>
      <c r="AM117" s="57">
        <v>46013</v>
      </c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8"/>
      <c r="BD117" s="55" t="s">
        <v>5030</v>
      </c>
      <c r="BE117" t="s">
        <v>5031</v>
      </c>
      <c r="BF117" t="s">
        <v>5032</v>
      </c>
      <c r="BG117" t="s">
        <v>5033</v>
      </c>
      <c r="BO117" s="54"/>
      <c r="BP117" s="56">
        <v>45712</v>
      </c>
      <c r="BQ117" s="57">
        <v>45803</v>
      </c>
      <c r="BR117" s="57">
        <v>45894</v>
      </c>
      <c r="BS117" s="57">
        <v>45985</v>
      </c>
      <c r="BT117" s="57"/>
      <c r="BU117" s="57"/>
      <c r="BV117" s="57"/>
      <c r="BW117" s="57"/>
      <c r="BX117" s="57"/>
      <c r="BY117" s="57"/>
      <c r="BZ117" s="57"/>
      <c r="CA117" s="57"/>
      <c r="CB117" s="56">
        <v>45729</v>
      </c>
      <c r="CC117" s="57">
        <v>45820</v>
      </c>
      <c r="CD117" s="57">
        <v>45911</v>
      </c>
      <c r="CE117" s="57">
        <v>46002</v>
      </c>
      <c r="CF117" s="57"/>
      <c r="CG117" s="57"/>
      <c r="CH117" s="57"/>
      <c r="CI117" s="57"/>
      <c r="CJ117" s="57"/>
      <c r="CK117" s="57"/>
      <c r="CL117" s="57"/>
      <c r="CM117" s="57"/>
      <c r="CN117" s="56">
        <v>45736</v>
      </c>
      <c r="CO117" s="57">
        <v>45827</v>
      </c>
      <c r="CP117" s="57">
        <v>45918</v>
      </c>
      <c r="CQ117" s="57">
        <v>46009</v>
      </c>
      <c r="CR117" s="57"/>
      <c r="CS117" s="57"/>
      <c r="CT117" s="57"/>
      <c r="CU117" s="57"/>
      <c r="CV117" s="57"/>
      <c r="CW117" s="57"/>
      <c r="CX117" s="57"/>
      <c r="CY117" s="57"/>
      <c r="CZ117" s="56" t="s">
        <v>5034</v>
      </c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8"/>
      <c r="DL117" s="59">
        <v>4</v>
      </c>
      <c r="DM117" s="60">
        <v>4</v>
      </c>
      <c r="DN117" s="61">
        <v>4</v>
      </c>
      <c r="DO117" s="60">
        <v>4</v>
      </c>
      <c r="DP117" s="60">
        <v>0</v>
      </c>
      <c r="DQ117" s="59">
        <v>16</v>
      </c>
      <c r="DR117" s="62">
        <v>1684</v>
      </c>
      <c r="DS117" s="62" t="s">
        <v>5034</v>
      </c>
      <c r="DU117" s="62" t="s">
        <v>5034</v>
      </c>
      <c r="DV117" s="63">
        <v>45169.315542928241</v>
      </c>
      <c r="DW117" s="64">
        <v>2023</v>
      </c>
      <c r="DX117" s="65">
        <v>8</v>
      </c>
    </row>
    <row r="118" spans="2:128" ht="15">
      <c r="B118" s="43" t="s">
        <v>5022</v>
      </c>
      <c r="C118" s="43" t="s">
        <v>4802</v>
      </c>
      <c r="D118" s="43" t="s">
        <v>3021</v>
      </c>
      <c r="E118" s="49">
        <v>45070</v>
      </c>
      <c r="F118" s="49"/>
      <c r="G118" s="50">
        <v>1</v>
      </c>
      <c r="H118" s="43" t="s">
        <v>4889</v>
      </c>
      <c r="I118" s="43" t="s">
        <v>5030</v>
      </c>
      <c r="J118" s="43">
        <v>6</v>
      </c>
      <c r="K118" s="43">
        <v>2</v>
      </c>
      <c r="L118" s="43">
        <v>2</v>
      </c>
      <c r="M118" s="43"/>
      <c r="N118" s="43"/>
      <c r="O118" s="43" t="s">
        <v>5140</v>
      </c>
      <c r="P118" s="43" t="s">
        <v>3020</v>
      </c>
      <c r="Q118" s="43"/>
      <c r="R118" s="43" t="s">
        <v>5045</v>
      </c>
      <c r="S118" s="43" t="s">
        <v>5026</v>
      </c>
      <c r="T118" s="51" t="s">
        <v>5027</v>
      </c>
      <c r="U118" s="52" t="s">
        <v>5028</v>
      </c>
      <c r="V118" s="53" t="s">
        <v>3884</v>
      </c>
      <c r="W118" s="54" t="s">
        <v>3020</v>
      </c>
      <c r="X118" s="55" t="s">
        <v>4889</v>
      </c>
      <c r="AI118" s="54"/>
      <c r="AJ118" s="56">
        <v>45740</v>
      </c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8"/>
      <c r="BD118" s="55" t="s">
        <v>5030</v>
      </c>
      <c r="BO118" s="54"/>
      <c r="BP118" s="56">
        <v>45712</v>
      </c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6">
        <v>45730</v>
      </c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6">
        <v>45736</v>
      </c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6" t="s">
        <v>5034</v>
      </c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8"/>
      <c r="DL118" s="59">
        <v>1</v>
      </c>
      <c r="DM118" s="60">
        <v>1</v>
      </c>
      <c r="DN118" s="61">
        <v>1</v>
      </c>
      <c r="DO118" s="60">
        <v>1</v>
      </c>
      <c r="DP118" s="60">
        <v>0</v>
      </c>
      <c r="DQ118" s="59">
        <v>4</v>
      </c>
      <c r="DR118" s="62">
        <v>1700</v>
      </c>
      <c r="DS118" s="62" t="s">
        <v>5034</v>
      </c>
      <c r="DU118" s="62" t="s">
        <v>5034</v>
      </c>
      <c r="DV118" s="63">
        <v>45495</v>
      </c>
      <c r="DW118" s="64">
        <v>2024</v>
      </c>
      <c r="DX118" s="65">
        <v>7</v>
      </c>
    </row>
    <row r="119" spans="2:128" ht="15">
      <c r="B119" s="43" t="s">
        <v>5022</v>
      </c>
      <c r="C119" s="43" t="s">
        <v>4860</v>
      </c>
      <c r="D119" s="43" t="s">
        <v>4866</v>
      </c>
      <c r="E119" s="49">
        <v>45149</v>
      </c>
      <c r="F119" s="49"/>
      <c r="G119" s="50">
        <v>1</v>
      </c>
      <c r="H119" s="43" t="s">
        <v>4896</v>
      </c>
      <c r="I119" s="43" t="s">
        <v>5031</v>
      </c>
      <c r="J119" s="43"/>
      <c r="K119" s="43">
        <v>2</v>
      </c>
      <c r="L119" s="43">
        <v>3</v>
      </c>
      <c r="M119" s="43"/>
      <c r="N119" s="43"/>
      <c r="O119" s="43" t="s">
        <v>5141</v>
      </c>
      <c r="P119" s="43" t="s">
        <v>3359</v>
      </c>
      <c r="Q119" s="43"/>
      <c r="R119" s="43" t="s">
        <v>5081</v>
      </c>
      <c r="S119" s="43" t="s">
        <v>5026</v>
      </c>
      <c r="T119" s="51" t="s">
        <v>5027</v>
      </c>
      <c r="U119" s="52" t="s">
        <v>5028</v>
      </c>
      <c r="V119" s="53" t="s">
        <v>3884</v>
      </c>
      <c r="W119" s="54" t="s">
        <v>3359</v>
      </c>
      <c r="X119" s="55" t="s">
        <v>4896</v>
      </c>
      <c r="AI119" s="54"/>
      <c r="AJ119" s="56">
        <v>45831</v>
      </c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8"/>
      <c r="BD119" s="55" t="s">
        <v>5031</v>
      </c>
      <c r="BO119" s="54"/>
      <c r="BP119" s="56">
        <v>45803</v>
      </c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6" t="s">
        <v>5034</v>
      </c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6">
        <v>45827</v>
      </c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6" t="s">
        <v>5034</v>
      </c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8"/>
      <c r="DL119" s="59">
        <v>1</v>
      </c>
      <c r="DM119" s="60">
        <v>1</v>
      </c>
      <c r="DN119" s="61">
        <v>0</v>
      </c>
      <c r="DO119" s="60">
        <v>1</v>
      </c>
      <c r="DP119" s="60">
        <v>0</v>
      </c>
      <c r="DQ119" s="59">
        <v>3</v>
      </c>
      <c r="DR119" s="62">
        <v>1704</v>
      </c>
      <c r="DS119" s="62" t="s">
        <v>5034</v>
      </c>
      <c r="DU119" s="62" t="s">
        <v>5034</v>
      </c>
      <c r="DV119" s="63">
        <v>45406</v>
      </c>
      <c r="DW119" s="64">
        <v>2024</v>
      </c>
      <c r="DX119" s="65">
        <v>4</v>
      </c>
    </row>
    <row r="120" spans="2:128" ht="15">
      <c r="B120" s="43" t="s">
        <v>5022</v>
      </c>
      <c r="C120" s="43" t="s">
        <v>4860</v>
      </c>
      <c r="D120" s="43" t="s">
        <v>4867</v>
      </c>
      <c r="E120" s="49">
        <v>45149</v>
      </c>
      <c r="F120" s="49"/>
      <c r="G120" s="50">
        <v>1</v>
      </c>
      <c r="H120" s="43" t="s">
        <v>4896</v>
      </c>
      <c r="I120" s="43" t="s">
        <v>5031</v>
      </c>
      <c r="J120" s="43"/>
      <c r="K120" s="43">
        <v>2</v>
      </c>
      <c r="L120" s="43">
        <v>3</v>
      </c>
      <c r="M120" s="43"/>
      <c r="N120" s="43"/>
      <c r="O120" s="43" t="s">
        <v>5141</v>
      </c>
      <c r="P120" s="43" t="s">
        <v>3350</v>
      </c>
      <c r="Q120" s="43"/>
      <c r="R120" s="43" t="s">
        <v>5081</v>
      </c>
      <c r="S120" s="43" t="s">
        <v>5026</v>
      </c>
      <c r="T120" s="51" t="s">
        <v>5027</v>
      </c>
      <c r="U120" s="52" t="s">
        <v>5028</v>
      </c>
      <c r="V120" s="53" t="s">
        <v>3884</v>
      </c>
      <c r="W120" s="54" t="s">
        <v>3350</v>
      </c>
      <c r="X120" s="55" t="s">
        <v>4896</v>
      </c>
      <c r="AI120" s="54"/>
      <c r="AJ120" s="56">
        <v>45831</v>
      </c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8"/>
      <c r="BD120" s="55" t="s">
        <v>5031</v>
      </c>
      <c r="BO120" s="54"/>
      <c r="BP120" s="56">
        <v>45803</v>
      </c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6" t="s">
        <v>5034</v>
      </c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6">
        <v>45827</v>
      </c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6" t="s">
        <v>5034</v>
      </c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8"/>
      <c r="DL120" s="59">
        <v>1</v>
      </c>
      <c r="DM120" s="60">
        <v>1</v>
      </c>
      <c r="DN120" s="61">
        <v>0</v>
      </c>
      <c r="DO120" s="60">
        <v>1</v>
      </c>
      <c r="DP120" s="60">
        <v>0</v>
      </c>
      <c r="DQ120" s="59">
        <v>3</v>
      </c>
      <c r="DR120" s="62">
        <v>1707</v>
      </c>
      <c r="DS120" s="62" t="s">
        <v>5034</v>
      </c>
      <c r="DU120" s="62" t="s">
        <v>5034</v>
      </c>
      <c r="DV120" s="63">
        <v>45406</v>
      </c>
      <c r="DW120" s="64">
        <v>2024</v>
      </c>
      <c r="DX120" s="65">
        <v>4</v>
      </c>
    </row>
    <row r="121" spans="2:128" ht="15">
      <c r="B121" s="43" t="s">
        <v>5022</v>
      </c>
      <c r="C121" s="43" t="s">
        <v>4859</v>
      </c>
      <c r="D121" s="43" t="s">
        <v>4868</v>
      </c>
      <c r="E121" s="49">
        <v>45153</v>
      </c>
      <c r="F121" s="49"/>
      <c r="G121" s="50">
        <v>1</v>
      </c>
      <c r="H121" s="43" t="s">
        <v>4798</v>
      </c>
      <c r="I121" s="43" t="s">
        <v>5023</v>
      </c>
      <c r="J121" s="43"/>
      <c r="K121" s="43">
        <v>2</v>
      </c>
      <c r="L121" s="43">
        <v>3</v>
      </c>
      <c r="M121" s="43"/>
      <c r="N121" s="43"/>
      <c r="O121" s="43" t="s">
        <v>5059</v>
      </c>
      <c r="P121" s="43" t="s">
        <v>5024</v>
      </c>
      <c r="Q121" s="43"/>
      <c r="R121" s="43" t="s">
        <v>5098</v>
      </c>
      <c r="S121" s="43" t="s">
        <v>5026</v>
      </c>
      <c r="T121" s="51" t="s">
        <v>5027</v>
      </c>
      <c r="U121" s="52" t="s">
        <v>5028</v>
      </c>
      <c r="V121" s="53" t="s">
        <v>3884</v>
      </c>
      <c r="W121" s="54" t="s">
        <v>3341</v>
      </c>
      <c r="X121" s="55" t="s">
        <v>4889</v>
      </c>
      <c r="Y121" t="s">
        <v>4896</v>
      </c>
      <c r="Z121" t="s">
        <v>4800</v>
      </c>
      <c r="AA121" t="s">
        <v>4891</v>
      </c>
      <c r="AI121" s="54"/>
      <c r="AJ121" s="56">
        <v>45740</v>
      </c>
      <c r="AK121" s="57">
        <v>45831</v>
      </c>
      <c r="AL121" s="57">
        <v>45922</v>
      </c>
      <c r="AM121" s="57">
        <v>46013</v>
      </c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8"/>
      <c r="BD121" s="55" t="s">
        <v>5030</v>
      </c>
      <c r="BE121" t="s">
        <v>5031</v>
      </c>
      <c r="BF121" t="s">
        <v>5032</v>
      </c>
      <c r="BG121" t="s">
        <v>5033</v>
      </c>
      <c r="BO121" s="54"/>
      <c r="BP121" s="56">
        <v>45712</v>
      </c>
      <c r="BQ121" s="57">
        <v>45803</v>
      </c>
      <c r="BR121" s="57">
        <v>45894</v>
      </c>
      <c r="BS121" s="57">
        <v>45985</v>
      </c>
      <c r="BT121" s="57"/>
      <c r="BU121" s="57"/>
      <c r="BV121" s="57"/>
      <c r="BW121" s="57"/>
      <c r="BX121" s="57"/>
      <c r="BY121" s="57"/>
      <c r="BZ121" s="57"/>
      <c r="CA121" s="57"/>
      <c r="CB121" s="56" t="s">
        <v>5034</v>
      </c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6">
        <v>45736</v>
      </c>
      <c r="CO121" s="57">
        <v>45827</v>
      </c>
      <c r="CP121" s="57">
        <v>45918</v>
      </c>
      <c r="CQ121" s="57">
        <v>46009</v>
      </c>
      <c r="CR121" s="57"/>
      <c r="CS121" s="57"/>
      <c r="CT121" s="57"/>
      <c r="CU121" s="57"/>
      <c r="CV121" s="57"/>
      <c r="CW121" s="57"/>
      <c r="CX121" s="57"/>
      <c r="CY121" s="57"/>
      <c r="CZ121" s="56" t="s">
        <v>5034</v>
      </c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8"/>
      <c r="DL121" s="59">
        <v>4</v>
      </c>
      <c r="DM121" s="60">
        <v>4</v>
      </c>
      <c r="DN121" s="61">
        <v>0</v>
      </c>
      <c r="DO121" s="60">
        <v>4</v>
      </c>
      <c r="DP121" s="60">
        <v>0</v>
      </c>
      <c r="DQ121" s="59">
        <v>12</v>
      </c>
      <c r="DR121" s="62">
        <v>1710</v>
      </c>
      <c r="DS121" s="62" t="s">
        <v>5034</v>
      </c>
      <c r="DU121" s="62" t="s">
        <v>5034</v>
      </c>
      <c r="DV121" s="63">
        <v>45169.374536435185</v>
      </c>
      <c r="DW121" s="64">
        <v>2023</v>
      </c>
      <c r="DX121" s="65">
        <v>8</v>
      </c>
    </row>
    <row r="122" spans="2:128" ht="15">
      <c r="B122" s="43" t="s">
        <v>5022</v>
      </c>
      <c r="C122" s="43" t="s">
        <v>4802</v>
      </c>
      <c r="D122" s="43" t="s">
        <v>4869</v>
      </c>
      <c r="E122" s="49">
        <v>45156</v>
      </c>
      <c r="F122" s="49"/>
      <c r="G122" s="50">
        <v>1</v>
      </c>
      <c r="H122" s="43" t="s">
        <v>4896</v>
      </c>
      <c r="I122" s="43" t="s">
        <v>5031</v>
      </c>
      <c r="J122" s="43">
        <v>7</v>
      </c>
      <c r="K122" s="43">
        <v>2</v>
      </c>
      <c r="L122" s="43">
        <v>3</v>
      </c>
      <c r="M122" s="43"/>
      <c r="N122" s="43"/>
      <c r="O122" s="43" t="s">
        <v>5119</v>
      </c>
      <c r="P122" s="43" t="s">
        <v>2990</v>
      </c>
      <c r="Q122" s="43"/>
      <c r="R122" s="43" t="s">
        <v>5047</v>
      </c>
      <c r="S122" s="43" t="s">
        <v>5026</v>
      </c>
      <c r="T122" s="51" t="s">
        <v>5027</v>
      </c>
      <c r="U122" s="52" t="s">
        <v>5028</v>
      </c>
      <c r="V122" s="53" t="s">
        <v>3884</v>
      </c>
      <c r="W122" s="54" t="s">
        <v>2990</v>
      </c>
      <c r="X122" s="55" t="s">
        <v>4896</v>
      </c>
      <c r="AI122" s="54"/>
      <c r="AJ122" s="56">
        <v>45831</v>
      </c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8"/>
      <c r="BD122" s="55" t="s">
        <v>5031</v>
      </c>
      <c r="BO122" s="54"/>
      <c r="BP122" s="56">
        <v>45803</v>
      </c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6">
        <v>45820</v>
      </c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6">
        <v>45827</v>
      </c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6" t="s">
        <v>5034</v>
      </c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8"/>
      <c r="DL122" s="59">
        <v>1</v>
      </c>
      <c r="DM122" s="60">
        <v>1</v>
      </c>
      <c r="DN122" s="61">
        <v>1</v>
      </c>
      <c r="DO122" s="60">
        <v>1</v>
      </c>
      <c r="DP122" s="60">
        <v>0</v>
      </c>
      <c r="DQ122" s="59">
        <v>4</v>
      </c>
      <c r="DR122" s="62">
        <v>1722</v>
      </c>
      <c r="DS122" s="62" t="s">
        <v>5034</v>
      </c>
      <c r="DU122" s="62" t="s">
        <v>5034</v>
      </c>
      <c r="DV122" s="63">
        <v>45377</v>
      </c>
      <c r="DW122" s="64">
        <v>2024</v>
      </c>
      <c r="DX122" s="65">
        <v>3</v>
      </c>
    </row>
    <row r="123" spans="2:128" ht="15">
      <c r="B123" s="43" t="s">
        <v>5022</v>
      </c>
      <c r="C123" s="43" t="s">
        <v>4854</v>
      </c>
      <c r="D123" s="43" t="s">
        <v>4870</v>
      </c>
      <c r="E123" s="49">
        <v>45170</v>
      </c>
      <c r="F123" s="49"/>
      <c r="G123" s="50">
        <v>1</v>
      </c>
      <c r="H123" s="43" t="s">
        <v>4896</v>
      </c>
      <c r="I123" s="43" t="s">
        <v>5031</v>
      </c>
      <c r="J123" s="43"/>
      <c r="K123" s="43">
        <v>2</v>
      </c>
      <c r="L123" s="43">
        <v>3</v>
      </c>
      <c r="M123" s="43"/>
      <c r="N123" s="43"/>
      <c r="O123" s="43" t="s">
        <v>5059</v>
      </c>
      <c r="P123" s="43" t="s">
        <v>3784</v>
      </c>
      <c r="Q123" s="43"/>
      <c r="R123" s="43" t="s">
        <v>5045</v>
      </c>
      <c r="S123" s="43" t="s">
        <v>5026</v>
      </c>
      <c r="T123" s="51" t="s">
        <v>5027</v>
      </c>
      <c r="U123" s="52" t="s">
        <v>5028</v>
      </c>
      <c r="V123" s="53" t="s">
        <v>3884</v>
      </c>
      <c r="W123" s="54" t="s">
        <v>3784</v>
      </c>
      <c r="X123" s="55" t="s">
        <v>4896</v>
      </c>
      <c r="AI123" s="54"/>
      <c r="AJ123" s="56">
        <v>45831</v>
      </c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8"/>
      <c r="BD123" s="55" t="s">
        <v>5031</v>
      </c>
      <c r="BO123" s="54"/>
      <c r="BP123" s="56">
        <v>45803</v>
      </c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6" t="s">
        <v>5034</v>
      </c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6">
        <v>45827</v>
      </c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6" t="s">
        <v>5034</v>
      </c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8"/>
      <c r="DL123" s="59">
        <v>1</v>
      </c>
      <c r="DM123" s="60">
        <v>1</v>
      </c>
      <c r="DN123" s="61">
        <v>0</v>
      </c>
      <c r="DO123" s="60">
        <v>1</v>
      </c>
      <c r="DP123" s="60">
        <v>0</v>
      </c>
      <c r="DQ123" s="59">
        <v>3</v>
      </c>
      <c r="DR123" s="62">
        <v>1726</v>
      </c>
      <c r="DS123" s="62" t="s">
        <v>5034</v>
      </c>
      <c r="DU123" s="62" t="s">
        <v>5034</v>
      </c>
      <c r="DV123" s="63">
        <v>45406</v>
      </c>
      <c r="DW123" s="64">
        <v>2024</v>
      </c>
      <c r="DX123" s="65">
        <v>4</v>
      </c>
    </row>
    <row r="124" spans="2:128" ht="15">
      <c r="B124" s="43" t="s">
        <v>5022</v>
      </c>
      <c r="C124" s="43" t="s">
        <v>4854</v>
      </c>
      <c r="D124" s="43" t="s">
        <v>4871</v>
      </c>
      <c r="E124" s="49">
        <v>45170</v>
      </c>
      <c r="F124" s="49"/>
      <c r="G124" s="50">
        <v>1</v>
      </c>
      <c r="H124" s="43" t="s">
        <v>4891</v>
      </c>
      <c r="I124" s="43" t="s">
        <v>5033</v>
      </c>
      <c r="J124" s="43">
        <v>5</v>
      </c>
      <c r="K124" s="43">
        <v>2</v>
      </c>
      <c r="L124" s="43">
        <v>3</v>
      </c>
      <c r="M124" s="43"/>
      <c r="N124" s="43"/>
      <c r="O124" s="43" t="s">
        <v>4725</v>
      </c>
      <c r="P124" s="43" t="s">
        <v>5063</v>
      </c>
      <c r="Q124" s="43"/>
      <c r="R124" s="43" t="s">
        <v>5045</v>
      </c>
      <c r="S124" s="43" t="s">
        <v>5026</v>
      </c>
      <c r="T124" s="51" t="s">
        <v>5027</v>
      </c>
      <c r="U124" s="52" t="s">
        <v>5028</v>
      </c>
      <c r="V124" s="53" t="s">
        <v>3884</v>
      </c>
      <c r="W124" s="54" t="s">
        <v>3796</v>
      </c>
      <c r="X124" s="55" t="s">
        <v>4891</v>
      </c>
      <c r="AI124" s="54"/>
      <c r="AJ124" s="56">
        <v>46013</v>
      </c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8"/>
      <c r="BD124" s="55" t="s">
        <v>5033</v>
      </c>
      <c r="BO124" s="54"/>
      <c r="BP124" s="56">
        <v>45985</v>
      </c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6">
        <v>46006</v>
      </c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6">
        <v>46009</v>
      </c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6" t="s">
        <v>5034</v>
      </c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8"/>
      <c r="DL124" s="59">
        <v>1</v>
      </c>
      <c r="DM124" s="60">
        <v>1</v>
      </c>
      <c r="DN124" s="61">
        <v>1</v>
      </c>
      <c r="DO124" s="60">
        <v>1</v>
      </c>
      <c r="DP124" s="60">
        <v>0</v>
      </c>
      <c r="DQ124" s="59">
        <v>4</v>
      </c>
      <c r="DR124" s="62">
        <v>1729</v>
      </c>
      <c r="DS124" s="62" t="s">
        <v>5034</v>
      </c>
      <c r="DU124" s="62" t="s">
        <v>5034</v>
      </c>
      <c r="DV124" s="63">
        <v>45245</v>
      </c>
      <c r="DW124" s="64">
        <v>2023</v>
      </c>
      <c r="DX124" s="65">
        <v>11</v>
      </c>
    </row>
    <row r="125" spans="2:128" ht="15">
      <c r="B125" s="43" t="s">
        <v>5022</v>
      </c>
      <c r="C125" s="43" t="s">
        <v>4854</v>
      </c>
      <c r="D125" s="43" t="s">
        <v>4872</v>
      </c>
      <c r="E125" s="49">
        <v>45197</v>
      </c>
      <c r="F125" s="49"/>
      <c r="G125" s="50">
        <v>1</v>
      </c>
      <c r="H125" s="43" t="s">
        <v>4896</v>
      </c>
      <c r="I125" s="43" t="s">
        <v>5031</v>
      </c>
      <c r="J125" s="43"/>
      <c r="K125" s="43">
        <v>2</v>
      </c>
      <c r="L125" s="43">
        <v>3</v>
      </c>
      <c r="M125" s="43"/>
      <c r="N125" s="43" t="s">
        <v>5090</v>
      </c>
      <c r="O125" s="43" t="s">
        <v>5059</v>
      </c>
      <c r="P125" s="43" t="s">
        <v>3767</v>
      </c>
      <c r="Q125" s="43"/>
      <c r="R125" s="43" t="s">
        <v>5045</v>
      </c>
      <c r="S125" s="43" t="s">
        <v>5026</v>
      </c>
      <c r="T125" s="51" t="s">
        <v>5027</v>
      </c>
      <c r="U125" s="52" t="s">
        <v>5028</v>
      </c>
      <c r="V125" s="53" t="s">
        <v>3884</v>
      </c>
      <c r="W125" s="54" t="s">
        <v>3767</v>
      </c>
      <c r="X125" s="55" t="s">
        <v>4896</v>
      </c>
      <c r="AI125" s="54"/>
      <c r="AJ125" s="56">
        <v>45831</v>
      </c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8"/>
      <c r="BD125" s="55" t="s">
        <v>5031</v>
      </c>
      <c r="BO125" s="54"/>
      <c r="BP125" s="56">
        <v>45803</v>
      </c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6" t="s">
        <v>5034</v>
      </c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6">
        <v>45827</v>
      </c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6" t="s">
        <v>5034</v>
      </c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8"/>
      <c r="DL125" s="59">
        <v>1</v>
      </c>
      <c r="DM125" s="60">
        <v>1</v>
      </c>
      <c r="DN125" s="61">
        <v>0</v>
      </c>
      <c r="DO125" s="60">
        <v>1</v>
      </c>
      <c r="DP125" s="60">
        <v>0</v>
      </c>
      <c r="DQ125" s="59">
        <v>3</v>
      </c>
      <c r="DR125" s="62">
        <v>1733</v>
      </c>
      <c r="DS125" s="62" t="s">
        <v>5034</v>
      </c>
      <c r="DU125" s="62" t="s">
        <v>5034</v>
      </c>
      <c r="DV125" s="63">
        <v>45406</v>
      </c>
      <c r="DW125" s="64">
        <v>2024</v>
      </c>
      <c r="DX125" s="65">
        <v>4</v>
      </c>
    </row>
    <row r="126" spans="2:128" ht="15">
      <c r="B126" s="43" t="s">
        <v>5022</v>
      </c>
      <c r="C126" s="43"/>
      <c r="D126" s="43" t="s">
        <v>2193</v>
      </c>
      <c r="E126" s="49">
        <v>45238</v>
      </c>
      <c r="F126" s="49"/>
      <c r="G126" s="50">
        <v>1</v>
      </c>
      <c r="H126" s="43" t="s">
        <v>4798</v>
      </c>
      <c r="I126" s="43" t="s">
        <v>5023</v>
      </c>
      <c r="J126" s="43"/>
      <c r="K126" s="43">
        <v>2</v>
      </c>
      <c r="L126" s="43">
        <v>3</v>
      </c>
      <c r="M126" s="43"/>
      <c r="N126" s="43" t="s">
        <v>5142</v>
      </c>
      <c r="O126" s="43" t="s">
        <v>5119</v>
      </c>
      <c r="P126" s="43" t="s">
        <v>2192</v>
      </c>
      <c r="Q126" s="43"/>
      <c r="R126" s="43" t="s">
        <v>5047</v>
      </c>
      <c r="S126" s="43" t="s">
        <v>5026</v>
      </c>
      <c r="T126" s="51" t="s">
        <v>5027</v>
      </c>
      <c r="U126" s="52" t="s">
        <v>5028</v>
      </c>
      <c r="V126" s="53" t="s">
        <v>3884</v>
      </c>
      <c r="W126" s="54" t="s">
        <v>2192</v>
      </c>
      <c r="X126" s="55" t="s">
        <v>4889</v>
      </c>
      <c r="Y126" t="s">
        <v>4896</v>
      </c>
      <c r="Z126" t="s">
        <v>4800</v>
      </c>
      <c r="AA126" t="s">
        <v>4891</v>
      </c>
      <c r="AI126" s="54"/>
      <c r="AJ126" s="56">
        <v>45740</v>
      </c>
      <c r="AK126" s="57">
        <v>45831</v>
      </c>
      <c r="AL126" s="57">
        <v>45922</v>
      </c>
      <c r="AM126" s="57">
        <v>46013</v>
      </c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8"/>
      <c r="BD126" s="55" t="s">
        <v>5030</v>
      </c>
      <c r="BE126" t="s">
        <v>5031</v>
      </c>
      <c r="BF126" t="s">
        <v>5032</v>
      </c>
      <c r="BG126" t="s">
        <v>5033</v>
      </c>
      <c r="BO126" s="54"/>
      <c r="BP126" s="56">
        <v>45712</v>
      </c>
      <c r="BQ126" s="57">
        <v>45803</v>
      </c>
      <c r="BR126" s="57">
        <v>45894</v>
      </c>
      <c r="BS126" s="57">
        <v>45985</v>
      </c>
      <c r="BT126" s="57"/>
      <c r="BU126" s="57"/>
      <c r="BV126" s="57"/>
      <c r="BW126" s="57"/>
      <c r="BX126" s="57"/>
      <c r="BY126" s="57"/>
      <c r="BZ126" s="57"/>
      <c r="CA126" s="57"/>
      <c r="CB126" s="56" t="s">
        <v>5034</v>
      </c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6">
        <v>45736</v>
      </c>
      <c r="CO126" s="57">
        <v>45827</v>
      </c>
      <c r="CP126" s="57">
        <v>45918</v>
      </c>
      <c r="CQ126" s="57">
        <v>46009</v>
      </c>
      <c r="CR126" s="57"/>
      <c r="CS126" s="57"/>
      <c r="CT126" s="57"/>
      <c r="CU126" s="57"/>
      <c r="CV126" s="57"/>
      <c r="CW126" s="57"/>
      <c r="CX126" s="57"/>
      <c r="CY126" s="57"/>
      <c r="CZ126" s="56" t="s">
        <v>5034</v>
      </c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8"/>
      <c r="DL126" s="59">
        <v>4</v>
      </c>
      <c r="DM126" s="60">
        <v>4</v>
      </c>
      <c r="DN126" s="61">
        <v>0</v>
      </c>
      <c r="DO126" s="60">
        <v>4</v>
      </c>
      <c r="DP126" s="60">
        <v>0</v>
      </c>
      <c r="DQ126" s="59">
        <v>12</v>
      </c>
      <c r="DR126" s="62">
        <v>1736</v>
      </c>
      <c r="DS126" s="62" t="s">
        <v>5034</v>
      </c>
      <c r="DU126" s="62" t="s">
        <v>5034</v>
      </c>
      <c r="DV126" s="63">
        <v>45245</v>
      </c>
      <c r="DW126" s="64">
        <v>2023</v>
      </c>
      <c r="DX126" s="65">
        <v>11</v>
      </c>
    </row>
    <row r="127" spans="2:128" ht="15">
      <c r="B127" s="43" t="s">
        <v>5022</v>
      </c>
      <c r="C127" s="43" t="s">
        <v>4873</v>
      </c>
      <c r="D127" s="43" t="s">
        <v>1926</v>
      </c>
      <c r="E127" s="49">
        <v>45239</v>
      </c>
      <c r="F127" s="49"/>
      <c r="G127" s="50">
        <v>1</v>
      </c>
      <c r="H127" s="43" t="s">
        <v>4799</v>
      </c>
      <c r="I127" s="43" t="s">
        <v>5076</v>
      </c>
      <c r="J127" s="43">
        <v>6</v>
      </c>
      <c r="K127" s="43">
        <v>2</v>
      </c>
      <c r="L127" s="43">
        <v>3</v>
      </c>
      <c r="M127" s="43"/>
      <c r="N127" s="43"/>
      <c r="O127" s="43"/>
      <c r="P127" s="43" t="s">
        <v>1925</v>
      </c>
      <c r="Q127" s="43"/>
      <c r="R127" s="43" t="s">
        <v>5068</v>
      </c>
      <c r="S127" s="43" t="s">
        <v>5026</v>
      </c>
      <c r="T127" s="51" t="s">
        <v>5027</v>
      </c>
      <c r="U127" s="52" t="s">
        <v>5028</v>
      </c>
      <c r="V127" s="53" t="s">
        <v>3884</v>
      </c>
      <c r="W127" s="54" t="s">
        <v>1925</v>
      </c>
      <c r="X127" s="55" t="s">
        <v>4889</v>
      </c>
      <c r="Y127" t="s">
        <v>4800</v>
      </c>
      <c r="AI127" s="54"/>
      <c r="AJ127" s="56">
        <v>45740</v>
      </c>
      <c r="AK127" s="57">
        <v>45922</v>
      </c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8"/>
      <c r="BD127" s="55" t="s">
        <v>5030</v>
      </c>
      <c r="BE127" t="s">
        <v>5032</v>
      </c>
      <c r="BO127" s="54"/>
      <c r="BP127" s="56">
        <v>45712</v>
      </c>
      <c r="BQ127" s="57">
        <v>45894</v>
      </c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6">
        <v>45730</v>
      </c>
      <c r="CC127" s="57">
        <v>45912</v>
      </c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6">
        <v>45736</v>
      </c>
      <c r="CO127" s="57">
        <v>45918</v>
      </c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6" t="s">
        <v>5034</v>
      </c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8"/>
      <c r="DL127" s="59">
        <v>2</v>
      </c>
      <c r="DM127" s="60">
        <v>2</v>
      </c>
      <c r="DN127" s="61">
        <v>2</v>
      </c>
      <c r="DO127" s="60">
        <v>2</v>
      </c>
      <c r="DP127" s="60">
        <v>0</v>
      </c>
      <c r="DQ127" s="59">
        <v>8</v>
      </c>
      <c r="DR127" s="62">
        <v>1748</v>
      </c>
      <c r="DS127" s="62" t="s">
        <v>5034</v>
      </c>
      <c r="DU127" s="62" t="s">
        <v>5034</v>
      </c>
      <c r="DV127" s="63">
        <v>45352</v>
      </c>
      <c r="DW127" s="64">
        <v>2024</v>
      </c>
      <c r="DX127" s="65">
        <v>3</v>
      </c>
    </row>
    <row r="128" spans="2:128" ht="15">
      <c r="B128" s="43" t="s">
        <v>5022</v>
      </c>
      <c r="C128" s="43"/>
      <c r="D128" s="43" t="s">
        <v>1710</v>
      </c>
      <c r="E128" s="49">
        <v>45246</v>
      </c>
      <c r="F128" s="49"/>
      <c r="G128" s="50">
        <v>1</v>
      </c>
      <c r="H128" s="43" t="s">
        <v>4798</v>
      </c>
      <c r="I128" s="43" t="s">
        <v>5023</v>
      </c>
      <c r="J128" s="43"/>
      <c r="K128" s="43">
        <v>2</v>
      </c>
      <c r="L128" s="43">
        <v>3</v>
      </c>
      <c r="M128" s="43"/>
      <c r="N128" s="43" t="s">
        <v>995</v>
      </c>
      <c r="O128" s="43"/>
      <c r="P128" s="43" t="s">
        <v>5024</v>
      </c>
      <c r="Q128" s="43"/>
      <c r="R128" s="43" t="s">
        <v>5038</v>
      </c>
      <c r="S128" s="43" t="s">
        <v>5026</v>
      </c>
      <c r="T128" s="51" t="s">
        <v>5027</v>
      </c>
      <c r="U128" s="52" t="s">
        <v>5028</v>
      </c>
      <c r="V128" s="53" t="s">
        <v>3884</v>
      </c>
      <c r="W128" s="54" t="s">
        <v>1709</v>
      </c>
      <c r="X128" s="55" t="s">
        <v>4889</v>
      </c>
      <c r="Y128" t="s">
        <v>4896</v>
      </c>
      <c r="Z128" t="s">
        <v>4800</v>
      </c>
      <c r="AA128" t="s">
        <v>4891</v>
      </c>
      <c r="AI128" s="54"/>
      <c r="AJ128" s="56">
        <v>45740</v>
      </c>
      <c r="AK128" s="57">
        <v>45831</v>
      </c>
      <c r="AL128" s="57">
        <v>45922</v>
      </c>
      <c r="AM128" s="57">
        <v>46013</v>
      </c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8"/>
      <c r="BD128" s="55" t="s">
        <v>5030</v>
      </c>
      <c r="BE128" t="s">
        <v>5031</v>
      </c>
      <c r="BF128" t="s">
        <v>5032</v>
      </c>
      <c r="BG128" t="s">
        <v>5033</v>
      </c>
      <c r="BO128" s="54"/>
      <c r="BP128" s="56">
        <v>45712</v>
      </c>
      <c r="BQ128" s="57">
        <v>45803</v>
      </c>
      <c r="BR128" s="57">
        <v>45894</v>
      </c>
      <c r="BS128" s="57">
        <v>45985</v>
      </c>
      <c r="BT128" s="57"/>
      <c r="BU128" s="57"/>
      <c r="BV128" s="57"/>
      <c r="BW128" s="57"/>
      <c r="BX128" s="57"/>
      <c r="BY128" s="57"/>
      <c r="BZ128" s="57"/>
      <c r="CA128" s="57"/>
      <c r="CB128" s="56" t="s">
        <v>5034</v>
      </c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6">
        <v>45736</v>
      </c>
      <c r="CO128" s="57">
        <v>45827</v>
      </c>
      <c r="CP128" s="57">
        <v>45918</v>
      </c>
      <c r="CQ128" s="57">
        <v>46009</v>
      </c>
      <c r="CR128" s="57"/>
      <c r="CS128" s="57"/>
      <c r="CT128" s="57"/>
      <c r="CU128" s="57"/>
      <c r="CV128" s="57"/>
      <c r="CW128" s="57"/>
      <c r="CX128" s="57"/>
      <c r="CY128" s="57"/>
      <c r="CZ128" s="56" t="s">
        <v>5034</v>
      </c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8"/>
      <c r="DL128" s="59">
        <v>4</v>
      </c>
      <c r="DM128" s="60">
        <v>4</v>
      </c>
      <c r="DN128" s="61">
        <v>0</v>
      </c>
      <c r="DO128" s="60">
        <v>4</v>
      </c>
      <c r="DP128" s="60">
        <v>0</v>
      </c>
      <c r="DQ128" s="59">
        <v>12</v>
      </c>
      <c r="DR128" s="62">
        <v>1756</v>
      </c>
      <c r="DS128" s="62" t="s">
        <v>5034</v>
      </c>
      <c r="DU128" s="62" t="s">
        <v>5034</v>
      </c>
      <c r="DV128" s="63">
        <v>45250</v>
      </c>
      <c r="DW128" s="64">
        <v>2023</v>
      </c>
      <c r="DX128" s="65">
        <v>11</v>
      </c>
    </row>
    <row r="129" spans="2:128" ht="15">
      <c r="B129" s="43" t="s">
        <v>5022</v>
      </c>
      <c r="C129" s="43" t="s">
        <v>4873</v>
      </c>
      <c r="D129" s="43" t="s">
        <v>1880</v>
      </c>
      <c r="E129" s="49">
        <v>45254</v>
      </c>
      <c r="F129" s="49"/>
      <c r="G129" s="50">
        <v>1</v>
      </c>
      <c r="H129" s="43" t="s">
        <v>4799</v>
      </c>
      <c r="I129" s="43" t="s">
        <v>5076</v>
      </c>
      <c r="J129" s="43">
        <v>6</v>
      </c>
      <c r="K129" s="43">
        <v>2</v>
      </c>
      <c r="L129" s="43">
        <v>3</v>
      </c>
      <c r="M129" s="43"/>
      <c r="N129" s="43" t="s">
        <v>1925</v>
      </c>
      <c r="O129" s="43"/>
      <c r="P129" s="43" t="s">
        <v>1925</v>
      </c>
      <c r="Q129" s="43"/>
      <c r="R129" s="43" t="s">
        <v>5068</v>
      </c>
      <c r="S129" s="43" t="s">
        <v>5026</v>
      </c>
      <c r="T129" s="51" t="s">
        <v>5027</v>
      </c>
      <c r="U129" s="52" t="s">
        <v>5028</v>
      </c>
      <c r="V129" s="53" t="s">
        <v>3884</v>
      </c>
      <c r="W129" s="54" t="s">
        <v>1879</v>
      </c>
      <c r="X129" s="55" t="s">
        <v>4889</v>
      </c>
      <c r="Y129" t="s">
        <v>4800</v>
      </c>
      <c r="AI129" s="54"/>
      <c r="AJ129" s="56">
        <v>45740</v>
      </c>
      <c r="AK129" s="57">
        <v>45922</v>
      </c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8"/>
      <c r="BD129" s="55" t="s">
        <v>5030</v>
      </c>
      <c r="BE129" t="s">
        <v>5032</v>
      </c>
      <c r="BO129" s="54"/>
      <c r="BP129" s="56">
        <v>45712</v>
      </c>
      <c r="BQ129" s="57">
        <v>45894</v>
      </c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6">
        <v>45730</v>
      </c>
      <c r="CC129" s="57">
        <v>45912</v>
      </c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6">
        <v>45736</v>
      </c>
      <c r="CO129" s="57">
        <v>45918</v>
      </c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6" t="s">
        <v>5034</v>
      </c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8"/>
      <c r="DL129" s="59">
        <v>2</v>
      </c>
      <c r="DM129" s="60">
        <v>2</v>
      </c>
      <c r="DN129" s="61">
        <v>2</v>
      </c>
      <c r="DO129" s="60">
        <v>2</v>
      </c>
      <c r="DP129" s="60">
        <v>0</v>
      </c>
      <c r="DQ129" s="59">
        <v>8</v>
      </c>
      <c r="DR129" s="62">
        <v>1768</v>
      </c>
      <c r="DS129" s="62" t="s">
        <v>5034</v>
      </c>
      <c r="DU129" s="62" t="s">
        <v>5034</v>
      </c>
      <c r="DV129" s="63">
        <v>45352</v>
      </c>
      <c r="DW129" s="64">
        <v>2024</v>
      </c>
      <c r="DX129" s="65">
        <v>3</v>
      </c>
    </row>
    <row r="130" spans="2:128" ht="15">
      <c r="B130" s="43" t="s">
        <v>5022</v>
      </c>
      <c r="C130" s="43" t="s">
        <v>4873</v>
      </c>
      <c r="D130" s="43" t="s">
        <v>1889</v>
      </c>
      <c r="E130" s="49">
        <v>45254</v>
      </c>
      <c r="F130" s="49"/>
      <c r="G130" s="50">
        <v>1</v>
      </c>
      <c r="H130" s="43" t="s">
        <v>4799</v>
      </c>
      <c r="I130" s="43" t="s">
        <v>5076</v>
      </c>
      <c r="J130" s="43">
        <v>6</v>
      </c>
      <c r="K130" s="43">
        <v>2</v>
      </c>
      <c r="L130" s="43">
        <v>3</v>
      </c>
      <c r="M130" s="43"/>
      <c r="N130" s="43" t="s">
        <v>1925</v>
      </c>
      <c r="O130" s="43"/>
      <c r="P130" s="43" t="s">
        <v>1925</v>
      </c>
      <c r="Q130" s="43"/>
      <c r="R130" s="43" t="s">
        <v>5068</v>
      </c>
      <c r="S130" s="43" t="s">
        <v>5026</v>
      </c>
      <c r="T130" s="51" t="s">
        <v>5027</v>
      </c>
      <c r="U130" s="52" t="s">
        <v>5028</v>
      </c>
      <c r="V130" s="53" t="s">
        <v>3884</v>
      </c>
      <c r="W130" s="54" t="s">
        <v>1888</v>
      </c>
      <c r="X130" s="55" t="s">
        <v>4889</v>
      </c>
      <c r="Y130" t="s">
        <v>4800</v>
      </c>
      <c r="AI130" s="54"/>
      <c r="AJ130" s="56">
        <v>45740</v>
      </c>
      <c r="AK130" s="57">
        <v>45922</v>
      </c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8"/>
      <c r="BD130" s="55" t="s">
        <v>5030</v>
      </c>
      <c r="BE130" t="s">
        <v>5032</v>
      </c>
      <c r="BO130" s="54"/>
      <c r="BP130" s="56">
        <v>45712</v>
      </c>
      <c r="BQ130" s="57">
        <v>45894</v>
      </c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6">
        <v>45730</v>
      </c>
      <c r="CC130" s="57">
        <v>45912</v>
      </c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6">
        <v>45736</v>
      </c>
      <c r="CO130" s="57">
        <v>45918</v>
      </c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6" t="s">
        <v>5034</v>
      </c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8"/>
      <c r="DL130" s="59">
        <v>2</v>
      </c>
      <c r="DM130" s="60">
        <v>2</v>
      </c>
      <c r="DN130" s="61">
        <v>2</v>
      </c>
      <c r="DO130" s="60">
        <v>2</v>
      </c>
      <c r="DP130" s="60">
        <v>0</v>
      </c>
      <c r="DQ130" s="59">
        <v>8</v>
      </c>
      <c r="DR130" s="62">
        <v>1776</v>
      </c>
      <c r="DS130" s="62" t="s">
        <v>5034</v>
      </c>
      <c r="DU130" s="62" t="s">
        <v>5034</v>
      </c>
      <c r="DV130" s="63">
        <v>45352</v>
      </c>
      <c r="DW130" s="64">
        <v>2024</v>
      </c>
      <c r="DX130" s="65">
        <v>3</v>
      </c>
    </row>
    <row r="131" spans="2:128" ht="15">
      <c r="B131" s="43" t="s">
        <v>5022</v>
      </c>
      <c r="C131" s="43" t="s">
        <v>4873</v>
      </c>
      <c r="D131" s="43" t="s">
        <v>4874</v>
      </c>
      <c r="E131" s="49">
        <v>45254</v>
      </c>
      <c r="F131" s="49"/>
      <c r="G131" s="50">
        <v>1</v>
      </c>
      <c r="H131" s="43" t="s">
        <v>4799</v>
      </c>
      <c r="I131" s="43" t="s">
        <v>5076</v>
      </c>
      <c r="J131" s="43">
        <v>6</v>
      </c>
      <c r="K131" s="43">
        <v>2</v>
      </c>
      <c r="L131" s="43">
        <v>3</v>
      </c>
      <c r="M131" s="43"/>
      <c r="N131" s="43" t="s">
        <v>1925</v>
      </c>
      <c r="O131" s="43"/>
      <c r="P131" s="43" t="s">
        <v>1925</v>
      </c>
      <c r="Q131" s="43"/>
      <c r="R131" s="43" t="s">
        <v>5068</v>
      </c>
      <c r="S131" s="43" t="s">
        <v>5026</v>
      </c>
      <c r="T131" s="51" t="s">
        <v>5027</v>
      </c>
      <c r="U131" s="52" t="s">
        <v>5028</v>
      </c>
      <c r="V131" s="53" t="s">
        <v>3884</v>
      </c>
      <c r="W131" s="54" t="s">
        <v>1838</v>
      </c>
      <c r="X131" s="55" t="s">
        <v>4889</v>
      </c>
      <c r="Y131" t="s">
        <v>4800</v>
      </c>
      <c r="AI131" s="54"/>
      <c r="AJ131" s="56">
        <v>45740</v>
      </c>
      <c r="AK131" s="57">
        <v>45922</v>
      </c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8"/>
      <c r="BD131" s="55" t="s">
        <v>5030</v>
      </c>
      <c r="BE131" t="s">
        <v>5032</v>
      </c>
      <c r="BO131" s="54"/>
      <c r="BP131" s="56">
        <v>45712</v>
      </c>
      <c r="BQ131" s="57">
        <v>45894</v>
      </c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6">
        <v>45730</v>
      </c>
      <c r="CC131" s="57">
        <v>45912</v>
      </c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6">
        <v>45736</v>
      </c>
      <c r="CO131" s="57">
        <v>45918</v>
      </c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6" t="s">
        <v>5034</v>
      </c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8"/>
      <c r="DL131" s="59">
        <v>2</v>
      </c>
      <c r="DM131" s="60">
        <v>2</v>
      </c>
      <c r="DN131" s="61">
        <v>2</v>
      </c>
      <c r="DO131" s="60">
        <v>2</v>
      </c>
      <c r="DP131" s="60">
        <v>0</v>
      </c>
      <c r="DQ131" s="59">
        <v>8</v>
      </c>
      <c r="DR131" s="62">
        <v>1784</v>
      </c>
      <c r="DS131" s="62" t="s">
        <v>5034</v>
      </c>
      <c r="DU131" s="62" t="s">
        <v>5034</v>
      </c>
      <c r="DV131" s="63">
        <v>45352</v>
      </c>
      <c r="DW131" s="64">
        <v>2024</v>
      </c>
      <c r="DX131" s="65">
        <v>3</v>
      </c>
    </row>
    <row r="132" spans="2:128" ht="15">
      <c r="B132" s="43" t="s">
        <v>5022</v>
      </c>
      <c r="C132" s="43" t="s">
        <v>4873</v>
      </c>
      <c r="D132" s="43" t="s">
        <v>1917</v>
      </c>
      <c r="E132" s="49">
        <v>45254</v>
      </c>
      <c r="F132" s="49"/>
      <c r="G132" s="50">
        <v>1</v>
      </c>
      <c r="H132" s="43" t="s">
        <v>4799</v>
      </c>
      <c r="I132" s="43" t="s">
        <v>5076</v>
      </c>
      <c r="J132" s="43">
        <v>6</v>
      </c>
      <c r="K132" s="43">
        <v>2</v>
      </c>
      <c r="L132" s="43">
        <v>3</v>
      </c>
      <c r="M132" s="43"/>
      <c r="N132" s="43" t="s">
        <v>1925</v>
      </c>
      <c r="O132" s="43"/>
      <c r="P132" s="43" t="s">
        <v>1925</v>
      </c>
      <c r="Q132" s="43"/>
      <c r="R132" s="43" t="s">
        <v>5068</v>
      </c>
      <c r="S132" s="43" t="s">
        <v>5026</v>
      </c>
      <c r="T132" s="51" t="s">
        <v>5027</v>
      </c>
      <c r="U132" s="52" t="s">
        <v>5028</v>
      </c>
      <c r="V132" s="53" t="s">
        <v>3884</v>
      </c>
      <c r="W132" s="54" t="s">
        <v>1916</v>
      </c>
      <c r="X132" s="55" t="s">
        <v>4889</v>
      </c>
      <c r="Y132" t="s">
        <v>4800</v>
      </c>
      <c r="AI132" s="54"/>
      <c r="AJ132" s="56">
        <v>45740</v>
      </c>
      <c r="AK132" s="57">
        <v>45922</v>
      </c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8"/>
      <c r="BD132" s="55" t="s">
        <v>5030</v>
      </c>
      <c r="BE132" t="s">
        <v>5032</v>
      </c>
      <c r="BO132" s="54"/>
      <c r="BP132" s="56">
        <v>45712</v>
      </c>
      <c r="BQ132" s="57">
        <v>45894</v>
      </c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6">
        <v>45730</v>
      </c>
      <c r="CC132" s="57">
        <v>45912</v>
      </c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6">
        <v>45736</v>
      </c>
      <c r="CO132" s="57">
        <v>45918</v>
      </c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6" t="s">
        <v>5034</v>
      </c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8"/>
      <c r="DL132" s="59">
        <v>2</v>
      </c>
      <c r="DM132" s="60">
        <v>2</v>
      </c>
      <c r="DN132" s="61">
        <v>2</v>
      </c>
      <c r="DO132" s="60">
        <v>2</v>
      </c>
      <c r="DP132" s="60">
        <v>0</v>
      </c>
      <c r="DQ132" s="59">
        <v>8</v>
      </c>
      <c r="DR132" s="62">
        <v>1792</v>
      </c>
      <c r="DS132" s="62" t="s">
        <v>5034</v>
      </c>
      <c r="DU132" s="62" t="s">
        <v>5034</v>
      </c>
      <c r="DV132" s="63">
        <v>45352</v>
      </c>
      <c r="DW132" s="64">
        <v>2024</v>
      </c>
      <c r="DX132" s="65">
        <v>3</v>
      </c>
    </row>
    <row r="133" spans="2:128" ht="15">
      <c r="B133" s="43" t="s">
        <v>5022</v>
      </c>
      <c r="C133" s="43" t="s">
        <v>4873</v>
      </c>
      <c r="D133" s="43" t="s">
        <v>1908</v>
      </c>
      <c r="E133" s="49">
        <v>45254</v>
      </c>
      <c r="F133" s="49"/>
      <c r="G133" s="50">
        <v>1</v>
      </c>
      <c r="H133" s="43" t="s">
        <v>4799</v>
      </c>
      <c r="I133" s="43" t="s">
        <v>5076</v>
      </c>
      <c r="J133" s="43">
        <v>6</v>
      </c>
      <c r="K133" s="43">
        <v>2</v>
      </c>
      <c r="L133" s="43">
        <v>3</v>
      </c>
      <c r="M133" s="43"/>
      <c r="N133" s="43" t="s">
        <v>1925</v>
      </c>
      <c r="O133" s="43"/>
      <c r="P133" s="43" t="s">
        <v>1925</v>
      </c>
      <c r="Q133" s="43"/>
      <c r="R133" s="43" t="s">
        <v>5068</v>
      </c>
      <c r="S133" s="43" t="s">
        <v>5026</v>
      </c>
      <c r="T133" s="51" t="s">
        <v>5027</v>
      </c>
      <c r="U133" s="52" t="s">
        <v>5028</v>
      </c>
      <c r="V133" s="53" t="s">
        <v>3884</v>
      </c>
      <c r="W133" s="54" t="s">
        <v>1907</v>
      </c>
      <c r="X133" s="55" t="s">
        <v>4889</v>
      </c>
      <c r="Y133" t="s">
        <v>4800</v>
      </c>
      <c r="AI133" s="54"/>
      <c r="AJ133" s="56">
        <v>45740</v>
      </c>
      <c r="AK133" s="57">
        <v>45922</v>
      </c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8"/>
      <c r="BD133" s="55" t="s">
        <v>5030</v>
      </c>
      <c r="BE133" t="s">
        <v>5032</v>
      </c>
      <c r="BO133" s="54"/>
      <c r="BP133" s="56">
        <v>45712</v>
      </c>
      <c r="BQ133" s="57">
        <v>45894</v>
      </c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6">
        <v>45730</v>
      </c>
      <c r="CC133" s="57">
        <v>45912</v>
      </c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6">
        <v>45736</v>
      </c>
      <c r="CO133" s="57">
        <v>45918</v>
      </c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6" t="s">
        <v>5034</v>
      </c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8"/>
      <c r="DL133" s="59">
        <v>2</v>
      </c>
      <c r="DM133" s="60">
        <v>2</v>
      </c>
      <c r="DN133" s="61">
        <v>2</v>
      </c>
      <c r="DO133" s="60">
        <v>2</v>
      </c>
      <c r="DP133" s="60">
        <v>0</v>
      </c>
      <c r="DQ133" s="59">
        <v>8</v>
      </c>
      <c r="DR133" s="62">
        <v>1800</v>
      </c>
      <c r="DS133" s="62" t="s">
        <v>5034</v>
      </c>
      <c r="DU133" s="62" t="s">
        <v>5034</v>
      </c>
      <c r="DV133" s="63">
        <v>45352</v>
      </c>
      <c r="DW133" s="64">
        <v>2024</v>
      </c>
      <c r="DX133" s="65">
        <v>3</v>
      </c>
    </row>
    <row r="134" spans="2:128" ht="15">
      <c r="B134" s="43" t="s">
        <v>5022</v>
      </c>
      <c r="C134" s="43" t="s">
        <v>4873</v>
      </c>
      <c r="D134" s="43" t="s">
        <v>4875</v>
      </c>
      <c r="E134" s="49">
        <v>45254</v>
      </c>
      <c r="F134" s="49"/>
      <c r="G134" s="50">
        <v>1</v>
      </c>
      <c r="H134" s="43" t="s">
        <v>4799</v>
      </c>
      <c r="I134" s="43" t="s">
        <v>5076</v>
      </c>
      <c r="J134" s="43">
        <v>6</v>
      </c>
      <c r="K134" s="43">
        <v>2</v>
      </c>
      <c r="L134" s="43">
        <v>3</v>
      </c>
      <c r="M134" s="43"/>
      <c r="N134" s="43" t="s">
        <v>1925</v>
      </c>
      <c r="O134" s="43"/>
      <c r="P134" s="43" t="s">
        <v>1925</v>
      </c>
      <c r="Q134" s="43"/>
      <c r="R134" s="43" t="s">
        <v>5068</v>
      </c>
      <c r="S134" s="43" t="s">
        <v>5026</v>
      </c>
      <c r="T134" s="51" t="s">
        <v>5027</v>
      </c>
      <c r="U134" s="52" t="s">
        <v>5028</v>
      </c>
      <c r="V134" s="53" t="s">
        <v>3884</v>
      </c>
      <c r="W134" s="54" t="s">
        <v>1856</v>
      </c>
      <c r="X134" s="55" t="s">
        <v>4889</v>
      </c>
      <c r="Y134" t="s">
        <v>4800</v>
      </c>
      <c r="AI134" s="54"/>
      <c r="AJ134" s="56">
        <v>45740</v>
      </c>
      <c r="AK134" s="57">
        <v>45922</v>
      </c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8"/>
      <c r="BD134" s="55" t="s">
        <v>5030</v>
      </c>
      <c r="BE134" t="s">
        <v>5032</v>
      </c>
      <c r="BO134" s="54"/>
      <c r="BP134" s="56">
        <v>45712</v>
      </c>
      <c r="BQ134" s="57">
        <v>45894</v>
      </c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6">
        <v>45730</v>
      </c>
      <c r="CC134" s="57">
        <v>45912</v>
      </c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6">
        <v>45736</v>
      </c>
      <c r="CO134" s="57">
        <v>45918</v>
      </c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6" t="s">
        <v>5034</v>
      </c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8"/>
      <c r="DL134" s="59">
        <v>2</v>
      </c>
      <c r="DM134" s="60">
        <v>2</v>
      </c>
      <c r="DN134" s="61">
        <v>2</v>
      </c>
      <c r="DO134" s="60">
        <v>2</v>
      </c>
      <c r="DP134" s="60">
        <v>0</v>
      </c>
      <c r="DQ134" s="59">
        <v>8</v>
      </c>
      <c r="DR134" s="62">
        <v>1808</v>
      </c>
      <c r="DS134" s="62" t="s">
        <v>5034</v>
      </c>
      <c r="DU134" s="62" t="s">
        <v>5034</v>
      </c>
      <c r="DV134" s="63">
        <v>45352</v>
      </c>
      <c r="DW134" s="64">
        <v>2024</v>
      </c>
      <c r="DX134" s="65">
        <v>3</v>
      </c>
    </row>
    <row r="135" spans="2:128" ht="15">
      <c r="B135" s="43" t="s">
        <v>5022</v>
      </c>
      <c r="C135" s="43" t="s">
        <v>4873</v>
      </c>
      <c r="D135" s="43" t="s">
        <v>1899</v>
      </c>
      <c r="E135" s="49">
        <v>45254</v>
      </c>
      <c r="F135" s="49"/>
      <c r="G135" s="50">
        <v>1</v>
      </c>
      <c r="H135" s="43" t="s">
        <v>4799</v>
      </c>
      <c r="I135" s="43" t="s">
        <v>5076</v>
      </c>
      <c r="J135" s="43">
        <v>6</v>
      </c>
      <c r="K135" s="43">
        <v>2</v>
      </c>
      <c r="L135" s="43">
        <v>3</v>
      </c>
      <c r="M135" s="43"/>
      <c r="N135" s="43" t="s">
        <v>1925</v>
      </c>
      <c r="O135" s="43"/>
      <c r="P135" s="43" t="s">
        <v>1925</v>
      </c>
      <c r="Q135" s="43"/>
      <c r="R135" s="43" t="s">
        <v>5068</v>
      </c>
      <c r="S135" s="43" t="s">
        <v>5026</v>
      </c>
      <c r="T135" s="51" t="s">
        <v>5027</v>
      </c>
      <c r="U135" s="52" t="s">
        <v>5028</v>
      </c>
      <c r="V135" s="53" t="s">
        <v>3884</v>
      </c>
      <c r="W135" s="54" t="s">
        <v>1898</v>
      </c>
      <c r="X135" s="55" t="s">
        <v>4889</v>
      </c>
      <c r="Y135" t="s">
        <v>4800</v>
      </c>
      <c r="AI135" s="54"/>
      <c r="AJ135" s="56">
        <v>45740</v>
      </c>
      <c r="AK135" s="57">
        <v>45922</v>
      </c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8"/>
      <c r="BD135" s="55" t="s">
        <v>5030</v>
      </c>
      <c r="BE135" t="s">
        <v>5032</v>
      </c>
      <c r="BO135" s="54"/>
      <c r="BP135" s="56">
        <v>45712</v>
      </c>
      <c r="BQ135" s="57">
        <v>45894</v>
      </c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6">
        <v>45730</v>
      </c>
      <c r="CC135" s="57">
        <v>45912</v>
      </c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6">
        <v>45736</v>
      </c>
      <c r="CO135" s="57">
        <v>45918</v>
      </c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6" t="s">
        <v>5034</v>
      </c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8"/>
      <c r="DL135" s="59">
        <v>2</v>
      </c>
      <c r="DM135" s="60">
        <v>2</v>
      </c>
      <c r="DN135" s="61">
        <v>2</v>
      </c>
      <c r="DO135" s="60">
        <v>2</v>
      </c>
      <c r="DP135" s="60">
        <v>0</v>
      </c>
      <c r="DQ135" s="59">
        <v>8</v>
      </c>
      <c r="DR135" s="62">
        <v>1816</v>
      </c>
      <c r="DS135" s="62" t="s">
        <v>5034</v>
      </c>
      <c r="DU135" s="62" t="s">
        <v>5034</v>
      </c>
      <c r="DV135" s="63">
        <v>45352</v>
      </c>
      <c r="DW135" s="64">
        <v>2024</v>
      </c>
      <c r="DX135" s="65">
        <v>3</v>
      </c>
    </row>
    <row r="136" spans="2:128" ht="15">
      <c r="B136" s="43" t="s">
        <v>5022</v>
      </c>
      <c r="C136" s="43" t="s">
        <v>4873</v>
      </c>
      <c r="D136" s="43" t="s">
        <v>1871</v>
      </c>
      <c r="E136" s="49">
        <v>45254</v>
      </c>
      <c r="F136" s="49"/>
      <c r="G136" s="50">
        <v>1</v>
      </c>
      <c r="H136" s="43" t="s">
        <v>4799</v>
      </c>
      <c r="I136" s="43" t="s">
        <v>5076</v>
      </c>
      <c r="J136" s="43">
        <v>6</v>
      </c>
      <c r="K136" s="43">
        <v>2</v>
      </c>
      <c r="L136" s="43">
        <v>3</v>
      </c>
      <c r="M136" s="43"/>
      <c r="N136" s="43" t="s">
        <v>1925</v>
      </c>
      <c r="O136" s="43"/>
      <c r="P136" s="43" t="s">
        <v>1925</v>
      </c>
      <c r="Q136" s="43"/>
      <c r="R136" s="43" t="s">
        <v>5068</v>
      </c>
      <c r="S136" s="43" t="s">
        <v>5026</v>
      </c>
      <c r="T136" s="51" t="s">
        <v>5027</v>
      </c>
      <c r="U136" s="52" t="s">
        <v>5028</v>
      </c>
      <c r="V136" s="53" t="s">
        <v>3884</v>
      </c>
      <c r="W136" s="54" t="s">
        <v>1870</v>
      </c>
      <c r="X136" s="55" t="s">
        <v>4889</v>
      </c>
      <c r="Y136" t="s">
        <v>4800</v>
      </c>
      <c r="AI136" s="54"/>
      <c r="AJ136" s="56">
        <v>45740</v>
      </c>
      <c r="AK136" s="57">
        <v>45922</v>
      </c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8"/>
      <c r="BD136" s="55" t="s">
        <v>5030</v>
      </c>
      <c r="BE136" t="s">
        <v>5032</v>
      </c>
      <c r="BO136" s="54"/>
      <c r="BP136" s="56">
        <v>45712</v>
      </c>
      <c r="BQ136" s="57">
        <v>45894</v>
      </c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6">
        <v>45730</v>
      </c>
      <c r="CC136" s="57">
        <v>45912</v>
      </c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6">
        <v>45736</v>
      </c>
      <c r="CO136" s="57">
        <v>45918</v>
      </c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6" t="s">
        <v>5034</v>
      </c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8"/>
      <c r="DL136" s="59">
        <v>2</v>
      </c>
      <c r="DM136" s="60">
        <v>2</v>
      </c>
      <c r="DN136" s="61">
        <v>2</v>
      </c>
      <c r="DO136" s="60">
        <v>2</v>
      </c>
      <c r="DP136" s="60">
        <v>0</v>
      </c>
      <c r="DQ136" s="59">
        <v>8</v>
      </c>
      <c r="DR136" s="62">
        <v>1824</v>
      </c>
      <c r="DS136" s="62" t="s">
        <v>5034</v>
      </c>
      <c r="DU136" s="62" t="s">
        <v>5034</v>
      </c>
      <c r="DV136" s="63">
        <v>45352</v>
      </c>
      <c r="DW136" s="64">
        <v>2024</v>
      </c>
      <c r="DX136" s="65">
        <v>3</v>
      </c>
    </row>
    <row r="137" spans="2:128" ht="15">
      <c r="B137" s="43" t="s">
        <v>5022</v>
      </c>
      <c r="C137" s="43" t="s">
        <v>4873</v>
      </c>
      <c r="D137" s="43" t="s">
        <v>4876</v>
      </c>
      <c r="E137" s="49">
        <v>45254</v>
      </c>
      <c r="F137" s="49"/>
      <c r="G137" s="50">
        <v>1</v>
      </c>
      <c r="H137" s="43" t="s">
        <v>4799</v>
      </c>
      <c r="I137" s="43" t="s">
        <v>5076</v>
      </c>
      <c r="J137" s="43">
        <v>6</v>
      </c>
      <c r="K137" s="43">
        <v>2</v>
      </c>
      <c r="L137" s="43">
        <v>3</v>
      </c>
      <c r="M137" s="43"/>
      <c r="N137" s="43" t="s">
        <v>1925</v>
      </c>
      <c r="O137" s="43"/>
      <c r="P137" s="43" t="s">
        <v>1925</v>
      </c>
      <c r="Q137" s="43"/>
      <c r="R137" s="43" t="s">
        <v>5068</v>
      </c>
      <c r="S137" s="43" t="s">
        <v>5026</v>
      </c>
      <c r="T137" s="51" t="s">
        <v>5027</v>
      </c>
      <c r="U137" s="52" t="s">
        <v>5028</v>
      </c>
      <c r="V137" s="53" t="s">
        <v>3884</v>
      </c>
      <c r="W137" s="54" t="s">
        <v>1847</v>
      </c>
      <c r="X137" s="55" t="s">
        <v>4889</v>
      </c>
      <c r="Y137" t="s">
        <v>4800</v>
      </c>
      <c r="AI137" s="54"/>
      <c r="AJ137" s="56">
        <v>45740</v>
      </c>
      <c r="AK137" s="57">
        <v>45922</v>
      </c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8"/>
      <c r="BD137" s="55" t="s">
        <v>5030</v>
      </c>
      <c r="BE137" t="s">
        <v>5032</v>
      </c>
      <c r="BO137" s="54"/>
      <c r="BP137" s="56">
        <v>45712</v>
      </c>
      <c r="BQ137" s="57">
        <v>45894</v>
      </c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6">
        <v>45730</v>
      </c>
      <c r="CC137" s="57">
        <v>45912</v>
      </c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6">
        <v>45736</v>
      </c>
      <c r="CO137" s="57">
        <v>45918</v>
      </c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6" t="s">
        <v>5034</v>
      </c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8"/>
      <c r="DL137" s="59">
        <v>2</v>
      </c>
      <c r="DM137" s="60">
        <v>2</v>
      </c>
      <c r="DN137" s="61">
        <v>2</v>
      </c>
      <c r="DO137" s="60">
        <v>2</v>
      </c>
      <c r="DP137" s="60">
        <v>0</v>
      </c>
      <c r="DQ137" s="59">
        <v>8</v>
      </c>
      <c r="DR137" s="62">
        <v>1832</v>
      </c>
      <c r="DS137" s="62" t="s">
        <v>5034</v>
      </c>
      <c r="DU137" s="62" t="s">
        <v>5034</v>
      </c>
      <c r="DV137" s="63">
        <v>45352</v>
      </c>
      <c r="DW137" s="64">
        <v>2024</v>
      </c>
      <c r="DX137" s="65">
        <v>3</v>
      </c>
    </row>
    <row r="138" spans="2:128" ht="15">
      <c r="B138" s="43" t="s">
        <v>5022</v>
      </c>
      <c r="C138" s="43" t="s">
        <v>4873</v>
      </c>
      <c r="D138" s="43" t="s">
        <v>4877</v>
      </c>
      <c r="E138" s="49">
        <v>45254</v>
      </c>
      <c r="F138" s="49"/>
      <c r="G138" s="50">
        <v>1</v>
      </c>
      <c r="H138" s="43" t="s">
        <v>4799</v>
      </c>
      <c r="I138" s="43" t="s">
        <v>5076</v>
      </c>
      <c r="J138" s="43">
        <v>6</v>
      </c>
      <c r="K138" s="43">
        <v>2</v>
      </c>
      <c r="L138" s="43">
        <v>3</v>
      </c>
      <c r="M138" s="43"/>
      <c r="N138" s="43" t="s">
        <v>1925</v>
      </c>
      <c r="O138" s="43"/>
      <c r="P138" s="43" t="s">
        <v>1925</v>
      </c>
      <c r="Q138" s="43"/>
      <c r="R138" s="43" t="s">
        <v>5068</v>
      </c>
      <c r="S138" s="43" t="s">
        <v>5026</v>
      </c>
      <c r="T138" s="51" t="s">
        <v>5027</v>
      </c>
      <c r="U138" s="52" t="s">
        <v>5028</v>
      </c>
      <c r="V138" s="53" t="s">
        <v>3884</v>
      </c>
      <c r="W138" s="54" t="s">
        <v>1829</v>
      </c>
      <c r="X138" s="55" t="s">
        <v>4889</v>
      </c>
      <c r="Y138" t="s">
        <v>4800</v>
      </c>
      <c r="AI138" s="54"/>
      <c r="AJ138" s="56">
        <v>45740</v>
      </c>
      <c r="AK138" s="57">
        <v>45922</v>
      </c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8"/>
      <c r="BD138" s="55" t="s">
        <v>5030</v>
      </c>
      <c r="BE138" t="s">
        <v>5032</v>
      </c>
      <c r="BO138" s="54"/>
      <c r="BP138" s="56">
        <v>45712</v>
      </c>
      <c r="BQ138" s="57">
        <v>45894</v>
      </c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6">
        <v>45730</v>
      </c>
      <c r="CC138" s="57">
        <v>45912</v>
      </c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6">
        <v>45736</v>
      </c>
      <c r="CO138" s="57">
        <v>45918</v>
      </c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6" t="s">
        <v>5034</v>
      </c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8"/>
      <c r="DL138" s="59">
        <v>2</v>
      </c>
      <c r="DM138" s="60">
        <v>2</v>
      </c>
      <c r="DN138" s="61">
        <v>2</v>
      </c>
      <c r="DO138" s="60">
        <v>2</v>
      </c>
      <c r="DP138" s="60">
        <v>0</v>
      </c>
      <c r="DQ138" s="59">
        <v>8</v>
      </c>
      <c r="DR138" s="62">
        <v>1840</v>
      </c>
      <c r="DS138" s="62" t="s">
        <v>5034</v>
      </c>
      <c r="DU138" s="62" t="s">
        <v>5034</v>
      </c>
      <c r="DV138" s="63">
        <v>45352</v>
      </c>
      <c r="DW138" s="64">
        <v>2024</v>
      </c>
      <c r="DX138" s="65">
        <v>3</v>
      </c>
    </row>
    <row r="139" spans="2:128" ht="15">
      <c r="B139" s="43" t="s">
        <v>5022</v>
      </c>
      <c r="C139" s="43" t="s">
        <v>4873</v>
      </c>
      <c r="D139" s="43" t="s">
        <v>4878</v>
      </c>
      <c r="E139" s="49">
        <v>45254</v>
      </c>
      <c r="F139" s="49"/>
      <c r="G139" s="50">
        <v>1</v>
      </c>
      <c r="H139" s="43" t="s">
        <v>4799</v>
      </c>
      <c r="I139" s="43" t="s">
        <v>5076</v>
      </c>
      <c r="J139" s="43">
        <v>6</v>
      </c>
      <c r="K139" s="43">
        <v>2</v>
      </c>
      <c r="L139" s="43">
        <v>3</v>
      </c>
      <c r="M139" s="43"/>
      <c r="N139" s="43" t="s">
        <v>1925</v>
      </c>
      <c r="O139" s="43"/>
      <c r="P139" s="43" t="s">
        <v>1925</v>
      </c>
      <c r="Q139" s="43"/>
      <c r="R139" s="43" t="s">
        <v>5068</v>
      </c>
      <c r="S139" s="43" t="s">
        <v>5026</v>
      </c>
      <c r="T139" s="51" t="s">
        <v>5027</v>
      </c>
      <c r="U139" s="52" t="s">
        <v>5028</v>
      </c>
      <c r="V139" s="53" t="s">
        <v>3884</v>
      </c>
      <c r="W139" s="54" t="s">
        <v>1859</v>
      </c>
      <c r="X139" s="55" t="s">
        <v>4889</v>
      </c>
      <c r="Y139" t="s">
        <v>4800</v>
      </c>
      <c r="AI139" s="54"/>
      <c r="AJ139" s="56">
        <v>45740</v>
      </c>
      <c r="AK139" s="57">
        <v>45922</v>
      </c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8"/>
      <c r="BD139" s="55" t="s">
        <v>5030</v>
      </c>
      <c r="BE139" t="s">
        <v>5032</v>
      </c>
      <c r="BO139" s="54"/>
      <c r="BP139" s="56">
        <v>45712</v>
      </c>
      <c r="BQ139" s="57">
        <v>45894</v>
      </c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6">
        <v>45730</v>
      </c>
      <c r="CC139" s="57">
        <v>45912</v>
      </c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6">
        <v>45736</v>
      </c>
      <c r="CO139" s="57">
        <v>45918</v>
      </c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6" t="s">
        <v>5034</v>
      </c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8"/>
      <c r="DL139" s="59">
        <v>2</v>
      </c>
      <c r="DM139" s="60">
        <v>2</v>
      </c>
      <c r="DN139" s="61">
        <v>2</v>
      </c>
      <c r="DO139" s="60">
        <v>2</v>
      </c>
      <c r="DP139" s="60">
        <v>0</v>
      </c>
      <c r="DQ139" s="59">
        <v>8</v>
      </c>
      <c r="DR139" s="62">
        <v>1848</v>
      </c>
      <c r="DS139" s="62" t="s">
        <v>5034</v>
      </c>
      <c r="DU139" s="62" t="s">
        <v>5034</v>
      </c>
      <c r="DV139" s="63">
        <v>45352</v>
      </c>
      <c r="DW139" s="64">
        <v>2024</v>
      </c>
      <c r="DX139" s="65">
        <v>3</v>
      </c>
    </row>
    <row r="140" spans="2:128" ht="15">
      <c r="B140" s="43" t="s">
        <v>5022</v>
      </c>
      <c r="C140" s="43" t="s">
        <v>4879</v>
      </c>
      <c r="D140" s="43" t="s">
        <v>2925</v>
      </c>
      <c r="E140" s="49">
        <v>45393</v>
      </c>
      <c r="F140" s="49"/>
      <c r="G140" s="50">
        <v>1</v>
      </c>
      <c r="H140" s="43" t="s">
        <v>4896</v>
      </c>
      <c r="I140" s="43" t="s">
        <v>5031</v>
      </c>
      <c r="J140" s="43"/>
      <c r="K140" s="43">
        <v>2</v>
      </c>
      <c r="L140" s="43">
        <v>3</v>
      </c>
      <c r="M140" s="43"/>
      <c r="N140" s="43" t="s">
        <v>856</v>
      </c>
      <c r="O140" s="43" t="s">
        <v>5143</v>
      </c>
      <c r="P140" s="43" t="s">
        <v>5063</v>
      </c>
      <c r="Q140" s="43"/>
      <c r="R140" s="43" t="s">
        <v>5038</v>
      </c>
      <c r="S140" s="43" t="s">
        <v>5026</v>
      </c>
      <c r="T140" s="51" t="s">
        <v>5027</v>
      </c>
      <c r="U140" s="52" t="s">
        <v>5028</v>
      </c>
      <c r="V140" s="53" t="s">
        <v>3884</v>
      </c>
      <c r="W140" s="54" t="s">
        <v>2924</v>
      </c>
      <c r="X140" s="55" t="s">
        <v>4896</v>
      </c>
      <c r="AI140" s="54"/>
      <c r="AJ140" s="56">
        <v>45831</v>
      </c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8"/>
      <c r="BD140" s="55" t="s">
        <v>5031</v>
      </c>
      <c r="BO140" s="54"/>
      <c r="BP140" s="56">
        <v>45803</v>
      </c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6" t="s">
        <v>5034</v>
      </c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6">
        <v>45827</v>
      </c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6" t="s">
        <v>5034</v>
      </c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8"/>
      <c r="DL140" s="59">
        <v>1</v>
      </c>
      <c r="DM140" s="60">
        <v>1</v>
      </c>
      <c r="DN140" s="61">
        <v>0</v>
      </c>
      <c r="DO140" s="60">
        <v>1</v>
      </c>
      <c r="DP140" s="60">
        <v>0</v>
      </c>
      <c r="DQ140" s="59">
        <v>3</v>
      </c>
      <c r="DR140" s="62">
        <v>1859</v>
      </c>
      <c r="DS140" s="62" t="s">
        <v>5034</v>
      </c>
      <c r="DU140" s="62" t="s">
        <v>5034</v>
      </c>
      <c r="DV140" s="63">
        <v>45449</v>
      </c>
      <c r="DW140" s="64">
        <v>2024</v>
      </c>
      <c r="DX140" s="65">
        <v>6</v>
      </c>
    </row>
    <row r="141" spans="2:128" ht="15">
      <c r="B141" s="43" t="s">
        <v>5022</v>
      </c>
      <c r="C141" s="43" t="s">
        <v>4860</v>
      </c>
      <c r="D141" s="43" t="s">
        <v>3319</v>
      </c>
      <c r="E141" s="49">
        <v>45405</v>
      </c>
      <c r="F141" s="49"/>
      <c r="G141" s="50">
        <v>1</v>
      </c>
      <c r="H141" s="43" t="s">
        <v>4800</v>
      </c>
      <c r="I141" s="43" t="s">
        <v>5032</v>
      </c>
      <c r="J141" s="43"/>
      <c r="K141" s="43">
        <v>2</v>
      </c>
      <c r="L141" s="43">
        <v>3</v>
      </c>
      <c r="M141" s="43"/>
      <c r="N141" s="43" t="s">
        <v>995</v>
      </c>
      <c r="O141" s="43" t="s">
        <v>5116</v>
      </c>
      <c r="P141" s="43" t="s">
        <v>5024</v>
      </c>
      <c r="Q141" s="43"/>
      <c r="R141" s="43" t="s">
        <v>5081</v>
      </c>
      <c r="S141" s="43" t="s">
        <v>5026</v>
      </c>
      <c r="T141" s="51" t="s">
        <v>5027</v>
      </c>
      <c r="U141" s="52" t="s">
        <v>5028</v>
      </c>
      <c r="V141" s="53" t="s">
        <v>3884</v>
      </c>
      <c r="W141" s="54" t="s">
        <v>3318</v>
      </c>
      <c r="X141" s="55" t="s">
        <v>4800</v>
      </c>
      <c r="AI141" s="54"/>
      <c r="AJ141" s="56">
        <v>45922</v>
      </c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8"/>
      <c r="BD141" s="55" t="s">
        <v>5032</v>
      </c>
      <c r="BO141" s="54"/>
      <c r="BP141" s="56">
        <v>45894</v>
      </c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6" t="s">
        <v>5034</v>
      </c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6">
        <v>45918</v>
      </c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6" t="s">
        <v>5034</v>
      </c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8"/>
      <c r="DL141" s="59">
        <v>1</v>
      </c>
      <c r="DM141" s="60">
        <v>1</v>
      </c>
      <c r="DN141" s="61">
        <v>0</v>
      </c>
      <c r="DO141" s="60">
        <v>1</v>
      </c>
      <c r="DP141" s="60">
        <v>0</v>
      </c>
      <c r="DQ141" s="59">
        <v>3</v>
      </c>
      <c r="DR141" s="62">
        <v>1862</v>
      </c>
      <c r="DS141" s="62" t="s">
        <v>5034</v>
      </c>
      <c r="DU141" s="62" t="s">
        <v>5034</v>
      </c>
      <c r="DV141" s="63">
        <v>45552</v>
      </c>
      <c r="DW141" s="64">
        <v>2024</v>
      </c>
      <c r="DX141" s="65">
        <v>9</v>
      </c>
    </row>
    <row r="142" spans="2:128" ht="15">
      <c r="B142" s="43" t="s">
        <v>5022</v>
      </c>
      <c r="C142" s="43" t="s">
        <v>4879</v>
      </c>
      <c r="D142" s="43" t="s">
        <v>4880</v>
      </c>
      <c r="E142" s="49">
        <v>45418</v>
      </c>
      <c r="F142" s="49"/>
      <c r="G142" s="50">
        <v>1</v>
      </c>
      <c r="H142" s="43" t="s">
        <v>4798</v>
      </c>
      <c r="I142" s="43" t="s">
        <v>5023</v>
      </c>
      <c r="J142" s="43"/>
      <c r="K142" s="43">
        <v>2</v>
      </c>
      <c r="L142" s="43">
        <v>3</v>
      </c>
      <c r="M142" s="43"/>
      <c r="N142" s="43" t="s">
        <v>856</v>
      </c>
      <c r="O142" s="43" t="s">
        <v>5144</v>
      </c>
      <c r="P142" s="43" t="s">
        <v>5063</v>
      </c>
      <c r="Q142" s="43"/>
      <c r="R142" s="43" t="s">
        <v>5068</v>
      </c>
      <c r="S142" s="43" t="s">
        <v>5026</v>
      </c>
      <c r="T142" s="51" t="s">
        <v>5027</v>
      </c>
      <c r="U142" s="52" t="s">
        <v>5028</v>
      </c>
      <c r="V142" s="53" t="s">
        <v>3884</v>
      </c>
      <c r="W142" s="54" t="s">
        <v>2909</v>
      </c>
      <c r="X142" s="55" t="s">
        <v>4889</v>
      </c>
      <c r="Y142" t="s">
        <v>4896</v>
      </c>
      <c r="Z142" t="s">
        <v>4800</v>
      </c>
      <c r="AA142" t="s">
        <v>4891</v>
      </c>
      <c r="AI142" s="54"/>
      <c r="AJ142" s="56">
        <v>45740</v>
      </c>
      <c r="AK142" s="57">
        <v>45831</v>
      </c>
      <c r="AL142" s="57">
        <v>45922</v>
      </c>
      <c r="AM142" s="57">
        <v>46013</v>
      </c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8"/>
      <c r="BD142" s="55" t="s">
        <v>5030</v>
      </c>
      <c r="BE142" t="s">
        <v>5031</v>
      </c>
      <c r="BF142" t="s">
        <v>5032</v>
      </c>
      <c r="BG142" t="s">
        <v>5033</v>
      </c>
      <c r="BO142" s="54"/>
      <c r="BP142" s="56">
        <v>45712</v>
      </c>
      <c r="BQ142" s="57">
        <v>45803</v>
      </c>
      <c r="BR142" s="57">
        <v>45894</v>
      </c>
      <c r="BS142" s="57">
        <v>45985</v>
      </c>
      <c r="BT142" s="57"/>
      <c r="BU142" s="57"/>
      <c r="BV142" s="57"/>
      <c r="BW142" s="57"/>
      <c r="BX142" s="57"/>
      <c r="BY142" s="57"/>
      <c r="BZ142" s="57"/>
      <c r="CA142" s="57"/>
      <c r="CB142" s="56" t="s">
        <v>5034</v>
      </c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6">
        <v>45736</v>
      </c>
      <c r="CO142" s="57">
        <v>45827</v>
      </c>
      <c r="CP142" s="57">
        <v>45918</v>
      </c>
      <c r="CQ142" s="57">
        <v>46009</v>
      </c>
      <c r="CR142" s="57"/>
      <c r="CS142" s="57"/>
      <c r="CT142" s="57"/>
      <c r="CU142" s="57"/>
      <c r="CV142" s="57"/>
      <c r="CW142" s="57"/>
      <c r="CX142" s="57"/>
      <c r="CY142" s="57"/>
      <c r="CZ142" s="56" t="s">
        <v>5034</v>
      </c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8"/>
      <c r="DL142" s="59">
        <v>4</v>
      </c>
      <c r="DM142" s="60">
        <v>4</v>
      </c>
      <c r="DN142" s="61">
        <v>0</v>
      </c>
      <c r="DO142" s="60">
        <v>4</v>
      </c>
      <c r="DP142" s="60">
        <v>0</v>
      </c>
      <c r="DQ142" s="59">
        <v>12</v>
      </c>
      <c r="DR142" s="62">
        <v>1865</v>
      </c>
      <c r="DS142" s="62" t="s">
        <v>5034</v>
      </c>
      <c r="DU142" s="62" t="s">
        <v>5034</v>
      </c>
      <c r="DV142" s="63">
        <v>45460</v>
      </c>
      <c r="DW142" s="64">
        <v>2024</v>
      </c>
      <c r="DX142" s="65">
        <v>6</v>
      </c>
    </row>
    <row r="143" spans="2:128" ht="15">
      <c r="B143" s="43" t="s">
        <v>5022</v>
      </c>
      <c r="C143" s="43" t="s">
        <v>4879</v>
      </c>
      <c r="D143" s="43" t="s">
        <v>2895</v>
      </c>
      <c r="E143" s="49">
        <v>45429</v>
      </c>
      <c r="F143" s="49"/>
      <c r="G143" s="50">
        <v>1</v>
      </c>
      <c r="H143" s="43" t="s">
        <v>4798</v>
      </c>
      <c r="I143" s="43" t="s">
        <v>5023</v>
      </c>
      <c r="J143" s="43"/>
      <c r="K143" s="43">
        <v>2</v>
      </c>
      <c r="L143" s="43">
        <v>3</v>
      </c>
      <c r="M143" s="43"/>
      <c r="N143" s="43" t="s">
        <v>856</v>
      </c>
      <c r="O143" s="43" t="s">
        <v>5144</v>
      </c>
      <c r="P143" s="43" t="s">
        <v>5063</v>
      </c>
      <c r="Q143" s="43"/>
      <c r="R143" s="43" t="s">
        <v>5098</v>
      </c>
      <c r="S143" s="43" t="s">
        <v>5026</v>
      </c>
      <c r="T143" s="51" t="s">
        <v>5027</v>
      </c>
      <c r="U143" s="52" t="s">
        <v>5028</v>
      </c>
      <c r="V143" s="53" t="s">
        <v>3884</v>
      </c>
      <c r="W143" s="54" t="s">
        <v>2894</v>
      </c>
      <c r="X143" s="55" t="s">
        <v>4889</v>
      </c>
      <c r="Y143" t="s">
        <v>4896</v>
      </c>
      <c r="Z143" t="s">
        <v>4800</v>
      </c>
      <c r="AA143" t="s">
        <v>4891</v>
      </c>
      <c r="AI143" s="54"/>
      <c r="AJ143" s="56">
        <v>45740</v>
      </c>
      <c r="AK143" s="57">
        <v>45831</v>
      </c>
      <c r="AL143" s="57">
        <v>45922</v>
      </c>
      <c r="AM143" s="57">
        <v>46013</v>
      </c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8"/>
      <c r="BD143" s="55" t="s">
        <v>5030</v>
      </c>
      <c r="BE143" t="s">
        <v>5031</v>
      </c>
      <c r="BF143" t="s">
        <v>5032</v>
      </c>
      <c r="BG143" t="s">
        <v>5033</v>
      </c>
      <c r="BO143" s="54"/>
      <c r="BP143" s="56">
        <v>45712</v>
      </c>
      <c r="BQ143" s="57">
        <v>45803</v>
      </c>
      <c r="BR143" s="57">
        <v>45894</v>
      </c>
      <c r="BS143" s="57">
        <v>45985</v>
      </c>
      <c r="BT143" s="57"/>
      <c r="BU143" s="57"/>
      <c r="BV143" s="57"/>
      <c r="BW143" s="57"/>
      <c r="BX143" s="57"/>
      <c r="BY143" s="57"/>
      <c r="BZ143" s="57"/>
      <c r="CA143" s="57"/>
      <c r="CB143" s="56" t="s">
        <v>5034</v>
      </c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6">
        <v>45736</v>
      </c>
      <c r="CO143" s="57">
        <v>45827</v>
      </c>
      <c r="CP143" s="57">
        <v>45918</v>
      </c>
      <c r="CQ143" s="57">
        <v>46009</v>
      </c>
      <c r="CR143" s="57"/>
      <c r="CS143" s="57"/>
      <c r="CT143" s="57"/>
      <c r="CU143" s="57"/>
      <c r="CV143" s="57"/>
      <c r="CW143" s="57"/>
      <c r="CX143" s="57"/>
      <c r="CY143" s="57"/>
      <c r="CZ143" s="56" t="s">
        <v>5034</v>
      </c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8"/>
      <c r="DL143" s="59">
        <v>4</v>
      </c>
      <c r="DM143" s="60">
        <v>4</v>
      </c>
      <c r="DN143" s="61">
        <v>0</v>
      </c>
      <c r="DO143" s="60">
        <v>4</v>
      </c>
      <c r="DP143" s="60">
        <v>0</v>
      </c>
      <c r="DQ143" s="59">
        <v>12</v>
      </c>
      <c r="DR143" s="62">
        <v>1877</v>
      </c>
      <c r="DS143" s="62" t="s">
        <v>5034</v>
      </c>
      <c r="DU143" s="62" t="s">
        <v>5034</v>
      </c>
      <c r="DV143" s="63">
        <v>45455</v>
      </c>
      <c r="DW143" s="64">
        <v>2024</v>
      </c>
      <c r="DX143" s="65">
        <v>6</v>
      </c>
    </row>
    <row r="144" spans="2:128" ht="15">
      <c r="B144" s="43" t="s">
        <v>5022</v>
      </c>
      <c r="C144" s="43" t="s">
        <v>4879</v>
      </c>
      <c r="D144" s="43" t="s">
        <v>2871</v>
      </c>
      <c r="E144" s="49">
        <v>45446</v>
      </c>
      <c r="F144" s="49"/>
      <c r="G144" s="50">
        <v>1</v>
      </c>
      <c r="H144" s="43" t="s">
        <v>4798</v>
      </c>
      <c r="I144" s="43" t="s">
        <v>5023</v>
      </c>
      <c r="J144" s="43"/>
      <c r="K144" s="43">
        <v>2</v>
      </c>
      <c r="L144" s="43">
        <v>3</v>
      </c>
      <c r="M144" s="43"/>
      <c r="N144" s="43" t="s">
        <v>856</v>
      </c>
      <c r="O144" s="43" t="s">
        <v>5144</v>
      </c>
      <c r="P144" s="43" t="s">
        <v>5063</v>
      </c>
      <c r="Q144" s="43"/>
      <c r="R144" s="43" t="s">
        <v>5098</v>
      </c>
      <c r="S144" s="43" t="s">
        <v>5026</v>
      </c>
      <c r="T144" s="51" t="s">
        <v>5027</v>
      </c>
      <c r="U144" s="52" t="s">
        <v>5028</v>
      </c>
      <c r="V144" s="53" t="s">
        <v>3884</v>
      </c>
      <c r="W144" s="54" t="s">
        <v>2870</v>
      </c>
      <c r="X144" s="55" t="s">
        <v>4889</v>
      </c>
      <c r="Y144" t="s">
        <v>4896</v>
      </c>
      <c r="Z144" t="s">
        <v>4800</v>
      </c>
      <c r="AA144" t="s">
        <v>4891</v>
      </c>
      <c r="AI144" s="54"/>
      <c r="AJ144" s="56">
        <v>45740</v>
      </c>
      <c r="AK144" s="57">
        <v>45831</v>
      </c>
      <c r="AL144" s="57">
        <v>45922</v>
      </c>
      <c r="AM144" s="57">
        <v>46013</v>
      </c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8"/>
      <c r="BD144" s="55" t="s">
        <v>5030</v>
      </c>
      <c r="BE144" t="s">
        <v>5031</v>
      </c>
      <c r="BF144" t="s">
        <v>5032</v>
      </c>
      <c r="BG144" t="s">
        <v>5033</v>
      </c>
      <c r="BO144" s="54"/>
      <c r="BP144" s="56">
        <v>45712</v>
      </c>
      <c r="BQ144" s="57">
        <v>45803</v>
      </c>
      <c r="BR144" s="57">
        <v>45894</v>
      </c>
      <c r="BS144" s="57">
        <v>45985</v>
      </c>
      <c r="BT144" s="57"/>
      <c r="BU144" s="57"/>
      <c r="BV144" s="57"/>
      <c r="BW144" s="57"/>
      <c r="BX144" s="57"/>
      <c r="BY144" s="57"/>
      <c r="BZ144" s="57"/>
      <c r="CA144" s="57"/>
      <c r="CB144" s="56" t="s">
        <v>5034</v>
      </c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6">
        <v>45736</v>
      </c>
      <c r="CO144" s="57">
        <v>45827</v>
      </c>
      <c r="CP144" s="57">
        <v>45918</v>
      </c>
      <c r="CQ144" s="57">
        <v>46009</v>
      </c>
      <c r="CR144" s="57"/>
      <c r="CS144" s="57"/>
      <c r="CT144" s="57"/>
      <c r="CU144" s="57"/>
      <c r="CV144" s="57"/>
      <c r="CW144" s="57"/>
      <c r="CX144" s="57"/>
      <c r="CY144" s="57"/>
      <c r="CZ144" s="56" t="s">
        <v>5034</v>
      </c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8"/>
      <c r="DL144" s="59">
        <v>4</v>
      </c>
      <c r="DM144" s="60">
        <v>4</v>
      </c>
      <c r="DN144" s="61">
        <v>0</v>
      </c>
      <c r="DO144" s="60">
        <v>4</v>
      </c>
      <c r="DP144" s="60">
        <v>0</v>
      </c>
      <c r="DQ144" s="59">
        <v>12</v>
      </c>
      <c r="DR144" s="62">
        <v>1889</v>
      </c>
      <c r="DS144" s="62" t="s">
        <v>5034</v>
      </c>
      <c r="DU144" s="62" t="s">
        <v>5034</v>
      </c>
      <c r="DV144" s="63">
        <v>45456</v>
      </c>
      <c r="DW144" s="64">
        <v>2024</v>
      </c>
      <c r="DX144" s="65">
        <v>6</v>
      </c>
    </row>
    <row r="145" spans="2:128" ht="15">
      <c r="B145" s="43" t="s">
        <v>5022</v>
      </c>
      <c r="C145" s="43" t="s">
        <v>4854</v>
      </c>
      <c r="D145" s="43" t="s">
        <v>4095</v>
      </c>
      <c r="E145" s="49">
        <v>45476</v>
      </c>
      <c r="F145" s="49"/>
      <c r="G145" s="50">
        <v>1</v>
      </c>
      <c r="H145" s="43" t="s">
        <v>4887</v>
      </c>
      <c r="I145" s="43" t="s">
        <v>5023</v>
      </c>
      <c r="J145" s="43"/>
      <c r="K145" s="43">
        <v>2</v>
      </c>
      <c r="L145" s="43">
        <v>3</v>
      </c>
      <c r="M145" s="43"/>
      <c r="N145" s="43" t="s">
        <v>995</v>
      </c>
      <c r="O145" s="43" t="s">
        <v>5145</v>
      </c>
      <c r="P145" s="43" t="s">
        <v>5024</v>
      </c>
      <c r="Q145" s="43"/>
      <c r="R145" s="43" t="s">
        <v>5045</v>
      </c>
      <c r="S145" s="43" t="s">
        <v>5026</v>
      </c>
      <c r="T145" s="51" t="s">
        <v>5027</v>
      </c>
      <c r="U145" s="52" t="s">
        <v>5028</v>
      </c>
      <c r="V145" s="53" t="s">
        <v>3884</v>
      </c>
      <c r="W145" s="54" t="s">
        <v>3329</v>
      </c>
      <c r="X145" s="55" t="s">
        <v>4886</v>
      </c>
      <c r="Y145" t="s">
        <v>4888</v>
      </c>
      <c r="Z145" t="s">
        <v>5130</v>
      </c>
      <c r="AA145" t="s">
        <v>5131</v>
      </c>
      <c r="AI145" s="54"/>
      <c r="AJ145" s="56">
        <v>45748</v>
      </c>
      <c r="AK145" s="57">
        <v>45839</v>
      </c>
      <c r="AL145" s="57">
        <v>45931</v>
      </c>
      <c r="AM145" s="57">
        <v>46024</v>
      </c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8"/>
      <c r="BD145" s="55" t="s">
        <v>5030</v>
      </c>
      <c r="BE145" t="s">
        <v>5031</v>
      </c>
      <c r="BF145" t="s">
        <v>5032</v>
      </c>
      <c r="BG145" t="s">
        <v>5033</v>
      </c>
      <c r="BO145" s="54"/>
      <c r="BP145" s="56">
        <v>45712</v>
      </c>
      <c r="BQ145" s="57">
        <v>45803</v>
      </c>
      <c r="BR145" s="57">
        <v>45894</v>
      </c>
      <c r="BS145" s="57">
        <v>45985</v>
      </c>
      <c r="BT145" s="57"/>
      <c r="BU145" s="57"/>
      <c r="BV145" s="57"/>
      <c r="BW145" s="57"/>
      <c r="BX145" s="57"/>
      <c r="BY145" s="57"/>
      <c r="BZ145" s="57"/>
      <c r="CA145" s="57"/>
      <c r="CB145" s="56" t="s">
        <v>5034</v>
      </c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6">
        <v>45744</v>
      </c>
      <c r="CO145" s="57">
        <v>45835</v>
      </c>
      <c r="CP145" s="57">
        <v>45929</v>
      </c>
      <c r="CQ145" s="57">
        <v>46021</v>
      </c>
      <c r="CR145" s="57"/>
      <c r="CS145" s="57"/>
      <c r="CT145" s="57"/>
      <c r="CU145" s="57"/>
      <c r="CV145" s="57"/>
      <c r="CW145" s="57"/>
      <c r="CX145" s="57"/>
      <c r="CY145" s="57"/>
      <c r="CZ145" s="56" t="s">
        <v>5034</v>
      </c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8"/>
      <c r="DL145" s="59">
        <v>4</v>
      </c>
      <c r="DM145" s="60">
        <v>4</v>
      </c>
      <c r="DN145" s="61">
        <v>0</v>
      </c>
      <c r="DO145" s="60">
        <v>4</v>
      </c>
      <c r="DP145" s="60">
        <v>0</v>
      </c>
      <c r="DQ145" s="59">
        <v>12</v>
      </c>
      <c r="DR145" s="62">
        <v>1901</v>
      </c>
      <c r="DS145" s="62" t="s">
        <v>5034</v>
      </c>
      <c r="DU145" s="62" t="s">
        <v>5034</v>
      </c>
      <c r="DV145" s="63">
        <v>45537</v>
      </c>
      <c r="DW145" s="64">
        <v>2024</v>
      </c>
      <c r="DX145" s="65">
        <v>9</v>
      </c>
    </row>
    <row r="146" spans="2:128" ht="15">
      <c r="B146" s="43" t="s">
        <v>5022</v>
      </c>
      <c r="C146" s="43" t="s">
        <v>4802</v>
      </c>
      <c r="D146" s="43" t="s">
        <v>1707</v>
      </c>
      <c r="E146" s="49">
        <v>45505</v>
      </c>
      <c r="F146" s="49"/>
      <c r="G146" s="50">
        <v>1</v>
      </c>
      <c r="H146" s="43" t="s">
        <v>4798</v>
      </c>
      <c r="I146" s="43" t="s">
        <v>5023</v>
      </c>
      <c r="J146" s="43"/>
      <c r="K146" s="43">
        <v>2</v>
      </c>
      <c r="L146" s="43">
        <v>3</v>
      </c>
      <c r="M146" s="43"/>
      <c r="N146" s="43"/>
      <c r="O146" s="43"/>
      <c r="P146" s="43" t="s">
        <v>5024</v>
      </c>
      <c r="Q146" s="43"/>
      <c r="R146" s="43" t="s">
        <v>5043</v>
      </c>
      <c r="S146" s="43" t="s">
        <v>5026</v>
      </c>
      <c r="T146" s="51" t="s">
        <v>5027</v>
      </c>
      <c r="U146" s="52" t="s">
        <v>5028</v>
      </c>
      <c r="V146" s="53" t="s">
        <v>3884</v>
      </c>
      <c r="W146" s="54" t="s">
        <v>1706</v>
      </c>
      <c r="X146" s="55" t="s">
        <v>4889</v>
      </c>
      <c r="Y146" t="s">
        <v>4896</v>
      </c>
      <c r="Z146" t="s">
        <v>4800</v>
      </c>
      <c r="AA146" t="s">
        <v>4891</v>
      </c>
      <c r="AI146" s="54"/>
      <c r="AJ146" s="56">
        <v>45740</v>
      </c>
      <c r="AK146" s="57">
        <v>45831</v>
      </c>
      <c r="AL146" s="57">
        <v>45922</v>
      </c>
      <c r="AM146" s="57">
        <v>46013</v>
      </c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8"/>
      <c r="BD146" s="55" t="s">
        <v>5030</v>
      </c>
      <c r="BE146" t="s">
        <v>5031</v>
      </c>
      <c r="BF146" t="s">
        <v>5032</v>
      </c>
      <c r="BG146" t="s">
        <v>5033</v>
      </c>
      <c r="BO146" s="54"/>
      <c r="BP146" s="56">
        <v>45712</v>
      </c>
      <c r="BQ146" s="57">
        <v>45803</v>
      </c>
      <c r="BR146" s="57">
        <v>45894</v>
      </c>
      <c r="BS146" s="57">
        <v>45985</v>
      </c>
      <c r="BT146" s="57"/>
      <c r="BU146" s="57"/>
      <c r="BV146" s="57"/>
      <c r="BW146" s="57"/>
      <c r="BX146" s="57"/>
      <c r="BY146" s="57"/>
      <c r="BZ146" s="57"/>
      <c r="CA146" s="57"/>
      <c r="CB146" s="56" t="s">
        <v>5034</v>
      </c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6">
        <v>45736</v>
      </c>
      <c r="CO146" s="57">
        <v>45827</v>
      </c>
      <c r="CP146" s="57">
        <v>45918</v>
      </c>
      <c r="CQ146" s="57">
        <v>46009</v>
      </c>
      <c r="CR146" s="57"/>
      <c r="CS146" s="57"/>
      <c r="CT146" s="57"/>
      <c r="CU146" s="57"/>
      <c r="CV146" s="57"/>
      <c r="CW146" s="57"/>
      <c r="CX146" s="57"/>
      <c r="CY146" s="57"/>
      <c r="CZ146" s="56" t="s">
        <v>5034</v>
      </c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8"/>
      <c r="DL146" s="59">
        <v>4</v>
      </c>
      <c r="DM146" s="60">
        <v>4</v>
      </c>
      <c r="DN146" s="61">
        <v>0</v>
      </c>
      <c r="DO146" s="60">
        <v>4</v>
      </c>
      <c r="DP146" s="60">
        <v>0</v>
      </c>
      <c r="DQ146" s="59">
        <v>12</v>
      </c>
      <c r="DR146" s="62">
        <v>1913</v>
      </c>
      <c r="DS146" s="62" t="s">
        <v>5034</v>
      </c>
      <c r="DU146" s="62" t="s">
        <v>5034</v>
      </c>
      <c r="DV146" s="63">
        <v>45505</v>
      </c>
      <c r="DW146" s="64">
        <v>2024</v>
      </c>
      <c r="DX146" s="65">
        <v>8</v>
      </c>
    </row>
    <row r="147" spans="2:128" ht="15">
      <c r="B147" s="43" t="s">
        <v>5022</v>
      </c>
      <c r="C147" s="43" t="s">
        <v>4854</v>
      </c>
      <c r="D147" s="43" t="s">
        <v>3759</v>
      </c>
      <c r="E147" s="49">
        <v>45513</v>
      </c>
      <c r="F147" s="49"/>
      <c r="G147" s="50">
        <v>1</v>
      </c>
      <c r="H147" s="43" t="s">
        <v>4896</v>
      </c>
      <c r="I147" s="43" t="s">
        <v>5031</v>
      </c>
      <c r="J147" s="43"/>
      <c r="K147" s="43">
        <v>2</v>
      </c>
      <c r="L147" s="43">
        <v>3</v>
      </c>
      <c r="M147" s="43"/>
      <c r="N147" s="43" t="s">
        <v>5087</v>
      </c>
      <c r="O147" s="43" t="s">
        <v>5059</v>
      </c>
      <c r="P147" s="43" t="s">
        <v>5063</v>
      </c>
      <c r="Q147" s="43"/>
      <c r="R147" s="43" t="s">
        <v>5045</v>
      </c>
      <c r="S147" s="43" t="s">
        <v>5026</v>
      </c>
      <c r="T147" s="51" t="s">
        <v>5027</v>
      </c>
      <c r="U147" s="52" t="s">
        <v>5028</v>
      </c>
      <c r="V147" s="53" t="s">
        <v>3884</v>
      </c>
      <c r="W147" s="54" t="s">
        <v>3758</v>
      </c>
      <c r="X147" s="55" t="s">
        <v>4896</v>
      </c>
      <c r="AI147" s="54"/>
      <c r="AJ147" s="56">
        <v>45831</v>
      </c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8"/>
      <c r="BD147" s="55" t="s">
        <v>5031</v>
      </c>
      <c r="BO147" s="54"/>
      <c r="BP147" s="56">
        <v>45803</v>
      </c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6" t="s">
        <v>5034</v>
      </c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6">
        <v>45827</v>
      </c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6" t="s">
        <v>5034</v>
      </c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8"/>
      <c r="DL147" s="59">
        <v>1</v>
      </c>
      <c r="DM147" s="60">
        <v>1</v>
      </c>
      <c r="DN147" s="61">
        <v>0</v>
      </c>
      <c r="DO147" s="60">
        <v>1</v>
      </c>
      <c r="DP147" s="60">
        <v>0</v>
      </c>
      <c r="DQ147" s="59">
        <v>3</v>
      </c>
      <c r="DR147" s="62">
        <v>1925</v>
      </c>
      <c r="DS147" s="62" t="s">
        <v>5034</v>
      </c>
      <c r="DU147" s="62" t="s">
        <v>5034</v>
      </c>
      <c r="DV147" s="63">
        <v>45561</v>
      </c>
      <c r="DW147" s="64">
        <v>2024</v>
      </c>
      <c r="DX147" s="65">
        <v>9</v>
      </c>
    </row>
    <row r="148" spans="2:128" ht="15">
      <c r="B148" s="43" t="s">
        <v>5022</v>
      </c>
      <c r="C148" s="43" t="s">
        <v>4802</v>
      </c>
      <c r="D148" s="43" t="s">
        <v>1689</v>
      </c>
      <c r="E148" s="49">
        <v>45513</v>
      </c>
      <c r="F148" s="49"/>
      <c r="G148" s="50">
        <v>1</v>
      </c>
      <c r="H148" s="43" t="s">
        <v>4798</v>
      </c>
      <c r="I148" s="43" t="s">
        <v>5023</v>
      </c>
      <c r="J148" s="43"/>
      <c r="K148" s="43">
        <v>2</v>
      </c>
      <c r="L148" s="43">
        <v>3</v>
      </c>
      <c r="M148" s="43"/>
      <c r="N148" s="43" t="s">
        <v>839</v>
      </c>
      <c r="O148" s="43"/>
      <c r="P148" s="43" t="s">
        <v>5063</v>
      </c>
      <c r="Q148" s="43"/>
      <c r="R148" s="43" t="s">
        <v>5043</v>
      </c>
      <c r="S148" s="43" t="s">
        <v>5026</v>
      </c>
      <c r="T148" s="51" t="s">
        <v>5027</v>
      </c>
      <c r="U148" s="52" t="s">
        <v>5028</v>
      </c>
      <c r="V148" s="53" t="s">
        <v>3884</v>
      </c>
      <c r="W148" s="54" t="s">
        <v>1688</v>
      </c>
      <c r="X148" s="55" t="s">
        <v>4889</v>
      </c>
      <c r="Y148" t="s">
        <v>4896</v>
      </c>
      <c r="Z148" t="s">
        <v>4800</v>
      </c>
      <c r="AA148" t="s">
        <v>4891</v>
      </c>
      <c r="AI148" s="54"/>
      <c r="AJ148" s="56">
        <v>45740</v>
      </c>
      <c r="AK148" s="57">
        <v>45831</v>
      </c>
      <c r="AL148" s="57">
        <v>45922</v>
      </c>
      <c r="AM148" s="57">
        <v>46013</v>
      </c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8"/>
      <c r="BD148" s="55" t="s">
        <v>5030</v>
      </c>
      <c r="BE148" t="s">
        <v>5031</v>
      </c>
      <c r="BF148" t="s">
        <v>5032</v>
      </c>
      <c r="BG148" t="s">
        <v>5033</v>
      </c>
      <c r="BO148" s="54"/>
      <c r="BP148" s="56">
        <v>45712</v>
      </c>
      <c r="BQ148" s="57">
        <v>45803</v>
      </c>
      <c r="BR148" s="57">
        <v>45894</v>
      </c>
      <c r="BS148" s="57">
        <v>45985</v>
      </c>
      <c r="BT148" s="57"/>
      <c r="BU148" s="57"/>
      <c r="BV148" s="57"/>
      <c r="BW148" s="57"/>
      <c r="BX148" s="57"/>
      <c r="BY148" s="57"/>
      <c r="BZ148" s="57"/>
      <c r="CA148" s="57"/>
      <c r="CB148" s="56" t="s">
        <v>5034</v>
      </c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6">
        <v>45736</v>
      </c>
      <c r="CO148" s="57">
        <v>45827</v>
      </c>
      <c r="CP148" s="57">
        <v>45918</v>
      </c>
      <c r="CQ148" s="57">
        <v>46009</v>
      </c>
      <c r="CR148" s="57"/>
      <c r="CS148" s="57"/>
      <c r="CT148" s="57"/>
      <c r="CU148" s="57"/>
      <c r="CV148" s="57"/>
      <c r="CW148" s="57"/>
      <c r="CX148" s="57"/>
      <c r="CY148" s="57"/>
      <c r="CZ148" s="56" t="s">
        <v>5034</v>
      </c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8"/>
      <c r="DL148" s="59">
        <v>4</v>
      </c>
      <c r="DM148" s="60">
        <v>4</v>
      </c>
      <c r="DN148" s="61">
        <v>0</v>
      </c>
      <c r="DO148" s="60">
        <v>4</v>
      </c>
      <c r="DP148" s="60">
        <v>0</v>
      </c>
      <c r="DQ148" s="59">
        <v>12</v>
      </c>
      <c r="DR148" s="62">
        <v>1928</v>
      </c>
      <c r="DS148" s="62" t="s">
        <v>5034</v>
      </c>
      <c r="DU148" s="62" t="s">
        <v>5034</v>
      </c>
      <c r="DV148" s="63">
        <v>45517</v>
      </c>
      <c r="DW148" s="64">
        <v>2024</v>
      </c>
      <c r="DX148" s="65">
        <v>8</v>
      </c>
    </row>
    <row r="149" spans="2:128" ht="15">
      <c r="B149" s="43" t="s">
        <v>5022</v>
      </c>
      <c r="C149" s="43" t="s">
        <v>4879</v>
      </c>
      <c r="D149" s="43" t="s">
        <v>2844</v>
      </c>
      <c r="E149" s="49">
        <v>45520</v>
      </c>
      <c r="F149" s="49"/>
      <c r="G149" s="50">
        <v>1</v>
      </c>
      <c r="H149" s="43" t="s">
        <v>4798</v>
      </c>
      <c r="I149" s="43" t="s">
        <v>5023</v>
      </c>
      <c r="J149" s="43"/>
      <c r="K149" s="43">
        <v>2</v>
      </c>
      <c r="L149" s="43">
        <v>3</v>
      </c>
      <c r="M149" s="43"/>
      <c r="N149" s="43" t="s">
        <v>856</v>
      </c>
      <c r="O149" s="43" t="s">
        <v>5146</v>
      </c>
      <c r="P149" s="43" t="s">
        <v>5063</v>
      </c>
      <c r="Q149" s="43"/>
      <c r="R149" s="43" t="s">
        <v>5098</v>
      </c>
      <c r="S149" s="43" t="s">
        <v>5026</v>
      </c>
      <c r="T149" s="51" t="s">
        <v>5027</v>
      </c>
      <c r="U149" s="52" t="s">
        <v>5028</v>
      </c>
      <c r="V149" s="53" t="s">
        <v>3884</v>
      </c>
      <c r="W149" s="54" t="s">
        <v>2843</v>
      </c>
      <c r="X149" s="55" t="s">
        <v>4889</v>
      </c>
      <c r="Y149" t="s">
        <v>4896</v>
      </c>
      <c r="Z149" t="s">
        <v>4800</v>
      </c>
      <c r="AA149" t="s">
        <v>4891</v>
      </c>
      <c r="AI149" s="54"/>
      <c r="AJ149" s="56">
        <v>45740</v>
      </c>
      <c r="AK149" s="57">
        <v>45831</v>
      </c>
      <c r="AL149" s="57">
        <v>45922</v>
      </c>
      <c r="AM149" s="57">
        <v>46013</v>
      </c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8"/>
      <c r="BD149" s="55" t="s">
        <v>5030</v>
      </c>
      <c r="BE149" t="s">
        <v>5031</v>
      </c>
      <c r="BF149" t="s">
        <v>5032</v>
      </c>
      <c r="BG149" t="s">
        <v>5033</v>
      </c>
      <c r="BO149" s="54"/>
      <c r="BP149" s="56">
        <v>45712</v>
      </c>
      <c r="BQ149" s="57">
        <v>45803</v>
      </c>
      <c r="BR149" s="57">
        <v>45894</v>
      </c>
      <c r="BS149" s="57">
        <v>45985</v>
      </c>
      <c r="BT149" s="57"/>
      <c r="BU149" s="57"/>
      <c r="BV149" s="57"/>
      <c r="BW149" s="57"/>
      <c r="BX149" s="57"/>
      <c r="BY149" s="57"/>
      <c r="BZ149" s="57"/>
      <c r="CA149" s="57"/>
      <c r="CB149" s="56" t="s">
        <v>5034</v>
      </c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6">
        <v>45736</v>
      </c>
      <c r="CO149" s="57">
        <v>45827</v>
      </c>
      <c r="CP149" s="57">
        <v>45918</v>
      </c>
      <c r="CQ149" s="57">
        <v>46009</v>
      </c>
      <c r="CR149" s="57"/>
      <c r="CS149" s="57"/>
      <c r="CT149" s="57"/>
      <c r="CU149" s="57"/>
      <c r="CV149" s="57"/>
      <c r="CW149" s="57"/>
      <c r="CX149" s="57"/>
      <c r="CY149" s="57"/>
      <c r="CZ149" s="56" t="s">
        <v>5034</v>
      </c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8"/>
      <c r="DL149" s="59">
        <v>4</v>
      </c>
      <c r="DM149" s="60">
        <v>4</v>
      </c>
      <c r="DN149" s="61">
        <v>0</v>
      </c>
      <c r="DO149" s="60">
        <v>4</v>
      </c>
      <c r="DP149" s="60">
        <v>0</v>
      </c>
      <c r="DQ149" s="59">
        <v>12</v>
      </c>
      <c r="DR149" s="62">
        <v>1940</v>
      </c>
      <c r="DS149" s="62" t="s">
        <v>5034</v>
      </c>
      <c r="DU149" s="62" t="s">
        <v>5034</v>
      </c>
      <c r="DV149" s="63">
        <v>45551</v>
      </c>
      <c r="DW149" s="64">
        <v>2024</v>
      </c>
      <c r="DX149" s="65">
        <v>9</v>
      </c>
    </row>
    <row r="150" spans="2:128" ht="15">
      <c r="B150" s="43" t="s">
        <v>5022</v>
      </c>
      <c r="C150" s="43" t="s">
        <v>4873</v>
      </c>
      <c r="D150" s="43" t="s">
        <v>1728</v>
      </c>
      <c r="E150" s="49">
        <v>45524</v>
      </c>
      <c r="F150" s="49"/>
      <c r="G150" s="50">
        <v>1</v>
      </c>
      <c r="H150" s="43" t="s">
        <v>4799</v>
      </c>
      <c r="I150" s="43" t="s">
        <v>5076</v>
      </c>
      <c r="J150" s="43">
        <v>6</v>
      </c>
      <c r="K150" s="43">
        <v>2</v>
      </c>
      <c r="L150" s="43">
        <v>3</v>
      </c>
      <c r="M150" s="43"/>
      <c r="N150" s="43"/>
      <c r="O150" s="43"/>
      <c r="P150" s="43" t="s">
        <v>1925</v>
      </c>
      <c r="Q150" s="43"/>
      <c r="R150" s="43" t="s">
        <v>5086</v>
      </c>
      <c r="S150" s="43" t="s">
        <v>5026</v>
      </c>
      <c r="T150" s="51" t="s">
        <v>5027</v>
      </c>
      <c r="U150" s="52" t="s">
        <v>5028</v>
      </c>
      <c r="V150" s="53" t="s">
        <v>3884</v>
      </c>
      <c r="W150" s="54" t="s">
        <v>1727</v>
      </c>
      <c r="X150" s="55" t="s">
        <v>4889</v>
      </c>
      <c r="Y150" t="s">
        <v>4800</v>
      </c>
      <c r="AI150" s="54"/>
      <c r="AJ150" s="56">
        <v>45740</v>
      </c>
      <c r="AK150" s="57">
        <v>45922</v>
      </c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8"/>
      <c r="BD150" s="55" t="s">
        <v>5030</v>
      </c>
      <c r="BE150" t="s">
        <v>5032</v>
      </c>
      <c r="BO150" s="54"/>
      <c r="BP150" s="56">
        <v>45712</v>
      </c>
      <c r="BQ150" s="57">
        <v>45894</v>
      </c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6">
        <v>45730</v>
      </c>
      <c r="CC150" s="57">
        <v>45912</v>
      </c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6">
        <v>45736</v>
      </c>
      <c r="CO150" s="57">
        <v>45918</v>
      </c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6" t="s">
        <v>5034</v>
      </c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8"/>
      <c r="DL150" s="59">
        <v>2</v>
      </c>
      <c r="DM150" s="60">
        <v>2</v>
      </c>
      <c r="DN150" s="61">
        <v>2</v>
      </c>
      <c r="DO150" s="60">
        <v>2</v>
      </c>
      <c r="DP150" s="60">
        <v>0</v>
      </c>
      <c r="DQ150" s="59">
        <v>8</v>
      </c>
      <c r="DR150" s="62">
        <v>1952</v>
      </c>
      <c r="DS150" s="62" t="s">
        <v>5034</v>
      </c>
      <c r="DU150" s="62" t="s">
        <v>5034</v>
      </c>
      <c r="DV150" s="63">
        <v>45537</v>
      </c>
      <c r="DW150" s="64">
        <v>2024</v>
      </c>
      <c r="DX150" s="65">
        <v>9</v>
      </c>
    </row>
    <row r="151" spans="2:128" ht="15">
      <c r="B151" s="43" t="s">
        <v>5022</v>
      </c>
      <c r="C151" s="43" t="s">
        <v>4873</v>
      </c>
      <c r="D151" s="43" t="s">
        <v>1783</v>
      </c>
      <c r="E151" s="49">
        <v>45524</v>
      </c>
      <c r="F151" s="49"/>
      <c r="G151" s="50">
        <v>1</v>
      </c>
      <c r="H151" s="43" t="s">
        <v>4799</v>
      </c>
      <c r="I151" s="43" t="s">
        <v>5076</v>
      </c>
      <c r="J151" s="43">
        <v>6</v>
      </c>
      <c r="K151" s="43">
        <v>2</v>
      </c>
      <c r="L151" s="43">
        <v>3</v>
      </c>
      <c r="M151" s="43"/>
      <c r="N151" s="43"/>
      <c r="O151" s="43"/>
      <c r="P151" s="43" t="s">
        <v>1925</v>
      </c>
      <c r="Q151" s="43"/>
      <c r="R151" s="43" t="s">
        <v>5086</v>
      </c>
      <c r="S151" s="43" t="s">
        <v>5026</v>
      </c>
      <c r="T151" s="51" t="s">
        <v>5027</v>
      </c>
      <c r="U151" s="52" t="s">
        <v>5028</v>
      </c>
      <c r="V151" s="53" t="s">
        <v>3884</v>
      </c>
      <c r="W151" s="54" t="s">
        <v>1782</v>
      </c>
      <c r="X151" s="55" t="s">
        <v>4889</v>
      </c>
      <c r="Y151" t="s">
        <v>4800</v>
      </c>
      <c r="AI151" s="54"/>
      <c r="AJ151" s="56">
        <v>45740</v>
      </c>
      <c r="AK151" s="57">
        <v>45922</v>
      </c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8"/>
      <c r="BD151" s="55" t="s">
        <v>5030</v>
      </c>
      <c r="BE151" t="s">
        <v>5032</v>
      </c>
      <c r="BO151" s="54"/>
      <c r="BP151" s="56">
        <v>45712</v>
      </c>
      <c r="BQ151" s="57">
        <v>45894</v>
      </c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6">
        <v>45730</v>
      </c>
      <c r="CC151" s="57">
        <v>45912</v>
      </c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6">
        <v>45736</v>
      </c>
      <c r="CO151" s="57">
        <v>45918</v>
      </c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6" t="s">
        <v>5034</v>
      </c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8"/>
      <c r="DL151" s="59">
        <v>2</v>
      </c>
      <c r="DM151" s="60">
        <v>2</v>
      </c>
      <c r="DN151" s="61">
        <v>2</v>
      </c>
      <c r="DO151" s="60">
        <v>2</v>
      </c>
      <c r="DP151" s="60">
        <v>0</v>
      </c>
      <c r="DQ151" s="59">
        <v>8</v>
      </c>
      <c r="DR151" s="62">
        <v>1960</v>
      </c>
      <c r="DS151" s="62" t="s">
        <v>5034</v>
      </c>
      <c r="DU151" s="62" t="s">
        <v>5034</v>
      </c>
      <c r="DV151" s="63">
        <v>45537</v>
      </c>
      <c r="DW151" s="64">
        <v>2024</v>
      </c>
      <c r="DX151" s="65">
        <v>9</v>
      </c>
    </row>
    <row r="152" spans="2:128" ht="15">
      <c r="B152" s="43" t="s">
        <v>5022</v>
      </c>
      <c r="C152" s="43" t="s">
        <v>4873</v>
      </c>
      <c r="D152" s="43" t="s">
        <v>1774</v>
      </c>
      <c r="E152" s="49">
        <v>45524</v>
      </c>
      <c r="F152" s="49"/>
      <c r="G152" s="50">
        <v>1</v>
      </c>
      <c r="H152" s="43" t="s">
        <v>4799</v>
      </c>
      <c r="I152" s="43" t="s">
        <v>5076</v>
      </c>
      <c r="J152" s="43">
        <v>6</v>
      </c>
      <c r="K152" s="43">
        <v>2</v>
      </c>
      <c r="L152" s="43">
        <v>3</v>
      </c>
      <c r="M152" s="43"/>
      <c r="N152" s="43"/>
      <c r="O152" s="43"/>
      <c r="P152" s="43" t="s">
        <v>1925</v>
      </c>
      <c r="Q152" s="43"/>
      <c r="R152" s="43" t="s">
        <v>5086</v>
      </c>
      <c r="S152" s="43" t="s">
        <v>5026</v>
      </c>
      <c r="T152" s="51" t="s">
        <v>5027</v>
      </c>
      <c r="U152" s="52" t="s">
        <v>5028</v>
      </c>
      <c r="V152" s="53" t="s">
        <v>3884</v>
      </c>
      <c r="W152" s="54" t="s">
        <v>1773</v>
      </c>
      <c r="X152" s="55" t="s">
        <v>4889</v>
      </c>
      <c r="Y152" t="s">
        <v>4800</v>
      </c>
      <c r="AI152" s="54"/>
      <c r="AJ152" s="56">
        <v>45740</v>
      </c>
      <c r="AK152" s="57">
        <v>45922</v>
      </c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8"/>
      <c r="BD152" s="55" t="s">
        <v>5030</v>
      </c>
      <c r="BE152" t="s">
        <v>5032</v>
      </c>
      <c r="BO152" s="54"/>
      <c r="BP152" s="56">
        <v>45712</v>
      </c>
      <c r="BQ152" s="57">
        <v>45894</v>
      </c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6">
        <v>45730</v>
      </c>
      <c r="CC152" s="57">
        <v>45912</v>
      </c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6">
        <v>45736</v>
      </c>
      <c r="CO152" s="57">
        <v>45918</v>
      </c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6" t="s">
        <v>5034</v>
      </c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8"/>
      <c r="DL152" s="59">
        <v>2</v>
      </c>
      <c r="DM152" s="60">
        <v>2</v>
      </c>
      <c r="DN152" s="61">
        <v>2</v>
      </c>
      <c r="DO152" s="60">
        <v>2</v>
      </c>
      <c r="DP152" s="60">
        <v>0</v>
      </c>
      <c r="DQ152" s="59">
        <v>8</v>
      </c>
      <c r="DR152" s="62">
        <v>1968</v>
      </c>
      <c r="DS152" s="62" t="s">
        <v>5034</v>
      </c>
      <c r="DU152" s="62" t="s">
        <v>5034</v>
      </c>
      <c r="DV152" s="63">
        <v>45537</v>
      </c>
      <c r="DW152" s="64">
        <v>2024</v>
      </c>
      <c r="DX152" s="65">
        <v>9</v>
      </c>
    </row>
    <row r="153" spans="2:128" ht="15">
      <c r="B153" s="43" t="s">
        <v>5022</v>
      </c>
      <c r="C153" s="43" t="s">
        <v>4873</v>
      </c>
      <c r="D153" s="43" t="s">
        <v>1811</v>
      </c>
      <c r="E153" s="49">
        <v>45524</v>
      </c>
      <c r="F153" s="49"/>
      <c r="G153" s="50">
        <v>1</v>
      </c>
      <c r="H153" s="43" t="s">
        <v>4799</v>
      </c>
      <c r="I153" s="43" t="s">
        <v>5076</v>
      </c>
      <c r="J153" s="43">
        <v>6</v>
      </c>
      <c r="K153" s="43">
        <v>2</v>
      </c>
      <c r="L153" s="43">
        <v>3</v>
      </c>
      <c r="M153" s="43"/>
      <c r="N153" s="43"/>
      <c r="O153" s="43"/>
      <c r="P153" s="43" t="s">
        <v>1925</v>
      </c>
      <c r="Q153" s="43"/>
      <c r="R153" s="43" t="s">
        <v>5086</v>
      </c>
      <c r="S153" s="43" t="s">
        <v>5026</v>
      </c>
      <c r="T153" s="51" t="s">
        <v>5027</v>
      </c>
      <c r="U153" s="52" t="s">
        <v>5028</v>
      </c>
      <c r="V153" s="53" t="s">
        <v>3884</v>
      </c>
      <c r="W153" s="54" t="s">
        <v>1810</v>
      </c>
      <c r="X153" s="55" t="s">
        <v>4889</v>
      </c>
      <c r="Y153" t="s">
        <v>4800</v>
      </c>
      <c r="AI153" s="54"/>
      <c r="AJ153" s="56">
        <v>45740</v>
      </c>
      <c r="AK153" s="57">
        <v>45922</v>
      </c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8"/>
      <c r="BD153" s="55" t="s">
        <v>5030</v>
      </c>
      <c r="BE153" t="s">
        <v>5032</v>
      </c>
      <c r="BO153" s="54"/>
      <c r="BP153" s="56">
        <v>45712</v>
      </c>
      <c r="BQ153" s="57">
        <v>45894</v>
      </c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6">
        <v>45730</v>
      </c>
      <c r="CC153" s="57">
        <v>45912</v>
      </c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6">
        <v>45736</v>
      </c>
      <c r="CO153" s="57">
        <v>45918</v>
      </c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6" t="s">
        <v>5034</v>
      </c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8"/>
      <c r="DL153" s="59">
        <v>2</v>
      </c>
      <c r="DM153" s="60">
        <v>2</v>
      </c>
      <c r="DN153" s="61">
        <v>2</v>
      </c>
      <c r="DO153" s="60">
        <v>2</v>
      </c>
      <c r="DP153" s="60">
        <v>0</v>
      </c>
      <c r="DQ153" s="59">
        <v>8</v>
      </c>
      <c r="DR153" s="62">
        <v>1976</v>
      </c>
      <c r="DS153" s="62" t="s">
        <v>5034</v>
      </c>
      <c r="DU153" s="62" t="s">
        <v>5034</v>
      </c>
      <c r="DV153" s="63">
        <v>45537</v>
      </c>
      <c r="DW153" s="64">
        <v>2024</v>
      </c>
      <c r="DX153" s="65">
        <v>9</v>
      </c>
    </row>
    <row r="154" spans="2:128" ht="15">
      <c r="B154" s="43" t="s">
        <v>5022</v>
      </c>
      <c r="C154" s="43" t="s">
        <v>4873</v>
      </c>
      <c r="D154" s="43" t="s">
        <v>1802</v>
      </c>
      <c r="E154" s="49">
        <v>45524</v>
      </c>
      <c r="F154" s="49"/>
      <c r="G154" s="50">
        <v>1</v>
      </c>
      <c r="H154" s="43" t="s">
        <v>4799</v>
      </c>
      <c r="I154" s="43" t="s">
        <v>5076</v>
      </c>
      <c r="J154" s="43">
        <v>6</v>
      </c>
      <c r="K154" s="43">
        <v>2</v>
      </c>
      <c r="L154" s="43">
        <v>3</v>
      </c>
      <c r="M154" s="43"/>
      <c r="N154" s="43"/>
      <c r="O154" s="43"/>
      <c r="P154" s="43" t="s">
        <v>1925</v>
      </c>
      <c r="Q154" s="43"/>
      <c r="R154" s="43" t="s">
        <v>5086</v>
      </c>
      <c r="S154" s="43" t="s">
        <v>5026</v>
      </c>
      <c r="T154" s="51" t="s">
        <v>5027</v>
      </c>
      <c r="U154" s="52" t="s">
        <v>5028</v>
      </c>
      <c r="V154" s="53" t="s">
        <v>3884</v>
      </c>
      <c r="W154" s="54" t="s">
        <v>1801</v>
      </c>
      <c r="X154" s="55" t="s">
        <v>4889</v>
      </c>
      <c r="Y154" t="s">
        <v>4800</v>
      </c>
      <c r="AI154" s="54"/>
      <c r="AJ154" s="56">
        <v>45740</v>
      </c>
      <c r="AK154" s="57">
        <v>45922</v>
      </c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8"/>
      <c r="BD154" s="55" t="s">
        <v>5030</v>
      </c>
      <c r="BE154" t="s">
        <v>5032</v>
      </c>
      <c r="BO154" s="54"/>
      <c r="BP154" s="56">
        <v>45712</v>
      </c>
      <c r="BQ154" s="57">
        <v>45894</v>
      </c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6">
        <v>45730</v>
      </c>
      <c r="CC154" s="57">
        <v>45912</v>
      </c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6">
        <v>45736</v>
      </c>
      <c r="CO154" s="57">
        <v>45918</v>
      </c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6" t="s">
        <v>5034</v>
      </c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8"/>
      <c r="DL154" s="59">
        <v>2</v>
      </c>
      <c r="DM154" s="60">
        <v>2</v>
      </c>
      <c r="DN154" s="61">
        <v>2</v>
      </c>
      <c r="DO154" s="60">
        <v>2</v>
      </c>
      <c r="DP154" s="60">
        <v>0</v>
      </c>
      <c r="DQ154" s="59">
        <v>8</v>
      </c>
      <c r="DR154" s="62">
        <v>1984</v>
      </c>
      <c r="DS154" s="62" t="s">
        <v>5034</v>
      </c>
      <c r="DU154" s="62" t="s">
        <v>5034</v>
      </c>
      <c r="DV154" s="63">
        <v>45537</v>
      </c>
      <c r="DW154" s="64">
        <v>2024</v>
      </c>
      <c r="DX154" s="65">
        <v>9</v>
      </c>
    </row>
    <row r="155" spans="2:128" ht="15">
      <c r="B155" s="43" t="s">
        <v>5022</v>
      </c>
      <c r="C155" s="43" t="s">
        <v>4873</v>
      </c>
      <c r="D155" s="43" t="s">
        <v>1792</v>
      </c>
      <c r="E155" s="49">
        <v>45524</v>
      </c>
      <c r="F155" s="49"/>
      <c r="G155" s="50">
        <v>1</v>
      </c>
      <c r="H155" s="43" t="s">
        <v>4799</v>
      </c>
      <c r="I155" s="43" t="s">
        <v>5076</v>
      </c>
      <c r="J155" s="43">
        <v>6</v>
      </c>
      <c r="K155" s="43">
        <v>2</v>
      </c>
      <c r="L155" s="43">
        <v>3</v>
      </c>
      <c r="M155" s="43"/>
      <c r="N155" s="43"/>
      <c r="O155" s="43"/>
      <c r="P155" s="43" t="s">
        <v>1925</v>
      </c>
      <c r="Q155" s="43"/>
      <c r="R155" s="43" t="s">
        <v>5086</v>
      </c>
      <c r="S155" s="43" t="s">
        <v>5026</v>
      </c>
      <c r="T155" s="51" t="s">
        <v>5027</v>
      </c>
      <c r="U155" s="52" t="s">
        <v>5028</v>
      </c>
      <c r="V155" s="53" t="s">
        <v>3884</v>
      </c>
      <c r="W155" s="54" t="s">
        <v>1791</v>
      </c>
      <c r="X155" s="55" t="s">
        <v>4889</v>
      </c>
      <c r="Y155" t="s">
        <v>4800</v>
      </c>
      <c r="AI155" s="54"/>
      <c r="AJ155" s="56">
        <v>45740</v>
      </c>
      <c r="AK155" s="57">
        <v>45922</v>
      </c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8"/>
      <c r="BD155" s="55" t="s">
        <v>5030</v>
      </c>
      <c r="BE155" t="s">
        <v>5032</v>
      </c>
      <c r="BO155" s="54"/>
      <c r="BP155" s="56">
        <v>45712</v>
      </c>
      <c r="BQ155" s="57">
        <v>45894</v>
      </c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6">
        <v>45730</v>
      </c>
      <c r="CC155" s="57">
        <v>45912</v>
      </c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6">
        <v>45736</v>
      </c>
      <c r="CO155" s="57">
        <v>45918</v>
      </c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6" t="s">
        <v>5034</v>
      </c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8"/>
      <c r="DL155" s="59">
        <v>2</v>
      </c>
      <c r="DM155" s="60">
        <v>2</v>
      </c>
      <c r="DN155" s="61">
        <v>2</v>
      </c>
      <c r="DO155" s="60">
        <v>2</v>
      </c>
      <c r="DP155" s="60">
        <v>0</v>
      </c>
      <c r="DQ155" s="59">
        <v>8</v>
      </c>
      <c r="DR155" s="62">
        <v>1992</v>
      </c>
      <c r="DS155" s="62" t="s">
        <v>5034</v>
      </c>
      <c r="DU155" s="62" t="s">
        <v>5034</v>
      </c>
      <c r="DV155" s="63">
        <v>45537</v>
      </c>
      <c r="DW155" s="64">
        <v>2024</v>
      </c>
      <c r="DX155" s="65">
        <v>9</v>
      </c>
    </row>
    <row r="156" spans="2:128" ht="15">
      <c r="B156" s="43" t="s">
        <v>5022</v>
      </c>
      <c r="C156" s="43" t="s">
        <v>4873</v>
      </c>
      <c r="D156" s="43" t="s">
        <v>1765</v>
      </c>
      <c r="E156" s="49">
        <v>45524</v>
      </c>
      <c r="F156" s="49"/>
      <c r="G156" s="50">
        <v>1</v>
      </c>
      <c r="H156" s="43" t="s">
        <v>4799</v>
      </c>
      <c r="I156" s="43" t="s">
        <v>5076</v>
      </c>
      <c r="J156" s="43">
        <v>6</v>
      </c>
      <c r="K156" s="43">
        <v>2</v>
      </c>
      <c r="L156" s="43">
        <v>3</v>
      </c>
      <c r="M156" s="43"/>
      <c r="N156" s="43"/>
      <c r="O156" s="43"/>
      <c r="P156" s="43" t="s">
        <v>1925</v>
      </c>
      <c r="Q156" s="43"/>
      <c r="R156" s="43" t="s">
        <v>5086</v>
      </c>
      <c r="S156" s="43" t="s">
        <v>5026</v>
      </c>
      <c r="T156" s="51" t="s">
        <v>5027</v>
      </c>
      <c r="U156" s="52" t="s">
        <v>5028</v>
      </c>
      <c r="V156" s="53" t="s">
        <v>3884</v>
      </c>
      <c r="W156" s="54" t="s">
        <v>1764</v>
      </c>
      <c r="X156" s="55" t="s">
        <v>4889</v>
      </c>
      <c r="Y156" t="s">
        <v>4800</v>
      </c>
      <c r="AI156" s="54"/>
      <c r="AJ156" s="56">
        <v>45740</v>
      </c>
      <c r="AK156" s="57">
        <v>45922</v>
      </c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8"/>
      <c r="BD156" s="55" t="s">
        <v>5030</v>
      </c>
      <c r="BE156" t="s">
        <v>5032</v>
      </c>
      <c r="BO156" s="54"/>
      <c r="BP156" s="56">
        <v>45712</v>
      </c>
      <c r="BQ156" s="57">
        <v>45894</v>
      </c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6">
        <v>45730</v>
      </c>
      <c r="CC156" s="57">
        <v>45912</v>
      </c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6">
        <v>45736</v>
      </c>
      <c r="CO156" s="57">
        <v>45918</v>
      </c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6" t="s">
        <v>5034</v>
      </c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8"/>
      <c r="DL156" s="59">
        <v>2</v>
      </c>
      <c r="DM156" s="60">
        <v>2</v>
      </c>
      <c r="DN156" s="61">
        <v>2</v>
      </c>
      <c r="DO156" s="60">
        <v>2</v>
      </c>
      <c r="DP156" s="60">
        <v>0</v>
      </c>
      <c r="DQ156" s="59">
        <v>8</v>
      </c>
      <c r="DR156" s="62">
        <v>2000</v>
      </c>
      <c r="DS156" s="62" t="s">
        <v>5034</v>
      </c>
      <c r="DU156" s="62" t="s">
        <v>5034</v>
      </c>
      <c r="DV156" s="63">
        <v>45537</v>
      </c>
      <c r="DW156" s="64">
        <v>2024</v>
      </c>
      <c r="DX156" s="65">
        <v>9</v>
      </c>
    </row>
    <row r="157" spans="2:128" ht="15">
      <c r="B157" s="43" t="s">
        <v>5022</v>
      </c>
      <c r="C157" s="43" t="s">
        <v>4873</v>
      </c>
      <c r="D157" s="43" t="s">
        <v>1746</v>
      </c>
      <c r="E157" s="49">
        <v>45524</v>
      </c>
      <c r="F157" s="49"/>
      <c r="G157" s="50">
        <v>1</v>
      </c>
      <c r="H157" s="43" t="s">
        <v>4799</v>
      </c>
      <c r="I157" s="43" t="s">
        <v>5076</v>
      </c>
      <c r="J157" s="43">
        <v>6</v>
      </c>
      <c r="K157" s="43">
        <v>2</v>
      </c>
      <c r="L157" s="43">
        <v>3</v>
      </c>
      <c r="M157" s="43"/>
      <c r="N157" s="43"/>
      <c r="O157" s="43"/>
      <c r="P157" s="43" t="s">
        <v>1925</v>
      </c>
      <c r="Q157" s="43"/>
      <c r="R157" s="43" t="s">
        <v>5086</v>
      </c>
      <c r="S157" s="43" t="s">
        <v>5026</v>
      </c>
      <c r="T157" s="51" t="s">
        <v>5027</v>
      </c>
      <c r="U157" s="52" t="s">
        <v>5028</v>
      </c>
      <c r="V157" s="53" t="s">
        <v>3884</v>
      </c>
      <c r="W157" s="54" t="s">
        <v>1745</v>
      </c>
      <c r="X157" s="55" t="s">
        <v>4889</v>
      </c>
      <c r="Y157" t="s">
        <v>4800</v>
      </c>
      <c r="AI157" s="54"/>
      <c r="AJ157" s="56">
        <v>45740</v>
      </c>
      <c r="AK157" s="57">
        <v>45922</v>
      </c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8"/>
      <c r="BD157" s="55" t="s">
        <v>5030</v>
      </c>
      <c r="BE157" t="s">
        <v>5032</v>
      </c>
      <c r="BO157" s="54"/>
      <c r="BP157" s="56">
        <v>45712</v>
      </c>
      <c r="BQ157" s="57">
        <v>45894</v>
      </c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6">
        <v>45730</v>
      </c>
      <c r="CC157" s="57">
        <v>45912</v>
      </c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6">
        <v>45736</v>
      </c>
      <c r="CO157" s="57">
        <v>45918</v>
      </c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6" t="s">
        <v>5034</v>
      </c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8"/>
      <c r="DL157" s="59">
        <v>2</v>
      </c>
      <c r="DM157" s="60">
        <v>2</v>
      </c>
      <c r="DN157" s="61">
        <v>2</v>
      </c>
      <c r="DO157" s="60">
        <v>2</v>
      </c>
      <c r="DP157" s="60">
        <v>0</v>
      </c>
      <c r="DQ157" s="59">
        <v>8</v>
      </c>
      <c r="DR157" s="62">
        <v>2008</v>
      </c>
      <c r="DS157" s="62" t="s">
        <v>5034</v>
      </c>
      <c r="DU157" s="62" t="s">
        <v>5034</v>
      </c>
      <c r="DV157" s="63">
        <v>45537</v>
      </c>
      <c r="DW157" s="64">
        <v>2024</v>
      </c>
      <c r="DX157" s="65">
        <v>9</v>
      </c>
    </row>
    <row r="158" spans="2:128" ht="15">
      <c r="B158" s="43" t="s">
        <v>5022</v>
      </c>
      <c r="C158" s="43" t="s">
        <v>4873</v>
      </c>
      <c r="D158" s="43" t="s">
        <v>1737</v>
      </c>
      <c r="E158" s="49">
        <v>45524</v>
      </c>
      <c r="F158" s="49"/>
      <c r="G158" s="50">
        <v>1</v>
      </c>
      <c r="H158" s="43" t="s">
        <v>4799</v>
      </c>
      <c r="I158" s="43" t="s">
        <v>5076</v>
      </c>
      <c r="J158" s="43">
        <v>6</v>
      </c>
      <c r="K158" s="43">
        <v>2</v>
      </c>
      <c r="L158" s="43">
        <v>3</v>
      </c>
      <c r="M158" s="43"/>
      <c r="N158" s="43"/>
      <c r="O158" s="43"/>
      <c r="P158" s="43" t="s">
        <v>1925</v>
      </c>
      <c r="Q158" s="43"/>
      <c r="R158" s="43" t="s">
        <v>5086</v>
      </c>
      <c r="S158" s="43" t="s">
        <v>5026</v>
      </c>
      <c r="T158" s="51" t="s">
        <v>5027</v>
      </c>
      <c r="U158" s="52" t="s">
        <v>5028</v>
      </c>
      <c r="V158" s="53" t="s">
        <v>3884</v>
      </c>
      <c r="W158" s="54" t="s">
        <v>1736</v>
      </c>
      <c r="X158" s="55" t="s">
        <v>4889</v>
      </c>
      <c r="Y158" t="s">
        <v>4800</v>
      </c>
      <c r="AI158" s="54"/>
      <c r="AJ158" s="56">
        <v>45740</v>
      </c>
      <c r="AK158" s="57">
        <v>45922</v>
      </c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8"/>
      <c r="BD158" s="55" t="s">
        <v>5030</v>
      </c>
      <c r="BE158" t="s">
        <v>5032</v>
      </c>
      <c r="BO158" s="54"/>
      <c r="BP158" s="56">
        <v>45712</v>
      </c>
      <c r="BQ158" s="57">
        <v>45894</v>
      </c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6">
        <v>45730</v>
      </c>
      <c r="CC158" s="57">
        <v>45912</v>
      </c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6">
        <v>45736</v>
      </c>
      <c r="CO158" s="57">
        <v>45918</v>
      </c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6" t="s">
        <v>5034</v>
      </c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8"/>
      <c r="DL158" s="59">
        <v>2</v>
      </c>
      <c r="DM158" s="60">
        <v>2</v>
      </c>
      <c r="DN158" s="61">
        <v>2</v>
      </c>
      <c r="DO158" s="60">
        <v>2</v>
      </c>
      <c r="DP158" s="60">
        <v>0</v>
      </c>
      <c r="DQ158" s="59">
        <v>8</v>
      </c>
      <c r="DR158" s="62">
        <v>2016</v>
      </c>
      <c r="DS158" s="62" t="s">
        <v>5034</v>
      </c>
      <c r="DU158" s="62" t="s">
        <v>5034</v>
      </c>
      <c r="DV158" s="63">
        <v>45537</v>
      </c>
      <c r="DW158" s="64">
        <v>2024</v>
      </c>
      <c r="DX158" s="65">
        <v>9</v>
      </c>
    </row>
    <row r="159" spans="2:128" ht="15">
      <c r="B159" s="43" t="s">
        <v>5022</v>
      </c>
      <c r="C159" s="43" t="s">
        <v>4873</v>
      </c>
      <c r="D159" s="43" t="s">
        <v>1719</v>
      </c>
      <c r="E159" s="49">
        <v>45524</v>
      </c>
      <c r="F159" s="49"/>
      <c r="G159" s="50">
        <v>1</v>
      </c>
      <c r="H159" s="43" t="s">
        <v>4799</v>
      </c>
      <c r="I159" s="43" t="s">
        <v>5076</v>
      </c>
      <c r="J159" s="43">
        <v>6</v>
      </c>
      <c r="K159" s="43">
        <v>2</v>
      </c>
      <c r="L159" s="43">
        <v>3</v>
      </c>
      <c r="M159" s="43"/>
      <c r="N159" s="43"/>
      <c r="O159" s="43"/>
      <c r="P159" s="43" t="s">
        <v>1925</v>
      </c>
      <c r="Q159" s="43"/>
      <c r="R159" s="43" t="s">
        <v>5086</v>
      </c>
      <c r="S159" s="43" t="s">
        <v>5026</v>
      </c>
      <c r="T159" s="51" t="s">
        <v>5027</v>
      </c>
      <c r="U159" s="52" t="s">
        <v>5028</v>
      </c>
      <c r="V159" s="53" t="s">
        <v>3884</v>
      </c>
      <c r="W159" s="54" t="s">
        <v>1718</v>
      </c>
      <c r="X159" s="55" t="s">
        <v>4889</v>
      </c>
      <c r="Y159" t="s">
        <v>4800</v>
      </c>
      <c r="AI159" s="54"/>
      <c r="AJ159" s="56">
        <v>45740</v>
      </c>
      <c r="AK159" s="57">
        <v>45922</v>
      </c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8"/>
      <c r="BD159" s="55" t="s">
        <v>5030</v>
      </c>
      <c r="BE159" t="s">
        <v>5032</v>
      </c>
      <c r="BO159" s="54"/>
      <c r="BP159" s="56">
        <v>45712</v>
      </c>
      <c r="BQ159" s="57">
        <v>45894</v>
      </c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6">
        <v>45730</v>
      </c>
      <c r="CC159" s="57">
        <v>45912</v>
      </c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6">
        <v>45736</v>
      </c>
      <c r="CO159" s="57">
        <v>45918</v>
      </c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6" t="s">
        <v>5034</v>
      </c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8"/>
      <c r="DL159" s="59">
        <v>2</v>
      </c>
      <c r="DM159" s="60">
        <v>2</v>
      </c>
      <c r="DN159" s="61">
        <v>2</v>
      </c>
      <c r="DO159" s="60">
        <v>2</v>
      </c>
      <c r="DP159" s="60">
        <v>0</v>
      </c>
      <c r="DQ159" s="59">
        <v>8</v>
      </c>
      <c r="DR159" s="62">
        <v>2024</v>
      </c>
      <c r="DS159" s="62" t="s">
        <v>5034</v>
      </c>
      <c r="DU159" s="62" t="s">
        <v>5034</v>
      </c>
      <c r="DV159" s="63">
        <v>45537</v>
      </c>
      <c r="DW159" s="64">
        <v>2024</v>
      </c>
      <c r="DX159" s="65">
        <v>9</v>
      </c>
    </row>
    <row r="160" spans="2:128" ht="15">
      <c r="B160" s="43" t="s">
        <v>5022</v>
      </c>
      <c r="C160" s="43" t="s">
        <v>4873</v>
      </c>
      <c r="D160" s="43" t="s">
        <v>1756</v>
      </c>
      <c r="E160" s="49">
        <v>45524</v>
      </c>
      <c r="F160" s="49"/>
      <c r="G160" s="50">
        <v>1</v>
      </c>
      <c r="H160" s="43" t="s">
        <v>4799</v>
      </c>
      <c r="I160" s="43" t="s">
        <v>5076</v>
      </c>
      <c r="J160" s="43">
        <v>6</v>
      </c>
      <c r="K160" s="43">
        <v>2</v>
      </c>
      <c r="L160" s="43">
        <v>3</v>
      </c>
      <c r="M160" s="43"/>
      <c r="N160" s="43"/>
      <c r="O160" s="43"/>
      <c r="P160" s="43" t="s">
        <v>1925</v>
      </c>
      <c r="Q160" s="43"/>
      <c r="R160" s="43" t="s">
        <v>5086</v>
      </c>
      <c r="S160" s="43" t="s">
        <v>5026</v>
      </c>
      <c r="T160" s="51" t="s">
        <v>5027</v>
      </c>
      <c r="U160" s="52" t="s">
        <v>5028</v>
      </c>
      <c r="V160" s="53" t="s">
        <v>3884</v>
      </c>
      <c r="W160" s="54" t="s">
        <v>1755</v>
      </c>
      <c r="X160" s="55" t="s">
        <v>4889</v>
      </c>
      <c r="Y160" t="s">
        <v>4800</v>
      </c>
      <c r="AI160" s="54"/>
      <c r="AJ160" s="56">
        <v>45740</v>
      </c>
      <c r="AK160" s="57">
        <v>45922</v>
      </c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8"/>
      <c r="BD160" s="55" t="s">
        <v>5030</v>
      </c>
      <c r="BE160" t="s">
        <v>5032</v>
      </c>
      <c r="BO160" s="54"/>
      <c r="BP160" s="56">
        <v>45712</v>
      </c>
      <c r="BQ160" s="57">
        <v>45894</v>
      </c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6">
        <v>45730</v>
      </c>
      <c r="CC160" s="57">
        <v>45912</v>
      </c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6">
        <v>45736</v>
      </c>
      <c r="CO160" s="57">
        <v>45918</v>
      </c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6" t="s">
        <v>5034</v>
      </c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8"/>
      <c r="DL160" s="59">
        <v>2</v>
      </c>
      <c r="DM160" s="60">
        <v>2</v>
      </c>
      <c r="DN160" s="61">
        <v>2</v>
      </c>
      <c r="DO160" s="60">
        <v>2</v>
      </c>
      <c r="DP160" s="60">
        <v>0</v>
      </c>
      <c r="DQ160" s="59">
        <v>8</v>
      </c>
      <c r="DR160" s="62">
        <v>2032</v>
      </c>
      <c r="DS160" s="62" t="s">
        <v>5034</v>
      </c>
      <c r="DU160" s="62" t="s">
        <v>5034</v>
      </c>
      <c r="DV160" s="63">
        <v>45537</v>
      </c>
      <c r="DW160" s="64">
        <v>2024</v>
      </c>
      <c r="DX160" s="65">
        <v>9</v>
      </c>
    </row>
    <row r="161" spans="2:128" ht="15">
      <c r="B161" s="43" t="s">
        <v>5022</v>
      </c>
      <c r="C161" s="43" t="s">
        <v>4802</v>
      </c>
      <c r="D161" s="43" t="s">
        <v>4163</v>
      </c>
      <c r="E161" s="49">
        <v>45525</v>
      </c>
      <c r="F161" s="49"/>
      <c r="G161" s="50">
        <v>1</v>
      </c>
      <c r="H161" s="43" t="s">
        <v>4890</v>
      </c>
      <c r="I161" s="43" t="s">
        <v>5102</v>
      </c>
      <c r="J161" s="43"/>
      <c r="K161" s="43">
        <v>2</v>
      </c>
      <c r="L161" s="43">
        <v>3</v>
      </c>
      <c r="M161" s="43"/>
      <c r="N161" s="43" t="s">
        <v>856</v>
      </c>
      <c r="O161" s="43"/>
      <c r="P161" s="43" t="s">
        <v>5063</v>
      </c>
      <c r="Q161" s="43"/>
      <c r="R161" s="43" t="s">
        <v>5047</v>
      </c>
      <c r="S161" s="43" t="s">
        <v>5026</v>
      </c>
      <c r="T161" s="51" t="s">
        <v>5027</v>
      </c>
      <c r="U161" s="52" t="s">
        <v>5028</v>
      </c>
      <c r="V161" s="53" t="s">
        <v>3884</v>
      </c>
      <c r="W161" s="54" t="s">
        <v>1673</v>
      </c>
      <c r="X161" s="55" t="s">
        <v>5048</v>
      </c>
      <c r="Y161" t="s">
        <v>4894</v>
      </c>
      <c r="Z161" t="s">
        <v>5049</v>
      </c>
      <c r="AA161" t="s">
        <v>4893</v>
      </c>
      <c r="AI161" s="54"/>
      <c r="AJ161" s="56">
        <v>45670</v>
      </c>
      <c r="AK161" s="57">
        <v>45761</v>
      </c>
      <c r="AL161" s="57">
        <v>45852</v>
      </c>
      <c r="AM161" s="57">
        <v>45943</v>
      </c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8"/>
      <c r="BD161" s="55" t="s">
        <v>5104</v>
      </c>
      <c r="BE161" t="s">
        <v>5105</v>
      </c>
      <c r="BF161" t="s">
        <v>5106</v>
      </c>
      <c r="BG161" t="s">
        <v>5107</v>
      </c>
      <c r="BO161" s="54"/>
      <c r="BP161" s="56">
        <v>45663</v>
      </c>
      <c r="BQ161" s="57">
        <v>45754</v>
      </c>
      <c r="BR161" s="57">
        <v>45845</v>
      </c>
      <c r="BS161" s="57">
        <v>45936</v>
      </c>
      <c r="BT161" s="57"/>
      <c r="BU161" s="57"/>
      <c r="BV161" s="57"/>
      <c r="BW161" s="57"/>
      <c r="BX161" s="57"/>
      <c r="BY161" s="57"/>
      <c r="BZ161" s="57"/>
      <c r="CA161" s="57"/>
      <c r="CB161" s="56" t="s">
        <v>5034</v>
      </c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6">
        <v>45666</v>
      </c>
      <c r="CO161" s="57">
        <v>45757</v>
      </c>
      <c r="CP161" s="57">
        <v>45848</v>
      </c>
      <c r="CQ161" s="57">
        <v>45939</v>
      </c>
      <c r="CR161" s="57"/>
      <c r="CS161" s="57"/>
      <c r="CT161" s="57"/>
      <c r="CU161" s="57"/>
      <c r="CV161" s="57"/>
      <c r="CW161" s="57"/>
      <c r="CX161" s="57"/>
      <c r="CY161" s="57"/>
      <c r="CZ161" s="56" t="s">
        <v>5034</v>
      </c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8"/>
      <c r="DL161" s="59">
        <v>4</v>
      </c>
      <c r="DM161" s="60">
        <v>4</v>
      </c>
      <c r="DN161" s="61">
        <v>0</v>
      </c>
      <c r="DO161" s="60">
        <v>4</v>
      </c>
      <c r="DP161" s="60">
        <v>0</v>
      </c>
      <c r="DQ161" s="59">
        <v>12</v>
      </c>
      <c r="DR161" s="62">
        <v>2040</v>
      </c>
      <c r="DS161" s="62" t="s">
        <v>5034</v>
      </c>
      <c r="DU161" s="62" t="s">
        <v>5034</v>
      </c>
      <c r="DV161" s="63">
        <v>45562</v>
      </c>
      <c r="DW161" s="64">
        <v>2024</v>
      </c>
      <c r="DX161" s="65">
        <v>9</v>
      </c>
    </row>
    <row r="162" spans="2:128" ht="15">
      <c r="B162" s="43" t="s">
        <v>5022</v>
      </c>
      <c r="C162" s="43" t="s">
        <v>4854</v>
      </c>
      <c r="D162" s="43" t="s">
        <v>3744</v>
      </c>
      <c r="E162" s="49">
        <v>45579</v>
      </c>
      <c r="F162" s="49"/>
      <c r="G162" s="50">
        <v>1</v>
      </c>
      <c r="H162" s="43" t="s">
        <v>4896</v>
      </c>
      <c r="I162" s="43" t="s">
        <v>5031</v>
      </c>
      <c r="J162" s="43"/>
      <c r="K162" s="43">
        <v>2</v>
      </c>
      <c r="L162" s="43">
        <v>3</v>
      </c>
      <c r="M162" s="43"/>
      <c r="N162" s="43" t="s">
        <v>5087</v>
      </c>
      <c r="O162" s="43" t="s">
        <v>5059</v>
      </c>
      <c r="P162" s="43" t="s">
        <v>5063</v>
      </c>
      <c r="Q162" s="43"/>
      <c r="R162" s="43" t="s">
        <v>5045</v>
      </c>
      <c r="S162" s="43" t="s">
        <v>5026</v>
      </c>
      <c r="T162" s="51" t="s">
        <v>5027</v>
      </c>
      <c r="U162" s="52" t="s">
        <v>5028</v>
      </c>
      <c r="V162" s="53" t="s">
        <v>3884</v>
      </c>
      <c r="W162" s="54" t="s">
        <v>3743</v>
      </c>
      <c r="X162" s="55" t="s">
        <v>4896</v>
      </c>
      <c r="AI162" s="54"/>
      <c r="AJ162" s="56">
        <v>45831</v>
      </c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8"/>
      <c r="BD162" s="55" t="s">
        <v>5031</v>
      </c>
      <c r="BO162" s="54"/>
      <c r="BP162" s="56">
        <v>45803</v>
      </c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6" t="s">
        <v>5034</v>
      </c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6">
        <v>45827</v>
      </c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6" t="s">
        <v>5034</v>
      </c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8"/>
      <c r="DL162" s="59">
        <v>1</v>
      </c>
      <c r="DM162" s="60">
        <v>1</v>
      </c>
      <c r="DN162" s="61">
        <v>0</v>
      </c>
      <c r="DO162" s="60">
        <v>1</v>
      </c>
      <c r="DP162" s="60">
        <v>0</v>
      </c>
      <c r="DQ162" s="59">
        <v>3</v>
      </c>
      <c r="DR162" s="62">
        <v>2052</v>
      </c>
      <c r="DS162" s="62" t="s">
        <v>5034</v>
      </c>
      <c r="DU162" s="62" t="s">
        <v>5034</v>
      </c>
      <c r="DV162" s="63">
        <v>45579</v>
      </c>
      <c r="DW162" s="64">
        <v>2024</v>
      </c>
      <c r="DX162" s="65">
        <v>10</v>
      </c>
    </row>
    <row r="163" spans="2:128" ht="15">
      <c r="B163" s="43" t="s">
        <v>5022</v>
      </c>
      <c r="C163" s="43" t="s">
        <v>4881</v>
      </c>
      <c r="D163" s="43" t="s">
        <v>4882</v>
      </c>
      <c r="E163" s="49">
        <v>45579</v>
      </c>
      <c r="F163" s="49"/>
      <c r="G163" s="50">
        <v>1</v>
      </c>
      <c r="H163" s="43" t="s">
        <v>4798</v>
      </c>
      <c r="I163" s="43" t="s">
        <v>5023</v>
      </c>
      <c r="J163" s="43"/>
      <c r="K163" s="43">
        <v>2</v>
      </c>
      <c r="L163" s="43">
        <v>3</v>
      </c>
      <c r="M163" s="43"/>
      <c r="N163" s="43" t="s">
        <v>995</v>
      </c>
      <c r="O163" s="43"/>
      <c r="P163" s="43" t="s">
        <v>5147</v>
      </c>
      <c r="Q163" s="43"/>
      <c r="R163" s="43" t="s">
        <v>5025</v>
      </c>
      <c r="S163" s="43" t="s">
        <v>5026</v>
      </c>
      <c r="T163" s="51" t="s">
        <v>5027</v>
      </c>
      <c r="U163" s="52" t="s">
        <v>5028</v>
      </c>
      <c r="V163" s="53" t="s">
        <v>3884</v>
      </c>
      <c r="W163" s="54" t="s">
        <v>4742</v>
      </c>
      <c r="X163" s="55" t="s">
        <v>4889</v>
      </c>
      <c r="Y163" t="s">
        <v>4896</v>
      </c>
      <c r="Z163" t="s">
        <v>4800</v>
      </c>
      <c r="AA163" t="s">
        <v>4891</v>
      </c>
      <c r="AI163" s="54"/>
      <c r="AJ163" s="56">
        <v>45740</v>
      </c>
      <c r="AK163" s="57">
        <v>45831</v>
      </c>
      <c r="AL163" s="57">
        <v>45922</v>
      </c>
      <c r="AM163" s="57">
        <v>46013</v>
      </c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8"/>
      <c r="BD163" s="55" t="s">
        <v>5030</v>
      </c>
      <c r="BE163" t="s">
        <v>5031</v>
      </c>
      <c r="BF163" t="s">
        <v>5032</v>
      </c>
      <c r="BG163" t="s">
        <v>5033</v>
      </c>
      <c r="BO163" s="54"/>
      <c r="BP163" s="56">
        <v>45712</v>
      </c>
      <c r="BQ163" s="57">
        <v>45803</v>
      </c>
      <c r="BR163" s="57">
        <v>45894</v>
      </c>
      <c r="BS163" s="57">
        <v>45985</v>
      </c>
      <c r="BT163" s="57"/>
      <c r="BU163" s="57"/>
      <c r="BV163" s="57"/>
      <c r="BW163" s="57"/>
      <c r="BX163" s="57"/>
      <c r="BY163" s="57"/>
      <c r="BZ163" s="57"/>
      <c r="CA163" s="57"/>
      <c r="CB163" s="56" t="s">
        <v>5034</v>
      </c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6">
        <v>45736</v>
      </c>
      <c r="CO163" s="57">
        <v>45827</v>
      </c>
      <c r="CP163" s="57">
        <v>45918</v>
      </c>
      <c r="CQ163" s="57">
        <v>46009</v>
      </c>
      <c r="CR163" s="57"/>
      <c r="CS163" s="57"/>
      <c r="CT163" s="57"/>
      <c r="CU163" s="57"/>
      <c r="CV163" s="57"/>
      <c r="CW163" s="57"/>
      <c r="CX163" s="57"/>
      <c r="CY163" s="57"/>
      <c r="CZ163" s="56" t="s">
        <v>5034</v>
      </c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8"/>
      <c r="DL163" s="59">
        <v>4</v>
      </c>
      <c r="DM163" s="60">
        <v>4</v>
      </c>
      <c r="DN163" s="61">
        <v>0</v>
      </c>
      <c r="DO163" s="60">
        <v>4</v>
      </c>
      <c r="DP163" s="60">
        <v>0</v>
      </c>
      <c r="DQ163" s="59">
        <v>12</v>
      </c>
      <c r="DR163" s="62">
        <v>2055</v>
      </c>
      <c r="DS163" s="62" t="s">
        <v>5034</v>
      </c>
      <c r="DU163" s="62" t="s">
        <v>5034</v>
      </c>
      <c r="DV163" s="63">
        <v>45579</v>
      </c>
      <c r="DW163" s="64">
        <v>2024</v>
      </c>
      <c r="DX163" s="65">
        <v>10</v>
      </c>
    </row>
    <row r="164" spans="2:128" ht="15">
      <c r="B164" s="43" t="s">
        <v>5022</v>
      </c>
      <c r="C164" s="43" t="s">
        <v>4881</v>
      </c>
      <c r="D164" s="43" t="s">
        <v>4882</v>
      </c>
      <c r="E164" s="49">
        <v>45579</v>
      </c>
      <c r="F164" s="49"/>
      <c r="G164" s="50">
        <v>1</v>
      </c>
      <c r="H164" s="43" t="s">
        <v>4798</v>
      </c>
      <c r="I164" s="43" t="s">
        <v>5023</v>
      </c>
      <c r="J164" s="43"/>
      <c r="K164" s="43">
        <v>2</v>
      </c>
      <c r="L164" s="43">
        <v>3</v>
      </c>
      <c r="M164" s="43"/>
      <c r="N164" s="43" t="s">
        <v>995</v>
      </c>
      <c r="O164" s="43"/>
      <c r="P164" s="43" t="s">
        <v>5147</v>
      </c>
      <c r="Q164" s="43"/>
      <c r="R164" s="43" t="s">
        <v>5025</v>
      </c>
      <c r="S164" s="43" t="s">
        <v>5026</v>
      </c>
      <c r="T164" s="51" t="s">
        <v>5027</v>
      </c>
      <c r="U164" s="52" t="s">
        <v>5028</v>
      </c>
      <c r="V164" s="53" t="s">
        <v>3896</v>
      </c>
      <c r="W164" s="54" t="s">
        <v>5034</v>
      </c>
      <c r="X164" s="55" t="s">
        <v>5034</v>
      </c>
      <c r="AI164" s="54"/>
      <c r="AJ164" s="56" t="s">
        <v>5034</v>
      </c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8"/>
      <c r="BD164" s="55" t="s">
        <v>5034</v>
      </c>
      <c r="BO164" s="54"/>
      <c r="BP164" s="56" t="s">
        <v>5034</v>
      </c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6" t="s">
        <v>5034</v>
      </c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6" t="s">
        <v>5034</v>
      </c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6" t="s">
        <v>5034</v>
      </c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8"/>
      <c r="DL164" s="59">
        <v>0</v>
      </c>
      <c r="DM164" s="60">
        <v>0</v>
      </c>
      <c r="DN164" s="61">
        <v>0</v>
      </c>
      <c r="DO164" s="60">
        <v>0</v>
      </c>
      <c r="DP164" s="60">
        <v>0</v>
      </c>
      <c r="DQ164" s="59">
        <v>0</v>
      </c>
      <c r="DR164" s="62" t="s">
        <v>5034</v>
      </c>
      <c r="DS164" s="62" t="s">
        <v>5034</v>
      </c>
      <c r="DU164" s="62" t="s">
        <v>5034</v>
      </c>
      <c r="DV164" s="63">
        <v>45579</v>
      </c>
      <c r="DW164" s="64">
        <v>2024</v>
      </c>
      <c r="DX164" s="65">
        <v>10</v>
      </c>
    </row>
    <row r="165" spans="2:128" ht="15">
      <c r="B165" s="43" t="s">
        <v>5022</v>
      </c>
      <c r="C165" s="43" t="s">
        <v>4881</v>
      </c>
      <c r="D165" s="43" t="s">
        <v>4882</v>
      </c>
      <c r="E165" s="49">
        <v>45579</v>
      </c>
      <c r="F165" s="49"/>
      <c r="G165" s="50">
        <v>1</v>
      </c>
      <c r="H165" s="43" t="s">
        <v>4798</v>
      </c>
      <c r="I165" s="43" t="s">
        <v>5023</v>
      </c>
      <c r="J165" s="43"/>
      <c r="K165" s="43">
        <v>2</v>
      </c>
      <c r="L165" s="43">
        <v>3</v>
      </c>
      <c r="M165" s="43"/>
      <c r="N165" s="43" t="s">
        <v>995</v>
      </c>
      <c r="O165" s="43"/>
      <c r="P165" s="43" t="s">
        <v>5147</v>
      </c>
      <c r="Q165" s="43"/>
      <c r="R165" s="43" t="s">
        <v>5025</v>
      </c>
      <c r="S165" s="43" t="s">
        <v>5026</v>
      </c>
      <c r="T165" s="51" t="s">
        <v>5027</v>
      </c>
      <c r="U165" s="52" t="s">
        <v>5028</v>
      </c>
      <c r="V165" s="53" t="s">
        <v>3896</v>
      </c>
      <c r="W165" s="54" t="s">
        <v>5034</v>
      </c>
      <c r="X165" s="55" t="s">
        <v>5034</v>
      </c>
      <c r="AI165" s="54"/>
      <c r="AJ165" s="56" t="s">
        <v>5034</v>
      </c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8"/>
      <c r="BD165" s="55" t="s">
        <v>5034</v>
      </c>
      <c r="BO165" s="54"/>
      <c r="BP165" s="56" t="s">
        <v>5034</v>
      </c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6" t="s">
        <v>5034</v>
      </c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6" t="s">
        <v>5034</v>
      </c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6" t="s">
        <v>5034</v>
      </c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8"/>
      <c r="DL165" s="59">
        <v>0</v>
      </c>
      <c r="DM165" s="60">
        <v>0</v>
      </c>
      <c r="DN165" s="61">
        <v>0</v>
      </c>
      <c r="DO165" s="60">
        <v>0</v>
      </c>
      <c r="DP165" s="60">
        <v>0</v>
      </c>
      <c r="DQ165" s="59">
        <v>0</v>
      </c>
      <c r="DR165" s="62" t="s">
        <v>5034</v>
      </c>
      <c r="DS165" s="62" t="s">
        <v>5034</v>
      </c>
      <c r="DU165" s="62" t="s">
        <v>5034</v>
      </c>
      <c r="DV165" s="63">
        <v>45579</v>
      </c>
      <c r="DW165" s="64">
        <v>2024</v>
      </c>
      <c r="DX165" s="65">
        <v>10</v>
      </c>
    </row>
    <row r="166" spans="2:128" ht="15">
      <c r="B166" s="43" t="s">
        <v>5022</v>
      </c>
      <c r="C166" s="43" t="s">
        <v>4881</v>
      </c>
      <c r="D166" s="43" t="s">
        <v>4882</v>
      </c>
      <c r="E166" s="49">
        <v>45579</v>
      </c>
      <c r="F166" s="49"/>
      <c r="G166" s="50">
        <v>1</v>
      </c>
      <c r="H166" s="43" t="s">
        <v>4798</v>
      </c>
      <c r="I166" s="43" t="s">
        <v>5023</v>
      </c>
      <c r="J166" s="43"/>
      <c r="K166" s="43">
        <v>2</v>
      </c>
      <c r="L166" s="43">
        <v>3</v>
      </c>
      <c r="M166" s="43"/>
      <c r="N166" s="43" t="s">
        <v>995</v>
      </c>
      <c r="O166" s="43"/>
      <c r="P166" s="43" t="s">
        <v>5147</v>
      </c>
      <c r="Q166" s="43"/>
      <c r="R166" s="43" t="s">
        <v>5025</v>
      </c>
      <c r="S166" s="43" t="s">
        <v>5026</v>
      </c>
      <c r="T166" s="51" t="s">
        <v>5027</v>
      </c>
      <c r="U166" s="52" t="s">
        <v>5028</v>
      </c>
      <c r="V166" s="53" t="s">
        <v>3896</v>
      </c>
      <c r="W166" s="54" t="s">
        <v>5034</v>
      </c>
      <c r="X166" s="55" t="s">
        <v>5034</v>
      </c>
      <c r="AI166" s="54"/>
      <c r="AJ166" s="56" t="s">
        <v>5034</v>
      </c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8"/>
      <c r="BD166" s="55" t="s">
        <v>5034</v>
      </c>
      <c r="BO166" s="54"/>
      <c r="BP166" s="56" t="s">
        <v>5034</v>
      </c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6" t="s">
        <v>5034</v>
      </c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6" t="s">
        <v>5034</v>
      </c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6" t="s">
        <v>5034</v>
      </c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8"/>
      <c r="DL166" s="59">
        <v>0</v>
      </c>
      <c r="DM166" s="60">
        <v>0</v>
      </c>
      <c r="DN166" s="61">
        <v>0</v>
      </c>
      <c r="DO166" s="60">
        <v>0</v>
      </c>
      <c r="DP166" s="60">
        <v>0</v>
      </c>
      <c r="DQ166" s="59">
        <v>0</v>
      </c>
      <c r="DR166" s="62" t="s">
        <v>5034</v>
      </c>
      <c r="DS166" s="62" t="s">
        <v>5034</v>
      </c>
      <c r="DU166" s="62" t="s">
        <v>5034</v>
      </c>
      <c r="DV166" s="63">
        <v>45579</v>
      </c>
      <c r="DW166" s="64">
        <v>2024</v>
      </c>
      <c r="DX166" s="65">
        <v>10</v>
      </c>
    </row>
    <row r="167" spans="2:128" ht="15">
      <c r="B167" s="43" t="s">
        <v>5022</v>
      </c>
      <c r="C167" s="43" t="s">
        <v>4881</v>
      </c>
      <c r="D167" s="43" t="s">
        <v>4882</v>
      </c>
      <c r="E167" s="49">
        <v>45579</v>
      </c>
      <c r="F167" s="49"/>
      <c r="G167" s="50">
        <v>1</v>
      </c>
      <c r="H167" s="43" t="s">
        <v>4798</v>
      </c>
      <c r="I167" s="43" t="s">
        <v>5023</v>
      </c>
      <c r="J167" s="43"/>
      <c r="K167" s="43">
        <v>2</v>
      </c>
      <c r="L167" s="43">
        <v>3</v>
      </c>
      <c r="M167" s="43"/>
      <c r="N167" s="43" t="s">
        <v>995</v>
      </c>
      <c r="O167" s="43"/>
      <c r="P167" s="43" t="s">
        <v>5147</v>
      </c>
      <c r="Q167" s="43"/>
      <c r="R167" s="43" t="s">
        <v>5025</v>
      </c>
      <c r="S167" s="43" t="s">
        <v>5026</v>
      </c>
      <c r="T167" s="51" t="s">
        <v>5027</v>
      </c>
      <c r="U167" s="52" t="s">
        <v>5028</v>
      </c>
      <c r="V167" s="53" t="s">
        <v>3896</v>
      </c>
      <c r="W167" s="54" t="s">
        <v>5034</v>
      </c>
      <c r="X167" s="55" t="s">
        <v>5034</v>
      </c>
      <c r="AI167" s="54"/>
      <c r="AJ167" s="56" t="s">
        <v>5034</v>
      </c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8"/>
      <c r="BD167" s="55" t="s">
        <v>5034</v>
      </c>
      <c r="BO167" s="54"/>
      <c r="BP167" s="56" t="s">
        <v>5034</v>
      </c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6" t="s">
        <v>5034</v>
      </c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6" t="s">
        <v>5034</v>
      </c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6" t="s">
        <v>5034</v>
      </c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8"/>
      <c r="DL167" s="59">
        <v>0</v>
      </c>
      <c r="DM167" s="60">
        <v>0</v>
      </c>
      <c r="DN167" s="61">
        <v>0</v>
      </c>
      <c r="DO167" s="60">
        <v>0</v>
      </c>
      <c r="DP167" s="60">
        <v>0</v>
      </c>
      <c r="DQ167" s="59">
        <v>0</v>
      </c>
      <c r="DR167" s="62" t="s">
        <v>5034</v>
      </c>
      <c r="DS167" s="62" t="s">
        <v>5034</v>
      </c>
      <c r="DU167" s="62" t="s">
        <v>5034</v>
      </c>
      <c r="DV167" s="63">
        <v>45579</v>
      </c>
      <c r="DW167" s="64">
        <v>2024</v>
      </c>
      <c r="DX167" s="65">
        <v>10</v>
      </c>
    </row>
    <row r="168" spans="2:128" ht="15">
      <c r="B168" s="43" t="s">
        <v>5022</v>
      </c>
      <c r="C168" s="43" t="s">
        <v>4881</v>
      </c>
      <c r="D168" s="43" t="s">
        <v>4882</v>
      </c>
      <c r="E168" s="49">
        <v>45579</v>
      </c>
      <c r="F168" s="49"/>
      <c r="G168" s="50">
        <v>1</v>
      </c>
      <c r="H168" s="43" t="s">
        <v>4798</v>
      </c>
      <c r="I168" s="43" t="s">
        <v>5023</v>
      </c>
      <c r="J168" s="43"/>
      <c r="K168" s="43">
        <v>2</v>
      </c>
      <c r="L168" s="43">
        <v>3</v>
      </c>
      <c r="M168" s="43"/>
      <c r="N168" s="43" t="s">
        <v>995</v>
      </c>
      <c r="O168" s="43"/>
      <c r="P168" s="43" t="s">
        <v>5147</v>
      </c>
      <c r="Q168" s="43"/>
      <c r="R168" s="43" t="s">
        <v>5025</v>
      </c>
      <c r="S168" s="43" t="s">
        <v>5026</v>
      </c>
      <c r="T168" s="51" t="s">
        <v>5027</v>
      </c>
      <c r="U168" s="52" t="s">
        <v>5028</v>
      </c>
      <c r="V168" s="53" t="s">
        <v>3896</v>
      </c>
      <c r="W168" s="54" t="s">
        <v>5034</v>
      </c>
      <c r="X168" s="55" t="s">
        <v>5034</v>
      </c>
      <c r="AI168" s="54"/>
      <c r="AJ168" s="56" t="s">
        <v>5034</v>
      </c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8"/>
      <c r="BD168" s="55" t="s">
        <v>5034</v>
      </c>
      <c r="BO168" s="54"/>
      <c r="BP168" s="56" t="s">
        <v>5034</v>
      </c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6" t="s">
        <v>5034</v>
      </c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6" t="s">
        <v>5034</v>
      </c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6" t="s">
        <v>5034</v>
      </c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8"/>
      <c r="DL168" s="59">
        <v>0</v>
      </c>
      <c r="DM168" s="60">
        <v>0</v>
      </c>
      <c r="DN168" s="61">
        <v>0</v>
      </c>
      <c r="DO168" s="60">
        <v>0</v>
      </c>
      <c r="DP168" s="60">
        <v>0</v>
      </c>
      <c r="DQ168" s="59">
        <v>0</v>
      </c>
      <c r="DR168" s="62" t="s">
        <v>5034</v>
      </c>
      <c r="DS168" s="62" t="s">
        <v>5034</v>
      </c>
      <c r="DU168" s="62" t="s">
        <v>5034</v>
      </c>
      <c r="DV168" s="63">
        <v>45579</v>
      </c>
      <c r="DW168" s="64">
        <v>2024</v>
      </c>
      <c r="DX168" s="65">
        <v>10</v>
      </c>
    </row>
    <row r="169" spans="2:128" ht="15">
      <c r="B169" s="43" t="s">
        <v>5022</v>
      </c>
      <c r="C169" s="43" t="s">
        <v>4881</v>
      </c>
      <c r="D169" s="43" t="s">
        <v>4882</v>
      </c>
      <c r="E169" s="49">
        <v>45579</v>
      </c>
      <c r="F169" s="49"/>
      <c r="G169" s="50">
        <v>1</v>
      </c>
      <c r="H169" s="43" t="s">
        <v>4798</v>
      </c>
      <c r="I169" s="43" t="s">
        <v>5023</v>
      </c>
      <c r="J169" s="43"/>
      <c r="K169" s="43">
        <v>2</v>
      </c>
      <c r="L169" s="43">
        <v>3</v>
      </c>
      <c r="M169" s="43"/>
      <c r="N169" s="43" t="s">
        <v>995</v>
      </c>
      <c r="O169" s="43"/>
      <c r="P169" s="43" t="s">
        <v>5147</v>
      </c>
      <c r="Q169" s="43"/>
      <c r="R169" s="43" t="s">
        <v>5025</v>
      </c>
      <c r="S169" s="43" t="s">
        <v>5026</v>
      </c>
      <c r="T169" s="51" t="s">
        <v>5027</v>
      </c>
      <c r="U169" s="52" t="s">
        <v>5028</v>
      </c>
      <c r="V169" s="53" t="s">
        <v>3896</v>
      </c>
      <c r="W169" s="54" t="s">
        <v>5034</v>
      </c>
      <c r="X169" s="55" t="s">
        <v>5034</v>
      </c>
      <c r="AI169" s="54"/>
      <c r="AJ169" s="56" t="s">
        <v>5034</v>
      </c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8"/>
      <c r="BD169" s="55" t="s">
        <v>5034</v>
      </c>
      <c r="BO169" s="54"/>
      <c r="BP169" s="56" t="s">
        <v>5034</v>
      </c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6" t="s">
        <v>5034</v>
      </c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6" t="s">
        <v>5034</v>
      </c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6" t="s">
        <v>5034</v>
      </c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8"/>
      <c r="DL169" s="59">
        <v>0</v>
      </c>
      <c r="DM169" s="60">
        <v>0</v>
      </c>
      <c r="DN169" s="61">
        <v>0</v>
      </c>
      <c r="DO169" s="60">
        <v>0</v>
      </c>
      <c r="DP169" s="60">
        <v>0</v>
      </c>
      <c r="DQ169" s="59">
        <v>0</v>
      </c>
      <c r="DR169" s="62" t="s">
        <v>5034</v>
      </c>
      <c r="DS169" s="62" t="s">
        <v>5034</v>
      </c>
      <c r="DU169" s="62" t="s">
        <v>5034</v>
      </c>
      <c r="DV169" s="63">
        <v>45579</v>
      </c>
      <c r="DW169" s="64">
        <v>2024</v>
      </c>
      <c r="DX169" s="65">
        <v>10</v>
      </c>
    </row>
    <row r="170" spans="2:128" ht="15">
      <c r="B170" s="43" t="s">
        <v>5022</v>
      </c>
      <c r="C170" s="43" t="s">
        <v>4881</v>
      </c>
      <c r="D170" s="43" t="s">
        <v>4882</v>
      </c>
      <c r="E170" s="49">
        <v>45579</v>
      </c>
      <c r="F170" s="49"/>
      <c r="G170" s="50">
        <v>1</v>
      </c>
      <c r="H170" s="43" t="s">
        <v>4798</v>
      </c>
      <c r="I170" s="43" t="s">
        <v>5023</v>
      </c>
      <c r="J170" s="43"/>
      <c r="K170" s="43">
        <v>2</v>
      </c>
      <c r="L170" s="43">
        <v>3</v>
      </c>
      <c r="M170" s="43"/>
      <c r="N170" s="43" t="s">
        <v>995</v>
      </c>
      <c r="O170" s="43"/>
      <c r="P170" s="43" t="s">
        <v>5147</v>
      </c>
      <c r="Q170" s="43"/>
      <c r="R170" s="43" t="s">
        <v>5025</v>
      </c>
      <c r="S170" s="43" t="s">
        <v>5026</v>
      </c>
      <c r="T170" s="51" t="s">
        <v>5027</v>
      </c>
      <c r="U170" s="52" t="s">
        <v>5028</v>
      </c>
      <c r="V170" s="53" t="s">
        <v>3896</v>
      </c>
      <c r="W170" s="54" t="s">
        <v>5034</v>
      </c>
      <c r="X170" s="55" t="s">
        <v>5034</v>
      </c>
      <c r="AI170" s="54"/>
      <c r="AJ170" s="56" t="s">
        <v>5034</v>
      </c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8"/>
      <c r="BD170" s="55" t="s">
        <v>5034</v>
      </c>
      <c r="BO170" s="54"/>
      <c r="BP170" s="56" t="s">
        <v>5034</v>
      </c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6" t="s">
        <v>5034</v>
      </c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6" t="s">
        <v>5034</v>
      </c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6" t="s">
        <v>5034</v>
      </c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8"/>
      <c r="DL170" s="59">
        <v>0</v>
      </c>
      <c r="DM170" s="60">
        <v>0</v>
      </c>
      <c r="DN170" s="61">
        <v>0</v>
      </c>
      <c r="DO170" s="60">
        <v>0</v>
      </c>
      <c r="DP170" s="60">
        <v>0</v>
      </c>
      <c r="DQ170" s="59">
        <v>0</v>
      </c>
      <c r="DR170" s="62" t="s">
        <v>5034</v>
      </c>
      <c r="DS170" s="62" t="s">
        <v>5034</v>
      </c>
      <c r="DU170" s="62" t="s">
        <v>5034</v>
      </c>
      <c r="DV170" s="63">
        <v>45579</v>
      </c>
      <c r="DW170" s="64">
        <v>2024</v>
      </c>
      <c r="DX170" s="65">
        <v>10</v>
      </c>
    </row>
    <row r="171" spans="2:128" ht="15">
      <c r="B171" s="43" t="s">
        <v>5022</v>
      </c>
      <c r="C171" s="43" t="s">
        <v>4881</v>
      </c>
      <c r="D171" s="43" t="s">
        <v>4882</v>
      </c>
      <c r="E171" s="49">
        <v>45579</v>
      </c>
      <c r="F171" s="49"/>
      <c r="G171" s="50">
        <v>1</v>
      </c>
      <c r="H171" s="43" t="s">
        <v>4798</v>
      </c>
      <c r="I171" s="43" t="s">
        <v>5023</v>
      </c>
      <c r="J171" s="43"/>
      <c r="K171" s="43">
        <v>2</v>
      </c>
      <c r="L171" s="43">
        <v>3</v>
      </c>
      <c r="M171" s="43"/>
      <c r="N171" s="43" t="s">
        <v>995</v>
      </c>
      <c r="O171" s="43"/>
      <c r="P171" s="43" t="s">
        <v>5147</v>
      </c>
      <c r="Q171" s="43"/>
      <c r="R171" s="43" t="s">
        <v>5025</v>
      </c>
      <c r="S171" s="43" t="s">
        <v>5026</v>
      </c>
      <c r="T171" s="51" t="s">
        <v>5027</v>
      </c>
      <c r="U171" s="52" t="s">
        <v>5028</v>
      </c>
      <c r="V171" s="53" t="s">
        <v>3896</v>
      </c>
      <c r="W171" s="54" t="s">
        <v>5034</v>
      </c>
      <c r="X171" s="55" t="s">
        <v>5034</v>
      </c>
      <c r="AI171" s="54"/>
      <c r="AJ171" s="56" t="s">
        <v>5034</v>
      </c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8"/>
      <c r="BD171" s="55" t="s">
        <v>5034</v>
      </c>
      <c r="BO171" s="54"/>
      <c r="BP171" s="56" t="s">
        <v>5034</v>
      </c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6" t="s">
        <v>5034</v>
      </c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6" t="s">
        <v>5034</v>
      </c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6" t="s">
        <v>5034</v>
      </c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8"/>
      <c r="DL171" s="59">
        <v>0</v>
      </c>
      <c r="DM171" s="60">
        <v>0</v>
      </c>
      <c r="DN171" s="61">
        <v>0</v>
      </c>
      <c r="DO171" s="60">
        <v>0</v>
      </c>
      <c r="DP171" s="60">
        <v>0</v>
      </c>
      <c r="DQ171" s="59">
        <v>0</v>
      </c>
      <c r="DR171" s="62" t="s">
        <v>5034</v>
      </c>
      <c r="DS171" s="62" t="s">
        <v>5034</v>
      </c>
      <c r="DU171" s="62" t="s">
        <v>5034</v>
      </c>
      <c r="DV171" s="63">
        <v>45579</v>
      </c>
      <c r="DW171" s="64">
        <v>2024</v>
      </c>
      <c r="DX171" s="65">
        <v>10</v>
      </c>
    </row>
    <row r="172" spans="2:128" ht="15">
      <c r="B172" s="43" t="s">
        <v>5022</v>
      </c>
      <c r="C172" s="43" t="s">
        <v>4881</v>
      </c>
      <c r="D172" s="43" t="s">
        <v>4882</v>
      </c>
      <c r="E172" s="49">
        <v>45579</v>
      </c>
      <c r="F172" s="49"/>
      <c r="G172" s="50">
        <v>1</v>
      </c>
      <c r="H172" s="43" t="s">
        <v>4798</v>
      </c>
      <c r="I172" s="43" t="s">
        <v>5023</v>
      </c>
      <c r="J172" s="43"/>
      <c r="K172" s="43">
        <v>2</v>
      </c>
      <c r="L172" s="43">
        <v>3</v>
      </c>
      <c r="M172" s="43"/>
      <c r="N172" s="43" t="s">
        <v>995</v>
      </c>
      <c r="O172" s="43"/>
      <c r="P172" s="43" t="s">
        <v>5147</v>
      </c>
      <c r="Q172" s="43"/>
      <c r="R172" s="43" t="s">
        <v>5025</v>
      </c>
      <c r="S172" s="43" t="s">
        <v>5026</v>
      </c>
      <c r="T172" s="51" t="s">
        <v>5027</v>
      </c>
      <c r="U172" s="52" t="s">
        <v>5028</v>
      </c>
      <c r="V172" s="53" t="s">
        <v>3896</v>
      </c>
      <c r="W172" s="54" t="s">
        <v>5034</v>
      </c>
      <c r="X172" s="55" t="s">
        <v>5034</v>
      </c>
      <c r="AI172" s="54"/>
      <c r="AJ172" s="56" t="s">
        <v>5034</v>
      </c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8"/>
      <c r="BD172" s="55" t="s">
        <v>5034</v>
      </c>
      <c r="BO172" s="54"/>
      <c r="BP172" s="56" t="s">
        <v>5034</v>
      </c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6" t="s">
        <v>5034</v>
      </c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6" t="s">
        <v>5034</v>
      </c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6" t="s">
        <v>5034</v>
      </c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8"/>
      <c r="DL172" s="59">
        <v>0</v>
      </c>
      <c r="DM172" s="60">
        <v>0</v>
      </c>
      <c r="DN172" s="61">
        <v>0</v>
      </c>
      <c r="DO172" s="60">
        <v>0</v>
      </c>
      <c r="DP172" s="60">
        <v>0</v>
      </c>
      <c r="DQ172" s="59">
        <v>0</v>
      </c>
      <c r="DR172" s="62" t="s">
        <v>5034</v>
      </c>
      <c r="DS172" s="62" t="s">
        <v>5034</v>
      </c>
      <c r="DU172" s="62" t="s">
        <v>5034</v>
      </c>
      <c r="DV172" s="63">
        <v>45579</v>
      </c>
      <c r="DW172" s="64">
        <v>2024</v>
      </c>
      <c r="DX172" s="65">
        <v>10</v>
      </c>
    </row>
    <row r="173" spans="2:128" ht="15">
      <c r="B173" s="43" t="s">
        <v>5022</v>
      </c>
      <c r="C173" s="43" t="s">
        <v>4879</v>
      </c>
      <c r="D173" s="43" t="s">
        <v>2793</v>
      </c>
      <c r="E173" s="49">
        <v>45586</v>
      </c>
      <c r="F173" s="49"/>
      <c r="G173" s="50">
        <v>1</v>
      </c>
      <c r="H173" s="43" t="s">
        <v>4798</v>
      </c>
      <c r="I173" s="43" t="s">
        <v>5023</v>
      </c>
      <c r="J173" s="43"/>
      <c r="K173" s="43">
        <v>2</v>
      </c>
      <c r="L173" s="43">
        <v>3</v>
      </c>
      <c r="M173" s="43"/>
      <c r="N173" s="43" t="s">
        <v>856</v>
      </c>
      <c r="O173" s="43" t="s">
        <v>5146</v>
      </c>
      <c r="P173" s="43" t="s">
        <v>5063</v>
      </c>
      <c r="Q173" s="43"/>
      <c r="R173" s="43" t="s">
        <v>5098</v>
      </c>
      <c r="S173" s="43" t="s">
        <v>5026</v>
      </c>
      <c r="T173" s="51" t="s">
        <v>5027</v>
      </c>
      <c r="U173" s="52" t="s">
        <v>5028</v>
      </c>
      <c r="V173" s="53" t="s">
        <v>3884</v>
      </c>
      <c r="W173" s="54" t="s">
        <v>2792</v>
      </c>
      <c r="X173" s="55" t="s">
        <v>4889</v>
      </c>
      <c r="Y173" t="s">
        <v>4896</v>
      </c>
      <c r="Z173" t="s">
        <v>4800</v>
      </c>
      <c r="AA173" t="s">
        <v>4891</v>
      </c>
      <c r="AI173" s="54"/>
      <c r="AJ173" s="56">
        <v>45740</v>
      </c>
      <c r="AK173" s="57">
        <v>45831</v>
      </c>
      <c r="AL173" s="57">
        <v>45922</v>
      </c>
      <c r="AM173" s="57">
        <v>46013</v>
      </c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8"/>
      <c r="BD173" s="55" t="s">
        <v>5030</v>
      </c>
      <c r="BE173" t="s">
        <v>5031</v>
      </c>
      <c r="BF173" t="s">
        <v>5032</v>
      </c>
      <c r="BG173" t="s">
        <v>5033</v>
      </c>
      <c r="BO173" s="54"/>
      <c r="BP173" s="56">
        <v>45712</v>
      </c>
      <c r="BQ173" s="57">
        <v>45803</v>
      </c>
      <c r="BR173" s="57">
        <v>45894</v>
      </c>
      <c r="BS173" s="57">
        <v>45985</v>
      </c>
      <c r="BT173" s="57"/>
      <c r="BU173" s="57"/>
      <c r="BV173" s="57"/>
      <c r="BW173" s="57"/>
      <c r="BX173" s="57"/>
      <c r="BY173" s="57"/>
      <c r="BZ173" s="57"/>
      <c r="CA173" s="57"/>
      <c r="CB173" s="56" t="s">
        <v>5034</v>
      </c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6">
        <v>45736</v>
      </c>
      <c r="CO173" s="57">
        <v>45827</v>
      </c>
      <c r="CP173" s="57">
        <v>45918</v>
      </c>
      <c r="CQ173" s="57">
        <v>46009</v>
      </c>
      <c r="CR173" s="57"/>
      <c r="CS173" s="57"/>
      <c r="CT173" s="57"/>
      <c r="CU173" s="57"/>
      <c r="CV173" s="57"/>
      <c r="CW173" s="57"/>
      <c r="CX173" s="57"/>
      <c r="CY173" s="57"/>
      <c r="CZ173" s="56" t="s">
        <v>5034</v>
      </c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8"/>
      <c r="DL173" s="59">
        <v>4</v>
      </c>
      <c r="DM173" s="60">
        <v>4</v>
      </c>
      <c r="DN173" s="61">
        <v>0</v>
      </c>
      <c r="DO173" s="60">
        <v>4</v>
      </c>
      <c r="DP173" s="60">
        <v>0</v>
      </c>
      <c r="DQ173" s="59">
        <v>12</v>
      </c>
      <c r="DR173" s="62">
        <v>2067</v>
      </c>
      <c r="DS173" s="62" t="s">
        <v>5034</v>
      </c>
      <c r="DU173" s="62" t="s">
        <v>5034</v>
      </c>
      <c r="DV173" s="63">
        <v>45636</v>
      </c>
      <c r="DW173" s="64">
        <v>2024</v>
      </c>
      <c r="DX173" s="65">
        <v>12</v>
      </c>
    </row>
    <row r="174" spans="2:128" ht="15">
      <c r="B174" s="43" t="s">
        <v>5022</v>
      </c>
      <c r="C174" s="43" t="s">
        <v>4802</v>
      </c>
      <c r="D174" s="43" t="s">
        <v>4782</v>
      </c>
      <c r="E174" s="49">
        <v>45588</v>
      </c>
      <c r="F174" s="49"/>
      <c r="G174" s="50">
        <v>1</v>
      </c>
      <c r="H174" s="43" t="s">
        <v>4799</v>
      </c>
      <c r="I174" s="43" t="s">
        <v>5076</v>
      </c>
      <c r="J174" s="43">
        <v>5</v>
      </c>
      <c r="K174" s="43">
        <v>2</v>
      </c>
      <c r="L174" s="43">
        <v>2</v>
      </c>
      <c r="M174" s="43"/>
      <c r="N174" s="43" t="s">
        <v>1801</v>
      </c>
      <c r="O174" s="43"/>
      <c r="P174" s="43" t="s">
        <v>1925</v>
      </c>
      <c r="Q174" s="43"/>
      <c r="R174" s="43" t="s">
        <v>5081</v>
      </c>
      <c r="S174" s="43" t="s">
        <v>5026</v>
      </c>
      <c r="T174" s="51" t="s">
        <v>5027</v>
      </c>
      <c r="U174" s="52" t="s">
        <v>5028</v>
      </c>
      <c r="V174" s="53" t="s">
        <v>3884</v>
      </c>
      <c r="W174" s="54" t="s">
        <v>1568</v>
      </c>
      <c r="X174" s="55" t="s">
        <v>4889</v>
      </c>
      <c r="Y174" t="s">
        <v>4800</v>
      </c>
      <c r="AI174" s="54"/>
      <c r="AJ174" s="56">
        <v>45740</v>
      </c>
      <c r="AK174" s="57">
        <v>45922</v>
      </c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8"/>
      <c r="BD174" s="55" t="s">
        <v>5030</v>
      </c>
      <c r="BE174" t="s">
        <v>5032</v>
      </c>
      <c r="BO174" s="54"/>
      <c r="BP174" s="56">
        <v>45712</v>
      </c>
      <c r="BQ174" s="57">
        <v>45894</v>
      </c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6">
        <v>45733</v>
      </c>
      <c r="CC174" s="57">
        <v>45915</v>
      </c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6">
        <v>45736</v>
      </c>
      <c r="CO174" s="57">
        <v>45918</v>
      </c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6" t="s">
        <v>5034</v>
      </c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8"/>
      <c r="DL174" s="59">
        <v>2</v>
      </c>
      <c r="DM174" s="60">
        <v>2</v>
      </c>
      <c r="DN174" s="61">
        <v>2</v>
      </c>
      <c r="DO174" s="60">
        <v>2</v>
      </c>
      <c r="DP174" s="60">
        <v>0</v>
      </c>
      <c r="DQ174" s="59">
        <v>8</v>
      </c>
      <c r="DR174" s="62">
        <v>2079</v>
      </c>
      <c r="DS174" s="62" t="s">
        <v>5034</v>
      </c>
      <c r="DU174" s="62" t="s">
        <v>5034</v>
      </c>
      <c r="DV174" s="63" t="e">
        <v>#N/A</v>
      </c>
      <c r="DW174" s="64" t="e">
        <v>#N/A</v>
      </c>
      <c r="DX174" s="65" t="e">
        <v>#N/A</v>
      </c>
    </row>
    <row r="175" spans="2:128" ht="15">
      <c r="B175" s="43" t="s">
        <v>5022</v>
      </c>
      <c r="C175" s="43" t="s">
        <v>4881</v>
      </c>
      <c r="D175" s="43" t="s">
        <v>4883</v>
      </c>
      <c r="E175" s="49">
        <v>45595</v>
      </c>
      <c r="F175" s="49"/>
      <c r="G175" s="50">
        <v>1</v>
      </c>
      <c r="H175" s="43" t="s">
        <v>4798</v>
      </c>
      <c r="I175" s="43" t="s">
        <v>5023</v>
      </c>
      <c r="J175" s="43"/>
      <c r="K175" s="43">
        <v>2</v>
      </c>
      <c r="L175" s="43">
        <v>3</v>
      </c>
      <c r="M175" s="43"/>
      <c r="N175" s="43" t="s">
        <v>5090</v>
      </c>
      <c r="O175" s="43"/>
      <c r="P175" s="43" t="s">
        <v>5147</v>
      </c>
      <c r="Q175" s="43"/>
      <c r="R175" s="43" t="s">
        <v>5025</v>
      </c>
      <c r="S175" s="43" t="s">
        <v>5026</v>
      </c>
      <c r="T175" s="51" t="s">
        <v>5027</v>
      </c>
      <c r="U175" s="52" t="s">
        <v>5028</v>
      </c>
      <c r="V175" s="53" t="s">
        <v>3884</v>
      </c>
      <c r="W175" s="54" t="s">
        <v>4743</v>
      </c>
      <c r="X175" s="55" t="s">
        <v>4889</v>
      </c>
      <c r="Y175" t="s">
        <v>4896</v>
      </c>
      <c r="Z175" t="s">
        <v>4800</v>
      </c>
      <c r="AA175" t="s">
        <v>4891</v>
      </c>
      <c r="AI175" s="54"/>
      <c r="AJ175" s="56">
        <v>45740</v>
      </c>
      <c r="AK175" s="57">
        <v>45831</v>
      </c>
      <c r="AL175" s="57">
        <v>45922</v>
      </c>
      <c r="AM175" s="57">
        <v>46013</v>
      </c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8"/>
      <c r="BD175" s="55" t="s">
        <v>5030</v>
      </c>
      <c r="BE175" t="s">
        <v>5031</v>
      </c>
      <c r="BF175" t="s">
        <v>5032</v>
      </c>
      <c r="BG175" t="s">
        <v>5033</v>
      </c>
      <c r="BO175" s="54"/>
      <c r="BP175" s="56">
        <v>45712</v>
      </c>
      <c r="BQ175" s="57">
        <v>45803</v>
      </c>
      <c r="BR175" s="57">
        <v>45894</v>
      </c>
      <c r="BS175" s="57">
        <v>45985</v>
      </c>
      <c r="BT175" s="57"/>
      <c r="BU175" s="57"/>
      <c r="BV175" s="57"/>
      <c r="BW175" s="57"/>
      <c r="BX175" s="57"/>
      <c r="BY175" s="57"/>
      <c r="BZ175" s="57"/>
      <c r="CA175" s="57"/>
      <c r="CB175" s="56" t="s">
        <v>5034</v>
      </c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6">
        <v>45736</v>
      </c>
      <c r="CO175" s="57">
        <v>45827</v>
      </c>
      <c r="CP175" s="57">
        <v>45918</v>
      </c>
      <c r="CQ175" s="57">
        <v>46009</v>
      </c>
      <c r="CR175" s="57"/>
      <c r="CS175" s="57"/>
      <c r="CT175" s="57"/>
      <c r="CU175" s="57"/>
      <c r="CV175" s="57"/>
      <c r="CW175" s="57"/>
      <c r="CX175" s="57"/>
      <c r="CY175" s="57"/>
      <c r="CZ175" s="56" t="s">
        <v>5034</v>
      </c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8"/>
      <c r="DL175" s="59">
        <v>4</v>
      </c>
      <c r="DM175" s="60">
        <v>4</v>
      </c>
      <c r="DN175" s="61">
        <v>0</v>
      </c>
      <c r="DO175" s="60">
        <v>4</v>
      </c>
      <c r="DP175" s="60">
        <v>0</v>
      </c>
      <c r="DQ175" s="59">
        <v>12</v>
      </c>
      <c r="DR175" s="62">
        <v>2087</v>
      </c>
      <c r="DS175" s="62" t="s">
        <v>5034</v>
      </c>
      <c r="DU175" s="62" t="s">
        <v>5034</v>
      </c>
      <c r="DV175" s="63">
        <v>45595</v>
      </c>
      <c r="DW175" s="64">
        <v>2024</v>
      </c>
      <c r="DX175" s="65">
        <v>10</v>
      </c>
    </row>
    <row r="176" spans="2:128" ht="15">
      <c r="B176" s="43" t="s">
        <v>5022</v>
      </c>
      <c r="C176" s="43" t="s">
        <v>4881</v>
      </c>
      <c r="D176" s="43" t="s">
        <v>4883</v>
      </c>
      <c r="E176" s="49">
        <v>45595</v>
      </c>
      <c r="F176" s="49"/>
      <c r="G176" s="50">
        <v>1</v>
      </c>
      <c r="H176" s="43" t="s">
        <v>4798</v>
      </c>
      <c r="I176" s="43" t="s">
        <v>5023</v>
      </c>
      <c r="J176" s="43"/>
      <c r="K176" s="43">
        <v>2</v>
      </c>
      <c r="L176" s="43">
        <v>3</v>
      </c>
      <c r="M176" s="43"/>
      <c r="N176" s="43" t="s">
        <v>5090</v>
      </c>
      <c r="O176" s="43"/>
      <c r="P176" s="43" t="s">
        <v>5147</v>
      </c>
      <c r="Q176" s="43"/>
      <c r="R176" s="43" t="s">
        <v>5025</v>
      </c>
      <c r="S176" s="43" t="s">
        <v>5026</v>
      </c>
      <c r="T176" s="51" t="s">
        <v>5027</v>
      </c>
      <c r="U176" s="52" t="s">
        <v>5028</v>
      </c>
      <c r="V176" s="53" t="s">
        <v>3896</v>
      </c>
      <c r="W176" s="54" t="s">
        <v>5034</v>
      </c>
      <c r="X176" s="55" t="s">
        <v>5034</v>
      </c>
      <c r="AI176" s="54"/>
      <c r="AJ176" s="56" t="s">
        <v>5034</v>
      </c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8"/>
      <c r="BD176" s="55" t="s">
        <v>5034</v>
      </c>
      <c r="BO176" s="54"/>
      <c r="BP176" s="56" t="s">
        <v>5034</v>
      </c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6" t="s">
        <v>5034</v>
      </c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6" t="s">
        <v>5034</v>
      </c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6" t="s">
        <v>5034</v>
      </c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8"/>
      <c r="DL176" s="59">
        <v>0</v>
      </c>
      <c r="DM176" s="60">
        <v>0</v>
      </c>
      <c r="DN176" s="61">
        <v>0</v>
      </c>
      <c r="DO176" s="60">
        <v>0</v>
      </c>
      <c r="DP176" s="60">
        <v>0</v>
      </c>
      <c r="DQ176" s="59">
        <v>0</v>
      </c>
      <c r="DR176" s="62" t="s">
        <v>5034</v>
      </c>
      <c r="DS176" s="62" t="s">
        <v>5034</v>
      </c>
      <c r="DU176" s="62" t="s">
        <v>5034</v>
      </c>
      <c r="DV176" s="63">
        <v>45595</v>
      </c>
      <c r="DW176" s="64">
        <v>2024</v>
      </c>
      <c r="DX176" s="65">
        <v>10</v>
      </c>
    </row>
    <row r="177" spans="2:128" ht="15">
      <c r="B177" s="43" t="s">
        <v>5022</v>
      </c>
      <c r="C177" s="43" t="s">
        <v>4881</v>
      </c>
      <c r="D177" s="43" t="s">
        <v>4883</v>
      </c>
      <c r="E177" s="49">
        <v>45595</v>
      </c>
      <c r="F177" s="49"/>
      <c r="G177" s="50">
        <v>1</v>
      </c>
      <c r="H177" s="43" t="s">
        <v>4798</v>
      </c>
      <c r="I177" s="43" t="s">
        <v>5023</v>
      </c>
      <c r="J177" s="43"/>
      <c r="K177" s="43">
        <v>2</v>
      </c>
      <c r="L177" s="43">
        <v>3</v>
      </c>
      <c r="M177" s="43"/>
      <c r="N177" s="43" t="s">
        <v>5090</v>
      </c>
      <c r="O177" s="43"/>
      <c r="P177" s="43" t="s">
        <v>5147</v>
      </c>
      <c r="Q177" s="43"/>
      <c r="R177" s="43" t="s">
        <v>5025</v>
      </c>
      <c r="S177" s="43" t="s">
        <v>5026</v>
      </c>
      <c r="T177" s="51" t="s">
        <v>5027</v>
      </c>
      <c r="U177" s="52" t="s">
        <v>5028</v>
      </c>
      <c r="V177" s="53" t="s">
        <v>3896</v>
      </c>
      <c r="W177" s="54" t="s">
        <v>5034</v>
      </c>
      <c r="X177" s="55" t="s">
        <v>5034</v>
      </c>
      <c r="AI177" s="54"/>
      <c r="AJ177" s="56" t="s">
        <v>5034</v>
      </c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8"/>
      <c r="BD177" s="55" t="s">
        <v>5034</v>
      </c>
      <c r="BO177" s="54"/>
      <c r="BP177" s="56" t="s">
        <v>5034</v>
      </c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6" t="s">
        <v>5034</v>
      </c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6" t="s">
        <v>5034</v>
      </c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6" t="s">
        <v>5034</v>
      </c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8"/>
      <c r="DL177" s="59">
        <v>0</v>
      </c>
      <c r="DM177" s="60">
        <v>0</v>
      </c>
      <c r="DN177" s="61">
        <v>0</v>
      </c>
      <c r="DO177" s="60">
        <v>0</v>
      </c>
      <c r="DP177" s="60">
        <v>0</v>
      </c>
      <c r="DQ177" s="59">
        <v>0</v>
      </c>
      <c r="DR177" s="62" t="s">
        <v>5034</v>
      </c>
      <c r="DS177" s="62" t="s">
        <v>5034</v>
      </c>
      <c r="DU177" s="62" t="s">
        <v>5034</v>
      </c>
      <c r="DV177" s="63">
        <v>45595</v>
      </c>
      <c r="DW177" s="64">
        <v>2024</v>
      </c>
      <c r="DX177" s="65">
        <v>10</v>
      </c>
    </row>
    <row r="178" spans="2:128" ht="15">
      <c r="B178" s="43" t="s">
        <v>5022</v>
      </c>
      <c r="C178" s="43" t="s">
        <v>4881</v>
      </c>
      <c r="D178" s="43" t="s">
        <v>4883</v>
      </c>
      <c r="E178" s="49">
        <v>45595</v>
      </c>
      <c r="F178" s="49"/>
      <c r="G178" s="50">
        <v>1</v>
      </c>
      <c r="H178" s="43" t="s">
        <v>4798</v>
      </c>
      <c r="I178" s="43" t="s">
        <v>5023</v>
      </c>
      <c r="J178" s="43"/>
      <c r="K178" s="43">
        <v>2</v>
      </c>
      <c r="L178" s="43">
        <v>3</v>
      </c>
      <c r="M178" s="43"/>
      <c r="N178" s="43" t="s">
        <v>5090</v>
      </c>
      <c r="O178" s="43"/>
      <c r="P178" s="43" t="s">
        <v>5147</v>
      </c>
      <c r="Q178" s="43"/>
      <c r="R178" s="43" t="s">
        <v>5025</v>
      </c>
      <c r="S178" s="43" t="s">
        <v>5026</v>
      </c>
      <c r="T178" s="51" t="s">
        <v>5027</v>
      </c>
      <c r="U178" s="52" t="s">
        <v>5028</v>
      </c>
      <c r="V178" s="53" t="s">
        <v>3896</v>
      </c>
      <c r="W178" s="54" t="s">
        <v>5034</v>
      </c>
      <c r="X178" s="55" t="s">
        <v>5034</v>
      </c>
      <c r="AI178" s="54"/>
      <c r="AJ178" s="56" t="s">
        <v>5034</v>
      </c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8"/>
      <c r="BD178" s="55" t="s">
        <v>5034</v>
      </c>
      <c r="BO178" s="54"/>
      <c r="BP178" s="56" t="s">
        <v>5034</v>
      </c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6" t="s">
        <v>5034</v>
      </c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6" t="s">
        <v>5034</v>
      </c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6" t="s">
        <v>5034</v>
      </c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8"/>
      <c r="DL178" s="59">
        <v>0</v>
      </c>
      <c r="DM178" s="60">
        <v>0</v>
      </c>
      <c r="DN178" s="61">
        <v>0</v>
      </c>
      <c r="DO178" s="60">
        <v>0</v>
      </c>
      <c r="DP178" s="60">
        <v>0</v>
      </c>
      <c r="DQ178" s="59">
        <v>0</v>
      </c>
      <c r="DR178" s="62" t="s">
        <v>5034</v>
      </c>
      <c r="DS178" s="62" t="s">
        <v>5034</v>
      </c>
      <c r="DU178" s="62" t="s">
        <v>5034</v>
      </c>
      <c r="DV178" s="63">
        <v>45595</v>
      </c>
      <c r="DW178" s="64">
        <v>2024</v>
      </c>
      <c r="DX178" s="65">
        <v>10</v>
      </c>
    </row>
    <row r="179" spans="2:128" ht="15">
      <c r="B179" s="43" t="s">
        <v>5022</v>
      </c>
      <c r="C179" s="43" t="s">
        <v>4881</v>
      </c>
      <c r="D179" s="43" t="s">
        <v>4883</v>
      </c>
      <c r="E179" s="49">
        <v>45595</v>
      </c>
      <c r="F179" s="49"/>
      <c r="G179" s="50">
        <v>1</v>
      </c>
      <c r="H179" s="43" t="s">
        <v>4798</v>
      </c>
      <c r="I179" s="43" t="s">
        <v>5023</v>
      </c>
      <c r="J179" s="43"/>
      <c r="K179" s="43">
        <v>2</v>
      </c>
      <c r="L179" s="43">
        <v>3</v>
      </c>
      <c r="M179" s="43"/>
      <c r="N179" s="43" t="s">
        <v>5090</v>
      </c>
      <c r="O179" s="43"/>
      <c r="P179" s="43" t="s">
        <v>5147</v>
      </c>
      <c r="Q179" s="43"/>
      <c r="R179" s="43" t="s">
        <v>5025</v>
      </c>
      <c r="S179" s="43" t="s">
        <v>5026</v>
      </c>
      <c r="T179" s="51" t="s">
        <v>5027</v>
      </c>
      <c r="U179" s="52" t="s">
        <v>5028</v>
      </c>
      <c r="V179" s="53" t="s">
        <v>3896</v>
      </c>
      <c r="W179" s="54" t="s">
        <v>5034</v>
      </c>
      <c r="X179" s="55" t="s">
        <v>5034</v>
      </c>
      <c r="AI179" s="54"/>
      <c r="AJ179" s="56" t="s">
        <v>5034</v>
      </c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8"/>
      <c r="BD179" s="55" t="s">
        <v>5034</v>
      </c>
      <c r="BO179" s="54"/>
      <c r="BP179" s="56" t="s">
        <v>5034</v>
      </c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6" t="s">
        <v>5034</v>
      </c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6" t="s">
        <v>5034</v>
      </c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6" t="s">
        <v>5034</v>
      </c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8"/>
      <c r="DL179" s="59">
        <v>0</v>
      </c>
      <c r="DM179" s="60">
        <v>0</v>
      </c>
      <c r="DN179" s="61">
        <v>0</v>
      </c>
      <c r="DO179" s="60">
        <v>0</v>
      </c>
      <c r="DP179" s="60">
        <v>0</v>
      </c>
      <c r="DQ179" s="59">
        <v>0</v>
      </c>
      <c r="DR179" s="62" t="s">
        <v>5034</v>
      </c>
      <c r="DS179" s="62" t="s">
        <v>5034</v>
      </c>
      <c r="DU179" s="62" t="s">
        <v>5034</v>
      </c>
      <c r="DV179" s="63">
        <v>45595</v>
      </c>
      <c r="DW179" s="64">
        <v>2024</v>
      </c>
      <c r="DX179" s="65">
        <v>10</v>
      </c>
    </row>
    <row r="180" spans="2:128" ht="15">
      <c r="B180" s="43" t="s">
        <v>5022</v>
      </c>
      <c r="C180" s="43" t="s">
        <v>4881</v>
      </c>
      <c r="D180" s="43" t="s">
        <v>4883</v>
      </c>
      <c r="E180" s="49">
        <v>45595</v>
      </c>
      <c r="F180" s="49"/>
      <c r="G180" s="50">
        <v>1</v>
      </c>
      <c r="H180" s="43" t="s">
        <v>4798</v>
      </c>
      <c r="I180" s="43" t="s">
        <v>5023</v>
      </c>
      <c r="J180" s="43"/>
      <c r="K180" s="43">
        <v>2</v>
      </c>
      <c r="L180" s="43">
        <v>3</v>
      </c>
      <c r="M180" s="43"/>
      <c r="N180" s="43" t="s">
        <v>5090</v>
      </c>
      <c r="O180" s="43"/>
      <c r="P180" s="43" t="s">
        <v>5147</v>
      </c>
      <c r="Q180" s="43"/>
      <c r="R180" s="43" t="s">
        <v>5025</v>
      </c>
      <c r="S180" s="43" t="s">
        <v>5026</v>
      </c>
      <c r="T180" s="51" t="s">
        <v>5027</v>
      </c>
      <c r="U180" s="52" t="s">
        <v>5028</v>
      </c>
      <c r="V180" s="53" t="s">
        <v>3896</v>
      </c>
      <c r="W180" s="54" t="s">
        <v>5034</v>
      </c>
      <c r="X180" s="55" t="s">
        <v>5034</v>
      </c>
      <c r="AI180" s="54"/>
      <c r="AJ180" s="56" t="s">
        <v>5034</v>
      </c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8"/>
      <c r="BD180" s="55" t="s">
        <v>5034</v>
      </c>
      <c r="BO180" s="54"/>
      <c r="BP180" s="56" t="s">
        <v>5034</v>
      </c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6" t="s">
        <v>5034</v>
      </c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6" t="s">
        <v>5034</v>
      </c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6" t="s">
        <v>5034</v>
      </c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8"/>
      <c r="DL180" s="59">
        <v>0</v>
      </c>
      <c r="DM180" s="60">
        <v>0</v>
      </c>
      <c r="DN180" s="61">
        <v>0</v>
      </c>
      <c r="DO180" s="60">
        <v>0</v>
      </c>
      <c r="DP180" s="60">
        <v>0</v>
      </c>
      <c r="DQ180" s="59">
        <v>0</v>
      </c>
      <c r="DR180" s="62" t="s">
        <v>5034</v>
      </c>
      <c r="DS180" s="62" t="s">
        <v>5034</v>
      </c>
      <c r="DU180" s="62" t="s">
        <v>5034</v>
      </c>
      <c r="DV180" s="63">
        <v>45595</v>
      </c>
      <c r="DW180" s="64">
        <v>2024</v>
      </c>
      <c r="DX180" s="65">
        <v>10</v>
      </c>
    </row>
    <row r="181" spans="2:128" ht="15">
      <c r="B181" s="43" t="s">
        <v>5022</v>
      </c>
      <c r="C181" s="43" t="s">
        <v>4881</v>
      </c>
      <c r="D181" s="43" t="s">
        <v>4883</v>
      </c>
      <c r="E181" s="49">
        <v>45595</v>
      </c>
      <c r="F181" s="49"/>
      <c r="G181" s="50">
        <v>1</v>
      </c>
      <c r="H181" s="43" t="s">
        <v>4798</v>
      </c>
      <c r="I181" s="43" t="s">
        <v>5023</v>
      </c>
      <c r="J181" s="43"/>
      <c r="K181" s="43">
        <v>2</v>
      </c>
      <c r="L181" s="43">
        <v>3</v>
      </c>
      <c r="M181" s="43"/>
      <c r="N181" s="43" t="s">
        <v>5090</v>
      </c>
      <c r="O181" s="43"/>
      <c r="P181" s="43" t="s">
        <v>5147</v>
      </c>
      <c r="Q181" s="43"/>
      <c r="R181" s="43" t="s">
        <v>5025</v>
      </c>
      <c r="S181" s="43" t="s">
        <v>5026</v>
      </c>
      <c r="T181" s="51" t="s">
        <v>5027</v>
      </c>
      <c r="U181" s="52" t="s">
        <v>5028</v>
      </c>
      <c r="V181" s="53" t="s">
        <v>3896</v>
      </c>
      <c r="W181" s="54" t="s">
        <v>5034</v>
      </c>
      <c r="X181" s="55" t="s">
        <v>5034</v>
      </c>
      <c r="AI181" s="54"/>
      <c r="AJ181" s="56" t="s">
        <v>5034</v>
      </c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8"/>
      <c r="BD181" s="55" t="s">
        <v>5034</v>
      </c>
      <c r="BO181" s="54"/>
      <c r="BP181" s="56" t="s">
        <v>5034</v>
      </c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6" t="s">
        <v>5034</v>
      </c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6" t="s">
        <v>5034</v>
      </c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6" t="s">
        <v>5034</v>
      </c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8"/>
      <c r="DL181" s="59">
        <v>0</v>
      </c>
      <c r="DM181" s="60">
        <v>0</v>
      </c>
      <c r="DN181" s="61">
        <v>0</v>
      </c>
      <c r="DO181" s="60">
        <v>0</v>
      </c>
      <c r="DP181" s="60">
        <v>0</v>
      </c>
      <c r="DQ181" s="59">
        <v>0</v>
      </c>
      <c r="DR181" s="62" t="s">
        <v>5034</v>
      </c>
      <c r="DS181" s="62" t="s">
        <v>5034</v>
      </c>
      <c r="DU181" s="62" t="s">
        <v>5034</v>
      </c>
      <c r="DV181" s="63">
        <v>45595</v>
      </c>
      <c r="DW181" s="64">
        <v>2024</v>
      </c>
      <c r="DX181" s="65">
        <v>10</v>
      </c>
    </row>
    <row r="182" spans="2:128" ht="15">
      <c r="B182" s="43" t="s">
        <v>5022</v>
      </c>
      <c r="C182" s="43" t="s">
        <v>4881</v>
      </c>
      <c r="D182" s="43" t="s">
        <v>4883</v>
      </c>
      <c r="E182" s="49">
        <v>45595</v>
      </c>
      <c r="F182" s="49"/>
      <c r="G182" s="50">
        <v>1</v>
      </c>
      <c r="H182" s="43" t="s">
        <v>4798</v>
      </c>
      <c r="I182" s="43" t="s">
        <v>5023</v>
      </c>
      <c r="J182" s="43"/>
      <c r="K182" s="43">
        <v>2</v>
      </c>
      <c r="L182" s="43">
        <v>3</v>
      </c>
      <c r="M182" s="43"/>
      <c r="N182" s="43" t="s">
        <v>5090</v>
      </c>
      <c r="O182" s="43"/>
      <c r="P182" s="43" t="s">
        <v>5147</v>
      </c>
      <c r="Q182" s="43"/>
      <c r="R182" s="43" t="s">
        <v>5025</v>
      </c>
      <c r="S182" s="43" t="s">
        <v>5026</v>
      </c>
      <c r="T182" s="51" t="s">
        <v>5027</v>
      </c>
      <c r="U182" s="52" t="s">
        <v>5028</v>
      </c>
      <c r="V182" s="53" t="s">
        <v>3896</v>
      </c>
      <c r="W182" s="54" t="s">
        <v>5034</v>
      </c>
      <c r="X182" s="55" t="s">
        <v>5034</v>
      </c>
      <c r="AI182" s="54"/>
      <c r="AJ182" s="56" t="s">
        <v>5034</v>
      </c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8"/>
      <c r="BD182" s="55" t="s">
        <v>5034</v>
      </c>
      <c r="BO182" s="54"/>
      <c r="BP182" s="56" t="s">
        <v>5034</v>
      </c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6" t="s">
        <v>5034</v>
      </c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6" t="s">
        <v>5034</v>
      </c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6" t="s">
        <v>5034</v>
      </c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8"/>
      <c r="DL182" s="59">
        <v>0</v>
      </c>
      <c r="DM182" s="60">
        <v>0</v>
      </c>
      <c r="DN182" s="61">
        <v>0</v>
      </c>
      <c r="DO182" s="60">
        <v>0</v>
      </c>
      <c r="DP182" s="60">
        <v>0</v>
      </c>
      <c r="DQ182" s="59">
        <v>0</v>
      </c>
      <c r="DR182" s="62" t="s">
        <v>5034</v>
      </c>
      <c r="DS182" s="62" t="s">
        <v>5034</v>
      </c>
      <c r="DU182" s="62" t="s">
        <v>5034</v>
      </c>
      <c r="DV182" s="63">
        <v>45595</v>
      </c>
      <c r="DW182" s="64">
        <v>2024</v>
      </c>
      <c r="DX182" s="65">
        <v>10</v>
      </c>
    </row>
    <row r="183" spans="2:128" ht="15">
      <c r="B183" s="43" t="s">
        <v>5022</v>
      </c>
      <c r="C183" s="43" t="s">
        <v>4881</v>
      </c>
      <c r="D183" s="43" t="s">
        <v>4883</v>
      </c>
      <c r="E183" s="49">
        <v>45595</v>
      </c>
      <c r="F183" s="49"/>
      <c r="G183" s="50">
        <v>1</v>
      </c>
      <c r="H183" s="43" t="s">
        <v>4798</v>
      </c>
      <c r="I183" s="43" t="s">
        <v>5023</v>
      </c>
      <c r="J183" s="43"/>
      <c r="K183" s="43">
        <v>2</v>
      </c>
      <c r="L183" s="43">
        <v>3</v>
      </c>
      <c r="M183" s="43"/>
      <c r="N183" s="43" t="s">
        <v>5090</v>
      </c>
      <c r="O183" s="43"/>
      <c r="P183" s="43" t="s">
        <v>5147</v>
      </c>
      <c r="Q183" s="43"/>
      <c r="R183" s="43" t="s">
        <v>5025</v>
      </c>
      <c r="S183" s="43" t="s">
        <v>5026</v>
      </c>
      <c r="T183" s="51" t="s">
        <v>5027</v>
      </c>
      <c r="U183" s="52" t="s">
        <v>5028</v>
      </c>
      <c r="V183" s="53" t="s">
        <v>3896</v>
      </c>
      <c r="W183" s="54" t="s">
        <v>5034</v>
      </c>
      <c r="X183" s="55" t="s">
        <v>5034</v>
      </c>
      <c r="AI183" s="54"/>
      <c r="AJ183" s="56" t="s">
        <v>5034</v>
      </c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8"/>
      <c r="BD183" s="55" t="s">
        <v>5034</v>
      </c>
      <c r="BO183" s="54"/>
      <c r="BP183" s="56" t="s">
        <v>5034</v>
      </c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6" t="s">
        <v>5034</v>
      </c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6" t="s">
        <v>5034</v>
      </c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6" t="s">
        <v>5034</v>
      </c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8"/>
      <c r="DL183" s="59">
        <v>0</v>
      </c>
      <c r="DM183" s="60">
        <v>0</v>
      </c>
      <c r="DN183" s="61">
        <v>0</v>
      </c>
      <c r="DO183" s="60">
        <v>0</v>
      </c>
      <c r="DP183" s="60">
        <v>0</v>
      </c>
      <c r="DQ183" s="59">
        <v>0</v>
      </c>
      <c r="DR183" s="62" t="s">
        <v>5034</v>
      </c>
      <c r="DS183" s="62" t="s">
        <v>5034</v>
      </c>
      <c r="DU183" s="62" t="s">
        <v>5034</v>
      </c>
      <c r="DV183" s="63">
        <v>45595</v>
      </c>
      <c r="DW183" s="64">
        <v>2024</v>
      </c>
      <c r="DX183" s="65">
        <v>10</v>
      </c>
    </row>
    <row r="184" spans="2:128" ht="15">
      <c r="B184" s="43" t="s">
        <v>5022</v>
      </c>
      <c r="C184" s="43" t="s">
        <v>4881</v>
      </c>
      <c r="D184" s="43" t="s">
        <v>4883</v>
      </c>
      <c r="E184" s="49">
        <v>45595</v>
      </c>
      <c r="F184" s="49"/>
      <c r="G184" s="50">
        <v>1</v>
      </c>
      <c r="H184" s="43" t="s">
        <v>4798</v>
      </c>
      <c r="I184" s="43" t="s">
        <v>5023</v>
      </c>
      <c r="J184" s="43"/>
      <c r="K184" s="43">
        <v>2</v>
      </c>
      <c r="L184" s="43">
        <v>3</v>
      </c>
      <c r="M184" s="43"/>
      <c r="N184" s="43" t="s">
        <v>5090</v>
      </c>
      <c r="O184" s="43"/>
      <c r="P184" s="43" t="s">
        <v>5147</v>
      </c>
      <c r="Q184" s="43"/>
      <c r="R184" s="43" t="s">
        <v>5025</v>
      </c>
      <c r="S184" s="43" t="s">
        <v>5026</v>
      </c>
      <c r="T184" s="51" t="s">
        <v>5027</v>
      </c>
      <c r="U184" s="52" t="s">
        <v>5028</v>
      </c>
      <c r="V184" s="53" t="s">
        <v>3896</v>
      </c>
      <c r="W184" s="54" t="s">
        <v>5034</v>
      </c>
      <c r="X184" s="55" t="s">
        <v>5034</v>
      </c>
      <c r="AI184" s="54"/>
      <c r="AJ184" s="56" t="s">
        <v>5034</v>
      </c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8"/>
      <c r="BD184" s="55" t="s">
        <v>5034</v>
      </c>
      <c r="BO184" s="54"/>
      <c r="BP184" s="56" t="s">
        <v>5034</v>
      </c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6" t="s">
        <v>5034</v>
      </c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6" t="s">
        <v>5034</v>
      </c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6" t="s">
        <v>5034</v>
      </c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8"/>
      <c r="DL184" s="59">
        <v>0</v>
      </c>
      <c r="DM184" s="60">
        <v>0</v>
      </c>
      <c r="DN184" s="61">
        <v>0</v>
      </c>
      <c r="DO184" s="60">
        <v>0</v>
      </c>
      <c r="DP184" s="60">
        <v>0</v>
      </c>
      <c r="DQ184" s="59">
        <v>0</v>
      </c>
      <c r="DR184" s="62" t="s">
        <v>5034</v>
      </c>
      <c r="DS184" s="62" t="s">
        <v>5034</v>
      </c>
      <c r="DU184" s="62" t="s">
        <v>5034</v>
      </c>
      <c r="DV184" s="63">
        <v>45595</v>
      </c>
      <c r="DW184" s="64">
        <v>2024</v>
      </c>
      <c r="DX184" s="65">
        <v>10</v>
      </c>
    </row>
    <row r="185" spans="2:128" ht="15">
      <c r="B185" s="43" t="s">
        <v>5022</v>
      </c>
      <c r="C185" s="43" t="s">
        <v>4873</v>
      </c>
      <c r="D185" s="43" t="s">
        <v>1821</v>
      </c>
      <c r="E185" s="49">
        <v>45617</v>
      </c>
      <c r="F185" s="49"/>
      <c r="G185" s="50">
        <v>1</v>
      </c>
      <c r="H185" s="43" t="s">
        <v>4799</v>
      </c>
      <c r="I185" s="43" t="s">
        <v>5076</v>
      </c>
      <c r="J185" s="43">
        <v>6</v>
      </c>
      <c r="K185" s="43">
        <v>2</v>
      </c>
      <c r="L185" s="43">
        <v>3</v>
      </c>
      <c r="M185" s="43"/>
      <c r="N185" s="43"/>
      <c r="O185" s="43"/>
      <c r="P185" s="43" t="s">
        <v>1925</v>
      </c>
      <c r="Q185" s="43"/>
      <c r="R185" s="43" t="s">
        <v>5086</v>
      </c>
      <c r="S185" s="43" t="s">
        <v>5026</v>
      </c>
      <c r="T185" s="51" t="s">
        <v>5027</v>
      </c>
      <c r="U185" s="52" t="s">
        <v>5028</v>
      </c>
      <c r="V185" s="53" t="s">
        <v>3884</v>
      </c>
      <c r="W185" s="54" t="s">
        <v>1820</v>
      </c>
      <c r="X185" s="55" t="s">
        <v>4889</v>
      </c>
      <c r="Y185" t="s">
        <v>4800</v>
      </c>
      <c r="AI185" s="54"/>
      <c r="AJ185" s="56">
        <v>45740</v>
      </c>
      <c r="AK185" s="57">
        <v>45922</v>
      </c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8"/>
      <c r="BD185" s="55" t="s">
        <v>5030</v>
      </c>
      <c r="BE185" t="s">
        <v>5032</v>
      </c>
      <c r="BO185" s="54"/>
      <c r="BP185" s="56">
        <v>45712</v>
      </c>
      <c r="BQ185" s="57">
        <v>45894</v>
      </c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6">
        <v>45730</v>
      </c>
      <c r="CC185" s="57">
        <v>45912</v>
      </c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6">
        <v>45736</v>
      </c>
      <c r="CO185" s="57">
        <v>45918</v>
      </c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6" t="s">
        <v>5034</v>
      </c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8"/>
      <c r="DL185" s="59">
        <v>2</v>
      </c>
      <c r="DM185" s="60">
        <v>2</v>
      </c>
      <c r="DN185" s="61">
        <v>2</v>
      </c>
      <c r="DO185" s="60">
        <v>2</v>
      </c>
      <c r="DP185" s="60">
        <v>0</v>
      </c>
      <c r="DQ185" s="59">
        <v>8</v>
      </c>
      <c r="DR185" s="62">
        <v>2099</v>
      </c>
      <c r="DS185" s="62" t="s">
        <v>5034</v>
      </c>
      <c r="DU185" s="62" t="s">
        <v>5034</v>
      </c>
      <c r="DV185" s="63">
        <v>45617</v>
      </c>
      <c r="DW185" s="64">
        <v>2024</v>
      </c>
      <c r="DX185" s="65">
        <v>11</v>
      </c>
    </row>
    <row r="186" spans="2:128" ht="15">
      <c r="B186" s="43" t="s">
        <v>5022</v>
      </c>
      <c r="C186" s="43" t="s">
        <v>4881</v>
      </c>
      <c r="D186" s="43" t="s">
        <v>4884</v>
      </c>
      <c r="E186" s="66">
        <v>45638</v>
      </c>
      <c r="F186" s="49"/>
      <c r="G186" s="50">
        <v>1</v>
      </c>
      <c r="H186" s="43" t="s">
        <v>4798</v>
      </c>
      <c r="I186" s="43" t="s">
        <v>5023</v>
      </c>
      <c r="J186" s="43"/>
      <c r="K186" s="43">
        <v>2</v>
      </c>
      <c r="L186" s="43">
        <v>3</v>
      </c>
      <c r="M186" s="43"/>
      <c r="N186" s="43" t="s">
        <v>1820</v>
      </c>
      <c r="O186" s="43"/>
      <c r="P186" s="43" t="s">
        <v>5147</v>
      </c>
      <c r="Q186" s="43"/>
      <c r="R186" s="43" t="s">
        <v>5081</v>
      </c>
      <c r="S186" s="43" t="s">
        <v>5026</v>
      </c>
      <c r="T186" s="51" t="s">
        <v>5027</v>
      </c>
      <c r="U186" s="52" t="s">
        <v>5028</v>
      </c>
      <c r="V186" s="53" t="s">
        <v>3884</v>
      </c>
      <c r="W186" s="54" t="s">
        <v>4745</v>
      </c>
      <c r="X186" s="55" t="s">
        <v>4889</v>
      </c>
      <c r="Y186" t="s">
        <v>4896</v>
      </c>
      <c r="Z186" t="s">
        <v>4800</v>
      </c>
      <c r="AA186" t="s">
        <v>4891</v>
      </c>
      <c r="AI186" s="54"/>
      <c r="AJ186" s="56">
        <v>45740</v>
      </c>
      <c r="AK186" s="57">
        <v>45831</v>
      </c>
      <c r="AL186" s="57">
        <v>45922</v>
      </c>
      <c r="AM186" s="57">
        <v>46013</v>
      </c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8"/>
      <c r="BD186" s="55" t="s">
        <v>5030</v>
      </c>
      <c r="BE186" t="s">
        <v>5031</v>
      </c>
      <c r="BF186" t="s">
        <v>5032</v>
      </c>
      <c r="BG186" t="s">
        <v>5033</v>
      </c>
      <c r="BO186" s="54"/>
      <c r="BP186" s="56">
        <v>45712</v>
      </c>
      <c r="BQ186" s="57">
        <v>45803</v>
      </c>
      <c r="BR186" s="57">
        <v>45894</v>
      </c>
      <c r="BS186" s="57">
        <v>45985</v>
      </c>
      <c r="BT186" s="57"/>
      <c r="BU186" s="57"/>
      <c r="BV186" s="57"/>
      <c r="BW186" s="57"/>
      <c r="BX186" s="57"/>
      <c r="BY186" s="57"/>
      <c r="BZ186" s="57"/>
      <c r="CA186" s="57"/>
      <c r="CB186" s="56" t="s">
        <v>5034</v>
      </c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6">
        <v>45736</v>
      </c>
      <c r="CO186" s="57">
        <v>45827</v>
      </c>
      <c r="CP186" s="57">
        <v>45918</v>
      </c>
      <c r="CQ186" s="57">
        <v>46009</v>
      </c>
      <c r="CR186" s="57"/>
      <c r="CS186" s="57"/>
      <c r="CT186" s="57"/>
      <c r="CU186" s="57"/>
      <c r="CV186" s="57"/>
      <c r="CW186" s="57"/>
      <c r="CX186" s="57"/>
      <c r="CY186" s="57"/>
      <c r="CZ186" s="56" t="s">
        <v>5034</v>
      </c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8"/>
      <c r="DL186" s="59">
        <v>4</v>
      </c>
      <c r="DM186" s="60">
        <v>4</v>
      </c>
      <c r="DN186" s="61">
        <v>0</v>
      </c>
      <c r="DO186" s="60">
        <v>4</v>
      </c>
      <c r="DP186" s="60">
        <v>0</v>
      </c>
      <c r="DQ186" s="59">
        <v>12</v>
      </c>
      <c r="DR186" s="62">
        <v>2107</v>
      </c>
      <c r="DS186" s="62" t="s">
        <v>5034</v>
      </c>
      <c r="DU186" s="62" t="s">
        <v>5034</v>
      </c>
      <c r="DV186" s="63">
        <v>45639</v>
      </c>
      <c r="DW186" s="64">
        <v>2024</v>
      </c>
      <c r="DX186" s="65">
        <v>12</v>
      </c>
    </row>
    <row r="187" spans="2:128" ht="15">
      <c r="B187" s="43" t="s">
        <v>5022</v>
      </c>
      <c r="C187" s="43" t="s">
        <v>4881</v>
      </c>
      <c r="D187" s="43" t="s">
        <v>4884</v>
      </c>
      <c r="E187" s="66">
        <v>45638</v>
      </c>
      <c r="F187" s="49"/>
      <c r="G187" s="50">
        <v>1</v>
      </c>
      <c r="H187" s="43" t="s">
        <v>4798</v>
      </c>
      <c r="I187" s="43" t="s">
        <v>5023</v>
      </c>
      <c r="J187" s="43"/>
      <c r="K187" s="43">
        <v>2</v>
      </c>
      <c r="L187" s="43">
        <v>3</v>
      </c>
      <c r="M187" s="43"/>
      <c r="N187" s="43" t="s">
        <v>1810</v>
      </c>
      <c r="O187" s="43"/>
      <c r="P187" s="43" t="s">
        <v>5147</v>
      </c>
      <c r="Q187" s="43"/>
      <c r="R187" s="43" t="s">
        <v>5081</v>
      </c>
      <c r="S187" s="43" t="s">
        <v>5026</v>
      </c>
      <c r="T187" s="51" t="s">
        <v>5027</v>
      </c>
      <c r="U187" s="52" t="s">
        <v>5028</v>
      </c>
      <c r="V187" s="53" t="s">
        <v>3896</v>
      </c>
      <c r="W187" s="54" t="s">
        <v>5034</v>
      </c>
      <c r="X187" s="55" t="s">
        <v>5034</v>
      </c>
      <c r="AI187" s="54"/>
      <c r="AJ187" s="56" t="s">
        <v>5034</v>
      </c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8"/>
      <c r="BD187" s="55" t="s">
        <v>5034</v>
      </c>
      <c r="BO187" s="54"/>
      <c r="BP187" s="56" t="s">
        <v>5034</v>
      </c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6" t="s">
        <v>5034</v>
      </c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6" t="s">
        <v>5034</v>
      </c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6" t="s">
        <v>5034</v>
      </c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8"/>
      <c r="DL187" s="59">
        <v>0</v>
      </c>
      <c r="DM187" s="60">
        <v>0</v>
      </c>
      <c r="DN187" s="61">
        <v>0</v>
      </c>
      <c r="DO187" s="60">
        <v>0</v>
      </c>
      <c r="DP187" s="60">
        <v>0</v>
      </c>
      <c r="DQ187" s="59">
        <v>0</v>
      </c>
      <c r="DR187" s="62" t="s">
        <v>5034</v>
      </c>
      <c r="DS187" s="62" t="s">
        <v>5034</v>
      </c>
      <c r="DU187" s="62" t="s">
        <v>5034</v>
      </c>
      <c r="DV187" s="63">
        <v>45639</v>
      </c>
      <c r="DW187" s="64">
        <v>2024</v>
      </c>
      <c r="DX187" s="65">
        <v>12</v>
      </c>
    </row>
    <row r="188" spans="2:128" ht="15">
      <c r="B188" s="43" t="s">
        <v>5022</v>
      </c>
      <c r="C188" s="43" t="s">
        <v>4881</v>
      </c>
      <c r="D188" s="43" t="s">
        <v>4884</v>
      </c>
      <c r="E188" s="66">
        <v>45638</v>
      </c>
      <c r="F188" s="49"/>
      <c r="G188" s="50">
        <v>1</v>
      </c>
      <c r="H188" s="43" t="s">
        <v>4798</v>
      </c>
      <c r="I188" s="43" t="s">
        <v>5023</v>
      </c>
      <c r="J188" s="43"/>
      <c r="K188" s="43">
        <v>2</v>
      </c>
      <c r="L188" s="43">
        <v>3</v>
      </c>
      <c r="M188" s="43"/>
      <c r="N188" s="43" t="s">
        <v>1782</v>
      </c>
      <c r="O188" s="43"/>
      <c r="P188" s="43" t="s">
        <v>5147</v>
      </c>
      <c r="Q188" s="43"/>
      <c r="R188" s="43" t="s">
        <v>5081</v>
      </c>
      <c r="S188" s="43" t="s">
        <v>5026</v>
      </c>
      <c r="T188" s="51" t="s">
        <v>5027</v>
      </c>
      <c r="U188" s="52" t="s">
        <v>5028</v>
      </c>
      <c r="V188" s="53" t="s">
        <v>3896</v>
      </c>
      <c r="W188" s="54" t="s">
        <v>5034</v>
      </c>
      <c r="X188" s="55" t="s">
        <v>5034</v>
      </c>
      <c r="AI188" s="54"/>
      <c r="AJ188" s="56" t="s">
        <v>5034</v>
      </c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8"/>
      <c r="BD188" s="55" t="s">
        <v>5034</v>
      </c>
      <c r="BO188" s="54"/>
      <c r="BP188" s="56" t="s">
        <v>5034</v>
      </c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6" t="s">
        <v>5034</v>
      </c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6" t="s">
        <v>5034</v>
      </c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6" t="s">
        <v>5034</v>
      </c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8"/>
      <c r="DL188" s="59">
        <v>0</v>
      </c>
      <c r="DM188" s="60">
        <v>0</v>
      </c>
      <c r="DN188" s="61">
        <v>0</v>
      </c>
      <c r="DO188" s="60">
        <v>0</v>
      </c>
      <c r="DP188" s="60">
        <v>0</v>
      </c>
      <c r="DQ188" s="59">
        <v>0</v>
      </c>
      <c r="DR188" s="62" t="s">
        <v>5034</v>
      </c>
      <c r="DS188" s="62" t="s">
        <v>5034</v>
      </c>
      <c r="DU188" s="62" t="s">
        <v>5034</v>
      </c>
      <c r="DV188" s="63">
        <v>45639</v>
      </c>
      <c r="DW188" s="64">
        <v>2024</v>
      </c>
      <c r="DX188" s="65">
        <v>12</v>
      </c>
    </row>
    <row r="189" spans="2:128" ht="15">
      <c r="B189" s="43" t="s">
        <v>5022</v>
      </c>
      <c r="C189" s="43" t="s">
        <v>4881</v>
      </c>
      <c r="D189" s="43" t="s">
        <v>4884</v>
      </c>
      <c r="E189" s="66">
        <v>45638</v>
      </c>
      <c r="F189" s="49"/>
      <c r="G189" s="50">
        <v>1</v>
      </c>
      <c r="H189" s="43" t="s">
        <v>4798</v>
      </c>
      <c r="I189" s="43" t="s">
        <v>5023</v>
      </c>
      <c r="J189" s="43"/>
      <c r="K189" s="43">
        <v>2</v>
      </c>
      <c r="L189" s="43">
        <v>3</v>
      </c>
      <c r="M189" s="43"/>
      <c r="N189" s="43" t="s">
        <v>1755</v>
      </c>
      <c r="O189" s="43"/>
      <c r="P189" s="43" t="s">
        <v>5147</v>
      </c>
      <c r="Q189" s="43"/>
      <c r="R189" s="43" t="s">
        <v>5081</v>
      </c>
      <c r="S189" s="43" t="s">
        <v>5026</v>
      </c>
      <c r="T189" s="51" t="s">
        <v>5027</v>
      </c>
      <c r="U189" s="52" t="s">
        <v>5028</v>
      </c>
      <c r="V189" s="53" t="s">
        <v>3896</v>
      </c>
      <c r="W189" s="54" t="s">
        <v>5034</v>
      </c>
      <c r="X189" s="55" t="s">
        <v>5034</v>
      </c>
      <c r="AI189" s="54"/>
      <c r="AJ189" s="56" t="s">
        <v>5034</v>
      </c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8"/>
      <c r="BD189" s="55" t="s">
        <v>5034</v>
      </c>
      <c r="BO189" s="54"/>
      <c r="BP189" s="56" t="s">
        <v>5034</v>
      </c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6" t="s">
        <v>5034</v>
      </c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6" t="s">
        <v>5034</v>
      </c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6" t="s">
        <v>5034</v>
      </c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8"/>
      <c r="DL189" s="59">
        <v>0</v>
      </c>
      <c r="DM189" s="60">
        <v>0</v>
      </c>
      <c r="DN189" s="61">
        <v>0</v>
      </c>
      <c r="DO189" s="60">
        <v>0</v>
      </c>
      <c r="DP189" s="60">
        <v>0</v>
      </c>
      <c r="DQ189" s="59">
        <v>0</v>
      </c>
      <c r="DR189" s="62" t="s">
        <v>5034</v>
      </c>
      <c r="DS189" s="62" t="s">
        <v>5034</v>
      </c>
      <c r="DU189" s="62" t="s">
        <v>5034</v>
      </c>
      <c r="DV189" s="63">
        <v>45639</v>
      </c>
      <c r="DW189" s="64">
        <v>2024</v>
      </c>
      <c r="DX189" s="65">
        <v>12</v>
      </c>
    </row>
    <row r="190" spans="2:128" ht="15">
      <c r="B190" s="43" t="s">
        <v>5022</v>
      </c>
      <c r="C190" s="43" t="s">
        <v>4881</v>
      </c>
      <c r="D190" s="43" t="s">
        <v>4885</v>
      </c>
      <c r="E190" s="66">
        <v>45638</v>
      </c>
      <c r="F190" s="49"/>
      <c r="G190" s="50">
        <v>1</v>
      </c>
      <c r="H190" s="43" t="s">
        <v>4798</v>
      </c>
      <c r="I190" s="43" t="s">
        <v>5023</v>
      </c>
      <c r="J190" s="43"/>
      <c r="K190" s="43">
        <v>2</v>
      </c>
      <c r="L190" s="43">
        <v>3</v>
      </c>
      <c r="M190" s="43"/>
      <c r="N190" s="43" t="s">
        <v>839</v>
      </c>
      <c r="O190" s="43"/>
      <c r="P190" s="43" t="s">
        <v>5147</v>
      </c>
      <c r="Q190" s="43"/>
      <c r="R190" s="43" t="s">
        <v>5025</v>
      </c>
      <c r="S190" s="43" t="s">
        <v>5026</v>
      </c>
      <c r="T190" s="51" t="s">
        <v>5027</v>
      </c>
      <c r="U190" s="52" t="s">
        <v>5028</v>
      </c>
      <c r="V190" s="53" t="s">
        <v>3884</v>
      </c>
      <c r="W190" s="54" t="s">
        <v>4744</v>
      </c>
      <c r="X190" s="55" t="s">
        <v>4889</v>
      </c>
      <c r="Y190" t="s">
        <v>4896</v>
      </c>
      <c r="Z190" t="s">
        <v>4800</v>
      </c>
      <c r="AA190" t="s">
        <v>4891</v>
      </c>
      <c r="AI190" s="54"/>
      <c r="AJ190" s="56">
        <v>45740</v>
      </c>
      <c r="AK190" s="57">
        <v>45831</v>
      </c>
      <c r="AL190" s="57">
        <v>45922</v>
      </c>
      <c r="AM190" s="57">
        <v>46013</v>
      </c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8"/>
      <c r="BD190" s="55" t="s">
        <v>5030</v>
      </c>
      <c r="BE190" t="s">
        <v>5031</v>
      </c>
      <c r="BF190" t="s">
        <v>5032</v>
      </c>
      <c r="BG190" t="s">
        <v>5033</v>
      </c>
      <c r="BO190" s="54"/>
      <c r="BP190" s="56">
        <v>45712</v>
      </c>
      <c r="BQ190" s="57">
        <v>45803</v>
      </c>
      <c r="BR190" s="57">
        <v>45894</v>
      </c>
      <c r="BS190" s="57">
        <v>45985</v>
      </c>
      <c r="BT190" s="57"/>
      <c r="BU190" s="57"/>
      <c r="BV190" s="57"/>
      <c r="BW190" s="57"/>
      <c r="BX190" s="57"/>
      <c r="BY190" s="57"/>
      <c r="BZ190" s="57"/>
      <c r="CA190" s="57"/>
      <c r="CB190" s="56" t="s">
        <v>5034</v>
      </c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6">
        <v>45736</v>
      </c>
      <c r="CO190" s="57">
        <v>45827</v>
      </c>
      <c r="CP190" s="57">
        <v>45918</v>
      </c>
      <c r="CQ190" s="57">
        <v>46009</v>
      </c>
      <c r="CR190" s="57"/>
      <c r="CS190" s="57"/>
      <c r="CT190" s="57"/>
      <c r="CU190" s="57"/>
      <c r="CV190" s="57"/>
      <c r="CW190" s="57"/>
      <c r="CX190" s="57"/>
      <c r="CY190" s="57"/>
      <c r="CZ190" s="56" t="s">
        <v>5034</v>
      </c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8"/>
      <c r="DL190" s="59">
        <v>4</v>
      </c>
      <c r="DM190" s="60">
        <v>4</v>
      </c>
      <c r="DN190" s="61">
        <v>0</v>
      </c>
      <c r="DO190" s="60">
        <v>4</v>
      </c>
      <c r="DP190" s="60">
        <v>0</v>
      </c>
      <c r="DQ190" s="59">
        <v>12</v>
      </c>
      <c r="DR190" s="62">
        <v>2119</v>
      </c>
      <c r="DS190" s="62" t="s">
        <v>5034</v>
      </c>
      <c r="DU190" s="62" t="s">
        <v>5034</v>
      </c>
      <c r="DV190" s="63">
        <v>45639</v>
      </c>
      <c r="DW190" s="64">
        <v>2024</v>
      </c>
      <c r="DX190" s="65">
        <v>12</v>
      </c>
    </row>
    <row r="191" spans="2:128" ht="15">
      <c r="B191" s="43" t="s">
        <v>5022</v>
      </c>
      <c r="C191" s="43" t="s">
        <v>4881</v>
      </c>
      <c r="D191" s="43" t="s">
        <v>4885</v>
      </c>
      <c r="E191" s="66">
        <v>45638</v>
      </c>
      <c r="F191" s="49"/>
      <c r="G191" s="50">
        <v>1</v>
      </c>
      <c r="H191" s="43" t="s">
        <v>4798</v>
      </c>
      <c r="I191" s="43" t="s">
        <v>5023</v>
      </c>
      <c r="J191" s="43"/>
      <c r="K191" s="43">
        <v>2</v>
      </c>
      <c r="L191" s="43">
        <v>3</v>
      </c>
      <c r="M191" s="43"/>
      <c r="N191" s="43" t="s">
        <v>839</v>
      </c>
      <c r="O191" s="43"/>
      <c r="P191" s="43" t="s">
        <v>5147</v>
      </c>
      <c r="Q191" s="43"/>
      <c r="R191" s="43" t="s">
        <v>5025</v>
      </c>
      <c r="S191" s="43" t="s">
        <v>5026</v>
      </c>
      <c r="T191" s="51" t="s">
        <v>5027</v>
      </c>
      <c r="U191" s="52" t="s">
        <v>5028</v>
      </c>
      <c r="V191" s="53" t="s">
        <v>3896</v>
      </c>
      <c r="W191" s="54" t="s">
        <v>5034</v>
      </c>
      <c r="X191" s="55" t="s">
        <v>5034</v>
      </c>
      <c r="AI191" s="54"/>
      <c r="AJ191" s="56" t="s">
        <v>5034</v>
      </c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8"/>
      <c r="BD191" s="55" t="s">
        <v>5034</v>
      </c>
      <c r="BO191" s="54"/>
      <c r="BP191" s="56" t="s">
        <v>5034</v>
      </c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6" t="s">
        <v>5034</v>
      </c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6" t="s">
        <v>5034</v>
      </c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6" t="s">
        <v>5034</v>
      </c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8"/>
      <c r="DL191" s="59">
        <v>0</v>
      </c>
      <c r="DM191" s="60">
        <v>0</v>
      </c>
      <c r="DN191" s="61">
        <v>0</v>
      </c>
      <c r="DO191" s="60">
        <v>0</v>
      </c>
      <c r="DP191" s="60">
        <v>0</v>
      </c>
      <c r="DQ191" s="59">
        <v>0</v>
      </c>
      <c r="DR191" s="62" t="s">
        <v>5034</v>
      </c>
      <c r="DS191" s="62" t="s">
        <v>5034</v>
      </c>
      <c r="DU191" s="62" t="s">
        <v>5034</v>
      </c>
      <c r="DV191" s="63">
        <v>45639</v>
      </c>
      <c r="DW191" s="64">
        <v>2024</v>
      </c>
      <c r="DX191" s="65">
        <v>12</v>
      </c>
    </row>
    <row r="192" spans="2:128" ht="15">
      <c r="B192" s="43" t="s">
        <v>5022</v>
      </c>
      <c r="C192" s="43" t="s">
        <v>4881</v>
      </c>
      <c r="D192" s="43" t="s">
        <v>4885</v>
      </c>
      <c r="E192" s="66">
        <v>45638</v>
      </c>
      <c r="F192" s="49"/>
      <c r="G192" s="50">
        <v>1</v>
      </c>
      <c r="H192" s="43" t="s">
        <v>4798</v>
      </c>
      <c r="I192" s="43" t="s">
        <v>5023</v>
      </c>
      <c r="J192" s="43"/>
      <c r="K192" s="43">
        <v>2</v>
      </c>
      <c r="L192" s="43">
        <v>3</v>
      </c>
      <c r="M192" s="43"/>
      <c r="N192" s="43" t="s">
        <v>839</v>
      </c>
      <c r="O192" s="43"/>
      <c r="P192" s="43" t="s">
        <v>5147</v>
      </c>
      <c r="Q192" s="43"/>
      <c r="R192" s="43" t="s">
        <v>5025</v>
      </c>
      <c r="S192" s="43" t="s">
        <v>5026</v>
      </c>
      <c r="T192" s="51" t="s">
        <v>5027</v>
      </c>
      <c r="U192" s="52" t="s">
        <v>5028</v>
      </c>
      <c r="V192" s="53" t="s">
        <v>3896</v>
      </c>
      <c r="W192" s="54" t="s">
        <v>5034</v>
      </c>
      <c r="X192" s="55" t="s">
        <v>5034</v>
      </c>
      <c r="AI192" s="54"/>
      <c r="AJ192" s="56" t="s">
        <v>5034</v>
      </c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8"/>
      <c r="BD192" s="55" t="s">
        <v>5034</v>
      </c>
      <c r="BO192" s="54"/>
      <c r="BP192" s="56" t="s">
        <v>5034</v>
      </c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6" t="s">
        <v>5034</v>
      </c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6" t="s">
        <v>5034</v>
      </c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6" t="s">
        <v>5034</v>
      </c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8"/>
      <c r="DL192" s="59">
        <v>0</v>
      </c>
      <c r="DM192" s="60">
        <v>0</v>
      </c>
      <c r="DN192" s="61">
        <v>0</v>
      </c>
      <c r="DO192" s="60">
        <v>0</v>
      </c>
      <c r="DP192" s="60">
        <v>0</v>
      </c>
      <c r="DQ192" s="59">
        <v>0</v>
      </c>
      <c r="DR192" s="62" t="s">
        <v>5034</v>
      </c>
      <c r="DS192" s="62" t="s">
        <v>5034</v>
      </c>
      <c r="DU192" s="62" t="s">
        <v>5034</v>
      </c>
      <c r="DV192" s="63">
        <v>45639</v>
      </c>
      <c r="DW192" s="64">
        <v>2024</v>
      </c>
      <c r="DX192" s="65">
        <v>12</v>
      </c>
    </row>
    <row r="193" spans="2:128" ht="15">
      <c r="B193" s="43" t="s">
        <v>5022</v>
      </c>
      <c r="C193" s="43" t="s">
        <v>4881</v>
      </c>
      <c r="D193" s="43" t="s">
        <v>4885</v>
      </c>
      <c r="E193" s="66">
        <v>45638</v>
      </c>
      <c r="F193" s="49"/>
      <c r="G193" s="50">
        <v>1</v>
      </c>
      <c r="H193" s="43" t="s">
        <v>4798</v>
      </c>
      <c r="I193" s="43" t="s">
        <v>5023</v>
      </c>
      <c r="J193" s="43"/>
      <c r="K193" s="43">
        <v>2</v>
      </c>
      <c r="L193" s="43">
        <v>3</v>
      </c>
      <c r="M193" s="43"/>
      <c r="N193" s="43" t="s">
        <v>839</v>
      </c>
      <c r="O193" s="43"/>
      <c r="P193" s="43" t="s">
        <v>5147</v>
      </c>
      <c r="Q193" s="43"/>
      <c r="R193" s="43" t="s">
        <v>5025</v>
      </c>
      <c r="S193" s="43" t="s">
        <v>5026</v>
      </c>
      <c r="T193" s="51" t="s">
        <v>5027</v>
      </c>
      <c r="U193" s="52" t="s">
        <v>5028</v>
      </c>
      <c r="V193" s="53" t="s">
        <v>3896</v>
      </c>
      <c r="W193" s="54" t="s">
        <v>5034</v>
      </c>
      <c r="X193" s="55" t="s">
        <v>5034</v>
      </c>
      <c r="AI193" s="54"/>
      <c r="AJ193" s="56" t="s">
        <v>5034</v>
      </c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8"/>
      <c r="BD193" s="55" t="s">
        <v>5034</v>
      </c>
      <c r="BO193" s="54"/>
      <c r="BP193" s="56" t="s">
        <v>5034</v>
      </c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6" t="s">
        <v>5034</v>
      </c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6" t="s">
        <v>5034</v>
      </c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6" t="s">
        <v>5034</v>
      </c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8"/>
      <c r="DL193" s="59">
        <v>0</v>
      </c>
      <c r="DM193" s="60">
        <v>0</v>
      </c>
      <c r="DN193" s="61">
        <v>0</v>
      </c>
      <c r="DO193" s="60">
        <v>0</v>
      </c>
      <c r="DP193" s="60">
        <v>0</v>
      </c>
      <c r="DQ193" s="59">
        <v>0</v>
      </c>
      <c r="DR193" s="62" t="s">
        <v>5034</v>
      </c>
      <c r="DS193" s="62" t="s">
        <v>5034</v>
      </c>
      <c r="DU193" s="62" t="s">
        <v>5034</v>
      </c>
      <c r="DV193" s="63">
        <v>45639</v>
      </c>
      <c r="DW193" s="64">
        <v>2024</v>
      </c>
      <c r="DX193" s="65">
        <v>12</v>
      </c>
    </row>
    <row r="194" spans="2:128" ht="15">
      <c r="B194" s="43" t="s">
        <v>5022</v>
      </c>
      <c r="C194" s="43" t="s">
        <v>4881</v>
      </c>
      <c r="D194" s="43" t="s">
        <v>4885</v>
      </c>
      <c r="E194" s="66">
        <v>45638</v>
      </c>
      <c r="F194" s="49"/>
      <c r="G194" s="50">
        <v>1</v>
      </c>
      <c r="H194" s="43" t="s">
        <v>4798</v>
      </c>
      <c r="I194" s="43" t="s">
        <v>5023</v>
      </c>
      <c r="J194" s="43"/>
      <c r="K194" s="43">
        <v>2</v>
      </c>
      <c r="L194" s="43">
        <v>3</v>
      </c>
      <c r="M194" s="43"/>
      <c r="N194" s="43" t="s">
        <v>839</v>
      </c>
      <c r="O194" s="43"/>
      <c r="P194" s="43" t="s">
        <v>5147</v>
      </c>
      <c r="Q194" s="43"/>
      <c r="R194" s="43" t="s">
        <v>5025</v>
      </c>
      <c r="S194" s="43" t="s">
        <v>5026</v>
      </c>
      <c r="T194" s="51" t="s">
        <v>5027</v>
      </c>
      <c r="U194" s="52" t="s">
        <v>5028</v>
      </c>
      <c r="V194" s="53" t="s">
        <v>3896</v>
      </c>
      <c r="W194" s="54" t="s">
        <v>5034</v>
      </c>
      <c r="X194" s="55" t="s">
        <v>5034</v>
      </c>
      <c r="AI194" s="54"/>
      <c r="AJ194" s="56" t="s">
        <v>5034</v>
      </c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8"/>
      <c r="BD194" s="55" t="s">
        <v>5034</v>
      </c>
      <c r="BO194" s="54"/>
      <c r="BP194" s="56" t="s">
        <v>5034</v>
      </c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6" t="s">
        <v>5034</v>
      </c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6" t="s">
        <v>5034</v>
      </c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6" t="s">
        <v>5034</v>
      </c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8"/>
      <c r="DL194" s="59">
        <v>0</v>
      </c>
      <c r="DM194" s="60">
        <v>0</v>
      </c>
      <c r="DN194" s="61">
        <v>0</v>
      </c>
      <c r="DO194" s="60">
        <v>0</v>
      </c>
      <c r="DP194" s="60">
        <v>0</v>
      </c>
      <c r="DQ194" s="59">
        <v>0</v>
      </c>
      <c r="DR194" s="62" t="s">
        <v>5034</v>
      </c>
      <c r="DS194" s="62" t="s">
        <v>5034</v>
      </c>
      <c r="DU194" s="62" t="s">
        <v>5034</v>
      </c>
      <c r="DV194" s="63">
        <v>45639</v>
      </c>
      <c r="DW194" s="64">
        <v>2024</v>
      </c>
      <c r="DX194" s="65">
        <v>12</v>
      </c>
    </row>
    <row r="195" spans="2:128" ht="15">
      <c r="B195" s="43" t="s">
        <v>5022</v>
      </c>
      <c r="C195" s="43" t="s">
        <v>4881</v>
      </c>
      <c r="D195" s="43" t="s">
        <v>4885</v>
      </c>
      <c r="E195" s="66">
        <v>45638</v>
      </c>
      <c r="F195" s="49"/>
      <c r="G195" s="50">
        <v>1</v>
      </c>
      <c r="H195" s="43" t="s">
        <v>4798</v>
      </c>
      <c r="I195" s="43" t="s">
        <v>5023</v>
      </c>
      <c r="J195" s="43"/>
      <c r="K195" s="43">
        <v>2</v>
      </c>
      <c r="L195" s="43">
        <v>3</v>
      </c>
      <c r="M195" s="43"/>
      <c r="N195" s="43" t="s">
        <v>839</v>
      </c>
      <c r="O195" s="43"/>
      <c r="P195" s="43" t="s">
        <v>5147</v>
      </c>
      <c r="Q195" s="43"/>
      <c r="R195" s="43" t="s">
        <v>5025</v>
      </c>
      <c r="S195" s="43" t="s">
        <v>5026</v>
      </c>
      <c r="T195" s="51" t="s">
        <v>5027</v>
      </c>
      <c r="U195" s="52" t="s">
        <v>5028</v>
      </c>
      <c r="V195" s="53" t="s">
        <v>3896</v>
      </c>
      <c r="W195" s="54" t="s">
        <v>5034</v>
      </c>
      <c r="X195" s="55" t="s">
        <v>5034</v>
      </c>
      <c r="AI195" s="54"/>
      <c r="AJ195" s="56" t="s">
        <v>5034</v>
      </c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8"/>
      <c r="BD195" s="55" t="s">
        <v>5034</v>
      </c>
      <c r="BO195" s="54"/>
      <c r="BP195" s="56" t="s">
        <v>5034</v>
      </c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6" t="s">
        <v>5034</v>
      </c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6" t="s">
        <v>5034</v>
      </c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6" t="s">
        <v>5034</v>
      </c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8"/>
      <c r="DL195" s="59">
        <v>0</v>
      </c>
      <c r="DM195" s="60">
        <v>0</v>
      </c>
      <c r="DN195" s="61">
        <v>0</v>
      </c>
      <c r="DO195" s="60">
        <v>0</v>
      </c>
      <c r="DP195" s="60">
        <v>0</v>
      </c>
      <c r="DQ195" s="59">
        <v>0</v>
      </c>
      <c r="DR195" s="62" t="s">
        <v>5034</v>
      </c>
      <c r="DS195" s="62" t="s">
        <v>5034</v>
      </c>
      <c r="DU195" s="62" t="s">
        <v>5034</v>
      </c>
      <c r="DV195" s="63">
        <v>45639</v>
      </c>
      <c r="DW195" s="64">
        <v>2024</v>
      </c>
      <c r="DX195" s="65">
        <v>12</v>
      </c>
    </row>
    <row r="196" spans="2:128" ht="15">
      <c r="B196" s="43" t="s">
        <v>5022</v>
      </c>
      <c r="C196" s="43" t="s">
        <v>4881</v>
      </c>
      <c r="D196" s="43" t="s">
        <v>4885</v>
      </c>
      <c r="E196" s="66">
        <v>45638</v>
      </c>
      <c r="F196" s="49"/>
      <c r="G196" s="50">
        <v>1</v>
      </c>
      <c r="H196" s="43" t="s">
        <v>4798</v>
      </c>
      <c r="I196" s="43" t="s">
        <v>5023</v>
      </c>
      <c r="J196" s="43"/>
      <c r="K196" s="43">
        <v>2</v>
      </c>
      <c r="L196" s="43">
        <v>3</v>
      </c>
      <c r="M196" s="43"/>
      <c r="N196" s="43" t="s">
        <v>839</v>
      </c>
      <c r="O196" s="43"/>
      <c r="P196" s="43" t="s">
        <v>5147</v>
      </c>
      <c r="Q196" s="43"/>
      <c r="R196" s="43" t="s">
        <v>5025</v>
      </c>
      <c r="S196" s="43" t="s">
        <v>5026</v>
      </c>
      <c r="T196" s="51" t="s">
        <v>5027</v>
      </c>
      <c r="U196" s="52" t="s">
        <v>5028</v>
      </c>
      <c r="V196" s="53" t="s">
        <v>3896</v>
      </c>
      <c r="W196" s="54" t="s">
        <v>5034</v>
      </c>
      <c r="X196" s="55" t="s">
        <v>5034</v>
      </c>
      <c r="AI196" s="54"/>
      <c r="AJ196" s="56" t="s">
        <v>5034</v>
      </c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8"/>
      <c r="BD196" s="55" t="s">
        <v>5034</v>
      </c>
      <c r="BO196" s="54"/>
      <c r="BP196" s="56" t="s">
        <v>5034</v>
      </c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6" t="s">
        <v>5034</v>
      </c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6" t="s">
        <v>5034</v>
      </c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6" t="s">
        <v>5034</v>
      </c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8"/>
      <c r="DL196" s="59">
        <v>0</v>
      </c>
      <c r="DM196" s="60">
        <v>0</v>
      </c>
      <c r="DN196" s="61">
        <v>0</v>
      </c>
      <c r="DO196" s="60">
        <v>0</v>
      </c>
      <c r="DP196" s="60">
        <v>0</v>
      </c>
      <c r="DQ196" s="59">
        <v>0</v>
      </c>
      <c r="DR196" s="62" t="s">
        <v>5034</v>
      </c>
      <c r="DS196" s="62" t="s">
        <v>5034</v>
      </c>
      <c r="DU196" s="62" t="s">
        <v>5034</v>
      </c>
      <c r="DV196" s="63">
        <v>45639</v>
      </c>
      <c r="DW196" s="64">
        <v>2024</v>
      </c>
      <c r="DX196" s="65">
        <v>12</v>
      </c>
    </row>
    <row r="197" spans="2:128" ht="15">
      <c r="B197" s="43" t="s">
        <v>5022</v>
      </c>
      <c r="C197" s="43" t="s">
        <v>4881</v>
      </c>
      <c r="D197" s="43" t="s">
        <v>4885</v>
      </c>
      <c r="E197" s="66">
        <v>45638</v>
      </c>
      <c r="F197" s="49"/>
      <c r="G197" s="50">
        <v>1</v>
      </c>
      <c r="H197" s="43" t="s">
        <v>4798</v>
      </c>
      <c r="I197" s="43" t="s">
        <v>5023</v>
      </c>
      <c r="J197" s="43"/>
      <c r="K197" s="43">
        <v>2</v>
      </c>
      <c r="L197" s="43">
        <v>3</v>
      </c>
      <c r="M197" s="43"/>
      <c r="N197" s="43" t="s">
        <v>839</v>
      </c>
      <c r="O197" s="43"/>
      <c r="P197" s="43" t="s">
        <v>5147</v>
      </c>
      <c r="Q197" s="43"/>
      <c r="R197" s="43" t="s">
        <v>5025</v>
      </c>
      <c r="S197" s="43" t="s">
        <v>5026</v>
      </c>
      <c r="T197" s="51" t="s">
        <v>5027</v>
      </c>
      <c r="U197" s="52" t="s">
        <v>5028</v>
      </c>
      <c r="V197" s="53" t="s">
        <v>3896</v>
      </c>
      <c r="W197" s="54" t="s">
        <v>5034</v>
      </c>
      <c r="X197" s="55" t="s">
        <v>5034</v>
      </c>
      <c r="AI197" s="54"/>
      <c r="AJ197" s="56" t="s">
        <v>5034</v>
      </c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8"/>
      <c r="BD197" s="55" t="s">
        <v>5034</v>
      </c>
      <c r="BO197" s="54"/>
      <c r="BP197" s="56" t="s">
        <v>5034</v>
      </c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6" t="s">
        <v>5034</v>
      </c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6" t="s">
        <v>5034</v>
      </c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6" t="s">
        <v>5034</v>
      </c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8"/>
      <c r="DL197" s="59">
        <v>0</v>
      </c>
      <c r="DM197" s="60">
        <v>0</v>
      </c>
      <c r="DN197" s="61">
        <v>0</v>
      </c>
      <c r="DO197" s="60">
        <v>0</v>
      </c>
      <c r="DP197" s="60">
        <v>0</v>
      </c>
      <c r="DQ197" s="59">
        <v>0</v>
      </c>
      <c r="DR197" s="62" t="s">
        <v>5034</v>
      </c>
      <c r="DS197" s="62" t="s">
        <v>5034</v>
      </c>
      <c r="DU197" s="62" t="s">
        <v>5034</v>
      </c>
      <c r="DV197" s="63">
        <v>45639</v>
      </c>
      <c r="DW197" s="64">
        <v>2024</v>
      </c>
      <c r="DX197" s="65">
        <v>12</v>
      </c>
    </row>
    <row r="198" spans="2:128" ht="15">
      <c r="B198" s="43" t="s">
        <v>5022</v>
      </c>
      <c r="C198" s="43" t="s">
        <v>4881</v>
      </c>
      <c r="D198" s="43" t="s">
        <v>4885</v>
      </c>
      <c r="E198" s="66">
        <v>45638</v>
      </c>
      <c r="F198" s="49"/>
      <c r="G198" s="50">
        <v>1</v>
      </c>
      <c r="H198" s="43" t="s">
        <v>4798</v>
      </c>
      <c r="I198" s="43" t="s">
        <v>5023</v>
      </c>
      <c r="J198" s="43"/>
      <c r="K198" s="43">
        <v>2</v>
      </c>
      <c r="L198" s="43">
        <v>3</v>
      </c>
      <c r="M198" s="43"/>
      <c r="N198" s="43" t="s">
        <v>839</v>
      </c>
      <c r="O198" s="43"/>
      <c r="P198" s="43" t="s">
        <v>5147</v>
      </c>
      <c r="Q198" s="43"/>
      <c r="R198" s="43" t="s">
        <v>5025</v>
      </c>
      <c r="S198" s="43" t="s">
        <v>5026</v>
      </c>
      <c r="T198" s="51" t="s">
        <v>5027</v>
      </c>
      <c r="U198" s="52" t="s">
        <v>5028</v>
      </c>
      <c r="V198" s="53" t="s">
        <v>3896</v>
      </c>
      <c r="W198" s="54" t="s">
        <v>5034</v>
      </c>
      <c r="X198" s="55" t="s">
        <v>5034</v>
      </c>
      <c r="AI198" s="54"/>
      <c r="AJ198" s="56" t="s">
        <v>5034</v>
      </c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8"/>
      <c r="BD198" s="55" t="s">
        <v>5034</v>
      </c>
      <c r="BO198" s="54"/>
      <c r="BP198" s="56" t="s">
        <v>5034</v>
      </c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6" t="s">
        <v>5034</v>
      </c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6" t="s">
        <v>5034</v>
      </c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6" t="s">
        <v>5034</v>
      </c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8"/>
      <c r="DL198" s="59">
        <v>0</v>
      </c>
      <c r="DM198" s="60">
        <v>0</v>
      </c>
      <c r="DN198" s="61">
        <v>0</v>
      </c>
      <c r="DO198" s="60">
        <v>0</v>
      </c>
      <c r="DP198" s="60">
        <v>0</v>
      </c>
      <c r="DQ198" s="59">
        <v>0</v>
      </c>
      <c r="DR198" s="62" t="s">
        <v>5034</v>
      </c>
      <c r="DS198" s="62" t="s">
        <v>5034</v>
      </c>
      <c r="DU198" s="62" t="s">
        <v>5034</v>
      </c>
      <c r="DV198" s="63">
        <v>45639</v>
      </c>
      <c r="DW198" s="64">
        <v>2024</v>
      </c>
      <c r="DX198" s="65">
        <v>12</v>
      </c>
    </row>
    <row r="199" spans="2:128" ht="15">
      <c r="B199" s="43" t="s">
        <v>5022</v>
      </c>
      <c r="C199" s="43" t="s">
        <v>4881</v>
      </c>
      <c r="D199" s="43" t="s">
        <v>4885</v>
      </c>
      <c r="E199" s="66">
        <v>45638</v>
      </c>
      <c r="F199" s="49"/>
      <c r="G199" s="50">
        <v>1</v>
      </c>
      <c r="H199" s="43" t="s">
        <v>4798</v>
      </c>
      <c r="I199" s="43" t="s">
        <v>5023</v>
      </c>
      <c r="J199" s="43"/>
      <c r="K199" s="43">
        <v>2</v>
      </c>
      <c r="L199" s="43">
        <v>3</v>
      </c>
      <c r="M199" s="43"/>
      <c r="N199" s="43" t="s">
        <v>839</v>
      </c>
      <c r="O199" s="43"/>
      <c r="P199" s="43" t="s">
        <v>5147</v>
      </c>
      <c r="Q199" s="43"/>
      <c r="R199" s="43" t="s">
        <v>5025</v>
      </c>
      <c r="S199" s="43" t="s">
        <v>5026</v>
      </c>
      <c r="T199" s="51" t="s">
        <v>5027</v>
      </c>
      <c r="U199" s="52" t="s">
        <v>5028</v>
      </c>
      <c r="V199" s="53" t="s">
        <v>3896</v>
      </c>
      <c r="W199" s="54" t="s">
        <v>5034</v>
      </c>
      <c r="X199" s="55" t="s">
        <v>5034</v>
      </c>
      <c r="AI199" s="54"/>
      <c r="AJ199" s="56" t="s">
        <v>5034</v>
      </c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8"/>
      <c r="BD199" s="55" t="s">
        <v>5034</v>
      </c>
      <c r="BO199" s="54"/>
      <c r="BP199" s="56" t="s">
        <v>5034</v>
      </c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6" t="s">
        <v>5034</v>
      </c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6" t="s">
        <v>5034</v>
      </c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6" t="s">
        <v>5034</v>
      </c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8"/>
      <c r="DL199" s="59">
        <v>0</v>
      </c>
      <c r="DM199" s="60">
        <v>0</v>
      </c>
      <c r="DN199" s="61">
        <v>0</v>
      </c>
      <c r="DO199" s="60">
        <v>0</v>
      </c>
      <c r="DP199" s="60">
        <v>0</v>
      </c>
      <c r="DQ199" s="59">
        <v>0</v>
      </c>
      <c r="DR199" s="62" t="s">
        <v>5034</v>
      </c>
      <c r="DS199" s="62" t="s">
        <v>5034</v>
      </c>
      <c r="DU199" s="62" t="s">
        <v>5034</v>
      </c>
      <c r="DV199" s="63">
        <v>45639</v>
      </c>
      <c r="DW199" s="64">
        <v>2024</v>
      </c>
      <c r="DX199" s="65">
        <v>12</v>
      </c>
    </row>
    <row r="200" spans="2:128" ht="15">
      <c r="B200" s="43" t="s">
        <v>5022</v>
      </c>
      <c r="C200" s="43" t="s">
        <v>4802</v>
      </c>
      <c r="D200" s="43" t="s">
        <v>4788</v>
      </c>
      <c r="E200" s="66">
        <v>45637</v>
      </c>
      <c r="F200" s="49"/>
      <c r="G200" s="50">
        <v>1</v>
      </c>
      <c r="H200" s="43" t="s">
        <v>4798</v>
      </c>
      <c r="I200" s="43" t="s">
        <v>5023</v>
      </c>
      <c r="J200" s="43"/>
      <c r="K200" s="43">
        <v>2</v>
      </c>
      <c r="L200" s="43">
        <v>3</v>
      </c>
      <c r="M200" s="43"/>
      <c r="N200" s="43"/>
      <c r="O200" s="43"/>
      <c r="P200" s="43" t="s">
        <v>5024</v>
      </c>
      <c r="Q200" s="43"/>
      <c r="R200" s="43" t="s">
        <v>5043</v>
      </c>
      <c r="S200" s="43" t="s">
        <v>5026</v>
      </c>
      <c r="T200" s="51" t="s">
        <v>5027</v>
      </c>
      <c r="U200" s="52" t="s">
        <v>5028</v>
      </c>
      <c r="V200" s="53" t="s">
        <v>3884</v>
      </c>
      <c r="W200" s="54" t="s">
        <v>4746</v>
      </c>
      <c r="X200" s="55" t="s">
        <v>4889</v>
      </c>
      <c r="Y200" t="s">
        <v>4896</v>
      </c>
      <c r="Z200" t="s">
        <v>4800</v>
      </c>
      <c r="AA200" t="s">
        <v>4891</v>
      </c>
      <c r="AI200" s="54"/>
      <c r="AJ200" s="56">
        <v>45740</v>
      </c>
      <c r="AK200" s="57">
        <v>45831</v>
      </c>
      <c r="AL200" s="57">
        <v>45922</v>
      </c>
      <c r="AM200" s="57">
        <v>46013</v>
      </c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8"/>
      <c r="BD200" s="55" t="s">
        <v>5030</v>
      </c>
      <c r="BE200" t="s">
        <v>5031</v>
      </c>
      <c r="BF200" t="s">
        <v>5032</v>
      </c>
      <c r="BG200" t="s">
        <v>5033</v>
      </c>
      <c r="BO200" s="54"/>
      <c r="BP200" s="56">
        <v>45712</v>
      </c>
      <c r="BQ200" s="57">
        <v>45803</v>
      </c>
      <c r="BR200" s="57">
        <v>45894</v>
      </c>
      <c r="BS200" s="57">
        <v>45985</v>
      </c>
      <c r="BT200" s="57"/>
      <c r="BU200" s="57"/>
      <c r="BV200" s="57"/>
      <c r="BW200" s="57"/>
      <c r="BX200" s="57"/>
      <c r="BY200" s="57"/>
      <c r="BZ200" s="57"/>
      <c r="CA200" s="57"/>
      <c r="CB200" s="56" t="s">
        <v>5034</v>
      </c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6">
        <v>45736</v>
      </c>
      <c r="CO200" s="57">
        <v>45827</v>
      </c>
      <c r="CP200" s="57">
        <v>45918</v>
      </c>
      <c r="CQ200" s="57">
        <v>46009</v>
      </c>
      <c r="CR200" s="57"/>
      <c r="CS200" s="57"/>
      <c r="CT200" s="57"/>
      <c r="CU200" s="57"/>
      <c r="CV200" s="57"/>
      <c r="CW200" s="57"/>
      <c r="CX200" s="57"/>
      <c r="CY200" s="57"/>
      <c r="CZ200" s="56" t="s">
        <v>5034</v>
      </c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8"/>
      <c r="DL200" s="59">
        <v>4</v>
      </c>
      <c r="DM200" s="60">
        <v>4</v>
      </c>
      <c r="DN200" s="61">
        <v>0</v>
      </c>
      <c r="DO200" s="60">
        <v>4</v>
      </c>
      <c r="DP200" s="60">
        <v>0</v>
      </c>
      <c r="DQ200" s="59">
        <v>12</v>
      </c>
      <c r="DR200" s="62">
        <v>2131</v>
      </c>
      <c r="DS200" s="62" t="s">
        <v>5034</v>
      </c>
      <c r="DU200" s="62" t="s">
        <v>5034</v>
      </c>
      <c r="DV200" s="63">
        <v>45638</v>
      </c>
      <c r="DW200" s="64">
        <v>2024</v>
      </c>
      <c r="DX200" s="65">
        <v>12</v>
      </c>
    </row>
    <row r="201" spans="2:128" ht="15">
      <c r="B201" s="43" t="s">
        <v>5022</v>
      </c>
      <c r="C201" s="43" t="s">
        <v>4854</v>
      </c>
      <c r="D201" s="43" t="s">
        <v>4790</v>
      </c>
      <c r="E201" s="66">
        <v>45639</v>
      </c>
      <c r="F201" s="49"/>
      <c r="G201" s="50">
        <v>5</v>
      </c>
      <c r="H201" s="43" t="s">
        <v>4887</v>
      </c>
      <c r="I201" s="43" t="s">
        <v>5023</v>
      </c>
      <c r="J201" s="43">
        <v>5</v>
      </c>
      <c r="K201" s="43">
        <v>2</v>
      </c>
      <c r="L201" s="43">
        <v>3</v>
      </c>
      <c r="M201" s="43"/>
      <c r="N201" s="43" t="s">
        <v>995</v>
      </c>
      <c r="O201" s="43" t="s">
        <v>5145</v>
      </c>
      <c r="P201" s="43" t="s">
        <v>5024</v>
      </c>
      <c r="Q201" s="43" t="s">
        <v>5148</v>
      </c>
      <c r="R201" s="43" t="s">
        <v>5045</v>
      </c>
      <c r="S201" s="43" t="s">
        <v>5026</v>
      </c>
      <c r="T201" s="51" t="s">
        <v>5027</v>
      </c>
      <c r="U201" s="52" t="s">
        <v>5028</v>
      </c>
      <c r="V201" s="53" t="s">
        <v>3884</v>
      </c>
      <c r="W201" s="54" t="s">
        <v>4748</v>
      </c>
      <c r="X201" s="55" t="s">
        <v>4886</v>
      </c>
      <c r="Y201" t="s">
        <v>4888</v>
      </c>
      <c r="Z201" t="s">
        <v>5130</v>
      </c>
      <c r="AA201" t="s">
        <v>5131</v>
      </c>
      <c r="AI201" s="54"/>
      <c r="AJ201" s="56">
        <v>45748</v>
      </c>
      <c r="AK201" s="57">
        <v>45749</v>
      </c>
      <c r="AL201" s="57">
        <v>45750</v>
      </c>
      <c r="AM201" s="57">
        <v>45751</v>
      </c>
      <c r="AN201" s="57">
        <v>45754</v>
      </c>
      <c r="AO201" s="57">
        <v>45839</v>
      </c>
      <c r="AP201" s="57">
        <v>45840</v>
      </c>
      <c r="AQ201" s="57">
        <v>45841</v>
      </c>
      <c r="AR201" s="57">
        <v>45842</v>
      </c>
      <c r="AS201" s="57">
        <v>45845</v>
      </c>
      <c r="AT201" s="57">
        <v>45931</v>
      </c>
      <c r="AU201" s="57">
        <v>45932</v>
      </c>
      <c r="AV201" s="57">
        <v>45933</v>
      </c>
      <c r="AW201" s="57">
        <v>45936</v>
      </c>
      <c r="AX201" s="57">
        <v>45937</v>
      </c>
      <c r="AY201" s="57">
        <v>46024</v>
      </c>
      <c r="AZ201" s="57">
        <v>46027</v>
      </c>
      <c r="BA201" s="57">
        <v>46028</v>
      </c>
      <c r="BB201" s="57">
        <v>46029</v>
      </c>
      <c r="BC201" s="58">
        <v>46030</v>
      </c>
      <c r="BD201" s="55" t="s">
        <v>5030</v>
      </c>
      <c r="BE201" t="s">
        <v>5031</v>
      </c>
      <c r="BF201" t="s">
        <v>5032</v>
      </c>
      <c r="BG201" t="s">
        <v>5033</v>
      </c>
      <c r="BO201" s="54"/>
      <c r="BP201" s="56">
        <v>45712</v>
      </c>
      <c r="BQ201" s="57">
        <v>45803</v>
      </c>
      <c r="BR201" s="57">
        <v>45894</v>
      </c>
      <c r="BS201" s="57">
        <v>45985</v>
      </c>
      <c r="BT201" s="57"/>
      <c r="BU201" s="57"/>
      <c r="BV201" s="57"/>
      <c r="BW201" s="57"/>
      <c r="BX201" s="57"/>
      <c r="BY201" s="57"/>
      <c r="BZ201" s="57"/>
      <c r="CA201" s="57"/>
      <c r="CB201" s="56">
        <v>45741</v>
      </c>
      <c r="CC201" s="57">
        <v>45832</v>
      </c>
      <c r="CD201" s="57">
        <v>45924</v>
      </c>
      <c r="CE201" s="57">
        <v>46015</v>
      </c>
      <c r="CF201" s="57"/>
      <c r="CG201" s="57"/>
      <c r="CH201" s="57"/>
      <c r="CI201" s="57"/>
      <c r="CJ201" s="57"/>
      <c r="CK201" s="57"/>
      <c r="CL201" s="57"/>
      <c r="CM201" s="57"/>
      <c r="CN201" s="56">
        <v>45744</v>
      </c>
      <c r="CO201" s="57">
        <v>45835</v>
      </c>
      <c r="CP201" s="57">
        <v>45929</v>
      </c>
      <c r="CQ201" s="57">
        <v>46021</v>
      </c>
      <c r="CR201" s="57"/>
      <c r="CS201" s="57"/>
      <c r="CT201" s="57"/>
      <c r="CU201" s="57"/>
      <c r="CV201" s="57"/>
      <c r="CW201" s="57"/>
      <c r="CX201" s="57"/>
      <c r="CY201" s="57"/>
      <c r="CZ201" s="56" t="s">
        <v>5034</v>
      </c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8"/>
      <c r="DL201" s="59">
        <v>20</v>
      </c>
      <c r="DM201" s="60">
        <v>4</v>
      </c>
      <c r="DN201" s="61">
        <v>4</v>
      </c>
      <c r="DO201" s="60">
        <v>4</v>
      </c>
      <c r="DP201" s="60">
        <v>0</v>
      </c>
      <c r="DQ201" s="59">
        <v>32</v>
      </c>
      <c r="DR201" s="62">
        <v>2143</v>
      </c>
      <c r="DS201" s="62" t="s">
        <v>5034</v>
      </c>
      <c r="DU201" s="62" t="s">
        <v>5034</v>
      </c>
      <c r="DV201" s="63" t="e">
        <v>#N/A</v>
      </c>
      <c r="DW201" s="64" t="e">
        <v>#N/A</v>
      </c>
      <c r="DX201" s="65" t="e">
        <v>#N/A</v>
      </c>
    </row>
    <row r="202" spans="2:128" ht="15">
      <c r="B202" s="43" t="s">
        <v>5022</v>
      </c>
      <c r="C202" s="43" t="s">
        <v>4802</v>
      </c>
      <c r="D202" s="43" t="s">
        <v>4792</v>
      </c>
      <c r="E202" s="66">
        <v>45646</v>
      </c>
      <c r="F202" s="49"/>
      <c r="G202" s="50">
        <v>1</v>
      </c>
      <c r="H202" s="43" t="s">
        <v>4798</v>
      </c>
      <c r="I202" s="43" t="s">
        <v>5023</v>
      </c>
      <c r="J202" s="43"/>
      <c r="K202" s="43">
        <v>2</v>
      </c>
      <c r="L202" s="43">
        <v>3</v>
      </c>
      <c r="M202" s="43"/>
      <c r="N202" s="43" t="s">
        <v>995</v>
      </c>
      <c r="O202" s="43"/>
      <c r="P202" s="43" t="s">
        <v>5024</v>
      </c>
      <c r="Q202" s="43"/>
      <c r="R202" s="43" t="s">
        <v>5043</v>
      </c>
      <c r="S202" s="43" t="s">
        <v>5026</v>
      </c>
      <c r="T202" s="51" t="s">
        <v>5027</v>
      </c>
      <c r="U202" s="52" t="s">
        <v>5028</v>
      </c>
      <c r="V202" s="53" t="s">
        <v>3884</v>
      </c>
      <c r="W202" s="54" t="s">
        <v>4747</v>
      </c>
      <c r="X202" s="55" t="s">
        <v>4889</v>
      </c>
      <c r="Y202" t="s">
        <v>4896</v>
      </c>
      <c r="Z202" t="s">
        <v>4800</v>
      </c>
      <c r="AA202" t="s">
        <v>4891</v>
      </c>
      <c r="AI202" s="54"/>
      <c r="AJ202" s="56">
        <v>45740</v>
      </c>
      <c r="AK202" s="57">
        <v>45831</v>
      </c>
      <c r="AL202" s="57">
        <v>45922</v>
      </c>
      <c r="AM202" s="57">
        <v>46013</v>
      </c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8"/>
      <c r="BD202" s="55" t="s">
        <v>5030</v>
      </c>
      <c r="BE202" t="s">
        <v>5031</v>
      </c>
      <c r="BF202" t="s">
        <v>5032</v>
      </c>
      <c r="BG202" t="s">
        <v>5033</v>
      </c>
      <c r="BO202" s="54"/>
      <c r="BP202" s="56">
        <v>45712</v>
      </c>
      <c r="BQ202" s="57">
        <v>45803</v>
      </c>
      <c r="BR202" s="57">
        <v>45894</v>
      </c>
      <c r="BS202" s="57">
        <v>45985</v>
      </c>
      <c r="BT202" s="57"/>
      <c r="BU202" s="57"/>
      <c r="BV202" s="57"/>
      <c r="BW202" s="57"/>
      <c r="BX202" s="57"/>
      <c r="BY202" s="57"/>
      <c r="BZ202" s="57"/>
      <c r="CA202" s="57"/>
      <c r="CB202" s="56" t="s">
        <v>5034</v>
      </c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6">
        <v>45736</v>
      </c>
      <c r="CO202" s="57">
        <v>45827</v>
      </c>
      <c r="CP202" s="57">
        <v>45918</v>
      </c>
      <c r="CQ202" s="57">
        <v>46009</v>
      </c>
      <c r="CR202" s="57"/>
      <c r="CS202" s="57"/>
      <c r="CT202" s="57"/>
      <c r="CU202" s="57"/>
      <c r="CV202" s="57"/>
      <c r="CW202" s="57"/>
      <c r="CX202" s="57"/>
      <c r="CY202" s="57"/>
      <c r="CZ202" s="56" t="s">
        <v>5034</v>
      </c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8"/>
      <c r="DL202" s="59">
        <v>4</v>
      </c>
      <c r="DM202" s="60">
        <v>4</v>
      </c>
      <c r="DN202" s="61">
        <v>0</v>
      </c>
      <c r="DO202" s="60">
        <v>4</v>
      </c>
      <c r="DP202" s="60">
        <v>0</v>
      </c>
      <c r="DQ202" s="59">
        <v>12</v>
      </c>
      <c r="DR202" s="62">
        <v>2175</v>
      </c>
      <c r="DS202" s="62" t="s">
        <v>5034</v>
      </c>
      <c r="DU202" s="62" t="s">
        <v>5034</v>
      </c>
      <c r="DV202" s="63" t="e">
        <v>#N/A</v>
      </c>
      <c r="DW202" s="64" t="e">
        <v>#N/A</v>
      </c>
      <c r="DX202" s="65" t="e">
        <v>#N/A</v>
      </c>
    </row>
    <row r="203" spans="2:128" ht="15">
      <c r="B203" s="43" t="s">
        <v>5022</v>
      </c>
      <c r="C203" s="43" t="s">
        <v>4854</v>
      </c>
      <c r="D203" s="43" t="s">
        <v>4794</v>
      </c>
      <c r="E203" s="49">
        <v>45657</v>
      </c>
      <c r="F203" s="49"/>
      <c r="G203" s="50">
        <v>1</v>
      </c>
      <c r="H203" s="43" t="s">
        <v>4895</v>
      </c>
      <c r="I203" s="43" t="s">
        <v>5149</v>
      </c>
      <c r="J203" s="43"/>
      <c r="K203" s="43">
        <v>2</v>
      </c>
      <c r="L203" s="43">
        <v>3</v>
      </c>
      <c r="M203" s="43"/>
      <c r="N203" s="43" t="s">
        <v>995</v>
      </c>
      <c r="O203" s="43" t="s">
        <v>5150</v>
      </c>
      <c r="P203" s="43" t="s">
        <v>5024</v>
      </c>
      <c r="Q203" s="43"/>
      <c r="R203" s="43" t="s">
        <v>5045</v>
      </c>
      <c r="S203" s="43" t="s">
        <v>5026</v>
      </c>
      <c r="T203" s="51" t="s">
        <v>5027</v>
      </c>
      <c r="U203" s="52" t="s">
        <v>5028</v>
      </c>
      <c r="V203" s="53" t="s">
        <v>3884</v>
      </c>
      <c r="W203" s="54" t="s">
        <v>4759</v>
      </c>
      <c r="X203" s="55" t="s">
        <v>4896</v>
      </c>
      <c r="Y203" t="s">
        <v>4891</v>
      </c>
      <c r="AI203" s="54"/>
      <c r="AJ203" s="56">
        <v>45831</v>
      </c>
      <c r="AK203" s="57">
        <v>46013</v>
      </c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8"/>
      <c r="BD203" s="55" t="s">
        <v>5031</v>
      </c>
      <c r="BE203" t="s">
        <v>5033</v>
      </c>
      <c r="BO203" s="54"/>
      <c r="BP203" s="56">
        <v>45803</v>
      </c>
      <c r="BQ203" s="57">
        <v>45985</v>
      </c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6" t="s">
        <v>5034</v>
      </c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6">
        <v>45827</v>
      </c>
      <c r="CO203" s="57">
        <v>46009</v>
      </c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6" t="s">
        <v>5034</v>
      </c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8"/>
      <c r="DL203" s="59">
        <v>2</v>
      </c>
      <c r="DM203" s="60">
        <v>2</v>
      </c>
      <c r="DN203" s="61">
        <v>0</v>
      </c>
      <c r="DO203" s="60">
        <v>2</v>
      </c>
      <c r="DP203" s="60">
        <v>0</v>
      </c>
      <c r="DQ203" s="59">
        <v>6</v>
      </c>
      <c r="DR203" s="62">
        <v>2187</v>
      </c>
      <c r="DS203" s="62" t="s">
        <v>5034</v>
      </c>
      <c r="DU203" s="62" t="s">
        <v>5034</v>
      </c>
      <c r="DV203" s="63" t="e">
        <v>#N/A</v>
      </c>
      <c r="DW203" s="64" t="e">
        <v>#N/A</v>
      </c>
      <c r="DX203" s="65" t="e">
        <v>#N/A</v>
      </c>
    </row>
    <row r="204" spans="2:128" ht="15">
      <c r="B204" s="43" t="s">
        <v>5022</v>
      </c>
      <c r="C204" s="43" t="s">
        <v>4802</v>
      </c>
      <c r="D204" s="43" t="s">
        <v>4796</v>
      </c>
      <c r="E204" s="49">
        <v>45660</v>
      </c>
      <c r="F204" s="49"/>
      <c r="G204" s="50">
        <v>1</v>
      </c>
      <c r="H204" s="43" t="s">
        <v>4798</v>
      </c>
      <c r="I204" s="43" t="s">
        <v>5023</v>
      </c>
      <c r="J204" s="43"/>
      <c r="K204" s="43">
        <v>2</v>
      </c>
      <c r="L204" s="43">
        <v>3</v>
      </c>
      <c r="M204" s="43"/>
      <c r="N204" s="43" t="s">
        <v>5087</v>
      </c>
      <c r="O204" s="43"/>
      <c r="P204" s="43" t="s">
        <v>5063</v>
      </c>
      <c r="Q204" s="43"/>
      <c r="R204" s="43" t="s">
        <v>5098</v>
      </c>
      <c r="S204" s="43" t="s">
        <v>5026</v>
      </c>
      <c r="T204" s="51" t="s">
        <v>5027</v>
      </c>
      <c r="U204" s="52" t="s">
        <v>5028</v>
      </c>
      <c r="V204" s="53" t="s">
        <v>3884</v>
      </c>
      <c r="W204" s="54" t="s">
        <v>4739</v>
      </c>
      <c r="X204" s="55" t="s">
        <v>4889</v>
      </c>
      <c r="Y204" t="s">
        <v>4896</v>
      </c>
      <c r="Z204" t="s">
        <v>4800</v>
      </c>
      <c r="AA204" t="s">
        <v>4891</v>
      </c>
      <c r="AI204" s="54"/>
      <c r="AJ204" s="56">
        <v>45740</v>
      </c>
      <c r="AK204" s="57">
        <v>45831</v>
      </c>
      <c r="AL204" s="57">
        <v>45922</v>
      </c>
      <c r="AM204" s="57">
        <v>46013</v>
      </c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8"/>
      <c r="BD204" s="55" t="s">
        <v>5030</v>
      </c>
      <c r="BE204" t="s">
        <v>5031</v>
      </c>
      <c r="BF204" t="s">
        <v>5032</v>
      </c>
      <c r="BG204" t="s">
        <v>5033</v>
      </c>
      <c r="BO204" s="54"/>
      <c r="BP204" s="56">
        <v>45712</v>
      </c>
      <c r="BQ204" s="57">
        <v>45803</v>
      </c>
      <c r="BR204" s="57">
        <v>45894</v>
      </c>
      <c r="BS204" s="57">
        <v>45985</v>
      </c>
      <c r="BT204" s="57"/>
      <c r="BU204" s="57"/>
      <c r="BV204" s="57"/>
      <c r="BW204" s="57"/>
      <c r="BX204" s="57"/>
      <c r="BY204" s="57"/>
      <c r="BZ204" s="57"/>
      <c r="CA204" s="57"/>
      <c r="CB204" s="56" t="s">
        <v>5034</v>
      </c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6">
        <v>45736</v>
      </c>
      <c r="CO204" s="57">
        <v>45827</v>
      </c>
      <c r="CP204" s="57">
        <v>45918</v>
      </c>
      <c r="CQ204" s="57">
        <v>46009</v>
      </c>
      <c r="CR204" s="57"/>
      <c r="CS204" s="57"/>
      <c r="CT204" s="57"/>
      <c r="CU204" s="57"/>
      <c r="CV204" s="57"/>
      <c r="CW204" s="57"/>
      <c r="CX204" s="57"/>
      <c r="CY204" s="57"/>
      <c r="CZ204" s="56" t="s">
        <v>5034</v>
      </c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8"/>
      <c r="DL204" s="59">
        <v>4</v>
      </c>
      <c r="DM204" s="60">
        <v>4</v>
      </c>
      <c r="DN204" s="61">
        <v>0</v>
      </c>
      <c r="DO204" s="60">
        <v>4</v>
      </c>
      <c r="DP204" s="60">
        <v>0</v>
      </c>
      <c r="DQ204" s="59">
        <v>12</v>
      </c>
      <c r="DR204" s="62">
        <v>2193</v>
      </c>
      <c r="DS204" s="62" t="s">
        <v>5034</v>
      </c>
      <c r="DU204" s="62" t="s">
        <v>5034</v>
      </c>
      <c r="DV204" s="63" t="e">
        <v>#N/A</v>
      </c>
      <c r="DW204" s="64" t="e">
        <v>#N/A</v>
      </c>
      <c r="DX204" s="65" t="e">
        <v>#N/A</v>
      </c>
    </row>
  </sheetData>
  <protectedRanges>
    <protectedRange sqref="B3:U3 B4:U5 B6:U6 B7:U7 B8:U8 B9:U9 B10:U10 B11:U11 B12:U12 B13:U13 B14:U14 B15:U15 B16:U16 B17:U17 B18:U18 B19:U19 B20:U20 B21:U21 B22:U22 B23:U23 B24:U24 B25:U26 B27:U27 B28:U28 B29:U29 B30:U30 B31:U31 B32:U32 B33:U33 B34:U34 B35:U35 B36:U36 B37:U37 B38:U38 B39:U39 B40:U40 B41:U41 B42:U42 B43:U43 B44:U44 B45:U45 B46:U46 B47:U47 B48:U48 B49:U49 B50:U50 B51:U51 B52:U52 B53:U53 B54:U54 B55:U55 B56:U57 B58:U58 B59:U60 B61:U61 B62:U62 B63:U63 B64:U64 B65:U65 B66:U66 B67:U67 B68:U68 B69:U69 B70:U70 B71:U71 B72:U72 B73:U73 B74:U74 B75:U75 B76:U76 B77:U77 B78:U78 B79:U79 B80:U80 B81:U81 B82:U82 B83:U83 B84:U84 B85:U85 B86:U86 B87:U87 B88:U88 B89:U89 B90:U90 B91:U91 B92:U92 B93:U93 B94:U94 B95:U95 B96:U97 B98:U98 B99:U99 B100:U100 B101:U101 B102:U102 B103:U103 B104:U104 B105:U105 B106:U106 B107:U107 B108:U108 B109:U109 B110:U110 B111:U111 B112:U112 B113:U113 B114:U114 B115:U115 B116:U116 B117:U117 B118:U118 B119:U119 B120:U120 B121:U121 B122:U122 B123:U123 B124:U124 B125:U125 B126:U126 B127:U127 B128:U129 B130:U130 B131:U131 B132:U132 B133:U133 B134:U134 B135:U135 B136:U136 B137:U137 B138:U138 B139:U139 B140:U140 B141:U141 B142:U142 B143:U143 B144:U144 B145:U145 B146:U146 B147:U147 B148:U148 B149:U149 B150:U150 B151:U151 B152:U152 B153:U153 B154:U154 B155:U155 B156:U156 B157:U157 B158:U158 B159:U159 B160:U160 B161:U161 B162:U162 B163:U172 B173:U173 B174:U174 B175:U184 B185:U185 B186:U186 B187:U187 B188:U188 B189:U189 B190:U190 B191:U191 B192:U192 B193:U193 B194:U194 B195:U195 B196:U196 B197:U197 B198:U198 B199:U199 B200:U200 B201:U201 B202:U202 B203:U203 B204:U204" name="Database"/>
  </protectedRanges>
  <conditionalFormatting sqref="B4:U204">
    <cfRule type="expression" dxfId="10" priority="20">
      <formula>$J4&lt;&gt;""</formula>
    </cfRule>
    <cfRule type="expression" dxfId="9" priority="22">
      <formula>ISEVEN($B4)</formula>
    </cfRule>
  </conditionalFormatting>
  <conditionalFormatting sqref="H4:I204 K4:L204">
    <cfRule type="expression" dxfId="8" priority="21">
      <formula>AND($F4="Yes",$J4="",H4="")</formula>
    </cfRule>
  </conditionalFormatting>
  <conditionalFormatting sqref="R4:R204">
    <cfRule type="expression" dxfId="7" priority="16">
      <formula>AND(B4="Yes",R4="")</formula>
    </cfRule>
  </conditionalFormatting>
  <conditionalFormatting sqref="S4:S204">
    <cfRule type="expression" dxfId="6" priority="17">
      <formula>AND(B4="Yes",S4="")</formula>
    </cfRule>
  </conditionalFormatting>
  <conditionalFormatting sqref="T4:T204">
    <cfRule type="expression" dxfId="5" priority="18">
      <formula>AND(B4="Yes",T4="")</formula>
    </cfRule>
  </conditionalFormatting>
  <conditionalFormatting sqref="U4:U204">
    <cfRule type="expression" dxfId="4" priority="19">
      <formula>AND(B4="Yes",U4="")</formula>
    </cfRule>
  </conditionalFormatting>
  <conditionalFormatting sqref="U75:U79">
    <cfRule type="expression" dxfId="3" priority="11">
      <formula>AND(E75="Yes",U75="")</formula>
    </cfRule>
  </conditionalFormatting>
  <conditionalFormatting sqref="U88:U94">
    <cfRule type="expression" dxfId="2" priority="4">
      <formula>AND(E88="Yes",U88="")</formula>
    </cfRule>
  </conditionalFormatting>
  <conditionalFormatting sqref="U97">
    <cfRule type="expression" dxfId="1" priority="3">
      <formula>AND(E97="Yes",U97="")</formula>
    </cfRule>
  </conditionalFormatting>
  <conditionalFormatting sqref="U102:U103">
    <cfRule type="expression" dxfId="0" priority="1">
      <formula>AND(E102="Yes",U102="")</formula>
    </cfRule>
  </conditionalFormatting>
  <dataValidations count="3">
    <dataValidation type="whole" allowBlank="1" showInputMessage="1" showErrorMessage="1" sqref="G4:G201" xr:uid="{87B3BA4D-096D-4692-8C9F-72CC0FE9291F}">
      <formula1>1</formula1>
      <formula2>5</formula2>
    </dataValidation>
    <dataValidation type="decimal" allowBlank="1" showInputMessage="1" showErrorMessage="1" sqref="J4:M204" xr:uid="{B0A15F2E-1AB9-48E6-8535-52CD84B3414D}">
      <formula1>1</formula1>
      <formula2>30</formula2>
    </dataValidation>
    <dataValidation type="date" allowBlank="1" showInputMessage="1" showErrorMessage="1" sqref="E4:F204" xr:uid="{53B1DBD4-353A-474A-A5AB-9B416F849CB0}">
      <formula1>25569</formula1>
      <formula2>51501</formula2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sheetPr codeName="Sheet3"/>
  <dimension ref="C1:AG1451"/>
  <sheetViews>
    <sheetView workbookViewId="0">
      <selection activeCell="J11" sqref="J11"/>
    </sheetView>
  </sheetViews>
  <sheetFormatPr defaultColWidth="10" defaultRowHeight="1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>
      <c r="D1" s="3"/>
      <c r="E1" s="3"/>
    </row>
    <row r="2" spans="3:33">
      <c r="K2"/>
      <c r="L2"/>
      <c r="AA2" s="5">
        <v>9965266516.0926342</v>
      </c>
      <c r="AB2" s="6">
        <v>30051982887.952702</v>
      </c>
      <c r="AC2" s="6">
        <v>15548496856.600794</v>
      </c>
      <c r="AD2" s="6">
        <v>63977345066.46489</v>
      </c>
      <c r="AE2" s="6">
        <v>286132872285.84955</v>
      </c>
      <c r="AF2" s="6">
        <v>27967554374.947781</v>
      </c>
      <c r="AG2" s="7">
        <v>408078057490.82281</v>
      </c>
    </row>
    <row r="3" spans="3:33" ht="15.75" thickBot="1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v>1</v>
      </c>
      <c r="AB3" s="9" t="b">
        <v>1</v>
      </c>
      <c r="AC3" s="9" t="b">
        <v>1</v>
      </c>
      <c r="AD3" s="9" t="b">
        <v>1</v>
      </c>
      <c r="AE3" s="10" t="b">
        <v>1</v>
      </c>
      <c r="AF3" s="10" t="b">
        <v>1</v>
      </c>
      <c r="AG3" s="11" t="b">
        <v>1</v>
      </c>
    </row>
    <row r="4" spans="3:33">
      <c r="K4" s="12"/>
      <c r="Q4" s="4"/>
      <c r="R4" s="4"/>
      <c r="T4" s="4"/>
      <c r="U4" s="4"/>
    </row>
    <row r="5" spans="3:33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>
      <c r="C255" s="15" t="s">
        <v>2832</v>
      </c>
      <c r="D255" s="16"/>
      <c r="E255" s="2" t="str">
        <f t="shared" si="6"/>
        <v>Non Significant</v>
      </c>
      <c r="F255" s="2"/>
    </row>
    <row r="256" spans="3:8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>
      <c r="C259" s="15" t="s">
        <v>4195</v>
      </c>
      <c r="D259" s="16"/>
      <c r="E259" s="2" t="str">
        <f t="shared" si="6"/>
        <v>Non Significant</v>
      </c>
      <c r="F259" s="2"/>
    </row>
    <row r="260" spans="3:6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>
      <c r="C265" s="15" t="s">
        <v>4200</v>
      </c>
      <c r="D265" s="16"/>
      <c r="E265" s="2" t="str">
        <f t="shared" si="8"/>
        <v>Non Significant</v>
      </c>
      <c r="F265" s="2"/>
    </row>
    <row r="266" spans="3:6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>
      <c r="C400" s="15" t="s">
        <v>2880</v>
      </c>
      <c r="D400" s="16">
        <v>0</v>
      </c>
      <c r="E400" s="2" t="str">
        <f t="shared" si="10"/>
        <v>Non Significant</v>
      </c>
    </row>
    <row r="401" spans="3:5">
      <c r="C401" s="15" t="s">
        <v>4267</v>
      </c>
      <c r="D401" s="16">
        <v>0</v>
      </c>
      <c r="E401" s="2" t="str">
        <f t="shared" si="10"/>
        <v>Non Significant</v>
      </c>
    </row>
    <row r="402" spans="3:5">
      <c r="C402" s="15" t="s">
        <v>2883</v>
      </c>
      <c r="D402" s="16">
        <v>0</v>
      </c>
      <c r="E402" s="2" t="str">
        <f t="shared" si="10"/>
        <v>Non Significant</v>
      </c>
    </row>
    <row r="403" spans="3:5">
      <c r="C403" s="15" t="s">
        <v>4268</v>
      </c>
      <c r="D403" s="16">
        <v>0</v>
      </c>
      <c r="E403" s="2" t="str">
        <f t="shared" si="10"/>
        <v>Non Significant</v>
      </c>
    </row>
    <row r="404" spans="3:5">
      <c r="C404" s="15" t="s">
        <v>1869</v>
      </c>
      <c r="D404" s="16">
        <v>0</v>
      </c>
      <c r="E404" s="2" t="str">
        <f t="shared" si="10"/>
        <v>Non Significant</v>
      </c>
    </row>
    <row r="405" spans="3:5">
      <c r="C405" s="15" t="s">
        <v>4269</v>
      </c>
      <c r="D405" s="16">
        <v>0</v>
      </c>
      <c r="E405" s="2" t="str">
        <f t="shared" si="10"/>
        <v>Non Significant</v>
      </c>
    </row>
    <row r="406" spans="3:5">
      <c r="C406" s="15" t="s">
        <v>2874</v>
      </c>
      <c r="D406" s="16">
        <v>0</v>
      </c>
      <c r="E406" s="2" t="str">
        <f t="shared" si="10"/>
        <v>Non Significant</v>
      </c>
    </row>
    <row r="407" spans="3:5">
      <c r="C407" s="15" t="s">
        <v>4270</v>
      </c>
      <c r="D407" s="16">
        <v>0</v>
      </c>
      <c r="E407" s="2" t="str">
        <f t="shared" si="10"/>
        <v>Non Significant</v>
      </c>
    </row>
    <row r="408" spans="3:5">
      <c r="C408" s="15" t="s">
        <v>2913</v>
      </c>
      <c r="D408" s="16">
        <v>0</v>
      </c>
      <c r="E408" s="2" t="str">
        <f t="shared" si="10"/>
        <v>Non Significant</v>
      </c>
    </row>
    <row r="409" spans="3:5">
      <c r="C409" s="15" t="s">
        <v>4271</v>
      </c>
      <c r="D409" s="16">
        <v>0</v>
      </c>
      <c r="E409" s="2" t="str">
        <f t="shared" si="10"/>
        <v>Non Significant</v>
      </c>
    </row>
    <row r="410" spans="3:5">
      <c r="C410" s="15" t="s">
        <v>4272</v>
      </c>
      <c r="D410" s="16">
        <v>0</v>
      </c>
      <c r="E410" s="2" t="str">
        <f t="shared" si="10"/>
        <v>Non Significant</v>
      </c>
    </row>
    <row r="411" spans="3:5">
      <c r="C411" s="15" t="s">
        <v>4273</v>
      </c>
      <c r="D411" s="16">
        <v>0</v>
      </c>
      <c r="E411" s="2" t="str">
        <f t="shared" si="10"/>
        <v>Non Significant</v>
      </c>
    </row>
    <row r="412" spans="3:5">
      <c r="C412" s="15" t="s">
        <v>4274</v>
      </c>
      <c r="D412" s="16">
        <v>0</v>
      </c>
      <c r="E412" s="2" t="str">
        <f t="shared" si="10"/>
        <v>Non Significant</v>
      </c>
    </row>
    <row r="413" spans="3:5">
      <c r="C413" s="15" t="s">
        <v>4275</v>
      </c>
      <c r="D413" s="16">
        <v>0</v>
      </c>
      <c r="E413" s="2" t="str">
        <f t="shared" si="10"/>
        <v>Non Significant</v>
      </c>
    </row>
    <row r="414" spans="3:5">
      <c r="C414" s="15" t="s">
        <v>4276</v>
      </c>
      <c r="D414" s="16">
        <v>0</v>
      </c>
      <c r="E414" s="2" t="str">
        <f t="shared" si="10"/>
        <v>Non Significant</v>
      </c>
    </row>
    <row r="415" spans="3:5">
      <c r="C415" s="15" t="s">
        <v>1586</v>
      </c>
      <c r="D415" s="16">
        <v>0</v>
      </c>
      <c r="E415" s="2" t="str">
        <f t="shared" si="10"/>
        <v>Non Significant</v>
      </c>
    </row>
    <row r="416" spans="3:5">
      <c r="C416" s="15" t="s">
        <v>4277</v>
      </c>
      <c r="D416" s="16">
        <v>0</v>
      </c>
      <c r="E416" s="2" t="str">
        <f t="shared" si="10"/>
        <v>Non Significant</v>
      </c>
    </row>
    <row r="417" spans="3:5">
      <c r="C417" s="15" t="s">
        <v>1590</v>
      </c>
      <c r="D417" s="16">
        <v>0</v>
      </c>
      <c r="E417" s="2" t="str">
        <f t="shared" si="10"/>
        <v>Non Significant</v>
      </c>
    </row>
    <row r="418" spans="3:5">
      <c r="C418" s="15" t="s">
        <v>4185</v>
      </c>
      <c r="D418" s="16">
        <v>0</v>
      </c>
      <c r="E418" s="2" t="str">
        <f t="shared" si="10"/>
        <v>Non Significant</v>
      </c>
    </row>
    <row r="419" spans="3:5">
      <c r="C419" s="15" t="s">
        <v>1649</v>
      </c>
      <c r="D419" s="16">
        <v>0</v>
      </c>
      <c r="E419" s="2" t="str">
        <f t="shared" si="10"/>
        <v>Non Significant</v>
      </c>
    </row>
    <row r="420" spans="3:5">
      <c r="C420" s="15" t="s">
        <v>4278</v>
      </c>
      <c r="D420" s="16">
        <v>0</v>
      </c>
      <c r="E420" s="2" t="str">
        <f t="shared" si="10"/>
        <v>Non Significant</v>
      </c>
    </row>
    <row r="421" spans="3:5">
      <c r="C421" s="15" t="s">
        <v>1600</v>
      </c>
      <c r="D421" s="16">
        <v>0</v>
      </c>
      <c r="E421" s="2" t="str">
        <f t="shared" si="10"/>
        <v>Non Significant</v>
      </c>
    </row>
    <row r="422" spans="3:5">
      <c r="C422" s="15" t="s">
        <v>4279</v>
      </c>
      <c r="D422" s="16">
        <v>0</v>
      </c>
      <c r="E422" s="2" t="str">
        <f t="shared" si="10"/>
        <v>Non Significant</v>
      </c>
    </row>
    <row r="423" spans="3:5">
      <c r="C423" s="15" t="s">
        <v>1604</v>
      </c>
      <c r="D423" s="16">
        <v>0</v>
      </c>
      <c r="E423" s="2" t="str">
        <f t="shared" si="10"/>
        <v>Non Significant</v>
      </c>
    </row>
    <row r="424" spans="3:5">
      <c r="C424" s="15" t="s">
        <v>4280</v>
      </c>
      <c r="D424" s="16">
        <v>0</v>
      </c>
      <c r="E424" s="2" t="str">
        <f t="shared" si="10"/>
        <v>Non Significant</v>
      </c>
    </row>
    <row r="425" spans="3:5">
      <c r="C425" s="15" t="s">
        <v>1647</v>
      </c>
      <c r="D425" s="16">
        <v>0</v>
      </c>
      <c r="E425" s="2" t="str">
        <f t="shared" si="10"/>
        <v>Non Significant</v>
      </c>
    </row>
    <row r="426" spans="3:5">
      <c r="C426" s="15" t="s">
        <v>4281</v>
      </c>
      <c r="D426" s="16">
        <v>0</v>
      </c>
      <c r="E426" s="2" t="str">
        <f t="shared" si="10"/>
        <v>Non Significant</v>
      </c>
    </row>
    <row r="427" spans="3:5">
      <c r="C427" s="15" t="s">
        <v>1635</v>
      </c>
      <c r="D427" s="16">
        <v>0</v>
      </c>
      <c r="E427" s="2" t="str">
        <f t="shared" si="10"/>
        <v>Non Significant</v>
      </c>
    </row>
    <row r="428" spans="3:5">
      <c r="C428" s="15" t="s">
        <v>1544</v>
      </c>
      <c r="D428" s="16">
        <v>0</v>
      </c>
      <c r="E428" s="2" t="str">
        <f t="shared" si="10"/>
        <v>Non Significant</v>
      </c>
    </row>
    <row r="429" spans="3:5">
      <c r="C429" s="15" t="s">
        <v>1639</v>
      </c>
      <c r="D429" s="16">
        <v>0</v>
      </c>
      <c r="E429" s="2" t="str">
        <f t="shared" si="10"/>
        <v>Non Significant</v>
      </c>
    </row>
    <row r="430" spans="3:5">
      <c r="C430" s="15" t="s">
        <v>1550</v>
      </c>
      <c r="D430" s="16">
        <v>0</v>
      </c>
      <c r="E430" s="2" t="str">
        <f t="shared" si="10"/>
        <v>Non Significant</v>
      </c>
    </row>
    <row r="431" spans="3:5">
      <c r="C431" s="15" t="s">
        <v>1645</v>
      </c>
      <c r="D431" s="16">
        <v>0</v>
      </c>
      <c r="E431" s="2" t="str">
        <f t="shared" si="10"/>
        <v>Non Significant</v>
      </c>
    </row>
    <row r="432" spans="3:5">
      <c r="C432" s="15" t="s">
        <v>1521</v>
      </c>
      <c r="D432" s="16">
        <v>0</v>
      </c>
      <c r="E432" s="2" t="str">
        <f t="shared" si="10"/>
        <v>Non Significant</v>
      </c>
    </row>
    <row r="433" spans="3:5">
      <c r="C433" s="15" t="s">
        <v>1593</v>
      </c>
      <c r="D433" s="16">
        <v>0</v>
      </c>
      <c r="E433" s="2" t="str">
        <f t="shared" si="10"/>
        <v>Non Significant</v>
      </c>
    </row>
    <row r="434" spans="3:5">
      <c r="C434" s="15" t="s">
        <v>1490</v>
      </c>
      <c r="D434" s="16">
        <v>0</v>
      </c>
      <c r="E434" s="2" t="str">
        <f t="shared" si="10"/>
        <v>Non Significant</v>
      </c>
    </row>
    <row r="435" spans="3:5">
      <c r="C435" s="15" t="s">
        <v>1597</v>
      </c>
      <c r="D435" s="16">
        <v>0</v>
      </c>
      <c r="E435" s="2" t="str">
        <f t="shared" si="10"/>
        <v>Non Significant</v>
      </c>
    </row>
    <row r="436" spans="3:5">
      <c r="C436" s="15" t="s">
        <v>1496</v>
      </c>
      <c r="D436" s="16">
        <v>0</v>
      </c>
      <c r="E436" s="2" t="str">
        <f t="shared" si="10"/>
        <v>Non Significant</v>
      </c>
    </row>
    <row r="437" spans="3:5">
      <c r="C437" s="15" t="s">
        <v>1643</v>
      </c>
      <c r="D437" s="16">
        <v>0</v>
      </c>
      <c r="E437" s="2" t="str">
        <f t="shared" si="10"/>
        <v>Non Significant</v>
      </c>
    </row>
    <row r="438" spans="3:5">
      <c r="C438" s="15" t="s">
        <v>1512</v>
      </c>
      <c r="D438" s="16">
        <v>0</v>
      </c>
      <c r="E438" s="2" t="str">
        <f t="shared" si="10"/>
        <v>Non Significant</v>
      </c>
    </row>
    <row r="439" spans="3:5">
      <c r="C439" s="15" t="s">
        <v>1572</v>
      </c>
      <c r="D439" s="16">
        <v>0</v>
      </c>
      <c r="E439" s="2" t="str">
        <f t="shared" si="10"/>
        <v>Non Significant</v>
      </c>
    </row>
    <row r="440" spans="3:5">
      <c r="C440" s="15" t="s">
        <v>1553</v>
      </c>
      <c r="D440" s="16">
        <v>0</v>
      </c>
      <c r="E440" s="2" t="str">
        <f t="shared" si="10"/>
        <v>Non Significant</v>
      </c>
    </row>
    <row r="441" spans="3:5">
      <c r="C441" s="15" t="s">
        <v>1576</v>
      </c>
      <c r="D441" s="16">
        <v>0</v>
      </c>
      <c r="E441" s="2" t="str">
        <f t="shared" si="10"/>
        <v>Non Significant</v>
      </c>
    </row>
    <row r="442" spans="3:5">
      <c r="C442" s="15" t="s">
        <v>1559</v>
      </c>
      <c r="D442" s="16">
        <v>0</v>
      </c>
      <c r="E442" s="2" t="str">
        <f t="shared" si="10"/>
        <v>Non Significant</v>
      </c>
    </row>
    <row r="443" spans="3:5">
      <c r="C443" s="15" t="s">
        <v>1641</v>
      </c>
      <c r="D443" s="16">
        <v>0</v>
      </c>
      <c r="E443" s="2" t="str">
        <f t="shared" si="10"/>
        <v>Non Significant</v>
      </c>
    </row>
    <row r="444" spans="3:5">
      <c r="C444" s="15" t="s">
        <v>4282</v>
      </c>
      <c r="D444" s="16">
        <v>0</v>
      </c>
      <c r="E444" s="2" t="str">
        <f t="shared" si="10"/>
        <v>Non Significant</v>
      </c>
    </row>
    <row r="445" spans="3:5">
      <c r="C445" s="15" t="s">
        <v>4283</v>
      </c>
      <c r="D445" s="16">
        <v>0</v>
      </c>
      <c r="E445" s="2" t="str">
        <f t="shared" si="10"/>
        <v>Non Significant</v>
      </c>
    </row>
    <row r="446" spans="3:5">
      <c r="C446" s="15" t="s">
        <v>1472</v>
      </c>
      <c r="D446" s="16">
        <v>0</v>
      </c>
      <c r="E446" s="2" t="str">
        <f t="shared" si="10"/>
        <v>Non Significant</v>
      </c>
    </row>
    <row r="447" spans="3:5">
      <c r="C447" s="15" t="s">
        <v>4284</v>
      </c>
      <c r="D447" s="16">
        <v>0</v>
      </c>
      <c r="E447" s="2" t="str">
        <f t="shared" si="10"/>
        <v>Non Significant</v>
      </c>
    </row>
    <row r="448" spans="3:5">
      <c r="C448" s="15" t="s">
        <v>1478</v>
      </c>
      <c r="D448" s="16">
        <v>0</v>
      </c>
      <c r="E448" s="2" t="str">
        <f t="shared" si="10"/>
        <v>Non Significant</v>
      </c>
    </row>
    <row r="449" spans="3:5">
      <c r="C449" s="15" t="s">
        <v>4285</v>
      </c>
      <c r="D449" s="16">
        <v>0</v>
      </c>
      <c r="E449" s="2" t="str">
        <f t="shared" si="10"/>
        <v>Non Significant</v>
      </c>
    </row>
    <row r="450" spans="3:5">
      <c r="C450" s="15" t="s">
        <v>4286</v>
      </c>
      <c r="D450" s="16">
        <v>0</v>
      </c>
      <c r="E450" s="2" t="str">
        <f t="shared" si="10"/>
        <v>Non Significant</v>
      </c>
    </row>
    <row r="451" spans="3:5">
      <c r="C451" s="15" t="s">
        <v>2958</v>
      </c>
      <c r="D451" s="16">
        <v>0</v>
      </c>
      <c r="E451" s="2" t="str">
        <f t="shared" si="10"/>
        <v>Non Significant</v>
      </c>
    </row>
    <row r="452" spans="3:5">
      <c r="C452" s="15" t="s">
        <v>1689</v>
      </c>
      <c r="D452" s="16">
        <v>0</v>
      </c>
      <c r="E452" s="2" t="str">
        <f t="shared" si="10"/>
        <v>Non Significant</v>
      </c>
    </row>
    <row r="453" spans="3:5">
      <c r="C453" s="15" t="s">
        <v>2952</v>
      </c>
      <c r="D453" s="16">
        <v>0</v>
      </c>
      <c r="E453" s="2" t="str">
        <f t="shared" si="10"/>
        <v>Non Significant</v>
      </c>
    </row>
    <row r="454" spans="3:5">
      <c r="C454" s="15" t="s">
        <v>4287</v>
      </c>
      <c r="D454" s="16">
        <v>0</v>
      </c>
      <c r="E454" s="2" t="str">
        <f t="shared" si="10"/>
        <v>Non Significant</v>
      </c>
    </row>
    <row r="455" spans="3: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>
      <c r="C456" s="15" t="s">
        <v>1684</v>
      </c>
      <c r="D456" s="16">
        <v>0</v>
      </c>
      <c r="E456" s="2" t="str">
        <f t="shared" si="11"/>
        <v>Non Significant</v>
      </c>
    </row>
    <row r="457" spans="3:5">
      <c r="C457" s="15" t="s">
        <v>2844</v>
      </c>
      <c r="D457" s="16">
        <v>0</v>
      </c>
      <c r="E457" s="2" t="str">
        <f t="shared" si="11"/>
        <v>Non Significant</v>
      </c>
    </row>
    <row r="458" spans="3:5">
      <c r="C458" s="15" t="s">
        <v>4288</v>
      </c>
      <c r="D458" s="16">
        <v>0</v>
      </c>
      <c r="E458" s="2" t="str">
        <f t="shared" si="11"/>
        <v>Non Significant</v>
      </c>
    </row>
    <row r="459" spans="3:5">
      <c r="C459" s="15" t="s">
        <v>2835</v>
      </c>
      <c r="D459" s="16">
        <v>0</v>
      </c>
      <c r="E459" s="2" t="str">
        <f t="shared" si="11"/>
        <v>Non Significant</v>
      </c>
    </row>
    <row r="460" spans="3:5">
      <c r="C460" s="15" t="s">
        <v>4157</v>
      </c>
      <c r="D460" s="16">
        <v>0</v>
      </c>
      <c r="E460" s="2" t="str">
        <f t="shared" si="11"/>
        <v>Non Significant</v>
      </c>
    </row>
    <row r="461" spans="3:5">
      <c r="C461" s="15" t="s">
        <v>2839</v>
      </c>
      <c r="D461" s="16">
        <v>0</v>
      </c>
      <c r="E461" s="2" t="str">
        <f t="shared" si="11"/>
        <v>Non Significant</v>
      </c>
    </row>
    <row r="462" spans="3:5">
      <c r="C462" s="15" t="s">
        <v>4289</v>
      </c>
      <c r="D462" s="16">
        <v>0</v>
      </c>
      <c r="E462" s="2" t="str">
        <f t="shared" si="11"/>
        <v>Non Significant</v>
      </c>
    </row>
    <row r="463" spans="3:5">
      <c r="C463" s="15" t="s">
        <v>2842</v>
      </c>
      <c r="D463" s="16">
        <v>0</v>
      </c>
      <c r="E463" s="2" t="str">
        <f t="shared" si="11"/>
        <v>Non Significant</v>
      </c>
    </row>
    <row r="464" spans="3:5">
      <c r="C464" s="15" t="s">
        <v>2893</v>
      </c>
      <c r="D464" s="16">
        <v>0</v>
      </c>
      <c r="E464" s="2" t="str">
        <f t="shared" si="11"/>
        <v>Non Significant</v>
      </c>
    </row>
    <row r="465" spans="3:5">
      <c r="C465" s="15" t="s">
        <v>2793</v>
      </c>
      <c r="D465" s="16">
        <v>0</v>
      </c>
      <c r="E465" s="2" t="str">
        <f t="shared" si="11"/>
        <v>Non Significant</v>
      </c>
    </row>
    <row r="466" spans="3:5">
      <c r="C466" s="15" t="s">
        <v>2784</v>
      </c>
      <c r="D466" s="16">
        <v>0</v>
      </c>
      <c r="E466" s="2" t="str">
        <f t="shared" si="11"/>
        <v>Non Significant</v>
      </c>
    </row>
    <row r="467" spans="3:5">
      <c r="C467" s="15" t="s">
        <v>3087</v>
      </c>
      <c r="D467" s="16">
        <v>0</v>
      </c>
      <c r="E467" s="2" t="str">
        <f t="shared" si="11"/>
        <v>Non Significant</v>
      </c>
    </row>
    <row r="468" spans="3:5">
      <c r="C468" s="15" t="s">
        <v>4290</v>
      </c>
      <c r="D468" s="16">
        <v>0</v>
      </c>
      <c r="E468" s="2" t="str">
        <f t="shared" si="11"/>
        <v>Non Significant</v>
      </c>
    </row>
    <row r="469" spans="3:5">
      <c r="C469" s="15" t="s">
        <v>3574</v>
      </c>
      <c r="D469" s="16">
        <v>0</v>
      </c>
      <c r="E469" s="2" t="str">
        <f t="shared" si="11"/>
        <v>Non Significant</v>
      </c>
    </row>
    <row r="470" spans="3:5">
      <c r="C470" s="15" t="s">
        <v>3207</v>
      </c>
      <c r="D470" s="16">
        <v>0</v>
      </c>
      <c r="E470" s="2" t="str">
        <f t="shared" si="11"/>
        <v>Non Significant</v>
      </c>
    </row>
    <row r="471" spans="3:5">
      <c r="C471" s="15" t="s">
        <v>3768</v>
      </c>
      <c r="D471" s="16">
        <v>0</v>
      </c>
      <c r="E471" s="2" t="str">
        <f t="shared" si="11"/>
        <v>Non Significant</v>
      </c>
    </row>
    <row r="472" spans="3:5">
      <c r="C472" s="15" t="s">
        <v>3210</v>
      </c>
      <c r="D472" s="16">
        <v>0</v>
      </c>
      <c r="E472" s="2" t="str">
        <f t="shared" si="11"/>
        <v>Non Significant</v>
      </c>
    </row>
    <row r="473" spans="3:5">
      <c r="C473" s="15" t="s">
        <v>4040</v>
      </c>
      <c r="D473" s="16">
        <v>0</v>
      </c>
      <c r="E473" s="2" t="str">
        <f t="shared" si="11"/>
        <v>Non Significant</v>
      </c>
    </row>
    <row r="474" spans="3:5">
      <c r="C474" s="15" t="s">
        <v>3174</v>
      </c>
      <c r="D474" s="16">
        <v>0</v>
      </c>
      <c r="E474" s="2" t="str">
        <f t="shared" si="11"/>
        <v>Non Significant</v>
      </c>
    </row>
    <row r="475" spans="3:5">
      <c r="C475" s="15" t="s">
        <v>4291</v>
      </c>
      <c r="D475" s="16">
        <v>0</v>
      </c>
      <c r="E475" s="2" t="str">
        <f t="shared" si="11"/>
        <v>Non Significant</v>
      </c>
    </row>
    <row r="476" spans="3:5">
      <c r="C476" s="15" t="s">
        <v>4292</v>
      </c>
      <c r="D476" s="16">
        <v>0</v>
      </c>
      <c r="E476" s="2" t="str">
        <f t="shared" si="11"/>
        <v>Non Significant</v>
      </c>
    </row>
    <row r="477" spans="3:5">
      <c r="C477" s="15" t="s">
        <v>3354</v>
      </c>
      <c r="D477" s="16">
        <v>0</v>
      </c>
      <c r="E477" s="2" t="str">
        <f t="shared" si="11"/>
        <v>Non Significant</v>
      </c>
    </row>
    <row r="478" spans="3:5">
      <c r="C478" s="15" t="s">
        <v>3168</v>
      </c>
      <c r="D478" s="16">
        <v>0</v>
      </c>
      <c r="E478" s="2" t="str">
        <f t="shared" si="11"/>
        <v>Non Significant</v>
      </c>
    </row>
    <row r="479" spans="3:5">
      <c r="C479" s="15" t="s">
        <v>4293</v>
      </c>
      <c r="D479" s="16">
        <v>0</v>
      </c>
      <c r="E479" s="2" t="str">
        <f t="shared" si="11"/>
        <v>Non Significant</v>
      </c>
    </row>
    <row r="480" spans="3:5">
      <c r="C480" s="15" t="s">
        <v>4294</v>
      </c>
      <c r="D480" s="16">
        <v>0</v>
      </c>
      <c r="E480" s="2" t="str">
        <f t="shared" si="11"/>
        <v>Non Significant</v>
      </c>
    </row>
    <row r="481" spans="3:5">
      <c r="C481" s="15" t="s">
        <v>4295</v>
      </c>
      <c r="D481" s="16">
        <v>0</v>
      </c>
      <c r="E481" s="2" t="str">
        <f t="shared" si="11"/>
        <v>Non Significant</v>
      </c>
    </row>
    <row r="482" spans="3:5">
      <c r="C482" s="15" t="s">
        <v>3171</v>
      </c>
      <c r="D482" s="16">
        <v>0</v>
      </c>
      <c r="E482" s="2" t="str">
        <f t="shared" si="11"/>
        <v>Non Significant</v>
      </c>
    </row>
    <row r="483" spans="3:5">
      <c r="C483" s="15" t="s">
        <v>4296</v>
      </c>
      <c r="D483" s="16">
        <v>0</v>
      </c>
      <c r="E483" s="2" t="str">
        <f t="shared" si="11"/>
        <v>Non Significant</v>
      </c>
    </row>
    <row r="484" spans="3:5">
      <c r="C484" s="15" t="s">
        <v>3132</v>
      </c>
      <c r="D484" s="16">
        <v>0</v>
      </c>
      <c r="E484" s="2" t="str">
        <f t="shared" si="11"/>
        <v>Non Significant</v>
      </c>
    </row>
    <row r="485" spans="3:5">
      <c r="C485" s="15" t="s">
        <v>4297</v>
      </c>
      <c r="D485" s="16">
        <v>0</v>
      </c>
      <c r="E485" s="2" t="str">
        <f t="shared" si="11"/>
        <v>Non Significant</v>
      </c>
    </row>
    <row r="486" spans="3:5">
      <c r="C486" s="15" t="s">
        <v>4298</v>
      </c>
      <c r="D486" s="16">
        <v>0</v>
      </c>
      <c r="E486" s="2" t="str">
        <f t="shared" si="11"/>
        <v>Non Significant</v>
      </c>
    </row>
    <row r="487" spans="3:5">
      <c r="C487" s="15" t="s">
        <v>4299</v>
      </c>
      <c r="D487" s="16">
        <v>0</v>
      </c>
      <c r="E487" s="2" t="str">
        <f t="shared" si="11"/>
        <v>Non Significant</v>
      </c>
    </row>
    <row r="488" spans="3:5">
      <c r="C488" s="15" t="s">
        <v>3135</v>
      </c>
      <c r="D488" s="16">
        <v>0</v>
      </c>
      <c r="E488" s="2" t="str">
        <f t="shared" si="11"/>
        <v>Non Significant</v>
      </c>
    </row>
    <row r="489" spans="3:5">
      <c r="C489" s="15" t="s">
        <v>4300</v>
      </c>
      <c r="D489" s="16">
        <v>0</v>
      </c>
      <c r="E489" s="2" t="str">
        <f t="shared" si="11"/>
        <v>Non Significant</v>
      </c>
    </row>
    <row r="490" spans="3:5">
      <c r="C490" s="15" t="s">
        <v>3156</v>
      </c>
      <c r="D490" s="16">
        <v>0</v>
      </c>
      <c r="E490" s="2" t="str">
        <f t="shared" si="11"/>
        <v>Non Significant</v>
      </c>
    </row>
    <row r="491" spans="3:5">
      <c r="C491" s="15" t="s">
        <v>4301</v>
      </c>
      <c r="D491" s="16">
        <v>0</v>
      </c>
      <c r="E491" s="2" t="str">
        <f t="shared" si="11"/>
        <v>Non Significant</v>
      </c>
    </row>
    <row r="492" spans="3:5">
      <c r="C492" s="15" t="s">
        <v>4302</v>
      </c>
      <c r="D492" s="16">
        <v>0</v>
      </c>
      <c r="E492" s="2" t="str">
        <f t="shared" si="11"/>
        <v>Non Significant</v>
      </c>
    </row>
    <row r="493" spans="3:5">
      <c r="C493" s="15" t="s">
        <v>1837</v>
      </c>
      <c r="D493" s="16">
        <v>0</v>
      </c>
      <c r="E493" s="2" t="str">
        <f t="shared" si="11"/>
        <v>Non Significant</v>
      </c>
    </row>
    <row r="494" spans="3:5">
      <c r="C494" s="15" t="s">
        <v>3159</v>
      </c>
      <c r="D494" s="16">
        <v>0</v>
      </c>
      <c r="E494" s="2" t="str">
        <f t="shared" si="11"/>
        <v>Non Significant</v>
      </c>
    </row>
    <row r="495" spans="3:5">
      <c r="C495" s="15" t="s">
        <v>4303</v>
      </c>
      <c r="D495" s="16">
        <v>0</v>
      </c>
      <c r="E495" s="2" t="str">
        <f t="shared" si="11"/>
        <v>Non Significant</v>
      </c>
    </row>
    <row r="496" spans="3:5">
      <c r="C496" s="15" t="s">
        <v>3144</v>
      </c>
      <c r="D496" s="16">
        <v>0</v>
      </c>
      <c r="E496" s="2" t="str">
        <f t="shared" si="11"/>
        <v>Non Significant</v>
      </c>
    </row>
    <row r="497" spans="3:5">
      <c r="C497" s="15" t="s">
        <v>4304</v>
      </c>
      <c r="D497" s="16">
        <v>0</v>
      </c>
      <c r="E497" s="2" t="str">
        <f t="shared" si="11"/>
        <v>Non Significant</v>
      </c>
    </row>
    <row r="498" spans="3:5">
      <c r="C498" s="15" t="s">
        <v>4305</v>
      </c>
      <c r="D498" s="16">
        <v>0</v>
      </c>
      <c r="E498" s="2" t="str">
        <f t="shared" si="11"/>
        <v>Non Significant</v>
      </c>
    </row>
    <row r="499" spans="3:5">
      <c r="C499" s="15" t="s">
        <v>3069</v>
      </c>
      <c r="D499" s="16">
        <v>0</v>
      </c>
      <c r="E499" s="2" t="str">
        <f t="shared" si="11"/>
        <v>Non Significant</v>
      </c>
    </row>
    <row r="500" spans="3:5">
      <c r="C500" s="15" t="s">
        <v>3147</v>
      </c>
      <c r="D500" s="16">
        <v>0</v>
      </c>
      <c r="E500" s="2" t="str">
        <f t="shared" si="11"/>
        <v>Non Significant</v>
      </c>
    </row>
    <row r="501" spans="3:5">
      <c r="C501" s="15" t="s">
        <v>3015</v>
      </c>
      <c r="D501" s="16">
        <v>0</v>
      </c>
      <c r="E501" s="2" t="str">
        <f t="shared" si="11"/>
        <v>Non Significant</v>
      </c>
    </row>
    <row r="502" spans="3:5">
      <c r="C502" s="15" t="s">
        <v>3150</v>
      </c>
      <c r="D502" s="16">
        <v>0</v>
      </c>
      <c r="E502" s="2" t="str">
        <f t="shared" si="11"/>
        <v>Non Significant</v>
      </c>
    </row>
    <row r="503" spans="3:5">
      <c r="C503" s="15" t="s">
        <v>4306</v>
      </c>
      <c r="D503" s="16">
        <v>0</v>
      </c>
      <c r="E503" s="2" t="str">
        <f t="shared" si="11"/>
        <v>Non Significant</v>
      </c>
    </row>
    <row r="504" spans="3:5">
      <c r="C504" s="15" t="s">
        <v>4307</v>
      </c>
      <c r="D504" s="16">
        <v>0</v>
      </c>
      <c r="E504" s="2" t="str">
        <f t="shared" si="11"/>
        <v>Non Significant</v>
      </c>
    </row>
    <row r="505" spans="3:5">
      <c r="C505" s="15" t="s">
        <v>4308</v>
      </c>
      <c r="D505" s="16">
        <v>0</v>
      </c>
      <c r="E505" s="2" t="str">
        <f t="shared" si="11"/>
        <v>Non Significant</v>
      </c>
    </row>
    <row r="506" spans="3:5">
      <c r="C506" s="15" t="s">
        <v>4309</v>
      </c>
      <c r="D506" s="16">
        <v>0</v>
      </c>
      <c r="E506" s="2" t="str">
        <f t="shared" si="11"/>
        <v>Non Significant</v>
      </c>
    </row>
    <row r="507" spans="3:5">
      <c r="C507" s="15" t="s">
        <v>3153</v>
      </c>
      <c r="D507" s="16">
        <v>0</v>
      </c>
      <c r="E507" s="2" t="str">
        <f t="shared" si="11"/>
        <v>Non Significant</v>
      </c>
    </row>
    <row r="508" spans="3:5">
      <c r="C508" s="15" t="s">
        <v>3576</v>
      </c>
      <c r="D508" s="16">
        <v>0</v>
      </c>
      <c r="E508" s="2" t="str">
        <f t="shared" si="11"/>
        <v>Non Significant</v>
      </c>
    </row>
    <row r="509" spans="3:5">
      <c r="C509" s="15" t="s">
        <v>3162</v>
      </c>
      <c r="D509" s="16">
        <v>0</v>
      </c>
      <c r="E509" s="2" t="str">
        <f t="shared" si="11"/>
        <v>Non Significant</v>
      </c>
    </row>
    <row r="510" spans="3:5">
      <c r="C510" s="15" t="s">
        <v>4310</v>
      </c>
      <c r="D510" s="16">
        <v>0</v>
      </c>
      <c r="E510" s="2" t="str">
        <f t="shared" si="11"/>
        <v>Non Significant</v>
      </c>
    </row>
    <row r="511" spans="3:5">
      <c r="C511" s="15" t="s">
        <v>3589</v>
      </c>
      <c r="D511" s="16">
        <v>0</v>
      </c>
      <c r="E511" s="2" t="str">
        <f t="shared" si="11"/>
        <v>Non Significant</v>
      </c>
    </row>
    <row r="512" spans="3:5">
      <c r="C512" s="15" t="s">
        <v>4311</v>
      </c>
      <c r="D512" s="16">
        <v>0</v>
      </c>
      <c r="E512" s="2" t="str">
        <f t="shared" si="11"/>
        <v>Non Significant</v>
      </c>
    </row>
    <row r="513" spans="3:5">
      <c r="C513" s="15" t="s">
        <v>3165</v>
      </c>
      <c r="D513" s="16">
        <v>0</v>
      </c>
      <c r="E513" s="2" t="str">
        <f t="shared" si="11"/>
        <v>Non Significant</v>
      </c>
    </row>
    <row r="514" spans="3:5">
      <c r="C514" s="15" t="s">
        <v>3030</v>
      </c>
      <c r="D514" s="16">
        <v>0</v>
      </c>
      <c r="E514" s="2" t="str">
        <f t="shared" si="11"/>
        <v>Non Significant</v>
      </c>
    </row>
    <row r="515" spans="3:5">
      <c r="C515" s="15" t="s">
        <v>3560</v>
      </c>
      <c r="D515" s="16">
        <v>0</v>
      </c>
      <c r="E515" s="2" t="str">
        <f t="shared" si="11"/>
        <v>Non Significant</v>
      </c>
    </row>
    <row r="516" spans="3:5">
      <c r="C516" s="15" t="s">
        <v>4312</v>
      </c>
      <c r="D516" s="16">
        <v>0</v>
      </c>
      <c r="E516" s="2" t="str">
        <f t="shared" si="11"/>
        <v>Non Significant</v>
      </c>
    </row>
    <row r="517" spans="3:5">
      <c r="C517" s="15" t="s">
        <v>3552</v>
      </c>
      <c r="D517" s="16">
        <v>0</v>
      </c>
      <c r="E517" s="2" t="str">
        <f t="shared" si="11"/>
        <v>Non Significant</v>
      </c>
    </row>
    <row r="518" spans="3:5">
      <c r="C518" s="15" t="s">
        <v>3349</v>
      </c>
      <c r="D518" s="16">
        <v>0</v>
      </c>
      <c r="E518" s="2" t="str">
        <f t="shared" si="11"/>
        <v>Non Significant</v>
      </c>
    </row>
    <row r="519" spans="3: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>
      <c r="C520" s="15" t="s">
        <v>3785</v>
      </c>
      <c r="D520" s="16">
        <v>0</v>
      </c>
      <c r="E520" s="2" t="str">
        <f t="shared" si="12"/>
        <v>Non Significant</v>
      </c>
    </row>
    <row r="521" spans="3:5">
      <c r="C521" s="15" t="s">
        <v>3555</v>
      </c>
      <c r="D521" s="16">
        <v>0</v>
      </c>
      <c r="E521" s="2" t="str">
        <f t="shared" si="12"/>
        <v>Non Significant</v>
      </c>
    </row>
    <row r="522" spans="3:5">
      <c r="C522" s="15" t="s">
        <v>4313</v>
      </c>
      <c r="D522" s="16">
        <v>0</v>
      </c>
      <c r="E522" s="2" t="str">
        <f t="shared" si="12"/>
        <v>Non Significant</v>
      </c>
    </row>
    <row r="523" spans="3:5">
      <c r="C523" s="15" t="s">
        <v>3558</v>
      </c>
      <c r="D523" s="16">
        <v>0</v>
      </c>
      <c r="E523" s="2" t="str">
        <f t="shared" si="12"/>
        <v>Non Significant</v>
      </c>
    </row>
    <row r="524" spans="3:5">
      <c r="C524" s="15" t="s">
        <v>4314</v>
      </c>
      <c r="D524" s="16">
        <v>0</v>
      </c>
      <c r="E524" s="2" t="str">
        <f t="shared" si="12"/>
        <v>Non Significant</v>
      </c>
    </row>
    <row r="525" spans="3:5">
      <c r="C525" s="15" t="s">
        <v>3545</v>
      </c>
      <c r="D525" s="16">
        <v>0</v>
      </c>
      <c r="E525" s="2" t="str">
        <f t="shared" si="12"/>
        <v>Non Significant</v>
      </c>
    </row>
    <row r="526" spans="3:5">
      <c r="C526" s="15" t="s">
        <v>4315</v>
      </c>
      <c r="D526" s="16">
        <v>0</v>
      </c>
      <c r="E526" s="2" t="str">
        <f t="shared" si="12"/>
        <v>Non Significant</v>
      </c>
    </row>
    <row r="527" spans="3:5">
      <c r="C527" s="15" t="s">
        <v>3543</v>
      </c>
      <c r="D527" s="16">
        <v>0</v>
      </c>
      <c r="E527" s="2" t="str">
        <f t="shared" si="12"/>
        <v>Non Significant</v>
      </c>
    </row>
    <row r="528" spans="3:5">
      <c r="C528" s="15" t="s">
        <v>595</v>
      </c>
      <c r="D528" s="16">
        <v>0</v>
      </c>
      <c r="E528" s="2" t="str">
        <f t="shared" si="12"/>
        <v>Non Significant</v>
      </c>
    </row>
    <row r="529" spans="3:5">
      <c r="C529" s="15" t="s">
        <v>3539</v>
      </c>
      <c r="D529" s="16">
        <v>0</v>
      </c>
      <c r="E529" s="2" t="str">
        <f t="shared" si="12"/>
        <v>Non Significant</v>
      </c>
    </row>
    <row r="530" spans="3:5">
      <c r="C530" s="15" t="s">
        <v>4316</v>
      </c>
      <c r="D530" s="16">
        <v>0</v>
      </c>
      <c r="E530" s="2" t="str">
        <f t="shared" si="12"/>
        <v>Non Significant</v>
      </c>
    </row>
    <row r="531" spans="3:5">
      <c r="C531" s="15" t="s">
        <v>3627</v>
      </c>
      <c r="D531" s="16">
        <v>0</v>
      </c>
      <c r="E531" s="2" t="str">
        <f t="shared" si="12"/>
        <v>Non Significant</v>
      </c>
    </row>
    <row r="532" spans="3:5">
      <c r="C532" s="15" t="s">
        <v>4317</v>
      </c>
      <c r="D532" s="16">
        <v>0</v>
      </c>
      <c r="E532" s="2" t="str">
        <f t="shared" si="12"/>
        <v>Non Significant</v>
      </c>
    </row>
    <row r="533" spans="3:5">
      <c r="C533" s="15" t="s">
        <v>3625</v>
      </c>
      <c r="D533" s="16">
        <v>0</v>
      </c>
      <c r="E533" s="2" t="str">
        <f t="shared" si="12"/>
        <v>Non Significant</v>
      </c>
    </row>
    <row r="534" spans="3:5">
      <c r="C534" s="15" t="s">
        <v>3066</v>
      </c>
      <c r="D534" s="16">
        <v>0</v>
      </c>
      <c r="E534" s="2" t="str">
        <f t="shared" si="12"/>
        <v>Non Significant</v>
      </c>
    </row>
    <row r="535" spans="3:5">
      <c r="C535" s="15" t="s">
        <v>3177</v>
      </c>
      <c r="D535" s="16">
        <v>0</v>
      </c>
      <c r="E535" s="2" t="str">
        <f t="shared" si="12"/>
        <v>Non Significant</v>
      </c>
    </row>
    <row r="536" spans="3:5">
      <c r="C536" s="15" t="s">
        <v>4318</v>
      </c>
      <c r="D536" s="16">
        <v>0</v>
      </c>
      <c r="E536" s="2" t="str">
        <f t="shared" si="12"/>
        <v>Non Significant</v>
      </c>
    </row>
    <row r="537" spans="3:5">
      <c r="C537" s="15" t="s">
        <v>3527</v>
      </c>
      <c r="D537" s="16">
        <v>0</v>
      </c>
      <c r="E537" s="2" t="str">
        <f t="shared" si="12"/>
        <v>Non Significant</v>
      </c>
    </row>
    <row r="538" spans="3:5">
      <c r="C538" s="15" t="s">
        <v>4319</v>
      </c>
      <c r="D538" s="16">
        <v>0</v>
      </c>
      <c r="E538" s="2" t="str">
        <f t="shared" si="12"/>
        <v>Non Significant</v>
      </c>
    </row>
    <row r="539" spans="3:5">
      <c r="C539" s="15" t="s">
        <v>3525</v>
      </c>
      <c r="D539" s="16">
        <v>0</v>
      </c>
      <c r="E539" s="2" t="str">
        <f t="shared" si="12"/>
        <v>Non Significant</v>
      </c>
    </row>
    <row r="540" spans="3:5">
      <c r="C540" s="15" t="s">
        <v>4074</v>
      </c>
      <c r="D540" s="16">
        <v>0</v>
      </c>
      <c r="E540" s="2" t="str">
        <f t="shared" si="12"/>
        <v>Non Significant</v>
      </c>
    </row>
    <row r="541" spans="3:5">
      <c r="C541" s="15" t="s">
        <v>3521</v>
      </c>
      <c r="D541" s="16">
        <v>0</v>
      </c>
      <c r="E541" s="2" t="str">
        <f t="shared" si="12"/>
        <v>Non Significant</v>
      </c>
    </row>
    <row r="542" spans="3:5">
      <c r="C542" s="15" t="s">
        <v>4320</v>
      </c>
      <c r="D542" s="16">
        <v>0</v>
      </c>
      <c r="E542" s="2" t="str">
        <f t="shared" si="12"/>
        <v>Non Significant</v>
      </c>
    </row>
    <row r="543" spans="3:5">
      <c r="C543" s="15" t="s">
        <v>2127</v>
      </c>
      <c r="D543" s="16">
        <v>0</v>
      </c>
      <c r="E543" s="2" t="str">
        <f t="shared" si="12"/>
        <v>Non Significant</v>
      </c>
    </row>
    <row r="544" spans="3:5">
      <c r="C544" s="15" t="s">
        <v>4321</v>
      </c>
      <c r="D544" s="16">
        <v>0</v>
      </c>
      <c r="E544" s="2" t="str">
        <f t="shared" si="12"/>
        <v>Non Significant</v>
      </c>
    </row>
    <row r="545" spans="3:5">
      <c r="C545" s="15" t="s">
        <v>2121</v>
      </c>
      <c r="D545" s="16">
        <v>0</v>
      </c>
      <c r="E545" s="2" t="str">
        <f t="shared" si="12"/>
        <v>Non Significant</v>
      </c>
    </row>
    <row r="546" spans="3:5">
      <c r="C546" s="15" t="s">
        <v>4322</v>
      </c>
      <c r="D546" s="16">
        <v>0</v>
      </c>
      <c r="E546" s="2" t="str">
        <f t="shared" si="12"/>
        <v>Non Significant</v>
      </c>
    </row>
    <row r="547" spans="3:5">
      <c r="C547" s="15" t="s">
        <v>2125</v>
      </c>
      <c r="D547" s="16">
        <v>0</v>
      </c>
      <c r="E547" s="2" t="str">
        <f t="shared" si="12"/>
        <v>Non Significant</v>
      </c>
    </row>
    <row r="548" spans="3:5">
      <c r="C548" s="15" t="s">
        <v>4323</v>
      </c>
      <c r="D548" s="16">
        <v>0</v>
      </c>
      <c r="E548" s="2" t="str">
        <f t="shared" si="12"/>
        <v>Non Significant</v>
      </c>
    </row>
    <row r="549" spans="3:5">
      <c r="C549" s="15" t="s">
        <v>3938</v>
      </c>
      <c r="D549" s="16">
        <v>0</v>
      </c>
      <c r="E549" s="2" t="str">
        <f t="shared" si="12"/>
        <v>Non Significant</v>
      </c>
    </row>
    <row r="550" spans="3:5">
      <c r="C550" s="15" t="s">
        <v>4324</v>
      </c>
      <c r="D550" s="16">
        <v>0</v>
      </c>
      <c r="E550" s="2" t="str">
        <f t="shared" si="12"/>
        <v>Non Significant</v>
      </c>
    </row>
    <row r="551" spans="3:5">
      <c r="C551" s="15" t="s">
        <v>3186</v>
      </c>
      <c r="D551" s="16">
        <v>0</v>
      </c>
      <c r="E551" s="2" t="str">
        <f t="shared" si="12"/>
        <v>Non Significant</v>
      </c>
    </row>
    <row r="552" spans="3:5">
      <c r="C552" s="15" t="s">
        <v>4325</v>
      </c>
      <c r="D552" s="16">
        <v>0</v>
      </c>
      <c r="E552" s="2" t="str">
        <f t="shared" si="12"/>
        <v>Non Significant</v>
      </c>
    </row>
    <row r="553" spans="3:5">
      <c r="C553" s="15" t="s">
        <v>4326</v>
      </c>
      <c r="D553" s="16">
        <v>0</v>
      </c>
      <c r="E553" s="2" t="str">
        <f t="shared" si="12"/>
        <v>Non Significant</v>
      </c>
    </row>
    <row r="554" spans="3:5">
      <c r="C554" s="15" t="s">
        <v>4327</v>
      </c>
      <c r="D554" s="16">
        <v>0</v>
      </c>
      <c r="E554" s="2" t="str">
        <f t="shared" si="12"/>
        <v>Non Significant</v>
      </c>
    </row>
    <row r="555" spans="3:5">
      <c r="C555" s="15" t="s">
        <v>4328</v>
      </c>
      <c r="D555" s="16">
        <v>0</v>
      </c>
      <c r="E555" s="2" t="str">
        <f t="shared" si="12"/>
        <v>Non Significant</v>
      </c>
    </row>
    <row r="556" spans="3:5">
      <c r="C556" s="15" t="s">
        <v>4329</v>
      </c>
      <c r="D556" s="16">
        <v>0</v>
      </c>
      <c r="E556" s="2" t="str">
        <f t="shared" si="12"/>
        <v>Non Significant</v>
      </c>
    </row>
    <row r="557" spans="3:5">
      <c r="C557" s="15" t="s">
        <v>3536</v>
      </c>
      <c r="D557" s="16">
        <v>0</v>
      </c>
      <c r="E557" s="2" t="str">
        <f t="shared" si="12"/>
        <v>Non Significant</v>
      </c>
    </row>
    <row r="558" spans="3:5">
      <c r="C558" s="15" t="s">
        <v>3579</v>
      </c>
      <c r="D558" s="16">
        <v>0</v>
      </c>
      <c r="E558" s="2" t="str">
        <f t="shared" si="12"/>
        <v>Non Significant</v>
      </c>
    </row>
    <row r="559" spans="3:5">
      <c r="C559" s="15" t="s">
        <v>4330</v>
      </c>
      <c r="D559" s="16">
        <v>0</v>
      </c>
      <c r="E559" s="2" t="str">
        <f t="shared" si="12"/>
        <v>Non Significant</v>
      </c>
    </row>
    <row r="560" spans="3:5">
      <c r="C560" s="15" t="s">
        <v>4331</v>
      </c>
      <c r="D560" s="16">
        <v>0</v>
      </c>
      <c r="E560" s="2" t="str">
        <f t="shared" si="12"/>
        <v>Non Significant</v>
      </c>
    </row>
    <row r="561" spans="3:5">
      <c r="C561" s="15" t="s">
        <v>4332</v>
      </c>
      <c r="D561" s="16">
        <v>0</v>
      </c>
      <c r="E561" s="2" t="str">
        <f t="shared" si="12"/>
        <v>Non Significant</v>
      </c>
    </row>
    <row r="562" spans="3:5">
      <c r="C562" s="15" t="s">
        <v>3568</v>
      </c>
      <c r="D562" s="16">
        <v>0</v>
      </c>
      <c r="E562" s="2" t="str">
        <f t="shared" si="12"/>
        <v>Non Significant</v>
      </c>
    </row>
    <row r="563" spans="3:5">
      <c r="C563" s="15" t="s">
        <v>3974</v>
      </c>
      <c r="D563" s="16">
        <v>0</v>
      </c>
      <c r="E563" s="2" t="str">
        <f t="shared" si="12"/>
        <v>Non Significant</v>
      </c>
    </row>
    <row r="564" spans="3:5">
      <c r="C564" s="15" t="s">
        <v>4333</v>
      </c>
      <c r="D564" s="16">
        <v>0</v>
      </c>
      <c r="E564" s="2" t="str">
        <f t="shared" si="12"/>
        <v>Non Significant</v>
      </c>
    </row>
    <row r="565" spans="3:5">
      <c r="C565" s="15" t="s">
        <v>4334</v>
      </c>
      <c r="D565" s="16">
        <v>0</v>
      </c>
      <c r="E565" s="2" t="str">
        <f t="shared" si="12"/>
        <v>Non Significant</v>
      </c>
    </row>
    <row r="566" spans="3:5">
      <c r="C566" s="15" t="s">
        <v>3033</v>
      </c>
      <c r="D566" s="16">
        <v>0</v>
      </c>
      <c r="E566" s="2" t="str">
        <f t="shared" si="12"/>
        <v>Non Significant</v>
      </c>
    </row>
    <row r="567" spans="3:5">
      <c r="C567" s="15" t="s">
        <v>4335</v>
      </c>
      <c r="D567" s="16">
        <v>0</v>
      </c>
      <c r="E567" s="2" t="str">
        <f t="shared" si="12"/>
        <v>Non Significant</v>
      </c>
    </row>
    <row r="568" spans="3:5">
      <c r="C568" s="15" t="s">
        <v>4336</v>
      </c>
      <c r="D568" s="16">
        <v>0</v>
      </c>
      <c r="E568" s="2" t="str">
        <f t="shared" si="12"/>
        <v>Non Significant</v>
      </c>
    </row>
    <row r="569" spans="3:5">
      <c r="C569" s="15" t="s">
        <v>3189</v>
      </c>
      <c r="D569" s="16">
        <v>0</v>
      </c>
      <c r="E569" s="2" t="str">
        <f t="shared" si="12"/>
        <v>Non Significant</v>
      </c>
    </row>
    <row r="570" spans="3:5">
      <c r="C570" s="15" t="s">
        <v>2994</v>
      </c>
      <c r="D570" s="16">
        <v>0</v>
      </c>
      <c r="E570" s="2" t="str">
        <f t="shared" si="12"/>
        <v>Non Significant</v>
      </c>
    </row>
    <row r="571" spans="3:5">
      <c r="C571" s="15" t="s">
        <v>4063</v>
      </c>
      <c r="D571" s="16">
        <v>0</v>
      </c>
      <c r="E571" s="2" t="str">
        <f t="shared" si="12"/>
        <v>Non Significant</v>
      </c>
    </row>
    <row r="572" spans="3:5">
      <c r="C572" s="15" t="s">
        <v>3351</v>
      </c>
      <c r="D572" s="16">
        <v>0</v>
      </c>
      <c r="E572" s="2" t="str">
        <f t="shared" si="12"/>
        <v>Non Significant</v>
      </c>
    </row>
    <row r="573" spans="3:5">
      <c r="C573" s="15" t="s">
        <v>4337</v>
      </c>
      <c r="D573" s="16">
        <v>0</v>
      </c>
      <c r="E573" s="2" t="str">
        <f t="shared" si="12"/>
        <v>Non Significant</v>
      </c>
    </row>
    <row r="574" spans="3:5">
      <c r="C574" s="15" t="s">
        <v>2985</v>
      </c>
      <c r="D574" s="16">
        <v>0</v>
      </c>
      <c r="E574" s="2" t="str">
        <f t="shared" si="12"/>
        <v>Non Significant</v>
      </c>
    </row>
    <row r="575" spans="3:5">
      <c r="C575" s="15" t="s">
        <v>4338</v>
      </c>
      <c r="D575" s="16">
        <v>0</v>
      </c>
      <c r="E575" s="2" t="str">
        <f t="shared" si="12"/>
        <v>Non Significant</v>
      </c>
    </row>
    <row r="576" spans="3:5">
      <c r="C576" s="15" t="s">
        <v>3591</v>
      </c>
      <c r="D576" s="16">
        <v>0</v>
      </c>
      <c r="E576" s="2" t="str">
        <f t="shared" si="12"/>
        <v>Non Significant</v>
      </c>
    </row>
    <row r="577" spans="3:5">
      <c r="C577" s="15" t="s">
        <v>3500</v>
      </c>
      <c r="D577" s="16">
        <v>0</v>
      </c>
      <c r="E577" s="2" t="str">
        <f t="shared" si="12"/>
        <v>Non Significant</v>
      </c>
    </row>
    <row r="578" spans="3:5">
      <c r="C578" s="15" t="s">
        <v>3780</v>
      </c>
      <c r="D578" s="16">
        <v>0</v>
      </c>
      <c r="E578" s="2" t="str">
        <f t="shared" si="12"/>
        <v>Non Significant</v>
      </c>
    </row>
    <row r="579" spans="3:5">
      <c r="C579" s="15" t="s">
        <v>3494</v>
      </c>
      <c r="D579" s="16">
        <v>0</v>
      </c>
      <c r="E579" s="2" t="str">
        <f t="shared" si="12"/>
        <v>Non Significant</v>
      </c>
    </row>
    <row r="580" spans="3:5">
      <c r="C580" s="15" t="s">
        <v>3571</v>
      </c>
      <c r="D580" s="16">
        <v>0</v>
      </c>
      <c r="E580" s="2" t="str">
        <f t="shared" si="12"/>
        <v>Non Significant</v>
      </c>
    </row>
    <row r="581" spans="3:5">
      <c r="C581" s="15" t="s">
        <v>3766</v>
      </c>
      <c r="D581" s="16">
        <v>0</v>
      </c>
      <c r="E581" s="2" t="str">
        <f t="shared" si="12"/>
        <v>Non Significant</v>
      </c>
    </row>
    <row r="582" spans="3:5">
      <c r="C582" s="15" t="s">
        <v>1874</v>
      </c>
      <c r="D582" s="16">
        <v>0</v>
      </c>
      <c r="E582" s="2" t="str">
        <f t="shared" si="12"/>
        <v>Non Significant</v>
      </c>
    </row>
    <row r="583" spans="3: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>
      <c r="C584" s="15" t="s">
        <v>4340</v>
      </c>
      <c r="D584" s="16">
        <v>0</v>
      </c>
      <c r="E584" s="2" t="str">
        <f t="shared" si="13"/>
        <v>Non Significant</v>
      </c>
    </row>
    <row r="585" spans="3:5">
      <c r="C585" s="15" t="s">
        <v>3586</v>
      </c>
      <c r="D585" s="16">
        <v>0</v>
      </c>
      <c r="E585" s="2" t="str">
        <f t="shared" si="13"/>
        <v>Non Significant</v>
      </c>
    </row>
    <row r="586" spans="3:5">
      <c r="C586" s="15" t="s">
        <v>3111</v>
      </c>
      <c r="D586" s="16">
        <v>0</v>
      </c>
      <c r="E586" s="2" t="str">
        <f t="shared" si="13"/>
        <v>Non Significant</v>
      </c>
    </row>
    <row r="587" spans="3:5">
      <c r="C587" s="15" t="s">
        <v>3498</v>
      </c>
      <c r="D587" s="16">
        <v>0</v>
      </c>
      <c r="E587" s="2" t="str">
        <f t="shared" si="13"/>
        <v>Non Significant</v>
      </c>
    </row>
    <row r="588" spans="3:5">
      <c r="C588" s="15" t="s">
        <v>3108</v>
      </c>
      <c r="D588" s="16">
        <v>0</v>
      </c>
      <c r="E588" s="2" t="str">
        <f t="shared" si="13"/>
        <v>Non Significant</v>
      </c>
    </row>
    <row r="589" spans="3:5">
      <c r="C589" s="15" t="s">
        <v>4341</v>
      </c>
      <c r="D589" s="16">
        <v>0</v>
      </c>
      <c r="E589" s="2" t="str">
        <f t="shared" si="13"/>
        <v>Non Significant</v>
      </c>
    </row>
    <row r="590" spans="3:5">
      <c r="C590" s="15" t="s">
        <v>3195</v>
      </c>
      <c r="D590" s="16">
        <v>0</v>
      </c>
      <c r="E590" s="2" t="str">
        <f t="shared" si="13"/>
        <v>Non Significant</v>
      </c>
    </row>
    <row r="591" spans="3:5">
      <c r="C591" s="15" t="s">
        <v>3180</v>
      </c>
      <c r="D591" s="16">
        <v>0</v>
      </c>
      <c r="E591" s="2" t="str">
        <f t="shared" si="13"/>
        <v>Non Significant</v>
      </c>
    </row>
    <row r="592" spans="3:5">
      <c r="C592" s="15" t="s">
        <v>4342</v>
      </c>
      <c r="D592" s="16">
        <v>0</v>
      </c>
      <c r="E592" s="2" t="str">
        <f t="shared" si="13"/>
        <v>Non Significant</v>
      </c>
    </row>
    <row r="593" spans="3:5">
      <c r="C593" s="15" t="s">
        <v>4343</v>
      </c>
      <c r="D593" s="16">
        <v>0</v>
      </c>
      <c r="E593" s="2" t="str">
        <f t="shared" si="13"/>
        <v>Non Significant</v>
      </c>
    </row>
    <row r="594" spans="3:5">
      <c r="C594" s="15" t="s">
        <v>4344</v>
      </c>
      <c r="D594" s="16">
        <v>0</v>
      </c>
      <c r="E594" s="2" t="str">
        <f t="shared" si="13"/>
        <v>Non Significant</v>
      </c>
    </row>
    <row r="595" spans="3:5">
      <c r="C595" s="15" t="s">
        <v>3518</v>
      </c>
      <c r="D595" s="16">
        <v>0</v>
      </c>
      <c r="E595" s="2" t="str">
        <f t="shared" si="13"/>
        <v>Non Significant</v>
      </c>
    </row>
    <row r="596" spans="3:5">
      <c r="C596" s="15" t="s">
        <v>601</v>
      </c>
      <c r="D596" s="16">
        <v>0</v>
      </c>
      <c r="E596" s="2" t="str">
        <f t="shared" si="13"/>
        <v>Non Significant</v>
      </c>
    </row>
    <row r="597" spans="3:5">
      <c r="C597" s="15" t="s">
        <v>3516</v>
      </c>
      <c r="D597" s="16">
        <v>0</v>
      </c>
      <c r="E597" s="2" t="str">
        <f t="shared" si="13"/>
        <v>Non Significant</v>
      </c>
    </row>
    <row r="598" spans="3:5">
      <c r="C598" s="15" t="s">
        <v>4345</v>
      </c>
      <c r="D598" s="16">
        <v>0</v>
      </c>
      <c r="E598" s="2" t="str">
        <f t="shared" si="13"/>
        <v>Non Significant</v>
      </c>
    </row>
    <row r="599" spans="3:5">
      <c r="C599" s="15" t="s">
        <v>3512</v>
      </c>
      <c r="D599" s="16">
        <v>0</v>
      </c>
      <c r="E599" s="2" t="str">
        <f t="shared" si="13"/>
        <v>Non Significant</v>
      </c>
    </row>
    <row r="600" spans="3:5">
      <c r="C600" s="15" t="s">
        <v>3084</v>
      </c>
      <c r="D600" s="16">
        <v>0</v>
      </c>
      <c r="E600" s="2" t="str">
        <f t="shared" si="13"/>
        <v>Non Significant</v>
      </c>
    </row>
    <row r="601" spans="3:5">
      <c r="C601" s="15" t="s">
        <v>4121</v>
      </c>
      <c r="D601" s="16">
        <v>0</v>
      </c>
      <c r="E601" s="2" t="str">
        <f t="shared" si="13"/>
        <v>Non Significant</v>
      </c>
    </row>
    <row r="602" spans="3:5">
      <c r="C602" s="15" t="s">
        <v>4346</v>
      </c>
      <c r="D602" s="16">
        <v>0</v>
      </c>
      <c r="E602" s="2" t="str">
        <f t="shared" si="13"/>
        <v>Non Significant</v>
      </c>
    </row>
    <row r="603" spans="3:5">
      <c r="C603" s="15" t="s">
        <v>4347</v>
      </c>
      <c r="D603" s="16">
        <v>0</v>
      </c>
      <c r="E603" s="2" t="str">
        <f t="shared" si="13"/>
        <v>Non Significant</v>
      </c>
    </row>
    <row r="604" spans="3:5">
      <c r="C604" s="15" t="s">
        <v>4348</v>
      </c>
      <c r="D604" s="16">
        <v>0</v>
      </c>
      <c r="E604" s="2" t="str">
        <f t="shared" si="13"/>
        <v>Non Significant</v>
      </c>
    </row>
    <row r="605" spans="3:5">
      <c r="C605" s="15" t="s">
        <v>4349</v>
      </c>
      <c r="D605" s="16">
        <v>0</v>
      </c>
      <c r="E605" s="2" t="str">
        <f t="shared" si="13"/>
        <v>Non Significant</v>
      </c>
    </row>
    <row r="606" spans="3:5">
      <c r="C606" s="15" t="s">
        <v>4350</v>
      </c>
      <c r="D606" s="16">
        <v>0</v>
      </c>
      <c r="E606" s="2" t="str">
        <f t="shared" si="13"/>
        <v>Non Significant</v>
      </c>
    </row>
    <row r="607" spans="3:5">
      <c r="C607" s="15" t="s">
        <v>4351</v>
      </c>
      <c r="D607" s="16">
        <v>0</v>
      </c>
      <c r="E607" s="2" t="str">
        <f t="shared" si="13"/>
        <v>Non Significant</v>
      </c>
    </row>
    <row r="608" spans="3:5">
      <c r="C608" s="15" t="s">
        <v>4352</v>
      </c>
      <c r="D608" s="16">
        <v>0</v>
      </c>
      <c r="E608" s="2" t="str">
        <f t="shared" si="13"/>
        <v>Non Significant</v>
      </c>
    </row>
    <row r="609" spans="3:5">
      <c r="C609" s="15" t="s">
        <v>4353</v>
      </c>
      <c r="D609" s="16">
        <v>0</v>
      </c>
      <c r="E609" s="2" t="str">
        <f t="shared" si="13"/>
        <v>Non Significant</v>
      </c>
    </row>
    <row r="610" spans="3:5">
      <c r="C610" s="15" t="s">
        <v>4354</v>
      </c>
      <c r="D610" s="16">
        <v>0</v>
      </c>
      <c r="E610" s="2" t="str">
        <f t="shared" si="13"/>
        <v>Non Significant</v>
      </c>
    </row>
    <row r="611" spans="3:5">
      <c r="C611" s="15" t="s">
        <v>4355</v>
      </c>
      <c r="D611" s="16">
        <v>0</v>
      </c>
      <c r="E611" s="2" t="str">
        <f t="shared" si="13"/>
        <v>Non Significant</v>
      </c>
    </row>
    <row r="612" spans="3:5">
      <c r="C612" s="15" t="s">
        <v>598</v>
      </c>
      <c r="D612" s="16">
        <v>0</v>
      </c>
      <c r="E612" s="2" t="str">
        <f t="shared" si="13"/>
        <v>Non Significant</v>
      </c>
    </row>
    <row r="613" spans="3:5">
      <c r="C613" s="15" t="s">
        <v>4356</v>
      </c>
      <c r="D613" s="16">
        <v>0</v>
      </c>
      <c r="E613" s="2" t="str">
        <f t="shared" si="13"/>
        <v>Non Significant</v>
      </c>
    </row>
    <row r="614" spans="3:5">
      <c r="C614" s="15" t="s">
        <v>4357</v>
      </c>
      <c r="D614" s="16">
        <v>0</v>
      </c>
      <c r="E614" s="2" t="str">
        <f t="shared" si="13"/>
        <v>Non Significant</v>
      </c>
    </row>
    <row r="615" spans="3:5">
      <c r="C615" s="15" t="s">
        <v>4358</v>
      </c>
      <c r="D615" s="16">
        <v>0</v>
      </c>
      <c r="E615" s="2" t="str">
        <f t="shared" si="13"/>
        <v>Non Significant</v>
      </c>
    </row>
    <row r="616" spans="3:5">
      <c r="C616" s="15" t="s">
        <v>4359</v>
      </c>
      <c r="D616" s="16">
        <v>0</v>
      </c>
      <c r="E616" s="2" t="str">
        <f t="shared" si="13"/>
        <v>Non Significant</v>
      </c>
    </row>
    <row r="617" spans="3:5">
      <c r="C617" s="15" t="s">
        <v>4360</v>
      </c>
      <c r="D617" s="16">
        <v>0</v>
      </c>
      <c r="E617" s="2" t="str">
        <f t="shared" si="13"/>
        <v>Non Significant</v>
      </c>
    </row>
    <row r="618" spans="3:5">
      <c r="C618" s="15" t="s">
        <v>4361</v>
      </c>
      <c r="D618" s="16">
        <v>0</v>
      </c>
      <c r="E618" s="2" t="str">
        <f t="shared" si="13"/>
        <v>Non Significant</v>
      </c>
    </row>
    <row r="619" spans="3:5">
      <c r="C619" s="15" t="s">
        <v>4066</v>
      </c>
      <c r="D619" s="16">
        <v>0</v>
      </c>
      <c r="E619" s="2" t="str">
        <f t="shared" si="13"/>
        <v>Non Significant</v>
      </c>
    </row>
    <row r="620" spans="3:5">
      <c r="C620" s="15" t="s">
        <v>3021</v>
      </c>
      <c r="D620" s="16">
        <v>0</v>
      </c>
      <c r="E620" s="2" t="str">
        <f t="shared" si="13"/>
        <v>Non Significant</v>
      </c>
    </row>
    <row r="621" spans="3:5">
      <c r="C621" s="15" t="s">
        <v>4362</v>
      </c>
      <c r="D621" s="16">
        <v>0</v>
      </c>
      <c r="E621" s="2" t="str">
        <f t="shared" si="13"/>
        <v>Non Significant</v>
      </c>
    </row>
    <row r="622" spans="3:5">
      <c r="C622" s="15" t="s">
        <v>3019</v>
      </c>
      <c r="D622" s="16">
        <v>0</v>
      </c>
      <c r="E622" s="2" t="str">
        <f t="shared" si="13"/>
        <v>Non Significant</v>
      </c>
    </row>
    <row r="623" spans="3:5">
      <c r="C623" s="15" t="s">
        <v>4363</v>
      </c>
      <c r="D623" s="16">
        <v>0</v>
      </c>
      <c r="E623" s="2" t="str">
        <f t="shared" si="13"/>
        <v>Non Significant</v>
      </c>
    </row>
    <row r="624" spans="3:5">
      <c r="C624" s="15" t="s">
        <v>4364</v>
      </c>
      <c r="D624" s="16">
        <v>0</v>
      </c>
      <c r="E624" s="2" t="str">
        <f t="shared" si="13"/>
        <v>Non Significant</v>
      </c>
    </row>
    <row r="625" spans="3:5">
      <c r="C625" s="15" t="s">
        <v>4124</v>
      </c>
      <c r="D625" s="16">
        <v>0</v>
      </c>
      <c r="E625" s="2" t="str">
        <f t="shared" si="13"/>
        <v>Non Significant</v>
      </c>
    </row>
    <row r="626" spans="3:5">
      <c r="C626" s="15" t="s">
        <v>4365</v>
      </c>
      <c r="D626" s="16">
        <v>0</v>
      </c>
      <c r="E626" s="2" t="str">
        <f t="shared" si="13"/>
        <v>Non Significant</v>
      </c>
    </row>
    <row r="627" spans="3:5">
      <c r="C627" s="15" t="s">
        <v>4366</v>
      </c>
      <c r="D627" s="16">
        <v>0</v>
      </c>
      <c r="E627" s="2" t="str">
        <f t="shared" si="13"/>
        <v>Non Significant</v>
      </c>
    </row>
    <row r="628" spans="3:5">
      <c r="C628" s="15" t="s">
        <v>4367</v>
      </c>
      <c r="D628" s="16">
        <v>0</v>
      </c>
      <c r="E628" s="2" t="str">
        <f t="shared" si="13"/>
        <v>Non Significant</v>
      </c>
    </row>
    <row r="629" spans="3:5">
      <c r="C629" s="15" t="s">
        <v>4368</v>
      </c>
      <c r="D629" s="16">
        <v>0</v>
      </c>
      <c r="E629" s="2" t="str">
        <f t="shared" si="13"/>
        <v>Non Significant</v>
      </c>
    </row>
    <row r="630" spans="3:5">
      <c r="C630" s="15" t="s">
        <v>4369</v>
      </c>
      <c r="D630" s="16">
        <v>0</v>
      </c>
      <c r="E630" s="2" t="str">
        <f t="shared" si="13"/>
        <v>Non Significant</v>
      </c>
    </row>
    <row r="631" spans="3:5">
      <c r="C631" s="15" t="s">
        <v>4037</v>
      </c>
      <c r="D631" s="16">
        <v>0</v>
      </c>
      <c r="E631" s="2" t="str">
        <f t="shared" si="13"/>
        <v>Non Significant</v>
      </c>
    </row>
    <row r="632" spans="3:5">
      <c r="C632" s="15" t="s">
        <v>4137</v>
      </c>
      <c r="D632" s="16">
        <v>0</v>
      </c>
      <c r="E632" s="2" t="str">
        <f t="shared" si="13"/>
        <v>Non Significant</v>
      </c>
    </row>
    <row r="633" spans="3:5">
      <c r="C633" s="15" t="s">
        <v>4370</v>
      </c>
      <c r="D633" s="16">
        <v>0</v>
      </c>
      <c r="E633" s="2" t="str">
        <f t="shared" si="13"/>
        <v>Non Significant</v>
      </c>
    </row>
    <row r="634" spans="3:5">
      <c r="C634" s="15" t="s">
        <v>4371</v>
      </c>
      <c r="D634" s="16">
        <v>0</v>
      </c>
      <c r="E634" s="2" t="str">
        <f t="shared" si="13"/>
        <v>Non Significant</v>
      </c>
    </row>
    <row r="635" spans="3:5">
      <c r="C635" s="15" t="s">
        <v>4372</v>
      </c>
      <c r="D635" s="16">
        <v>0</v>
      </c>
      <c r="E635" s="2" t="str">
        <f t="shared" si="13"/>
        <v>Non Significant</v>
      </c>
    </row>
    <row r="636" spans="3:5">
      <c r="C636" s="15" t="s">
        <v>4373</v>
      </c>
      <c r="D636" s="16">
        <v>0</v>
      </c>
      <c r="E636" s="2" t="str">
        <f t="shared" si="13"/>
        <v>Non Significant</v>
      </c>
    </row>
    <row r="637" spans="3:5">
      <c r="C637" s="15" t="s">
        <v>4127</v>
      </c>
      <c r="D637" s="16">
        <v>0</v>
      </c>
      <c r="E637" s="2" t="str">
        <f t="shared" si="13"/>
        <v>Non Significant</v>
      </c>
    </row>
    <row r="638" spans="3:5">
      <c r="C638" s="15" t="s">
        <v>4374</v>
      </c>
      <c r="D638" s="16">
        <v>0</v>
      </c>
      <c r="E638" s="2" t="str">
        <f t="shared" si="13"/>
        <v>Non Significant</v>
      </c>
    </row>
    <row r="639" spans="3:5">
      <c r="C639" s="15" t="s">
        <v>4375</v>
      </c>
      <c r="D639" s="16">
        <v>0</v>
      </c>
      <c r="E639" s="2" t="str">
        <f t="shared" si="13"/>
        <v>Non Significant</v>
      </c>
    </row>
    <row r="640" spans="3:5">
      <c r="C640" s="15" t="s">
        <v>4376</v>
      </c>
      <c r="D640" s="16">
        <v>0</v>
      </c>
      <c r="E640" s="2" t="str">
        <f t="shared" si="13"/>
        <v>Non Significant</v>
      </c>
    </row>
    <row r="641" spans="3:5">
      <c r="C641" s="15" t="s">
        <v>4377</v>
      </c>
      <c r="D641" s="16">
        <v>0</v>
      </c>
      <c r="E641" s="2" t="str">
        <f t="shared" si="13"/>
        <v>Non Significant</v>
      </c>
    </row>
    <row r="642" spans="3:5">
      <c r="C642" s="15" t="s">
        <v>4016</v>
      </c>
      <c r="D642" s="16">
        <v>0</v>
      </c>
      <c r="E642" s="2" t="str">
        <f t="shared" si="13"/>
        <v>Non Significant</v>
      </c>
    </row>
    <row r="643" spans="3:5">
      <c r="C643" s="15" t="s">
        <v>4069</v>
      </c>
      <c r="D643" s="16">
        <v>0</v>
      </c>
      <c r="E643" s="2" t="str">
        <f t="shared" si="13"/>
        <v>Non Significant</v>
      </c>
    </row>
    <row r="644" spans="3:5">
      <c r="C644" s="15" t="s">
        <v>4378</v>
      </c>
      <c r="D644" s="16">
        <v>0</v>
      </c>
      <c r="E644" s="2" t="str">
        <f t="shared" si="13"/>
        <v>Non Significant</v>
      </c>
    </row>
    <row r="645" spans="3:5">
      <c r="C645" s="15" t="s">
        <v>4379</v>
      </c>
      <c r="D645" s="16">
        <v>0</v>
      </c>
      <c r="E645" s="2" t="str">
        <f t="shared" si="13"/>
        <v>Non Significant</v>
      </c>
    </row>
    <row r="646" spans="3:5">
      <c r="C646" s="15" t="s">
        <v>4380</v>
      </c>
      <c r="D646" s="16">
        <v>0</v>
      </c>
      <c r="E646" s="2" t="str">
        <f t="shared" si="13"/>
        <v>Non Significant</v>
      </c>
    </row>
    <row r="647" spans="3: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>
      <c r="C648" s="15" t="s">
        <v>592</v>
      </c>
      <c r="D648" s="16">
        <v>0</v>
      </c>
      <c r="E648" s="2" t="str">
        <f t="shared" si="14"/>
        <v>Non Significant</v>
      </c>
    </row>
    <row r="649" spans="3:5">
      <c r="C649" s="15" t="s">
        <v>4129</v>
      </c>
      <c r="D649" s="16">
        <v>0</v>
      </c>
      <c r="E649" s="2" t="str">
        <f t="shared" si="14"/>
        <v>Non Significant</v>
      </c>
    </row>
    <row r="650" spans="3:5">
      <c r="C650" s="15" t="s">
        <v>4382</v>
      </c>
      <c r="D650" s="16">
        <v>0</v>
      </c>
      <c r="E650" s="2" t="str">
        <f t="shared" si="14"/>
        <v>Non Significant</v>
      </c>
    </row>
    <row r="651" spans="3:5">
      <c r="C651" s="15" t="s">
        <v>4383</v>
      </c>
      <c r="D651" s="16">
        <v>0</v>
      </c>
      <c r="E651" s="2" t="str">
        <f t="shared" si="14"/>
        <v>Non Significant</v>
      </c>
    </row>
    <row r="652" spans="3:5">
      <c r="C652" s="15" t="s">
        <v>584</v>
      </c>
      <c r="D652" s="16">
        <v>0</v>
      </c>
      <c r="E652" s="2" t="str">
        <f t="shared" si="14"/>
        <v>Non Significant</v>
      </c>
    </row>
    <row r="653" spans="3:5">
      <c r="C653" s="15" t="s">
        <v>4384</v>
      </c>
      <c r="D653" s="16">
        <v>0</v>
      </c>
      <c r="E653" s="2" t="str">
        <f t="shared" si="14"/>
        <v>Non Significant</v>
      </c>
    </row>
    <row r="654" spans="3:5">
      <c r="C654" s="15" t="s">
        <v>588</v>
      </c>
      <c r="D654" s="16">
        <v>0</v>
      </c>
      <c r="E654" s="2" t="str">
        <f t="shared" si="14"/>
        <v>Non Significant</v>
      </c>
    </row>
    <row r="655" spans="3:5">
      <c r="C655" s="15" t="s">
        <v>4385</v>
      </c>
      <c r="D655" s="16">
        <v>0</v>
      </c>
      <c r="E655" s="2" t="str">
        <f t="shared" si="14"/>
        <v>Non Significant</v>
      </c>
    </row>
    <row r="656" spans="3:5">
      <c r="C656" s="15" t="s">
        <v>3000</v>
      </c>
      <c r="D656" s="16">
        <v>0</v>
      </c>
      <c r="E656" s="2" t="str">
        <f t="shared" si="14"/>
        <v>Non Significant</v>
      </c>
    </row>
    <row r="657" spans="3:5">
      <c r="C657" s="15" t="s">
        <v>4386</v>
      </c>
      <c r="D657" s="16">
        <v>0</v>
      </c>
      <c r="E657" s="2" t="str">
        <f t="shared" si="14"/>
        <v>Non Significant</v>
      </c>
    </row>
    <row r="658" spans="3:5">
      <c r="C658" s="15" t="s">
        <v>4387</v>
      </c>
      <c r="D658" s="16">
        <v>0</v>
      </c>
      <c r="E658" s="2" t="str">
        <f t="shared" si="14"/>
        <v>Non Significant</v>
      </c>
    </row>
    <row r="659" spans="3:5">
      <c r="C659" s="15" t="s">
        <v>4388</v>
      </c>
      <c r="D659" s="16">
        <v>0</v>
      </c>
      <c r="E659" s="2" t="str">
        <f t="shared" si="14"/>
        <v>Non Significant</v>
      </c>
    </row>
    <row r="660" spans="3:5">
      <c r="C660" s="15" t="s">
        <v>3042</v>
      </c>
      <c r="D660" s="16">
        <v>0</v>
      </c>
      <c r="E660" s="2" t="str">
        <f t="shared" si="14"/>
        <v>Non Significant</v>
      </c>
    </row>
    <row r="661" spans="3:5">
      <c r="C661" s="15" t="s">
        <v>4389</v>
      </c>
      <c r="D661" s="16">
        <v>0</v>
      </c>
      <c r="E661" s="2" t="str">
        <f t="shared" si="14"/>
        <v>Non Significant</v>
      </c>
    </row>
    <row r="662" spans="3:5">
      <c r="C662" s="15" t="s">
        <v>3045</v>
      </c>
      <c r="D662" s="16">
        <v>0</v>
      </c>
      <c r="E662" s="2" t="str">
        <f t="shared" si="14"/>
        <v>Non Significant</v>
      </c>
    </row>
    <row r="663" spans="3:5">
      <c r="C663" s="15" t="s">
        <v>2118</v>
      </c>
      <c r="D663" s="16">
        <v>0</v>
      </c>
      <c r="E663" s="2" t="str">
        <f t="shared" si="14"/>
        <v>Non Significant</v>
      </c>
    </row>
    <row r="664" spans="3:5">
      <c r="C664" s="15" t="s">
        <v>4390</v>
      </c>
      <c r="D664" s="16">
        <v>0</v>
      </c>
      <c r="E664" s="2" t="str">
        <f t="shared" si="14"/>
        <v>Non Significant</v>
      </c>
    </row>
    <row r="665" spans="3:5">
      <c r="C665" s="15" t="s">
        <v>2112</v>
      </c>
      <c r="D665" s="16">
        <v>0</v>
      </c>
      <c r="E665" s="2" t="str">
        <f t="shared" si="14"/>
        <v>Non Significant</v>
      </c>
    </row>
    <row r="666" spans="3:5">
      <c r="C666" s="15" t="s">
        <v>4391</v>
      </c>
      <c r="D666" s="16">
        <v>0</v>
      </c>
      <c r="E666" s="2" t="str">
        <f t="shared" si="14"/>
        <v>Non Significant</v>
      </c>
    </row>
    <row r="667" spans="3:5">
      <c r="C667" s="15" t="s">
        <v>2116</v>
      </c>
      <c r="D667" s="16">
        <v>0</v>
      </c>
      <c r="E667" s="2" t="str">
        <f t="shared" si="14"/>
        <v>Non Significant</v>
      </c>
    </row>
    <row r="668" spans="3:5">
      <c r="C668" s="15" t="s">
        <v>4392</v>
      </c>
      <c r="D668" s="16">
        <v>0</v>
      </c>
      <c r="E668" s="2" t="str">
        <f t="shared" si="14"/>
        <v>Non Significant</v>
      </c>
    </row>
    <row r="669" spans="3:5">
      <c r="C669" s="15" t="s">
        <v>3875</v>
      </c>
      <c r="D669" s="16">
        <v>0</v>
      </c>
      <c r="E669" s="2" t="str">
        <f t="shared" si="14"/>
        <v>Non Significant</v>
      </c>
    </row>
    <row r="670" spans="3:5">
      <c r="C670" s="15" t="s">
        <v>4393</v>
      </c>
      <c r="D670" s="16">
        <v>0</v>
      </c>
      <c r="E670" s="2" t="str">
        <f t="shared" si="14"/>
        <v>Non Significant</v>
      </c>
    </row>
    <row r="671" spans="3:5">
      <c r="C671" s="15" t="s">
        <v>3869</v>
      </c>
      <c r="D671" s="16">
        <v>0</v>
      </c>
      <c r="E671" s="2" t="str">
        <f t="shared" si="14"/>
        <v>Non Significant</v>
      </c>
    </row>
    <row r="672" spans="3:5">
      <c r="C672" s="15" t="s">
        <v>3048</v>
      </c>
      <c r="D672" s="16">
        <v>0</v>
      </c>
      <c r="E672" s="2" t="str">
        <f t="shared" si="14"/>
        <v>Non Significant</v>
      </c>
    </row>
    <row r="673" spans="3:5">
      <c r="C673" s="15" t="s">
        <v>3873</v>
      </c>
      <c r="D673" s="16">
        <v>0</v>
      </c>
      <c r="E673" s="2" t="str">
        <f t="shared" si="14"/>
        <v>Non Significant</v>
      </c>
    </row>
    <row r="674" spans="3:5">
      <c r="C674" s="15" t="s">
        <v>3051</v>
      </c>
      <c r="D674" s="16">
        <v>0</v>
      </c>
      <c r="E674" s="2" t="str">
        <f t="shared" si="14"/>
        <v>Non Significant</v>
      </c>
    </row>
    <row r="675" spans="3:5">
      <c r="C675" s="15" t="s">
        <v>3437</v>
      </c>
      <c r="D675" s="16">
        <v>0</v>
      </c>
      <c r="E675" s="2" t="str">
        <f t="shared" si="14"/>
        <v>Non Significant</v>
      </c>
    </row>
    <row r="676" spans="3:5">
      <c r="C676" s="15" t="s">
        <v>4394</v>
      </c>
      <c r="D676" s="16">
        <v>0</v>
      </c>
      <c r="E676" s="2" t="str">
        <f t="shared" si="14"/>
        <v>Non Significant</v>
      </c>
    </row>
    <row r="677" spans="3:5">
      <c r="C677" s="15" t="s">
        <v>4395</v>
      </c>
      <c r="D677" s="16">
        <v>0</v>
      </c>
      <c r="E677" s="2" t="str">
        <f t="shared" si="14"/>
        <v>Non Significant</v>
      </c>
    </row>
    <row r="678" spans="3:5">
      <c r="C678" s="15" t="s">
        <v>3036</v>
      </c>
      <c r="D678" s="16">
        <v>0</v>
      </c>
      <c r="E678" s="2" t="str">
        <f t="shared" si="14"/>
        <v>Non Significant</v>
      </c>
    </row>
    <row r="679" spans="3:5">
      <c r="C679" s="15" t="s">
        <v>4396</v>
      </c>
      <c r="D679" s="16">
        <v>0</v>
      </c>
      <c r="E679" s="2" t="str">
        <f t="shared" si="14"/>
        <v>Non Significant</v>
      </c>
    </row>
    <row r="680" spans="3:5">
      <c r="C680" s="15" t="s">
        <v>3039</v>
      </c>
      <c r="D680" s="16">
        <v>0</v>
      </c>
      <c r="E680" s="2" t="str">
        <f t="shared" si="14"/>
        <v>Non Significant</v>
      </c>
    </row>
    <row r="681" spans="3:5">
      <c r="C681" s="15" t="s">
        <v>3432</v>
      </c>
      <c r="D681" s="16">
        <v>0</v>
      </c>
      <c r="E681" s="2" t="str">
        <f t="shared" si="14"/>
        <v>Non Significant</v>
      </c>
    </row>
    <row r="682" spans="3:5">
      <c r="C682" s="15" t="s">
        <v>4397</v>
      </c>
      <c r="D682" s="16">
        <v>0</v>
      </c>
      <c r="E682" s="2" t="str">
        <f t="shared" si="14"/>
        <v>Non Significant</v>
      </c>
    </row>
    <row r="683" spans="3:5">
      <c r="C683" s="15" t="s">
        <v>3435</v>
      </c>
      <c r="D683" s="16">
        <v>0</v>
      </c>
      <c r="E683" s="2" t="str">
        <f t="shared" si="14"/>
        <v>Non Significant</v>
      </c>
    </row>
    <row r="684" spans="3:5">
      <c r="C684" s="15" t="s">
        <v>4140</v>
      </c>
      <c r="D684" s="16">
        <v>0</v>
      </c>
      <c r="E684" s="2" t="str">
        <f t="shared" si="14"/>
        <v>Non Significant</v>
      </c>
    </row>
    <row r="685" spans="3:5">
      <c r="C685" s="15" t="s">
        <v>2091</v>
      </c>
      <c r="D685" s="16">
        <v>0</v>
      </c>
      <c r="E685" s="2" t="str">
        <f t="shared" si="14"/>
        <v>Non Significant</v>
      </c>
    </row>
    <row r="686" spans="3:5">
      <c r="C686" s="15" t="s">
        <v>3360</v>
      </c>
      <c r="D686" s="16">
        <v>0</v>
      </c>
      <c r="E686" s="2" t="str">
        <f t="shared" si="14"/>
        <v>Non Significant</v>
      </c>
    </row>
    <row r="687" spans="3:5">
      <c r="C687" s="15" t="s">
        <v>2085</v>
      </c>
      <c r="D687" s="16">
        <v>0</v>
      </c>
      <c r="E687" s="2" t="str">
        <f t="shared" si="14"/>
        <v>Non Significant</v>
      </c>
    </row>
    <row r="688" spans="3:5">
      <c r="C688" s="15" t="s">
        <v>3358</v>
      </c>
      <c r="D688" s="16">
        <v>0</v>
      </c>
      <c r="E688" s="2" t="str">
        <f t="shared" si="14"/>
        <v>Non Significant</v>
      </c>
    </row>
    <row r="689" spans="3:5">
      <c r="C689" s="15" t="s">
        <v>2089</v>
      </c>
      <c r="D689" s="16">
        <v>0</v>
      </c>
      <c r="E689" s="2" t="str">
        <f t="shared" si="14"/>
        <v>Non Significant</v>
      </c>
    </row>
    <row r="690" spans="3:5">
      <c r="C690" s="15" t="s">
        <v>3345</v>
      </c>
      <c r="D690" s="16">
        <v>0</v>
      </c>
      <c r="E690" s="2" t="str">
        <f t="shared" si="14"/>
        <v>Non Significant</v>
      </c>
    </row>
    <row r="691" spans="3:5">
      <c r="C691" s="15" t="s">
        <v>4398</v>
      </c>
      <c r="D691" s="16">
        <v>0</v>
      </c>
      <c r="E691" s="2" t="str">
        <f t="shared" si="14"/>
        <v>Non Significant</v>
      </c>
    </row>
    <row r="692" spans="3:5">
      <c r="C692" s="15" t="s">
        <v>2991</v>
      </c>
      <c r="D692" s="16">
        <v>0</v>
      </c>
      <c r="E692" s="2" t="str">
        <f t="shared" si="14"/>
        <v>Non Significant</v>
      </c>
    </row>
    <row r="693" spans="3:5">
      <c r="C693" s="15" t="s">
        <v>4399</v>
      </c>
      <c r="D693" s="16">
        <v>0</v>
      </c>
      <c r="E693" s="2" t="str">
        <f t="shared" si="14"/>
        <v>Non Significant</v>
      </c>
    </row>
    <row r="694" spans="3:5">
      <c r="C694" s="15" t="s">
        <v>2989</v>
      </c>
      <c r="D694" s="16">
        <v>0</v>
      </c>
      <c r="E694" s="2" t="str">
        <f t="shared" si="14"/>
        <v>Non Significant</v>
      </c>
    </row>
    <row r="695" spans="3:5">
      <c r="C695" s="15" t="s">
        <v>3204</v>
      </c>
      <c r="D695" s="16">
        <v>0</v>
      </c>
      <c r="E695" s="2" t="str">
        <f t="shared" si="14"/>
        <v>Non Significant</v>
      </c>
    </row>
    <row r="696" spans="3:5">
      <c r="C696" s="15" t="s">
        <v>3973</v>
      </c>
      <c r="D696" s="16">
        <v>0</v>
      </c>
      <c r="E696" s="2" t="str">
        <f t="shared" si="14"/>
        <v>Non Significant</v>
      </c>
    </row>
    <row r="697" spans="3:5">
      <c r="C697" s="15" t="s">
        <v>3141</v>
      </c>
      <c r="D697" s="16">
        <v>0</v>
      </c>
      <c r="E697" s="2" t="str">
        <f t="shared" si="14"/>
        <v>Non Significant</v>
      </c>
    </row>
    <row r="698" spans="3:5">
      <c r="C698" s="15" t="s">
        <v>4400</v>
      </c>
      <c r="D698" s="16">
        <v>0</v>
      </c>
      <c r="E698" s="2" t="str">
        <f t="shared" si="14"/>
        <v>Non Significant</v>
      </c>
    </row>
    <row r="699" spans="3:5">
      <c r="C699" s="15" t="s">
        <v>4401</v>
      </c>
      <c r="D699" s="16">
        <v>0</v>
      </c>
      <c r="E699" s="2" t="str">
        <f t="shared" si="14"/>
        <v>Non Significant</v>
      </c>
    </row>
    <row r="700" spans="3:5">
      <c r="C700" s="15" t="s">
        <v>4402</v>
      </c>
      <c r="D700" s="16">
        <v>0</v>
      </c>
      <c r="E700" s="2" t="str">
        <f t="shared" si="14"/>
        <v>Non Significant</v>
      </c>
    </row>
    <row r="701" spans="3:5">
      <c r="C701" s="15" t="s">
        <v>3776</v>
      </c>
      <c r="D701" s="16">
        <v>0</v>
      </c>
      <c r="E701" s="2" t="str">
        <f t="shared" si="14"/>
        <v>Non Significant</v>
      </c>
    </row>
    <row r="702" spans="3:5">
      <c r="C702" s="15" t="s">
        <v>4403</v>
      </c>
      <c r="D702" s="16">
        <v>0</v>
      </c>
      <c r="E702" s="2" t="str">
        <f t="shared" si="14"/>
        <v>Non Significant</v>
      </c>
    </row>
    <row r="703" spans="3:5">
      <c r="C703" s="15" t="s">
        <v>3783</v>
      </c>
      <c r="D703" s="16">
        <v>0</v>
      </c>
      <c r="E703" s="2" t="str">
        <f t="shared" si="14"/>
        <v>Non Significant</v>
      </c>
    </row>
    <row r="704" spans="3:5">
      <c r="C704" s="15" t="s">
        <v>3183</v>
      </c>
      <c r="D704" s="16">
        <v>0</v>
      </c>
      <c r="E704" s="2" t="str">
        <f t="shared" si="14"/>
        <v>Non Significant</v>
      </c>
    </row>
    <row r="705" spans="3:5">
      <c r="C705" s="15" t="s">
        <v>3762</v>
      </c>
      <c r="D705" s="16">
        <v>0</v>
      </c>
      <c r="E705" s="2" t="str">
        <f t="shared" si="14"/>
        <v>Non Significant</v>
      </c>
    </row>
    <row r="706" spans="3:5">
      <c r="C706" s="15" t="s">
        <v>3072</v>
      </c>
      <c r="D706" s="16">
        <v>0</v>
      </c>
      <c r="E706" s="2" t="str">
        <f t="shared" si="14"/>
        <v>Non Significant</v>
      </c>
    </row>
    <row r="707" spans="3:5">
      <c r="C707" s="15" t="s">
        <v>4007</v>
      </c>
      <c r="D707" s="16">
        <v>0</v>
      </c>
      <c r="E707" s="2" t="str">
        <f t="shared" si="14"/>
        <v>Non Significant</v>
      </c>
    </row>
    <row r="708" spans="3:5">
      <c r="C708" s="15" t="s">
        <v>4404</v>
      </c>
      <c r="D708" s="16">
        <v>0</v>
      </c>
      <c r="E708" s="2" t="str">
        <f t="shared" si="14"/>
        <v>Non Significant</v>
      </c>
    </row>
    <row r="709" spans="3:5">
      <c r="C709" s="15" t="s">
        <v>4405</v>
      </c>
      <c r="D709" s="16">
        <v>0</v>
      </c>
      <c r="E709" s="2" t="str">
        <f t="shared" si="14"/>
        <v>Non Significant</v>
      </c>
    </row>
    <row r="710" spans="3:5">
      <c r="C710" s="15" t="s">
        <v>3192</v>
      </c>
      <c r="D710" s="16">
        <v>0</v>
      </c>
      <c r="E710" s="2" t="str">
        <f t="shared" si="14"/>
        <v>Non Significant</v>
      </c>
    </row>
    <row r="711" spans="3: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>
      <c r="C712" s="15" t="s">
        <v>3078</v>
      </c>
      <c r="D712" s="16">
        <v>0</v>
      </c>
      <c r="E712" s="2" t="str">
        <f t="shared" si="15"/>
        <v>Non Significant</v>
      </c>
    </row>
    <row r="713" spans="3:5">
      <c r="C713" s="15" t="s">
        <v>1833</v>
      </c>
      <c r="D713" s="16">
        <v>0</v>
      </c>
      <c r="E713" s="2" t="str">
        <f t="shared" si="15"/>
        <v>Non Significant</v>
      </c>
    </row>
    <row r="714" spans="3:5">
      <c r="C714" s="15" t="s">
        <v>3081</v>
      </c>
      <c r="D714" s="16">
        <v>0</v>
      </c>
      <c r="E714" s="2" t="str">
        <f t="shared" si="15"/>
        <v>Non Significant</v>
      </c>
    </row>
    <row r="715" spans="3:5">
      <c r="C715" s="15" t="s">
        <v>1880</v>
      </c>
      <c r="D715" s="16">
        <v>0</v>
      </c>
      <c r="E715" s="2" t="str">
        <f t="shared" si="15"/>
        <v>Non Significant</v>
      </c>
    </row>
    <row r="716" spans="3:5">
      <c r="C716" s="15" t="s">
        <v>4406</v>
      </c>
      <c r="D716" s="16">
        <v>0</v>
      </c>
      <c r="E716" s="2" t="str">
        <f t="shared" si="15"/>
        <v>Non Significant</v>
      </c>
    </row>
    <row r="717" spans="3:5">
      <c r="C717" s="15" t="s">
        <v>1878</v>
      </c>
      <c r="D717" s="16">
        <v>0</v>
      </c>
      <c r="E717" s="2" t="str">
        <f t="shared" si="15"/>
        <v>Non Significant</v>
      </c>
    </row>
    <row r="718" spans="3:5">
      <c r="C718" s="15" t="s">
        <v>4407</v>
      </c>
      <c r="D718" s="16">
        <v>0</v>
      </c>
      <c r="E718" s="2" t="str">
        <f t="shared" si="15"/>
        <v>Non Significant</v>
      </c>
    </row>
    <row r="719" spans="3:5">
      <c r="C719" s="15" t="s">
        <v>4408</v>
      </c>
      <c r="D719" s="16">
        <v>0</v>
      </c>
      <c r="E719" s="2" t="str">
        <f t="shared" si="15"/>
        <v>Non Significant</v>
      </c>
    </row>
    <row r="720" spans="3:5">
      <c r="C720" s="15" t="s">
        <v>4409</v>
      </c>
      <c r="D720" s="16">
        <v>0</v>
      </c>
      <c r="E720" s="2" t="str">
        <f t="shared" si="15"/>
        <v>Non Significant</v>
      </c>
    </row>
    <row r="721" spans="3:5">
      <c r="C721" s="15" t="s">
        <v>4410</v>
      </c>
      <c r="D721" s="16">
        <v>0</v>
      </c>
      <c r="E721" s="2" t="str">
        <f t="shared" si="15"/>
        <v>Non Significant</v>
      </c>
    </row>
    <row r="722" spans="3:5">
      <c r="C722" s="15" t="s">
        <v>4169</v>
      </c>
      <c r="D722" s="16">
        <v>0</v>
      </c>
      <c r="E722" s="2" t="str">
        <f t="shared" si="15"/>
        <v>Non Significant</v>
      </c>
    </row>
    <row r="723" spans="3:5">
      <c r="C723" s="15" t="s">
        <v>4411</v>
      </c>
      <c r="D723" s="16">
        <v>0</v>
      </c>
      <c r="E723" s="2" t="str">
        <f t="shared" si="15"/>
        <v>Non Significant</v>
      </c>
    </row>
    <row r="724" spans="3:5">
      <c r="C724" s="15" t="s">
        <v>495</v>
      </c>
      <c r="D724" s="16">
        <v>0</v>
      </c>
      <c r="E724" s="2" t="str">
        <f t="shared" si="15"/>
        <v>Non Significant</v>
      </c>
    </row>
    <row r="725" spans="3:5">
      <c r="C725" s="15" t="s">
        <v>4135</v>
      </c>
      <c r="D725" s="16">
        <v>0</v>
      </c>
      <c r="E725" s="2" t="str">
        <f t="shared" si="15"/>
        <v>Non Significant</v>
      </c>
    </row>
    <row r="726" spans="3:5">
      <c r="C726" s="15" t="s">
        <v>440</v>
      </c>
      <c r="D726" s="16">
        <v>0</v>
      </c>
      <c r="E726" s="2" t="str">
        <f t="shared" si="15"/>
        <v>Non Significant</v>
      </c>
    </row>
    <row r="727" spans="3:5">
      <c r="C727" s="15" t="s">
        <v>4412</v>
      </c>
      <c r="D727" s="16">
        <v>0</v>
      </c>
      <c r="E727" s="2" t="str">
        <f t="shared" si="15"/>
        <v>Non Significant</v>
      </c>
    </row>
    <row r="728" spans="3:5">
      <c r="C728" s="15" t="s">
        <v>434</v>
      </c>
      <c r="D728" s="16">
        <v>0</v>
      </c>
      <c r="E728" s="2" t="str">
        <f t="shared" si="15"/>
        <v>Non Significant</v>
      </c>
    </row>
    <row r="729" spans="3:5">
      <c r="C729" s="15" t="s">
        <v>4413</v>
      </c>
      <c r="D729" s="16">
        <v>0</v>
      </c>
      <c r="E729" s="2" t="str">
        <f t="shared" si="15"/>
        <v>Non Significant</v>
      </c>
    </row>
    <row r="730" spans="3:5">
      <c r="C730" s="15" t="s">
        <v>794</v>
      </c>
      <c r="D730" s="16">
        <v>0</v>
      </c>
      <c r="E730" s="2" t="str">
        <f t="shared" si="15"/>
        <v>Non Significant</v>
      </c>
    </row>
    <row r="731" spans="3:5">
      <c r="C731" s="15" t="s">
        <v>4414</v>
      </c>
      <c r="D731" s="16">
        <v>0</v>
      </c>
      <c r="E731" s="2" t="str">
        <f t="shared" si="15"/>
        <v>Non Significant</v>
      </c>
    </row>
    <row r="732" spans="3:5">
      <c r="C732" s="15" t="s">
        <v>4415</v>
      </c>
      <c r="D732" s="16">
        <v>0</v>
      </c>
      <c r="E732" s="2" t="str">
        <f t="shared" si="15"/>
        <v>Non Significant</v>
      </c>
    </row>
    <row r="733" spans="3:5">
      <c r="C733" s="15" t="s">
        <v>2620</v>
      </c>
      <c r="D733" s="16">
        <v>0</v>
      </c>
      <c r="E733" s="2" t="str">
        <f t="shared" si="15"/>
        <v>Non Significant</v>
      </c>
    </row>
    <row r="734" spans="3:5">
      <c r="C734" s="15" t="s">
        <v>847</v>
      </c>
      <c r="D734" s="16">
        <v>0</v>
      </c>
      <c r="E734" s="2" t="str">
        <f t="shared" si="15"/>
        <v>Non Significant</v>
      </c>
    </row>
    <row r="735" spans="3:5">
      <c r="C735" s="15" t="s">
        <v>2315</v>
      </c>
      <c r="D735" s="16">
        <v>0</v>
      </c>
      <c r="E735" s="2" t="str">
        <f t="shared" si="15"/>
        <v>Non Significant</v>
      </c>
    </row>
    <row r="736" spans="3:5">
      <c r="C736" s="15" t="s">
        <v>132</v>
      </c>
      <c r="D736" s="16">
        <v>0</v>
      </c>
      <c r="E736" s="2" t="str">
        <f t="shared" si="15"/>
        <v>Non Significant</v>
      </c>
    </row>
    <row r="737" spans="3:5">
      <c r="C737" s="15" t="s">
        <v>4416</v>
      </c>
      <c r="D737" s="16">
        <v>0</v>
      </c>
      <c r="E737" s="2" t="str">
        <f t="shared" si="15"/>
        <v>Non Significant</v>
      </c>
    </row>
    <row r="738" spans="3:5">
      <c r="C738" s="15" t="s">
        <v>4417</v>
      </c>
      <c r="D738" s="16">
        <v>0</v>
      </c>
      <c r="E738" s="2" t="str">
        <f t="shared" si="15"/>
        <v>Non Significant</v>
      </c>
    </row>
    <row r="739" spans="3:5">
      <c r="C739" s="15" t="s">
        <v>4418</v>
      </c>
      <c r="D739" s="16">
        <v>0</v>
      </c>
      <c r="E739" s="2" t="str">
        <f t="shared" si="15"/>
        <v>Non Significant</v>
      </c>
    </row>
    <row r="740" spans="3:5">
      <c r="C740" s="15" t="s">
        <v>4419</v>
      </c>
      <c r="D740" s="16">
        <v>0</v>
      </c>
      <c r="E740" s="2" t="str">
        <f t="shared" si="15"/>
        <v>Non Significant</v>
      </c>
    </row>
    <row r="741" spans="3:5">
      <c r="C741" s="15" t="s">
        <v>4420</v>
      </c>
      <c r="D741" s="16">
        <v>0</v>
      </c>
      <c r="E741" s="2" t="str">
        <f t="shared" si="15"/>
        <v>Non Significant</v>
      </c>
    </row>
    <row r="742" spans="3:5">
      <c r="C742" s="15" t="s">
        <v>4421</v>
      </c>
      <c r="D742" s="16">
        <v>0</v>
      </c>
      <c r="E742" s="2" t="str">
        <f t="shared" si="15"/>
        <v>Non Significant</v>
      </c>
    </row>
    <row r="743" spans="3:5">
      <c r="C743" s="15" t="s">
        <v>4422</v>
      </c>
      <c r="D743" s="16">
        <v>0</v>
      </c>
      <c r="E743" s="2" t="str">
        <f t="shared" si="15"/>
        <v>Non Significant</v>
      </c>
    </row>
    <row r="744" spans="3:5">
      <c r="C744" s="15" t="s">
        <v>1013</v>
      </c>
      <c r="D744" s="16">
        <v>0</v>
      </c>
      <c r="E744" s="2" t="str">
        <f t="shared" si="15"/>
        <v>Non Significant</v>
      </c>
    </row>
    <row r="745" spans="3:5">
      <c r="C745" s="15" t="s">
        <v>558</v>
      </c>
      <c r="D745" s="16">
        <v>0</v>
      </c>
      <c r="E745" s="2" t="str">
        <f t="shared" si="15"/>
        <v>Non Significant</v>
      </c>
    </row>
    <row r="746" spans="3:5">
      <c r="C746" s="15" t="s">
        <v>4423</v>
      </c>
      <c r="D746" s="16">
        <v>0</v>
      </c>
      <c r="E746" s="2" t="str">
        <f t="shared" si="15"/>
        <v>Non Significant</v>
      </c>
    </row>
    <row r="747" spans="3:5">
      <c r="C747" s="15" t="s">
        <v>4424</v>
      </c>
      <c r="D747" s="16">
        <v>0</v>
      </c>
      <c r="E747" s="2" t="str">
        <f t="shared" si="15"/>
        <v>Non Significant</v>
      </c>
    </row>
    <row r="748" spans="3:5">
      <c r="C748" s="15" t="s">
        <v>4425</v>
      </c>
      <c r="D748" s="16">
        <v>0</v>
      </c>
      <c r="E748" s="2" t="str">
        <f t="shared" si="15"/>
        <v>Non Significant</v>
      </c>
    </row>
    <row r="749" spans="3:5">
      <c r="C749" s="15" t="s">
        <v>4426</v>
      </c>
      <c r="D749" s="16">
        <v>0</v>
      </c>
      <c r="E749" s="2" t="str">
        <f t="shared" si="15"/>
        <v>Non Significant</v>
      </c>
    </row>
    <row r="750" spans="3:5">
      <c r="C750" s="15" t="s">
        <v>4427</v>
      </c>
      <c r="D750" s="16">
        <v>0</v>
      </c>
      <c r="E750" s="2" t="str">
        <f t="shared" si="15"/>
        <v>Non Significant</v>
      </c>
    </row>
    <row r="751" spans="3:5">
      <c r="C751" s="15" t="s">
        <v>3946</v>
      </c>
      <c r="D751" s="16">
        <v>0</v>
      </c>
      <c r="E751" s="2" t="str">
        <f t="shared" si="15"/>
        <v>Non Significant</v>
      </c>
    </row>
    <row r="752" spans="3:5">
      <c r="C752" s="15" t="s">
        <v>4428</v>
      </c>
      <c r="D752" s="16">
        <v>0</v>
      </c>
      <c r="E752" s="2" t="str">
        <f t="shared" si="15"/>
        <v>Non Significant</v>
      </c>
    </row>
    <row r="753" spans="3:5">
      <c r="C753" s="15" t="s">
        <v>2184</v>
      </c>
      <c r="D753" s="16">
        <v>0</v>
      </c>
      <c r="E753" s="2" t="str">
        <f t="shared" si="15"/>
        <v>Non Significant</v>
      </c>
    </row>
    <row r="754" spans="3:5">
      <c r="C754" s="15" t="s">
        <v>4429</v>
      </c>
      <c r="D754" s="16">
        <v>0</v>
      </c>
      <c r="E754" s="2" t="str">
        <f t="shared" si="15"/>
        <v>Non Significant</v>
      </c>
    </row>
    <row r="755" spans="3:5">
      <c r="C755" s="15" t="s">
        <v>4430</v>
      </c>
      <c r="D755" s="16">
        <v>0</v>
      </c>
      <c r="E755" s="2" t="str">
        <f t="shared" si="15"/>
        <v>Non Significant</v>
      </c>
    </row>
    <row r="756" spans="3:5">
      <c r="C756" s="15" t="s">
        <v>800</v>
      </c>
      <c r="D756" s="16">
        <v>0</v>
      </c>
      <c r="E756" s="2" t="str">
        <f t="shared" si="15"/>
        <v>Non Significant</v>
      </c>
    </row>
    <row r="757" spans="3:5">
      <c r="C757" s="15" t="s">
        <v>2717</v>
      </c>
      <c r="D757" s="16">
        <v>0</v>
      </c>
      <c r="E757" s="2" t="str">
        <f t="shared" si="15"/>
        <v>Non Significant</v>
      </c>
    </row>
    <row r="758" spans="3:5">
      <c r="C758" s="15" t="s">
        <v>2483</v>
      </c>
      <c r="D758" s="16">
        <v>0</v>
      </c>
      <c r="E758" s="2" t="str">
        <f t="shared" si="15"/>
        <v>Non Significant</v>
      </c>
    </row>
    <row r="759" spans="3:5">
      <c r="C759" s="15" t="s">
        <v>4431</v>
      </c>
      <c r="D759" s="16">
        <v>0</v>
      </c>
      <c r="E759" s="2" t="str">
        <f t="shared" si="15"/>
        <v>Non Significant</v>
      </c>
    </row>
    <row r="760" spans="3:5">
      <c r="C760" s="15" t="s">
        <v>2486</v>
      </c>
      <c r="D760" s="16">
        <v>0</v>
      </c>
      <c r="E760" s="2" t="str">
        <f t="shared" si="15"/>
        <v>Non Significant</v>
      </c>
    </row>
    <row r="761" spans="3:5">
      <c r="C761" s="15" t="s">
        <v>4432</v>
      </c>
      <c r="D761" s="16">
        <v>0</v>
      </c>
      <c r="E761" s="2" t="str">
        <f t="shared" si="15"/>
        <v>Non Significant</v>
      </c>
    </row>
    <row r="762" spans="3:5">
      <c r="C762" s="15" t="s">
        <v>2480</v>
      </c>
      <c r="D762" s="16">
        <v>0</v>
      </c>
      <c r="E762" s="2" t="str">
        <f t="shared" si="15"/>
        <v>Non Significant</v>
      </c>
    </row>
    <row r="763" spans="3:5">
      <c r="C763" s="15" t="s">
        <v>4433</v>
      </c>
      <c r="D763" s="16">
        <v>0</v>
      </c>
      <c r="E763" s="2" t="str">
        <f t="shared" si="15"/>
        <v>Non Significant</v>
      </c>
    </row>
    <row r="764" spans="3:5">
      <c r="C764" s="15" t="s">
        <v>2477</v>
      </c>
      <c r="D764" s="16">
        <v>0</v>
      </c>
      <c r="E764" s="2" t="str">
        <f t="shared" si="15"/>
        <v>Non Significant</v>
      </c>
    </row>
    <row r="765" spans="3:5">
      <c r="C765" s="15" t="s">
        <v>4434</v>
      </c>
      <c r="D765" s="16">
        <v>0</v>
      </c>
      <c r="E765" s="2" t="str">
        <f t="shared" si="15"/>
        <v>Non Significant</v>
      </c>
    </row>
    <row r="766" spans="3:5">
      <c r="C766" s="15" t="s">
        <v>624</v>
      </c>
      <c r="D766" s="16">
        <v>0</v>
      </c>
      <c r="E766" s="2" t="str">
        <f t="shared" si="15"/>
        <v>Non Significant</v>
      </c>
    </row>
    <row r="767" spans="3:5">
      <c r="C767" s="15" t="s">
        <v>4435</v>
      </c>
      <c r="D767" s="16">
        <v>0</v>
      </c>
      <c r="E767" s="2" t="str">
        <f t="shared" si="15"/>
        <v>Non Significant</v>
      </c>
    </row>
    <row r="768" spans="3:5">
      <c r="C768" s="15" t="s">
        <v>798</v>
      </c>
      <c r="D768" s="16">
        <v>0</v>
      </c>
      <c r="E768" s="2" t="str">
        <f t="shared" si="15"/>
        <v>Non Significant</v>
      </c>
    </row>
    <row r="769" spans="3:5">
      <c r="C769" s="15" t="s">
        <v>4436</v>
      </c>
      <c r="D769" s="16">
        <v>0</v>
      </c>
      <c r="E769" s="2" t="str">
        <f t="shared" si="15"/>
        <v>Non Significant</v>
      </c>
    </row>
    <row r="770" spans="3:5">
      <c r="C770" s="15" t="s">
        <v>620</v>
      </c>
      <c r="D770" s="16">
        <v>0</v>
      </c>
      <c r="E770" s="2" t="str">
        <f t="shared" si="15"/>
        <v>Non Significant</v>
      </c>
    </row>
    <row r="771" spans="3:5">
      <c r="C771" s="15" t="s">
        <v>4437</v>
      </c>
      <c r="D771" s="16">
        <v>0</v>
      </c>
      <c r="E771" s="2" t="str">
        <f t="shared" si="15"/>
        <v>Non Significant</v>
      </c>
    </row>
    <row r="772" spans="3:5">
      <c r="C772" s="15" t="s">
        <v>828</v>
      </c>
      <c r="D772" s="16">
        <v>0</v>
      </c>
      <c r="E772" s="2" t="str">
        <f t="shared" si="15"/>
        <v>Non Significant</v>
      </c>
    </row>
    <row r="773" spans="3:5">
      <c r="C773" s="15" t="s">
        <v>4438</v>
      </c>
      <c r="D773" s="16">
        <v>0</v>
      </c>
      <c r="E773" s="2" t="str">
        <f t="shared" si="15"/>
        <v>Non Significant</v>
      </c>
    </row>
    <row r="774" spans="3:5">
      <c r="C774" s="15" t="s">
        <v>4439</v>
      </c>
      <c r="D774" s="16">
        <v>0</v>
      </c>
      <c r="E774" s="2" t="str">
        <f t="shared" si="15"/>
        <v>Non Significant</v>
      </c>
    </row>
    <row r="775" spans="3: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>
      <c r="C776" s="15" t="s">
        <v>4441</v>
      </c>
      <c r="D776" s="16">
        <v>0</v>
      </c>
      <c r="E776" s="2" t="str">
        <f t="shared" si="16"/>
        <v>Non Significant</v>
      </c>
    </row>
    <row r="777" spans="3:5">
      <c r="C777" s="15" t="s">
        <v>229</v>
      </c>
      <c r="D777" s="16">
        <v>0</v>
      </c>
      <c r="E777" s="2" t="str">
        <f t="shared" si="16"/>
        <v>Non Significant</v>
      </c>
    </row>
    <row r="778" spans="3:5">
      <c r="C778" s="15" t="s">
        <v>2433</v>
      </c>
      <c r="D778" s="16">
        <v>0</v>
      </c>
      <c r="E778" s="2" t="str">
        <f t="shared" si="16"/>
        <v>Non Significant</v>
      </c>
    </row>
    <row r="779" spans="3:5">
      <c r="C779" s="15" t="s">
        <v>3727</v>
      </c>
      <c r="D779" s="16">
        <v>0</v>
      </c>
      <c r="E779" s="2" t="str">
        <f t="shared" si="16"/>
        <v>Non Significant</v>
      </c>
    </row>
    <row r="780" spans="3:5">
      <c r="C780" s="15" t="s">
        <v>209</v>
      </c>
      <c r="D780" s="16">
        <v>0</v>
      </c>
      <c r="E780" s="2" t="str">
        <f t="shared" si="16"/>
        <v>Non Significant</v>
      </c>
    </row>
    <row r="781" spans="3:5">
      <c r="C781" s="15" t="s">
        <v>4442</v>
      </c>
      <c r="D781" s="16">
        <v>0</v>
      </c>
      <c r="E781" s="2" t="str">
        <f t="shared" si="16"/>
        <v>Non Significant</v>
      </c>
    </row>
    <row r="782" spans="3:5">
      <c r="C782" s="15" t="s">
        <v>2451</v>
      </c>
      <c r="D782" s="16">
        <v>0</v>
      </c>
      <c r="E782" s="2" t="str">
        <f t="shared" si="16"/>
        <v>Non Significant</v>
      </c>
    </row>
    <row r="783" spans="3:5">
      <c r="C783" s="15" t="s">
        <v>2624</v>
      </c>
      <c r="D783" s="16">
        <v>0</v>
      </c>
      <c r="E783" s="2" t="str">
        <f t="shared" si="16"/>
        <v>Non Significant</v>
      </c>
    </row>
    <row r="784" spans="3:5">
      <c r="C784" s="15" t="s">
        <v>2447</v>
      </c>
      <c r="D784" s="16">
        <v>0</v>
      </c>
      <c r="E784" s="2" t="str">
        <f t="shared" si="16"/>
        <v>Non Significant</v>
      </c>
    </row>
    <row r="785" spans="3:5">
      <c r="C785" s="15" t="s">
        <v>4443</v>
      </c>
      <c r="D785" s="16">
        <v>0</v>
      </c>
      <c r="E785" s="2" t="str">
        <f t="shared" si="16"/>
        <v>Non Significant</v>
      </c>
    </row>
    <row r="786" spans="3:5">
      <c r="C786" s="15" t="s">
        <v>930</v>
      </c>
      <c r="D786" s="16">
        <v>0</v>
      </c>
      <c r="E786" s="2" t="str">
        <f t="shared" si="16"/>
        <v>Non Significant</v>
      </c>
    </row>
    <row r="787" spans="3:5">
      <c r="C787" s="15" t="s">
        <v>2178</v>
      </c>
      <c r="D787" s="16">
        <v>0</v>
      </c>
      <c r="E787" s="2" t="str">
        <f t="shared" si="16"/>
        <v>Non Significant</v>
      </c>
    </row>
    <row r="788" spans="3:5">
      <c r="C788" s="15" t="s">
        <v>921</v>
      </c>
      <c r="D788" s="16">
        <v>0</v>
      </c>
      <c r="E788" s="2" t="str">
        <f t="shared" si="16"/>
        <v>Non Significant</v>
      </c>
    </row>
    <row r="789" spans="3:5">
      <c r="C789" s="15" t="s">
        <v>4444</v>
      </c>
      <c r="D789" s="16">
        <v>0</v>
      </c>
      <c r="E789" s="2" t="str">
        <f t="shared" si="16"/>
        <v>Non Significant</v>
      </c>
    </row>
    <row r="790" spans="3:5">
      <c r="C790" s="15" t="s">
        <v>925</v>
      </c>
      <c r="D790" s="16">
        <v>0</v>
      </c>
      <c r="E790" s="2" t="str">
        <f t="shared" si="16"/>
        <v>Non Significant</v>
      </c>
    </row>
    <row r="791" spans="3:5">
      <c r="C791" s="15" t="s">
        <v>3999</v>
      </c>
      <c r="D791" s="16">
        <v>0</v>
      </c>
      <c r="E791" s="2" t="str">
        <f t="shared" si="16"/>
        <v>Non Significant</v>
      </c>
    </row>
    <row r="792" spans="3:5">
      <c r="C792" s="15" t="s">
        <v>928</v>
      </c>
      <c r="D792" s="16">
        <v>0</v>
      </c>
      <c r="E792" s="2" t="str">
        <f t="shared" si="16"/>
        <v>Non Significant</v>
      </c>
    </row>
    <row r="793" spans="3:5">
      <c r="C793" s="15" t="s">
        <v>4445</v>
      </c>
      <c r="D793" s="16">
        <v>0</v>
      </c>
      <c r="E793" s="2" t="str">
        <f t="shared" si="16"/>
        <v>Non Significant</v>
      </c>
    </row>
    <row r="794" spans="3:5">
      <c r="C794" s="15" t="s">
        <v>3959</v>
      </c>
      <c r="D794" s="16">
        <v>0</v>
      </c>
      <c r="E794" s="2" t="str">
        <f t="shared" si="16"/>
        <v>Non Significant</v>
      </c>
    </row>
    <row r="795" spans="3:5">
      <c r="C795" s="15" t="s">
        <v>4446</v>
      </c>
      <c r="D795" s="16">
        <v>0</v>
      </c>
      <c r="E795" s="2" t="str">
        <f t="shared" si="16"/>
        <v>Non Significant</v>
      </c>
    </row>
    <row r="796" spans="3:5">
      <c r="C796" s="15" t="s">
        <v>796</v>
      </c>
      <c r="D796" s="16">
        <v>0</v>
      </c>
      <c r="E796" s="2" t="str">
        <f t="shared" si="16"/>
        <v>Non Significant</v>
      </c>
    </row>
    <row r="797" spans="3:5">
      <c r="C797" s="15" t="s">
        <v>4447</v>
      </c>
      <c r="D797" s="16">
        <v>0</v>
      </c>
      <c r="E797" s="2" t="str">
        <f t="shared" si="16"/>
        <v>Non Significant</v>
      </c>
    </row>
    <row r="798" spans="3:5">
      <c r="C798" s="15" t="s">
        <v>4448</v>
      </c>
      <c r="D798" s="16">
        <v>0</v>
      </c>
      <c r="E798" s="2" t="str">
        <f t="shared" si="16"/>
        <v>Non Significant</v>
      </c>
    </row>
    <row r="799" spans="3:5">
      <c r="C799" s="15" t="s">
        <v>4449</v>
      </c>
      <c r="D799" s="16">
        <v>0</v>
      </c>
      <c r="E799" s="2" t="str">
        <f t="shared" si="16"/>
        <v>Non Significant</v>
      </c>
    </row>
    <row r="800" spans="3:5">
      <c r="C800" s="15" t="s">
        <v>4450</v>
      </c>
      <c r="D800" s="16">
        <v>0</v>
      </c>
      <c r="E800" s="2" t="str">
        <f t="shared" si="16"/>
        <v>Non Significant</v>
      </c>
    </row>
    <row r="801" spans="3:5">
      <c r="C801" s="15" t="s">
        <v>4451</v>
      </c>
      <c r="D801" s="16">
        <v>0</v>
      </c>
      <c r="E801" s="2" t="str">
        <f t="shared" si="16"/>
        <v>Non Significant</v>
      </c>
    </row>
    <row r="802" spans="3:5">
      <c r="C802" s="15" t="s">
        <v>2443</v>
      </c>
      <c r="D802" s="16">
        <v>0</v>
      </c>
      <c r="E802" s="2" t="str">
        <f t="shared" si="16"/>
        <v>Non Significant</v>
      </c>
    </row>
    <row r="803" spans="3:5">
      <c r="C803" s="15" t="s">
        <v>4452</v>
      </c>
      <c r="D803" s="16">
        <v>0</v>
      </c>
      <c r="E803" s="2" t="str">
        <f t="shared" si="16"/>
        <v>Non Significant</v>
      </c>
    </row>
    <row r="804" spans="3:5">
      <c r="C804" s="15" t="s">
        <v>2458</v>
      </c>
      <c r="D804" s="16">
        <v>0</v>
      </c>
      <c r="E804" s="2" t="str">
        <f t="shared" si="16"/>
        <v>Non Significant</v>
      </c>
    </row>
    <row r="805" spans="3:5">
      <c r="C805" s="15" t="s">
        <v>4453</v>
      </c>
      <c r="D805" s="16">
        <v>0</v>
      </c>
      <c r="E805" s="2" t="str">
        <f t="shared" si="16"/>
        <v>Non Significant</v>
      </c>
    </row>
    <row r="806" spans="3:5">
      <c r="C806" s="15" t="s">
        <v>2455</v>
      </c>
      <c r="D806" s="16">
        <v>0</v>
      </c>
      <c r="E806" s="2" t="str">
        <f t="shared" si="16"/>
        <v>Non Significant</v>
      </c>
    </row>
    <row r="807" spans="3:5">
      <c r="C807" s="15" t="s">
        <v>4454</v>
      </c>
      <c r="D807" s="16">
        <v>0</v>
      </c>
      <c r="E807" s="2" t="str">
        <f t="shared" si="16"/>
        <v>Non Significant</v>
      </c>
    </row>
    <row r="808" spans="3:5">
      <c r="C808" s="15" t="s">
        <v>2453</v>
      </c>
      <c r="D808" s="16">
        <v>0</v>
      </c>
      <c r="E808" s="2" t="str">
        <f t="shared" si="16"/>
        <v>Non Significant</v>
      </c>
    </row>
    <row r="809" spans="3:5">
      <c r="C809" s="15" t="s">
        <v>4455</v>
      </c>
      <c r="D809" s="16">
        <v>0</v>
      </c>
      <c r="E809" s="2" t="str">
        <f t="shared" si="16"/>
        <v>Non Significant</v>
      </c>
    </row>
    <row r="810" spans="3:5">
      <c r="C810" s="15" t="s">
        <v>942</v>
      </c>
      <c r="D810" s="16">
        <v>0</v>
      </c>
      <c r="E810" s="2" t="str">
        <f t="shared" si="16"/>
        <v>Non Significant</v>
      </c>
    </row>
    <row r="811" spans="3:5">
      <c r="C811" s="15" t="s">
        <v>3231</v>
      </c>
      <c r="D811" s="16">
        <v>0</v>
      </c>
      <c r="E811" s="2" t="str">
        <f t="shared" si="16"/>
        <v>Non Significant</v>
      </c>
    </row>
    <row r="812" spans="3:5">
      <c r="C812" s="15" t="s">
        <v>933</v>
      </c>
      <c r="D812" s="16">
        <v>0</v>
      </c>
      <c r="E812" s="2" t="str">
        <f t="shared" si="16"/>
        <v>Non Significant</v>
      </c>
    </row>
    <row r="813" spans="3:5">
      <c r="C813" s="15" t="s">
        <v>3633</v>
      </c>
      <c r="D813" s="16">
        <v>0</v>
      </c>
      <c r="E813" s="2" t="str">
        <f t="shared" si="16"/>
        <v>Non Significant</v>
      </c>
    </row>
    <row r="814" spans="3:5">
      <c r="C814" s="15" t="s">
        <v>937</v>
      </c>
      <c r="D814" s="16">
        <v>0</v>
      </c>
      <c r="E814" s="2" t="str">
        <f t="shared" si="16"/>
        <v>Non Significant</v>
      </c>
    </row>
    <row r="815" spans="3:5">
      <c r="C815" s="15" t="s">
        <v>4456</v>
      </c>
      <c r="D815" s="16">
        <v>0</v>
      </c>
      <c r="E815" s="2" t="str">
        <f t="shared" si="16"/>
        <v>Non Significant</v>
      </c>
    </row>
    <row r="816" spans="3:5">
      <c r="C816" s="15" t="s">
        <v>940</v>
      </c>
      <c r="D816" s="16">
        <v>0</v>
      </c>
      <c r="E816" s="2" t="str">
        <f t="shared" si="16"/>
        <v>Non Significant</v>
      </c>
    </row>
    <row r="817" spans="3:5">
      <c r="C817" s="15" t="s">
        <v>4457</v>
      </c>
      <c r="D817" s="16">
        <v>0</v>
      </c>
      <c r="E817" s="2" t="str">
        <f t="shared" si="16"/>
        <v>Non Significant</v>
      </c>
    </row>
    <row r="818" spans="3:5">
      <c r="C818" s="15" t="s">
        <v>2422</v>
      </c>
      <c r="D818" s="16">
        <v>0</v>
      </c>
      <c r="E818" s="2" t="str">
        <f t="shared" si="16"/>
        <v>Non Significant</v>
      </c>
    </row>
    <row r="819" spans="3:5">
      <c r="C819" s="15" t="s">
        <v>4458</v>
      </c>
      <c r="D819" s="16">
        <v>0</v>
      </c>
      <c r="E819" s="2" t="str">
        <f t="shared" si="16"/>
        <v>Non Significant</v>
      </c>
    </row>
    <row r="820" spans="3:5">
      <c r="C820" s="15" t="s">
        <v>4459</v>
      </c>
      <c r="D820" s="16">
        <v>0</v>
      </c>
      <c r="E820" s="2" t="str">
        <f t="shared" si="16"/>
        <v>Non Significant</v>
      </c>
    </row>
    <row r="821" spans="3:5">
      <c r="C821" s="15" t="s">
        <v>3598</v>
      </c>
      <c r="D821" s="16">
        <v>0</v>
      </c>
      <c r="E821" s="2" t="str">
        <f t="shared" si="16"/>
        <v>Non Significant</v>
      </c>
    </row>
    <row r="822" spans="3:5">
      <c r="C822" s="15" t="s">
        <v>2416</v>
      </c>
      <c r="D822" s="16">
        <v>0</v>
      </c>
      <c r="E822" s="2" t="str">
        <f t="shared" si="16"/>
        <v>Non Significant</v>
      </c>
    </row>
    <row r="823" spans="3:5">
      <c r="C823" s="15" t="s">
        <v>4460</v>
      </c>
      <c r="D823" s="16">
        <v>0</v>
      </c>
      <c r="E823" s="2" t="str">
        <f t="shared" si="16"/>
        <v>Non Significant</v>
      </c>
    </row>
    <row r="824" spans="3:5">
      <c r="C824" s="15" t="s">
        <v>2420</v>
      </c>
      <c r="D824" s="16">
        <v>0</v>
      </c>
      <c r="E824" s="2" t="str">
        <f t="shared" si="16"/>
        <v>Non Significant</v>
      </c>
    </row>
    <row r="825" spans="3:5">
      <c r="C825" s="15" t="s">
        <v>4461</v>
      </c>
      <c r="D825" s="16">
        <v>0</v>
      </c>
      <c r="E825" s="2" t="str">
        <f t="shared" si="16"/>
        <v>Non Significant</v>
      </c>
    </row>
    <row r="826" spans="3:5">
      <c r="C826" s="15" t="s">
        <v>2530</v>
      </c>
      <c r="D826" s="16">
        <v>0</v>
      </c>
      <c r="E826" s="2" t="str">
        <f t="shared" si="16"/>
        <v>Non Significant</v>
      </c>
    </row>
    <row r="827" spans="3:5">
      <c r="C827" s="15" t="s">
        <v>4462</v>
      </c>
      <c r="D827" s="16">
        <v>0</v>
      </c>
      <c r="E827" s="2" t="str">
        <f t="shared" si="16"/>
        <v>Non Significant</v>
      </c>
    </row>
    <row r="828" spans="3:5">
      <c r="C828" s="15" t="s">
        <v>2524</v>
      </c>
      <c r="D828" s="16">
        <v>0</v>
      </c>
      <c r="E828" s="2" t="str">
        <f t="shared" si="16"/>
        <v>Non Significant</v>
      </c>
    </row>
    <row r="829" spans="3:5">
      <c r="C829" s="15" t="s">
        <v>128</v>
      </c>
      <c r="D829" s="16">
        <v>0</v>
      </c>
      <c r="E829" s="2" t="str">
        <f t="shared" si="16"/>
        <v>Non Significant</v>
      </c>
    </row>
    <row r="830" spans="3:5">
      <c r="C830" s="15" t="s">
        <v>4463</v>
      </c>
      <c r="D830" s="16">
        <v>0</v>
      </c>
      <c r="E830" s="2" t="str">
        <f t="shared" si="16"/>
        <v>Non Significant</v>
      </c>
    </row>
    <row r="831" spans="3:5">
      <c r="C831" s="15" t="s">
        <v>4464</v>
      </c>
      <c r="D831" s="16">
        <v>0</v>
      </c>
      <c r="E831" s="2" t="str">
        <f t="shared" si="16"/>
        <v>Non Significant</v>
      </c>
    </row>
    <row r="832" spans="3:5">
      <c r="C832" s="15" t="s">
        <v>497</v>
      </c>
      <c r="D832" s="16">
        <v>0</v>
      </c>
      <c r="E832" s="2" t="str">
        <f t="shared" si="16"/>
        <v>Non Significant</v>
      </c>
    </row>
    <row r="833" spans="3:5">
      <c r="C833" s="15" t="s">
        <v>4465</v>
      </c>
      <c r="D833" s="16">
        <v>0</v>
      </c>
      <c r="E833" s="2" t="str">
        <f t="shared" si="16"/>
        <v>Non Significant</v>
      </c>
    </row>
    <row r="834" spans="3:5">
      <c r="C834" s="15" t="s">
        <v>2515</v>
      </c>
      <c r="D834" s="16">
        <v>0</v>
      </c>
      <c r="E834" s="2" t="str">
        <f t="shared" si="16"/>
        <v>Non Significant</v>
      </c>
    </row>
    <row r="835" spans="3:5">
      <c r="C835" s="15" t="s">
        <v>4466</v>
      </c>
      <c r="D835" s="16">
        <v>0</v>
      </c>
      <c r="E835" s="2" t="str">
        <f t="shared" si="16"/>
        <v>Non Significant</v>
      </c>
    </row>
    <row r="836" spans="3:5">
      <c r="C836" s="15" t="s">
        <v>2519</v>
      </c>
      <c r="D836" s="16">
        <v>0</v>
      </c>
      <c r="E836" s="2" t="str">
        <f t="shared" si="16"/>
        <v>Non Significant</v>
      </c>
    </row>
    <row r="837" spans="3:5">
      <c r="C837" s="15" t="s">
        <v>3729</v>
      </c>
      <c r="D837" s="16">
        <v>0</v>
      </c>
      <c r="E837" s="2" t="str">
        <f t="shared" si="16"/>
        <v>Non Significant</v>
      </c>
    </row>
    <row r="838" spans="3:5">
      <c r="C838" s="15" t="s">
        <v>896</v>
      </c>
      <c r="D838" s="16">
        <v>0</v>
      </c>
      <c r="E838" s="2" t="str">
        <f t="shared" si="16"/>
        <v>Non Significant</v>
      </c>
    </row>
    <row r="839" spans="3: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>
      <c r="C840" s="15" t="s">
        <v>891</v>
      </c>
      <c r="D840" s="16">
        <v>0</v>
      </c>
      <c r="E840" s="2" t="str">
        <f t="shared" si="17"/>
        <v>Non Significant</v>
      </c>
    </row>
    <row r="841" spans="3:5">
      <c r="C841" s="15" t="s">
        <v>4467</v>
      </c>
      <c r="D841" s="16">
        <v>0</v>
      </c>
      <c r="E841" s="2" t="str">
        <f t="shared" si="17"/>
        <v>Non Significant</v>
      </c>
    </row>
    <row r="842" spans="3:5">
      <c r="C842" s="15" t="s">
        <v>3980</v>
      </c>
      <c r="D842" s="16">
        <v>0</v>
      </c>
      <c r="E842" s="2" t="str">
        <f t="shared" si="17"/>
        <v>Non Significant</v>
      </c>
    </row>
    <row r="843" spans="3:5">
      <c r="C843" s="15" t="s">
        <v>4468</v>
      </c>
      <c r="D843" s="16">
        <v>0</v>
      </c>
      <c r="E843" s="2" t="str">
        <f t="shared" si="17"/>
        <v>Non Significant</v>
      </c>
    </row>
    <row r="844" spans="3:5">
      <c r="C844" s="15" t="s">
        <v>217</v>
      </c>
      <c r="D844" s="16">
        <v>0</v>
      </c>
      <c r="E844" s="2" t="str">
        <f t="shared" si="17"/>
        <v>Non Significant</v>
      </c>
    </row>
    <row r="845" spans="3:5">
      <c r="C845" s="15" t="s">
        <v>213</v>
      </c>
      <c r="D845" s="16">
        <v>0</v>
      </c>
      <c r="E845" s="2" t="str">
        <f t="shared" si="17"/>
        <v>Non Significant</v>
      </c>
    </row>
    <row r="846" spans="3:5">
      <c r="C846" s="15" t="s">
        <v>4083</v>
      </c>
      <c r="D846" s="16">
        <v>0</v>
      </c>
      <c r="E846" s="2" t="str">
        <f t="shared" si="17"/>
        <v>Non Significant</v>
      </c>
    </row>
    <row r="847" spans="3:5">
      <c r="C847" s="15" t="s">
        <v>4469</v>
      </c>
      <c r="D847" s="16">
        <v>0</v>
      </c>
      <c r="E847" s="2" t="str">
        <f t="shared" si="17"/>
        <v>Non Significant</v>
      </c>
    </row>
    <row r="848" spans="3:5">
      <c r="C848" s="15" t="s">
        <v>4470</v>
      </c>
      <c r="D848" s="16">
        <v>0</v>
      </c>
      <c r="E848" s="2" t="str">
        <f t="shared" si="17"/>
        <v>Non Significant</v>
      </c>
    </row>
    <row r="849" spans="3:5">
      <c r="C849" s="15" t="s">
        <v>4471</v>
      </c>
      <c r="D849" s="16">
        <v>0</v>
      </c>
      <c r="E849" s="2" t="str">
        <f t="shared" si="17"/>
        <v>Non Significant</v>
      </c>
    </row>
    <row r="850" spans="3:5">
      <c r="C850" s="15" t="s">
        <v>4472</v>
      </c>
      <c r="D850" s="16">
        <v>0</v>
      </c>
      <c r="E850" s="2" t="str">
        <f t="shared" si="17"/>
        <v>Non Significant</v>
      </c>
    </row>
    <row r="851" spans="3:5">
      <c r="C851" s="15" t="s">
        <v>513</v>
      </c>
      <c r="D851" s="16">
        <v>0</v>
      </c>
      <c r="E851" s="2" t="str">
        <f t="shared" si="17"/>
        <v>Non Significant</v>
      </c>
    </row>
    <row r="852" spans="3:5">
      <c r="C852" s="15" t="s">
        <v>4473</v>
      </c>
      <c r="D852" s="16">
        <v>0</v>
      </c>
      <c r="E852" s="2" t="str">
        <f t="shared" si="17"/>
        <v>Non Significant</v>
      </c>
    </row>
    <row r="853" spans="3:5">
      <c r="C853" s="15" t="s">
        <v>2311</v>
      </c>
      <c r="D853" s="16">
        <v>0</v>
      </c>
      <c r="E853" s="2" t="str">
        <f t="shared" si="17"/>
        <v>Non Significant</v>
      </c>
    </row>
    <row r="854" spans="3:5">
      <c r="C854" s="15" t="s">
        <v>3945</v>
      </c>
      <c r="D854" s="16">
        <v>0</v>
      </c>
      <c r="E854" s="2" t="str">
        <f t="shared" si="17"/>
        <v>Non Significant</v>
      </c>
    </row>
    <row r="855" spans="3:5">
      <c r="C855" s="15" t="s">
        <v>511</v>
      </c>
      <c r="D855" s="16">
        <v>0</v>
      </c>
      <c r="E855" s="2" t="str">
        <f t="shared" si="17"/>
        <v>Non Significant</v>
      </c>
    </row>
    <row r="856" spans="3:5">
      <c r="C856" s="15" t="s">
        <v>616</v>
      </c>
      <c r="D856" s="16">
        <v>0</v>
      </c>
      <c r="E856" s="2" t="str">
        <f t="shared" si="17"/>
        <v>Non Significant</v>
      </c>
    </row>
    <row r="857" spans="3:5">
      <c r="C857" s="15" t="s">
        <v>2182</v>
      </c>
      <c r="D857" s="16">
        <v>0</v>
      </c>
      <c r="E857" s="2" t="str">
        <f t="shared" si="17"/>
        <v>Non Significant</v>
      </c>
    </row>
    <row r="858" spans="3:5">
      <c r="C858" s="15" t="s">
        <v>4474</v>
      </c>
      <c r="D858" s="16">
        <v>0</v>
      </c>
      <c r="E858" s="2" t="str">
        <f t="shared" si="17"/>
        <v>Non Significant</v>
      </c>
    </row>
    <row r="859" spans="3:5">
      <c r="C859" s="15" t="s">
        <v>4147</v>
      </c>
      <c r="D859" s="16">
        <v>0</v>
      </c>
      <c r="E859" s="2" t="str">
        <f t="shared" si="17"/>
        <v>Non Significant</v>
      </c>
    </row>
    <row r="860" spans="3:5">
      <c r="C860" s="15" t="s">
        <v>4475</v>
      </c>
      <c r="D860" s="16">
        <v>0</v>
      </c>
      <c r="E860" s="2" t="str">
        <f t="shared" si="17"/>
        <v>Non Significant</v>
      </c>
    </row>
    <row r="861" spans="3:5">
      <c r="C861" s="15" t="s">
        <v>4476</v>
      </c>
      <c r="D861" s="16">
        <v>0</v>
      </c>
      <c r="E861" s="2" t="str">
        <f t="shared" si="17"/>
        <v>Non Significant</v>
      </c>
    </row>
    <row r="862" spans="3:5">
      <c r="C862" s="15" t="s">
        <v>918</v>
      </c>
      <c r="D862" s="16">
        <v>0</v>
      </c>
      <c r="E862" s="2" t="str">
        <f t="shared" si="17"/>
        <v>Non Significant</v>
      </c>
    </row>
    <row r="863" spans="3:5">
      <c r="C863" s="15" t="s">
        <v>4477</v>
      </c>
      <c r="D863" s="16">
        <v>0</v>
      </c>
      <c r="E863" s="2" t="str">
        <f t="shared" si="17"/>
        <v>Non Significant</v>
      </c>
    </row>
    <row r="864" spans="3:5">
      <c r="C864" s="15" t="s">
        <v>908</v>
      </c>
      <c r="D864" s="16">
        <v>0</v>
      </c>
      <c r="E864" s="2" t="str">
        <f t="shared" si="17"/>
        <v>Non Significant</v>
      </c>
    </row>
    <row r="865" spans="3:5">
      <c r="C865" s="15" t="s">
        <v>4478</v>
      </c>
      <c r="D865" s="16">
        <v>0</v>
      </c>
      <c r="E865" s="2" t="str">
        <f t="shared" si="17"/>
        <v>Non Significant</v>
      </c>
    </row>
    <row r="866" spans="3:5">
      <c r="C866" s="15" t="s">
        <v>913</v>
      </c>
      <c r="D866" s="16">
        <v>0</v>
      </c>
      <c r="E866" s="2" t="str">
        <f t="shared" si="17"/>
        <v>Non Significant</v>
      </c>
    </row>
    <row r="867" spans="3:5">
      <c r="C867" s="15" t="s">
        <v>3264</v>
      </c>
      <c r="D867" s="16">
        <v>0</v>
      </c>
      <c r="E867" s="2" t="str">
        <f t="shared" si="17"/>
        <v>Non Significant</v>
      </c>
    </row>
    <row r="868" spans="3:5">
      <c r="C868" s="15" t="s">
        <v>4479</v>
      </c>
      <c r="D868" s="16">
        <v>0</v>
      </c>
      <c r="E868" s="2" t="str">
        <f t="shared" si="17"/>
        <v>Non Significant</v>
      </c>
    </row>
    <row r="869" spans="3:5">
      <c r="C869" s="15" t="s">
        <v>2723</v>
      </c>
      <c r="D869" s="16">
        <v>0</v>
      </c>
      <c r="E869" s="2" t="str">
        <f t="shared" si="17"/>
        <v>Non Significant</v>
      </c>
    </row>
    <row r="870" spans="3:5">
      <c r="C870" s="15" t="s">
        <v>4480</v>
      </c>
      <c r="D870" s="16">
        <v>0</v>
      </c>
      <c r="E870" s="2" t="str">
        <f t="shared" si="17"/>
        <v>Non Significant</v>
      </c>
    </row>
    <row r="871" spans="3:5">
      <c r="C871" s="15" t="s">
        <v>4481</v>
      </c>
      <c r="D871" s="16">
        <v>0</v>
      </c>
      <c r="E871" s="2" t="str">
        <f t="shared" si="17"/>
        <v>Non Significant</v>
      </c>
    </row>
    <row r="872" spans="3:5">
      <c r="C872" s="15" t="s">
        <v>632</v>
      </c>
      <c r="D872" s="16">
        <v>0</v>
      </c>
      <c r="E872" s="2" t="str">
        <f t="shared" si="17"/>
        <v>Non Significant</v>
      </c>
    </row>
    <row r="873" spans="3:5">
      <c r="C873" s="15" t="s">
        <v>4482</v>
      </c>
      <c r="D873" s="16">
        <v>0</v>
      </c>
      <c r="E873" s="2" t="str">
        <f t="shared" si="17"/>
        <v>Non Significant</v>
      </c>
    </row>
    <row r="874" spans="3:5">
      <c r="C874" s="15" t="s">
        <v>4483</v>
      </c>
      <c r="D874" s="16">
        <v>0</v>
      </c>
      <c r="E874" s="2" t="str">
        <f t="shared" si="17"/>
        <v>Non Significant</v>
      </c>
    </row>
    <row r="875" spans="3:5">
      <c r="C875" s="15" t="s">
        <v>4484</v>
      </c>
      <c r="D875" s="16">
        <v>0</v>
      </c>
      <c r="E875" s="2" t="str">
        <f t="shared" si="17"/>
        <v>Non Significant</v>
      </c>
    </row>
    <row r="876" spans="3:5">
      <c r="C876" s="15" t="s">
        <v>4485</v>
      </c>
      <c r="D876" s="16">
        <v>0</v>
      </c>
      <c r="E876" s="2" t="str">
        <f t="shared" si="17"/>
        <v>Non Significant</v>
      </c>
    </row>
    <row r="877" spans="3:5">
      <c r="C877" s="15" t="s">
        <v>2721</v>
      </c>
      <c r="D877" s="16">
        <v>0</v>
      </c>
      <c r="E877" s="2" t="str">
        <f t="shared" si="17"/>
        <v>Non Significant</v>
      </c>
    </row>
    <row r="878" spans="3:5">
      <c r="C878" s="15" t="s">
        <v>4486</v>
      </c>
      <c r="D878" s="16">
        <v>0</v>
      </c>
      <c r="E878" s="2" t="str">
        <f t="shared" si="17"/>
        <v>Non Significant</v>
      </c>
    </row>
    <row r="879" spans="3:5">
      <c r="C879" s="15" t="s">
        <v>916</v>
      </c>
      <c r="D879" s="16">
        <v>0</v>
      </c>
      <c r="E879" s="2" t="str">
        <f t="shared" si="17"/>
        <v>Non Significant</v>
      </c>
    </row>
    <row r="880" spans="3:5">
      <c r="C880" s="15" t="s">
        <v>4487</v>
      </c>
      <c r="D880" s="16">
        <v>0</v>
      </c>
      <c r="E880" s="2" t="str">
        <f t="shared" si="17"/>
        <v>Non Significant</v>
      </c>
    </row>
    <row r="881" spans="3:5">
      <c r="C881" s="15" t="s">
        <v>4091</v>
      </c>
      <c r="D881" s="16">
        <v>0</v>
      </c>
      <c r="E881" s="2" t="str">
        <f t="shared" si="17"/>
        <v>Non Significant</v>
      </c>
    </row>
    <row r="882" spans="3:5">
      <c r="C882" s="15" t="s">
        <v>4488</v>
      </c>
      <c r="D882" s="16">
        <v>0</v>
      </c>
      <c r="E882" s="2" t="str">
        <f t="shared" si="17"/>
        <v>Non Significant</v>
      </c>
    </row>
    <row r="883" spans="3:5">
      <c r="C883" s="15" t="s">
        <v>4489</v>
      </c>
      <c r="D883" s="16">
        <v>0</v>
      </c>
      <c r="E883" s="2" t="str">
        <f t="shared" si="17"/>
        <v>Non Significant</v>
      </c>
    </row>
    <row r="884" spans="3:5">
      <c r="C884" s="15" t="s">
        <v>4490</v>
      </c>
      <c r="D884" s="16">
        <v>0</v>
      </c>
      <c r="E884" s="2" t="str">
        <f t="shared" si="17"/>
        <v>Non Significant</v>
      </c>
    </row>
    <row r="885" spans="3:5">
      <c r="C885" s="15" t="s">
        <v>4491</v>
      </c>
      <c r="D885" s="16">
        <v>0</v>
      </c>
      <c r="E885" s="2" t="str">
        <f t="shared" si="17"/>
        <v>Non Significant</v>
      </c>
    </row>
    <row r="886" spans="3:5">
      <c r="C886" s="15" t="s">
        <v>4492</v>
      </c>
      <c r="D886" s="16">
        <v>0</v>
      </c>
      <c r="E886" s="2" t="str">
        <f t="shared" si="17"/>
        <v>Non Significant</v>
      </c>
    </row>
    <row r="887" spans="3:5">
      <c r="C887" s="15" t="s">
        <v>2263</v>
      </c>
      <c r="D887" s="16">
        <v>0</v>
      </c>
      <c r="E887" s="2" t="str">
        <f t="shared" si="17"/>
        <v>Non Significant</v>
      </c>
    </row>
    <row r="888" spans="3:5">
      <c r="C888" s="15" t="s">
        <v>4493</v>
      </c>
      <c r="D888" s="16">
        <v>0</v>
      </c>
      <c r="E888" s="2" t="str">
        <f t="shared" si="17"/>
        <v>Non Significant</v>
      </c>
    </row>
    <row r="889" spans="3:5">
      <c r="C889" s="15" t="s">
        <v>2260</v>
      </c>
      <c r="D889" s="16">
        <v>0</v>
      </c>
      <c r="E889" s="2" t="str">
        <f t="shared" si="17"/>
        <v>Non Significant</v>
      </c>
    </row>
    <row r="890" spans="3:5">
      <c r="C890" s="15" t="s">
        <v>4189</v>
      </c>
      <c r="D890" s="16">
        <v>0</v>
      </c>
      <c r="E890" s="2" t="str">
        <f t="shared" si="17"/>
        <v>Non Significant</v>
      </c>
    </row>
    <row r="891" spans="3:5">
      <c r="C891" s="15" t="s">
        <v>3962</v>
      </c>
      <c r="D891" s="16">
        <v>0</v>
      </c>
      <c r="E891" s="2" t="str">
        <f t="shared" si="17"/>
        <v>Non Significant</v>
      </c>
    </row>
    <row r="892" spans="3:5">
      <c r="C892" s="15" t="s">
        <v>4494</v>
      </c>
      <c r="D892" s="16">
        <v>0</v>
      </c>
      <c r="E892" s="2" t="str">
        <f t="shared" si="17"/>
        <v>Non Significant</v>
      </c>
    </row>
    <row r="893" spans="3:5">
      <c r="C893" s="15" t="s">
        <v>281</v>
      </c>
      <c r="D893" s="16">
        <v>0</v>
      </c>
      <c r="E893" s="2" t="str">
        <f t="shared" si="17"/>
        <v>Non Significant</v>
      </c>
    </row>
    <row r="894" spans="3:5">
      <c r="C894" s="15" t="s">
        <v>4495</v>
      </c>
      <c r="D894" s="16">
        <v>0</v>
      </c>
      <c r="E894" s="2" t="str">
        <f t="shared" si="17"/>
        <v>Non Significant</v>
      </c>
    </row>
    <row r="895" spans="3:5">
      <c r="C895" s="15" t="s">
        <v>4496</v>
      </c>
      <c r="D895" s="16">
        <v>0</v>
      </c>
      <c r="E895" s="2" t="str">
        <f t="shared" si="17"/>
        <v>Non Significant</v>
      </c>
    </row>
    <row r="896" spans="3:5">
      <c r="C896" s="15" t="s">
        <v>4497</v>
      </c>
      <c r="D896" s="16">
        <v>0</v>
      </c>
      <c r="E896" s="2" t="str">
        <f t="shared" si="17"/>
        <v>Non Significant</v>
      </c>
    </row>
    <row r="897" spans="3:5">
      <c r="C897" s="15" t="s">
        <v>4498</v>
      </c>
      <c r="D897" s="16">
        <v>0</v>
      </c>
      <c r="E897" s="2" t="str">
        <f t="shared" si="17"/>
        <v>Non Significant</v>
      </c>
    </row>
    <row r="898" spans="3:5">
      <c r="C898" s="15" t="s">
        <v>4499</v>
      </c>
      <c r="D898" s="16">
        <v>0</v>
      </c>
      <c r="E898" s="2" t="str">
        <f t="shared" si="17"/>
        <v>Non Significant</v>
      </c>
    </row>
    <row r="899" spans="3:5">
      <c r="C899" s="15" t="s">
        <v>4500</v>
      </c>
      <c r="D899" s="16">
        <v>0</v>
      </c>
      <c r="E899" s="2" t="str">
        <f t="shared" si="17"/>
        <v>Non Significant</v>
      </c>
    </row>
    <row r="900" spans="3:5">
      <c r="C900" s="15" t="s">
        <v>4501</v>
      </c>
      <c r="D900" s="16">
        <v>0</v>
      </c>
      <c r="E900" s="2" t="str">
        <f t="shared" si="17"/>
        <v>Non Significant</v>
      </c>
    </row>
    <row r="901" spans="3:5">
      <c r="C901" s="15" t="s">
        <v>225</v>
      </c>
      <c r="D901" s="16">
        <v>0</v>
      </c>
      <c r="E901" s="2" t="str">
        <f t="shared" si="17"/>
        <v>Non Significant</v>
      </c>
    </row>
    <row r="902" spans="3:5">
      <c r="C902" s="15" t="s">
        <v>4502</v>
      </c>
      <c r="D902" s="16">
        <v>0</v>
      </c>
      <c r="E902" s="2" t="str">
        <f t="shared" si="17"/>
        <v>Non Significant</v>
      </c>
    </row>
    <row r="903" spans="3: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>
      <c r="C904" s="15" t="s">
        <v>4503</v>
      </c>
      <c r="D904" s="16">
        <v>0</v>
      </c>
      <c r="E904" s="2" t="str">
        <f t="shared" si="18"/>
        <v>Non Significant</v>
      </c>
    </row>
    <row r="905" spans="3:5">
      <c r="C905" s="15" t="s">
        <v>205</v>
      </c>
      <c r="D905" s="16">
        <v>0</v>
      </c>
      <c r="E905" s="2" t="str">
        <f t="shared" si="18"/>
        <v>Non Significant</v>
      </c>
    </row>
    <row r="906" spans="3:5">
      <c r="C906" s="15" t="s">
        <v>4504</v>
      </c>
      <c r="D906" s="16">
        <v>0</v>
      </c>
      <c r="E906" s="2" t="str">
        <f t="shared" si="18"/>
        <v>Non Significant</v>
      </c>
    </row>
    <row r="907" spans="3:5">
      <c r="C907" s="15" t="s">
        <v>3237</v>
      </c>
      <c r="D907" s="16">
        <v>0</v>
      </c>
      <c r="E907" s="2" t="str">
        <f t="shared" si="18"/>
        <v>Non Significant</v>
      </c>
    </row>
    <row r="908" spans="3:5">
      <c r="C908" s="15" t="s">
        <v>4505</v>
      </c>
      <c r="D908" s="16">
        <v>0</v>
      </c>
      <c r="E908" s="2" t="str">
        <f t="shared" si="18"/>
        <v>Non Significant</v>
      </c>
    </row>
    <row r="909" spans="3:5">
      <c r="C909" s="15" t="s">
        <v>4506</v>
      </c>
      <c r="D909" s="16">
        <v>0</v>
      </c>
      <c r="E909" s="2" t="str">
        <f t="shared" si="18"/>
        <v>Non Significant</v>
      </c>
    </row>
    <row r="910" spans="3:5">
      <c r="C910" s="15" t="s">
        <v>857</v>
      </c>
      <c r="D910" s="16">
        <v>0</v>
      </c>
      <c r="E910" s="2" t="str">
        <f t="shared" si="18"/>
        <v>Non Significant</v>
      </c>
    </row>
    <row r="911" spans="3:5">
      <c r="C911" s="15" t="s">
        <v>4190</v>
      </c>
      <c r="D911" s="16">
        <v>0</v>
      </c>
      <c r="E911" s="2" t="str">
        <f t="shared" si="18"/>
        <v>Non Significant</v>
      </c>
    </row>
    <row r="912" spans="3:5">
      <c r="C912" s="15" t="s">
        <v>863</v>
      </c>
      <c r="D912" s="16">
        <v>0</v>
      </c>
      <c r="E912" s="2" t="str">
        <f t="shared" si="18"/>
        <v>Non Significant</v>
      </c>
    </row>
    <row r="913" spans="3:5">
      <c r="C913" s="15" t="s">
        <v>4507</v>
      </c>
      <c r="D913" s="16">
        <v>0</v>
      </c>
      <c r="E913" s="2" t="str">
        <f t="shared" si="18"/>
        <v>Non Significant</v>
      </c>
    </row>
    <row r="914" spans="3:5">
      <c r="C914" s="15" t="s">
        <v>861</v>
      </c>
      <c r="D914" s="16">
        <v>0</v>
      </c>
      <c r="E914" s="2" t="str">
        <f t="shared" si="18"/>
        <v>Non Significant</v>
      </c>
    </row>
    <row r="915" spans="3:5">
      <c r="C915" s="15" t="s">
        <v>4508</v>
      </c>
      <c r="D915" s="16">
        <v>0</v>
      </c>
      <c r="E915" s="2" t="str">
        <f t="shared" si="18"/>
        <v>Non Significant</v>
      </c>
    </row>
    <row r="916" spans="3:5">
      <c r="C916" s="15" t="s">
        <v>4117</v>
      </c>
      <c r="D916" s="16">
        <v>0</v>
      </c>
      <c r="E916" s="2" t="str">
        <f t="shared" si="18"/>
        <v>Non Significant</v>
      </c>
    </row>
    <row r="917" spans="3:5">
      <c r="C917" s="15" t="s">
        <v>3985</v>
      </c>
      <c r="D917" s="16">
        <v>0</v>
      </c>
      <c r="E917" s="2" t="str">
        <f t="shared" si="18"/>
        <v>Non Significant</v>
      </c>
    </row>
    <row r="918" spans="3:5">
      <c r="C918" s="15" t="s">
        <v>4509</v>
      </c>
      <c r="D918" s="16">
        <v>0</v>
      </c>
      <c r="E918" s="2" t="str">
        <f t="shared" si="18"/>
        <v>Non Significant</v>
      </c>
    </row>
    <row r="919" spans="3:5">
      <c r="C919" s="15" t="s">
        <v>4510</v>
      </c>
      <c r="D919" s="16">
        <v>0</v>
      </c>
      <c r="E919" s="2" t="str">
        <f t="shared" si="18"/>
        <v>Non Significant</v>
      </c>
    </row>
    <row r="920" spans="3:5">
      <c r="C920" s="15" t="s">
        <v>4511</v>
      </c>
      <c r="D920" s="16">
        <v>0</v>
      </c>
      <c r="E920" s="2" t="str">
        <f t="shared" si="18"/>
        <v>Non Significant</v>
      </c>
    </row>
    <row r="921" spans="3:5">
      <c r="C921" s="15" t="s">
        <v>3216</v>
      </c>
      <c r="D921" s="16">
        <v>0</v>
      </c>
      <c r="E921" s="2" t="str">
        <f t="shared" si="18"/>
        <v>Non Significant</v>
      </c>
    </row>
    <row r="922" spans="3:5">
      <c r="C922" s="15" t="s">
        <v>4512</v>
      </c>
      <c r="D922" s="16">
        <v>0</v>
      </c>
      <c r="E922" s="2" t="str">
        <f t="shared" si="18"/>
        <v>Non Significant</v>
      </c>
    </row>
    <row r="923" spans="3:5">
      <c r="C923" s="15" t="s">
        <v>3219</v>
      </c>
      <c r="D923" s="16">
        <v>0</v>
      </c>
      <c r="E923" s="2" t="str">
        <f t="shared" si="18"/>
        <v>Non Significant</v>
      </c>
    </row>
    <row r="924" spans="3:5">
      <c r="C924" s="15" t="s">
        <v>4120</v>
      </c>
      <c r="D924" s="16">
        <v>0</v>
      </c>
      <c r="E924" s="2" t="str">
        <f t="shared" si="18"/>
        <v>Non Significant</v>
      </c>
    </row>
    <row r="925" spans="3:5">
      <c r="C925" s="15" t="s">
        <v>4513</v>
      </c>
      <c r="D925" s="16">
        <v>0</v>
      </c>
      <c r="E925" s="2" t="str">
        <f t="shared" si="18"/>
        <v>Non Significant</v>
      </c>
    </row>
    <row r="926" spans="3:5">
      <c r="C926" s="15" t="s">
        <v>4514</v>
      </c>
      <c r="D926" s="16">
        <v>0</v>
      </c>
      <c r="E926" s="2" t="str">
        <f t="shared" si="18"/>
        <v>Non Significant</v>
      </c>
    </row>
    <row r="927" spans="3:5">
      <c r="C927" s="15" t="s">
        <v>3222</v>
      </c>
      <c r="D927" s="16">
        <v>0</v>
      </c>
      <c r="E927" s="2" t="str">
        <f t="shared" si="18"/>
        <v>Non Significant</v>
      </c>
    </row>
    <row r="928" spans="3:5">
      <c r="C928" s="15" t="s">
        <v>4515</v>
      </c>
      <c r="D928" s="16">
        <v>0</v>
      </c>
      <c r="E928" s="2" t="str">
        <f t="shared" si="18"/>
        <v>Non Significant</v>
      </c>
    </row>
    <row r="929" spans="3:5">
      <c r="C929" s="15" t="s">
        <v>3225</v>
      </c>
      <c r="D929" s="16">
        <v>0</v>
      </c>
      <c r="E929" s="2" t="str">
        <f t="shared" si="18"/>
        <v>Non Significant</v>
      </c>
    </row>
    <row r="930" spans="3:5">
      <c r="C930" s="15" t="s">
        <v>4516</v>
      </c>
      <c r="D930" s="16">
        <v>0</v>
      </c>
      <c r="E930" s="2" t="str">
        <f t="shared" si="18"/>
        <v>Non Significant</v>
      </c>
    </row>
    <row r="931" spans="3:5">
      <c r="C931" s="15" t="s">
        <v>4517</v>
      </c>
      <c r="D931" s="16">
        <v>0</v>
      </c>
      <c r="E931" s="2" t="str">
        <f t="shared" si="18"/>
        <v>Non Significant</v>
      </c>
    </row>
    <row r="932" spans="3:5">
      <c r="C932" s="15" t="s">
        <v>562</v>
      </c>
      <c r="D932" s="16">
        <v>0</v>
      </c>
      <c r="E932" s="2" t="str">
        <f t="shared" si="18"/>
        <v>Non Significant</v>
      </c>
    </row>
    <row r="933" spans="3:5">
      <c r="C933" s="15" t="s">
        <v>4518</v>
      </c>
      <c r="D933" s="16">
        <v>0</v>
      </c>
      <c r="E933" s="2" t="str">
        <f t="shared" si="18"/>
        <v>Non Significant</v>
      </c>
    </row>
    <row r="934" spans="3:5">
      <c r="C934" s="15" t="s">
        <v>4519</v>
      </c>
      <c r="D934" s="16">
        <v>0</v>
      </c>
      <c r="E934" s="2" t="str">
        <f t="shared" si="18"/>
        <v>Non Significant</v>
      </c>
    </row>
    <row r="935" spans="3:5">
      <c r="C935" s="15" t="s">
        <v>4520</v>
      </c>
      <c r="D935" s="16">
        <v>0</v>
      </c>
      <c r="E935" s="2" t="str">
        <f t="shared" si="18"/>
        <v>Non Significant</v>
      </c>
    </row>
    <row r="936" spans="3:5">
      <c r="C936" s="15" t="s">
        <v>4521</v>
      </c>
      <c r="D936" s="16">
        <v>0</v>
      </c>
      <c r="E936" s="2" t="str">
        <f t="shared" si="18"/>
        <v>Non Significant</v>
      </c>
    </row>
    <row r="937" spans="3:5">
      <c r="C937" s="15" t="s">
        <v>4522</v>
      </c>
      <c r="D937" s="16">
        <v>0</v>
      </c>
      <c r="E937" s="2" t="str">
        <f t="shared" si="18"/>
        <v>Non Significant</v>
      </c>
    </row>
    <row r="938" spans="3:5">
      <c r="C938" s="15" t="s">
        <v>3965</v>
      </c>
      <c r="D938" s="16">
        <v>0</v>
      </c>
      <c r="E938" s="2" t="str">
        <f t="shared" si="18"/>
        <v>Non Significant</v>
      </c>
    </row>
    <row r="939" spans="3:5">
      <c r="C939" s="15" t="s">
        <v>4523</v>
      </c>
      <c r="D939" s="16">
        <v>0</v>
      </c>
      <c r="E939" s="2" t="str">
        <f t="shared" si="18"/>
        <v>Non Significant</v>
      </c>
    </row>
    <row r="940" spans="3:5">
      <c r="C940" s="15" t="s">
        <v>810</v>
      </c>
      <c r="D940" s="16">
        <v>0</v>
      </c>
      <c r="E940" s="2" t="str">
        <f t="shared" si="18"/>
        <v>Non Significant</v>
      </c>
    </row>
    <row r="941" spans="3:5">
      <c r="C941" s="15" t="s">
        <v>221</v>
      </c>
      <c r="D941" s="16">
        <v>0</v>
      </c>
      <c r="E941" s="2" t="str">
        <f t="shared" si="18"/>
        <v>Non Significant</v>
      </c>
    </row>
    <row r="942" spans="3:5">
      <c r="C942" s="15" t="s">
        <v>4524</v>
      </c>
      <c r="D942" s="16">
        <v>0</v>
      </c>
      <c r="E942" s="2" t="str">
        <f t="shared" si="18"/>
        <v>Non Significant</v>
      </c>
    </row>
    <row r="943" spans="3:5">
      <c r="C943" s="15" t="s">
        <v>377</v>
      </c>
      <c r="D943" s="16">
        <v>0</v>
      </c>
      <c r="E943" s="2" t="str">
        <f t="shared" si="18"/>
        <v>Non Significant</v>
      </c>
    </row>
    <row r="944" spans="3:5">
      <c r="C944" s="15" t="s">
        <v>4525</v>
      </c>
      <c r="D944" s="16">
        <v>0</v>
      </c>
      <c r="E944" s="2" t="str">
        <f t="shared" si="18"/>
        <v>Non Significant</v>
      </c>
    </row>
    <row r="945" spans="3:5">
      <c r="C945" s="15" t="s">
        <v>3604</v>
      </c>
      <c r="D945" s="16">
        <v>0</v>
      </c>
      <c r="E945" s="2" t="str">
        <f t="shared" si="18"/>
        <v>Non Significant</v>
      </c>
    </row>
    <row r="946" spans="3:5">
      <c r="C946" s="15" t="s">
        <v>865</v>
      </c>
      <c r="D946" s="16">
        <v>0</v>
      </c>
      <c r="E946" s="2" t="str">
        <f t="shared" si="18"/>
        <v>Non Significant</v>
      </c>
    </row>
    <row r="947" spans="3:5">
      <c r="C947" s="15" t="s">
        <v>3602</v>
      </c>
      <c r="D947" s="16">
        <v>0</v>
      </c>
      <c r="E947" s="2" t="str">
        <f t="shared" si="18"/>
        <v>Non Significant</v>
      </c>
    </row>
    <row r="948" spans="3:5">
      <c r="C948" s="15" t="s">
        <v>852</v>
      </c>
      <c r="D948" s="16">
        <v>0</v>
      </c>
      <c r="E948" s="2" t="str">
        <f t="shared" si="18"/>
        <v>Non Significant</v>
      </c>
    </row>
    <row r="949" spans="3:5">
      <c r="C949" s="15" t="s">
        <v>4526</v>
      </c>
      <c r="D949" s="16">
        <v>0</v>
      </c>
      <c r="E949" s="2" t="str">
        <f t="shared" si="18"/>
        <v>Non Significant</v>
      </c>
    </row>
    <row r="950" spans="3:5">
      <c r="C950" s="15" t="s">
        <v>868</v>
      </c>
      <c r="D950" s="16">
        <v>0</v>
      </c>
      <c r="E950" s="2" t="str">
        <f t="shared" si="18"/>
        <v>Non Significant</v>
      </c>
    </row>
    <row r="951" spans="3:5">
      <c r="C951" s="15" t="s">
        <v>4527</v>
      </c>
      <c r="D951" s="16">
        <v>0</v>
      </c>
      <c r="E951" s="2" t="str">
        <f t="shared" si="18"/>
        <v>Non Significant</v>
      </c>
    </row>
    <row r="952" spans="3:5">
      <c r="C952" s="15" t="s">
        <v>4130</v>
      </c>
      <c r="D952" s="16">
        <v>0</v>
      </c>
      <c r="E952" s="2" t="str">
        <f t="shared" si="18"/>
        <v>Non Significant</v>
      </c>
    </row>
    <row r="953" spans="3:5">
      <c r="C953" s="15" t="s">
        <v>4528</v>
      </c>
      <c r="D953" s="16">
        <v>0</v>
      </c>
      <c r="E953" s="2" t="str">
        <f t="shared" si="18"/>
        <v>Non Significant</v>
      </c>
    </row>
    <row r="954" spans="3:5">
      <c r="C954" s="15" t="s">
        <v>4529</v>
      </c>
      <c r="D954" s="16">
        <v>0</v>
      </c>
      <c r="E954" s="2" t="str">
        <f t="shared" si="18"/>
        <v>Non Significant</v>
      </c>
    </row>
    <row r="955" spans="3:5">
      <c r="C955" s="15" t="s">
        <v>4530</v>
      </c>
      <c r="D955" s="16">
        <v>0</v>
      </c>
      <c r="E955" s="2" t="str">
        <f t="shared" si="18"/>
        <v>Non Significant</v>
      </c>
    </row>
    <row r="956" spans="3:5">
      <c r="C956" s="15" t="s">
        <v>4531</v>
      </c>
      <c r="D956" s="16">
        <v>0</v>
      </c>
      <c r="E956" s="2" t="str">
        <f t="shared" si="18"/>
        <v>Non Significant</v>
      </c>
    </row>
    <row r="957" spans="3:5">
      <c r="C957" s="15" t="s">
        <v>4532</v>
      </c>
      <c r="D957" s="16">
        <v>0</v>
      </c>
      <c r="E957" s="2" t="str">
        <f t="shared" si="18"/>
        <v>Non Significant</v>
      </c>
    </row>
    <row r="958" spans="3:5">
      <c r="C958" s="15" t="s">
        <v>2362</v>
      </c>
      <c r="D958" s="16">
        <v>0</v>
      </c>
      <c r="E958" s="2" t="str">
        <f t="shared" si="18"/>
        <v>Non Significant</v>
      </c>
    </row>
    <row r="959" spans="3:5">
      <c r="C959" s="15" t="s">
        <v>3198</v>
      </c>
      <c r="D959" s="16">
        <v>0</v>
      </c>
      <c r="E959" s="2" t="str">
        <f t="shared" si="18"/>
        <v>Non Significant</v>
      </c>
    </row>
    <row r="960" spans="3:5">
      <c r="C960" s="15" t="s">
        <v>233</v>
      </c>
      <c r="D960" s="16">
        <v>0</v>
      </c>
      <c r="E960" s="2" t="str">
        <f t="shared" si="18"/>
        <v>Non Significant</v>
      </c>
    </row>
    <row r="961" spans="3:5">
      <c r="C961" s="15" t="s">
        <v>3201</v>
      </c>
      <c r="D961" s="16">
        <v>0</v>
      </c>
      <c r="E961" s="2" t="str">
        <f t="shared" si="18"/>
        <v>Non Significant</v>
      </c>
    </row>
    <row r="962" spans="3:5">
      <c r="C962" s="15" t="s">
        <v>2356</v>
      </c>
      <c r="D962" s="16">
        <v>0</v>
      </c>
      <c r="E962" s="2" t="str">
        <f t="shared" si="18"/>
        <v>Non Significant</v>
      </c>
    </row>
    <row r="963" spans="3:5">
      <c r="C963" s="15" t="s">
        <v>2360</v>
      </c>
      <c r="D963" s="16">
        <v>0</v>
      </c>
      <c r="E963" s="2" t="str">
        <f t="shared" si="18"/>
        <v>Non Significant</v>
      </c>
    </row>
    <row r="964" spans="3:5">
      <c r="C964" s="15" t="s">
        <v>4533</v>
      </c>
      <c r="D964" s="16">
        <v>0</v>
      </c>
      <c r="E964" s="2" t="str">
        <f t="shared" si="18"/>
        <v>Non Significant</v>
      </c>
    </row>
    <row r="965" spans="3:5">
      <c r="C965" s="15" t="s">
        <v>2291</v>
      </c>
      <c r="D965" s="16">
        <v>0</v>
      </c>
      <c r="E965" s="2" t="str">
        <f t="shared" si="18"/>
        <v>Non Significant</v>
      </c>
    </row>
    <row r="966" spans="3:5">
      <c r="C966" s="15" t="s">
        <v>4534</v>
      </c>
      <c r="D966" s="16">
        <v>0</v>
      </c>
      <c r="E966" s="2" t="str">
        <f t="shared" si="18"/>
        <v>Non Significant</v>
      </c>
    </row>
    <row r="967" spans="3: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>
      <c r="C968" s="15" t="s">
        <v>805</v>
      </c>
      <c r="D968" s="16">
        <v>0</v>
      </c>
      <c r="E968" s="2" t="str">
        <f t="shared" si="19"/>
        <v>Non Significant</v>
      </c>
    </row>
    <row r="969" spans="3:5">
      <c r="C969" s="15" t="s">
        <v>4536</v>
      </c>
      <c r="D969" s="16">
        <v>0</v>
      </c>
      <c r="E969" s="2" t="str">
        <f t="shared" si="19"/>
        <v>Non Significant</v>
      </c>
    </row>
    <row r="970" spans="3:5">
      <c r="C970" s="15" t="s">
        <v>1316</v>
      </c>
      <c r="D970" s="16">
        <v>0</v>
      </c>
      <c r="E970" s="2" t="str">
        <f t="shared" si="19"/>
        <v>Non Significant</v>
      </c>
    </row>
    <row r="971" spans="3:5">
      <c r="C971" s="15" t="s">
        <v>1267</v>
      </c>
      <c r="D971" s="16">
        <v>0</v>
      </c>
      <c r="E971" s="2" t="str">
        <f t="shared" si="19"/>
        <v>Non Significant</v>
      </c>
    </row>
    <row r="972" spans="3:5">
      <c r="C972" s="15" t="s">
        <v>2279</v>
      </c>
      <c r="D972" s="16">
        <v>0</v>
      </c>
      <c r="E972" s="2" t="str">
        <f t="shared" si="19"/>
        <v>Non Significant</v>
      </c>
    </row>
    <row r="973" spans="3:5">
      <c r="C973" s="15" t="s">
        <v>4537</v>
      </c>
      <c r="D973" s="16">
        <v>0</v>
      </c>
      <c r="E973" s="2" t="str">
        <f t="shared" si="19"/>
        <v>Non Significant</v>
      </c>
    </row>
    <row r="974" spans="3:5">
      <c r="C974" s="15" t="s">
        <v>685</v>
      </c>
      <c r="D974" s="16">
        <v>0</v>
      </c>
      <c r="E974" s="2" t="str">
        <f t="shared" si="19"/>
        <v>Non Significant</v>
      </c>
    </row>
    <row r="975" spans="3:5">
      <c r="C975" s="15" t="s">
        <v>4538</v>
      </c>
      <c r="D975" s="16">
        <v>0</v>
      </c>
      <c r="E975" s="2" t="str">
        <f t="shared" si="19"/>
        <v>Non Significant</v>
      </c>
    </row>
    <row r="976" spans="3:5">
      <c r="C976" s="15" t="s">
        <v>4539</v>
      </c>
      <c r="D976" s="16">
        <v>0</v>
      </c>
      <c r="E976" s="2" t="str">
        <f t="shared" si="19"/>
        <v>Non Significant</v>
      </c>
    </row>
    <row r="977" spans="3:5">
      <c r="C977" s="15" t="s">
        <v>1291</v>
      </c>
      <c r="D977" s="16">
        <v>0</v>
      </c>
      <c r="E977" s="2" t="str">
        <f t="shared" si="19"/>
        <v>Non Significant</v>
      </c>
    </row>
    <row r="978" spans="3:5">
      <c r="C978" s="15" t="s">
        <v>4540</v>
      </c>
      <c r="D978" s="16">
        <v>0</v>
      </c>
      <c r="E978" s="2" t="str">
        <f t="shared" si="19"/>
        <v>Non Significant</v>
      </c>
    </row>
    <row r="979" spans="3:5">
      <c r="C979" s="15" t="s">
        <v>1254</v>
      </c>
      <c r="D979" s="16">
        <v>0</v>
      </c>
      <c r="E979" s="2" t="str">
        <f t="shared" si="19"/>
        <v>Non Significant</v>
      </c>
    </row>
    <row r="980" spans="3:5">
      <c r="C980" s="15" t="s">
        <v>4541</v>
      </c>
      <c r="D980" s="16">
        <v>0</v>
      </c>
      <c r="E980" s="2" t="str">
        <f t="shared" si="19"/>
        <v>Non Significant</v>
      </c>
    </row>
    <row r="981" spans="3:5">
      <c r="C981" s="15" t="s">
        <v>1239</v>
      </c>
      <c r="D981" s="16">
        <v>0</v>
      </c>
      <c r="E981" s="2" t="str">
        <f t="shared" si="19"/>
        <v>Non Significant</v>
      </c>
    </row>
    <row r="982" spans="3:5">
      <c r="C982" s="15" t="s">
        <v>2234</v>
      </c>
      <c r="D982" s="16">
        <v>0</v>
      </c>
      <c r="E982" s="2" t="str">
        <f t="shared" si="19"/>
        <v>Non Significant</v>
      </c>
    </row>
    <row r="983" spans="3:5">
      <c r="C983" s="15" t="s">
        <v>4542</v>
      </c>
      <c r="D983" s="16">
        <v>0</v>
      </c>
      <c r="E983" s="2" t="str">
        <f t="shared" si="19"/>
        <v>Non Significant</v>
      </c>
    </row>
    <row r="984" spans="3:5">
      <c r="C984" s="15" t="s">
        <v>2266</v>
      </c>
      <c r="D984" s="16">
        <v>0</v>
      </c>
      <c r="E984" s="2" t="str">
        <f t="shared" si="19"/>
        <v>Non Significant</v>
      </c>
    </row>
    <row r="985" spans="3:5">
      <c r="C985" s="15" t="s">
        <v>1271</v>
      </c>
      <c r="D985" s="16">
        <v>0</v>
      </c>
      <c r="E985" s="2" t="str">
        <f t="shared" si="19"/>
        <v>Non Significant</v>
      </c>
    </row>
    <row r="986" spans="3:5">
      <c r="C986" s="15" t="s">
        <v>788</v>
      </c>
      <c r="D986" s="16">
        <v>0</v>
      </c>
      <c r="E986" s="2" t="str">
        <f t="shared" si="19"/>
        <v>Non Significant</v>
      </c>
    </row>
    <row r="987" spans="3:5">
      <c r="C987" s="15" t="s">
        <v>1233</v>
      </c>
      <c r="D987" s="16">
        <v>0</v>
      </c>
      <c r="E987" s="2" t="str">
        <f t="shared" si="19"/>
        <v>Non Significant</v>
      </c>
    </row>
    <row r="988" spans="3:5">
      <c r="C988" s="15" t="s">
        <v>707</v>
      </c>
      <c r="D988" s="16">
        <v>0</v>
      </c>
      <c r="E988" s="2" t="str">
        <f t="shared" si="19"/>
        <v>Non Significant</v>
      </c>
    </row>
    <row r="989" spans="3:5">
      <c r="C989" s="15" t="s">
        <v>1237</v>
      </c>
      <c r="D989" s="16">
        <v>0</v>
      </c>
      <c r="E989" s="2" t="str">
        <f t="shared" si="19"/>
        <v>Non Significant</v>
      </c>
    </row>
    <row r="990" spans="3:5">
      <c r="C990" s="15" t="s">
        <v>725</v>
      </c>
      <c r="D990" s="16">
        <v>0</v>
      </c>
      <c r="E990" s="2" t="str">
        <f t="shared" si="19"/>
        <v>Non Significant</v>
      </c>
    </row>
    <row r="991" spans="3:5">
      <c r="C991" s="15" t="s">
        <v>1280</v>
      </c>
      <c r="D991" s="16">
        <v>0</v>
      </c>
      <c r="E991" s="2" t="str">
        <f t="shared" si="19"/>
        <v>Non Significant</v>
      </c>
    </row>
    <row r="992" spans="3:5">
      <c r="C992" s="15" t="s">
        <v>419</v>
      </c>
      <c r="D992" s="16">
        <v>0</v>
      </c>
      <c r="E992" s="2" t="str">
        <f t="shared" si="19"/>
        <v>Non Significant</v>
      </c>
    </row>
    <row r="993" spans="3:5">
      <c r="C993" s="15" t="s">
        <v>4543</v>
      </c>
      <c r="D993" s="16">
        <v>0</v>
      </c>
      <c r="E993" s="2" t="str">
        <f t="shared" si="19"/>
        <v>Non Significant</v>
      </c>
    </row>
    <row r="994" spans="3:5">
      <c r="C994" s="15" t="s">
        <v>4544</v>
      </c>
      <c r="D994" s="16">
        <v>0</v>
      </c>
      <c r="E994" s="2" t="str">
        <f t="shared" si="19"/>
        <v>Non Significant</v>
      </c>
    </row>
    <row r="995" spans="3:5">
      <c r="C995" s="15" t="s">
        <v>1245</v>
      </c>
      <c r="D995" s="16">
        <v>0</v>
      </c>
      <c r="E995" s="2" t="str">
        <f t="shared" si="19"/>
        <v>Non Significant</v>
      </c>
    </row>
    <row r="996" spans="3:5">
      <c r="C996" s="15" t="s">
        <v>4545</v>
      </c>
      <c r="D996" s="16">
        <v>0</v>
      </c>
      <c r="E996" s="2" t="str">
        <f t="shared" si="19"/>
        <v>Non Significant</v>
      </c>
    </row>
    <row r="997" spans="3:5">
      <c r="C997" s="15" t="s">
        <v>1249</v>
      </c>
      <c r="D997" s="16">
        <v>0</v>
      </c>
      <c r="E997" s="2" t="str">
        <f t="shared" si="19"/>
        <v>Non Significant</v>
      </c>
    </row>
    <row r="998" spans="3:5">
      <c r="C998" s="15" t="s">
        <v>4546</v>
      </c>
      <c r="D998" s="16">
        <v>0</v>
      </c>
      <c r="E998" s="2" t="str">
        <f t="shared" si="19"/>
        <v>Non Significant</v>
      </c>
    </row>
    <row r="999" spans="3:5">
      <c r="C999" s="15" t="s">
        <v>4101</v>
      </c>
      <c r="D999" s="16">
        <v>0</v>
      </c>
      <c r="E999" s="2" t="str">
        <f t="shared" si="19"/>
        <v>Non Significant</v>
      </c>
    </row>
    <row r="1000" spans="3:5">
      <c r="C1000" s="15" t="s">
        <v>4547</v>
      </c>
      <c r="D1000" s="16">
        <v>0</v>
      </c>
      <c r="E1000" s="2" t="str">
        <f t="shared" si="19"/>
        <v>Non Significant</v>
      </c>
    </row>
    <row r="1001" spans="3:5">
      <c r="C1001" s="15" t="s">
        <v>4548</v>
      </c>
      <c r="D1001" s="16">
        <v>0</v>
      </c>
      <c r="E1001" s="2" t="str">
        <f t="shared" si="19"/>
        <v>Non Significant</v>
      </c>
    </row>
    <row r="1002" spans="3:5">
      <c r="C1002" s="15" t="s">
        <v>4549</v>
      </c>
      <c r="D1002" s="16">
        <v>0</v>
      </c>
      <c r="E1002" s="2" t="str">
        <f t="shared" si="19"/>
        <v>Non Significant</v>
      </c>
    </row>
    <row r="1003" spans="3:5">
      <c r="C1003" s="15" t="s">
        <v>4550</v>
      </c>
      <c r="D1003" s="16">
        <v>0</v>
      </c>
      <c r="E1003" s="2" t="str">
        <f t="shared" si="19"/>
        <v>Non Significant</v>
      </c>
    </row>
    <row r="1004" spans="3:5">
      <c r="C1004" s="15" t="s">
        <v>2212</v>
      </c>
      <c r="D1004" s="16">
        <v>0</v>
      </c>
      <c r="E1004" s="2" t="str">
        <f t="shared" si="19"/>
        <v>Non Significant</v>
      </c>
    </row>
    <row r="1005" spans="3:5">
      <c r="C1005" s="15" t="s">
        <v>4551</v>
      </c>
      <c r="D1005" s="16">
        <v>0</v>
      </c>
      <c r="E1005" s="2" t="str">
        <f t="shared" si="19"/>
        <v>Non Significant</v>
      </c>
    </row>
    <row r="1006" spans="3:5">
      <c r="C1006" s="15" t="s">
        <v>2297</v>
      </c>
      <c r="D1006" s="16">
        <v>0</v>
      </c>
      <c r="E1006" s="2" t="str">
        <f t="shared" si="19"/>
        <v>Non Significant</v>
      </c>
    </row>
    <row r="1007" spans="3:5">
      <c r="C1007" s="15" t="s">
        <v>1005</v>
      </c>
      <c r="D1007" s="16">
        <v>0</v>
      </c>
      <c r="E1007" s="2" t="str">
        <f t="shared" si="19"/>
        <v>Non Significant</v>
      </c>
    </row>
    <row r="1008" spans="3:5">
      <c r="C1008" s="15" t="s">
        <v>2257</v>
      </c>
      <c r="D1008" s="16">
        <v>0</v>
      </c>
      <c r="E1008" s="2" t="str">
        <f t="shared" si="19"/>
        <v>Non Significant</v>
      </c>
    </row>
    <row r="1009" spans="3:5">
      <c r="C1009" s="15" t="s">
        <v>999</v>
      </c>
      <c r="D1009" s="16">
        <v>0</v>
      </c>
      <c r="E1009" s="2" t="str">
        <f t="shared" si="19"/>
        <v>Non Significant</v>
      </c>
    </row>
    <row r="1010" spans="3:5">
      <c r="C1010" s="15" t="s">
        <v>2765</v>
      </c>
      <c r="D1010" s="16">
        <v>0</v>
      </c>
      <c r="E1010" s="2" t="str">
        <f t="shared" si="19"/>
        <v>Non Significant</v>
      </c>
    </row>
    <row r="1011" spans="3:5">
      <c r="C1011" s="15" t="s">
        <v>1003</v>
      </c>
      <c r="D1011" s="16">
        <v>0</v>
      </c>
      <c r="E1011" s="2" t="str">
        <f t="shared" si="19"/>
        <v>Non Significant</v>
      </c>
    </row>
    <row r="1012" spans="3:5">
      <c r="C1012" s="15" t="s">
        <v>662</v>
      </c>
      <c r="D1012" s="16">
        <v>0</v>
      </c>
      <c r="E1012" s="2" t="str">
        <f t="shared" si="19"/>
        <v>Non Significant</v>
      </c>
    </row>
    <row r="1013" spans="3:5">
      <c r="C1013" s="15" t="s">
        <v>4113</v>
      </c>
      <c r="D1013" s="16">
        <v>0</v>
      </c>
      <c r="E1013" s="2" t="str">
        <f t="shared" si="19"/>
        <v>Non Significant</v>
      </c>
    </row>
    <row r="1014" spans="3:5">
      <c r="C1014" s="15" t="s">
        <v>655</v>
      </c>
      <c r="D1014" s="16">
        <v>0</v>
      </c>
      <c r="E1014" s="2" t="str">
        <f t="shared" si="19"/>
        <v>Non Significant</v>
      </c>
    </row>
    <row r="1015" spans="3:5">
      <c r="C1015" s="15" t="s">
        <v>4552</v>
      </c>
      <c r="D1015" s="16">
        <v>0</v>
      </c>
      <c r="E1015" s="2" t="str">
        <f t="shared" si="19"/>
        <v>Non Significant</v>
      </c>
    </row>
    <row r="1016" spans="3:5">
      <c r="C1016" s="15" t="s">
        <v>4553</v>
      </c>
      <c r="D1016" s="16">
        <v>0</v>
      </c>
      <c r="E1016" s="2" t="str">
        <f t="shared" si="19"/>
        <v>Non Significant</v>
      </c>
    </row>
    <row r="1017" spans="3:5">
      <c r="C1017" s="15" t="s">
        <v>4554</v>
      </c>
      <c r="D1017" s="16">
        <v>0</v>
      </c>
      <c r="E1017" s="2" t="str">
        <f t="shared" si="19"/>
        <v>Non Significant</v>
      </c>
    </row>
    <row r="1018" spans="3:5">
      <c r="C1018" s="15" t="s">
        <v>736</v>
      </c>
      <c r="D1018" s="16">
        <v>0</v>
      </c>
      <c r="E1018" s="2" t="str">
        <f t="shared" si="19"/>
        <v>Non Significant</v>
      </c>
    </row>
    <row r="1019" spans="3:5">
      <c r="C1019" s="15" t="s">
        <v>4555</v>
      </c>
      <c r="D1019" s="16">
        <v>0</v>
      </c>
      <c r="E1019" s="2" t="str">
        <f t="shared" si="19"/>
        <v>Non Significant</v>
      </c>
    </row>
    <row r="1020" spans="3:5">
      <c r="C1020" s="15" t="s">
        <v>771</v>
      </c>
      <c r="D1020" s="16">
        <v>0</v>
      </c>
      <c r="E1020" s="2" t="str">
        <f t="shared" si="19"/>
        <v>Non Significant</v>
      </c>
    </row>
    <row r="1021" spans="3:5">
      <c r="C1021" s="15" t="s">
        <v>1068</v>
      </c>
      <c r="D1021" s="16">
        <v>0</v>
      </c>
      <c r="E1021" s="2" t="str">
        <f t="shared" si="19"/>
        <v>Non Significant</v>
      </c>
    </row>
    <row r="1022" spans="3:5">
      <c r="C1022" s="15" t="s">
        <v>4556</v>
      </c>
      <c r="D1022" s="16">
        <v>0</v>
      </c>
      <c r="E1022" s="2" t="str">
        <f t="shared" si="19"/>
        <v>Non Significant</v>
      </c>
    </row>
    <row r="1023" spans="3:5">
      <c r="C1023" s="15" t="s">
        <v>4557</v>
      </c>
      <c r="D1023" s="16">
        <v>0</v>
      </c>
      <c r="E1023" s="2" t="str">
        <f t="shared" si="19"/>
        <v>Non Significant</v>
      </c>
    </row>
    <row r="1024" spans="3:5">
      <c r="C1024" s="15" t="s">
        <v>833</v>
      </c>
      <c r="D1024" s="16">
        <v>0</v>
      </c>
      <c r="E1024" s="2" t="str">
        <f t="shared" si="19"/>
        <v>Non Significant</v>
      </c>
    </row>
    <row r="1025" spans="3:5">
      <c r="C1025" s="15" t="s">
        <v>4558</v>
      </c>
      <c r="D1025" s="16">
        <v>0</v>
      </c>
      <c r="E1025" s="2" t="str">
        <f t="shared" si="19"/>
        <v>Non Significant</v>
      </c>
    </row>
    <row r="1026" spans="3:5">
      <c r="C1026" s="15" t="s">
        <v>4559</v>
      </c>
      <c r="D1026" s="16">
        <v>0</v>
      </c>
      <c r="E1026" s="2" t="str">
        <f t="shared" si="19"/>
        <v>Non Significant</v>
      </c>
    </row>
    <row r="1027" spans="3:5">
      <c r="C1027" s="15" t="s">
        <v>4560</v>
      </c>
      <c r="D1027" s="16">
        <v>0</v>
      </c>
      <c r="E1027" s="2" t="str">
        <f t="shared" si="19"/>
        <v>Non Significant</v>
      </c>
    </row>
    <row r="1028" spans="3:5">
      <c r="C1028" s="15" t="s">
        <v>4561</v>
      </c>
      <c r="D1028" s="16">
        <v>0</v>
      </c>
      <c r="E1028" s="2" t="str">
        <f t="shared" si="19"/>
        <v>Non Significant</v>
      </c>
    </row>
    <row r="1029" spans="3:5">
      <c r="C1029" s="15" t="s">
        <v>1062</v>
      </c>
      <c r="D1029" s="16">
        <v>0</v>
      </c>
      <c r="E1029" s="2" t="str">
        <f t="shared" si="19"/>
        <v>Non Significant</v>
      </c>
    </row>
    <row r="1030" spans="3:5">
      <c r="C1030" s="15" t="s">
        <v>2597</v>
      </c>
      <c r="D1030" s="16">
        <v>0</v>
      </c>
      <c r="E1030" s="2" t="str">
        <f t="shared" si="19"/>
        <v>Non Significant</v>
      </c>
    </row>
    <row r="1031" spans="3: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>
      <c r="C1032" s="15" t="s">
        <v>4562</v>
      </c>
      <c r="D1032" s="16">
        <v>0</v>
      </c>
      <c r="E1032" s="2" t="str">
        <f t="shared" si="20"/>
        <v>Non Significant</v>
      </c>
    </row>
    <row r="1033" spans="3:5">
      <c r="C1033" s="15" t="s">
        <v>1104</v>
      </c>
      <c r="D1033" s="16">
        <v>0</v>
      </c>
      <c r="E1033" s="2" t="str">
        <f t="shared" si="20"/>
        <v>Non Significant</v>
      </c>
    </row>
    <row r="1034" spans="3:5">
      <c r="C1034" s="15" t="s">
        <v>4563</v>
      </c>
      <c r="D1034" s="16">
        <v>0</v>
      </c>
      <c r="E1034" s="2" t="str">
        <f t="shared" si="20"/>
        <v>Non Significant</v>
      </c>
    </row>
    <row r="1035" spans="3:5">
      <c r="C1035" s="15" t="s">
        <v>4564</v>
      </c>
      <c r="D1035" s="16">
        <v>0</v>
      </c>
      <c r="E1035" s="2" t="str">
        <f t="shared" si="20"/>
        <v>Non Significant</v>
      </c>
    </row>
    <row r="1036" spans="3:5">
      <c r="C1036" s="15" t="s">
        <v>4565</v>
      </c>
      <c r="D1036" s="16">
        <v>0</v>
      </c>
      <c r="E1036" s="2" t="str">
        <f t="shared" si="20"/>
        <v>Non Significant</v>
      </c>
    </row>
    <row r="1037" spans="3:5">
      <c r="C1037" s="15" t="s">
        <v>1098</v>
      </c>
      <c r="D1037" s="16">
        <v>0</v>
      </c>
      <c r="E1037" s="2" t="str">
        <f t="shared" si="20"/>
        <v>Non Significant</v>
      </c>
    </row>
    <row r="1038" spans="3:5">
      <c r="C1038" s="15" t="s">
        <v>4566</v>
      </c>
      <c r="D1038" s="16">
        <v>0</v>
      </c>
      <c r="E1038" s="2" t="str">
        <f t="shared" si="20"/>
        <v>Non Significant</v>
      </c>
    </row>
    <row r="1039" spans="3:5">
      <c r="C1039" s="15" t="s">
        <v>1102</v>
      </c>
      <c r="D1039" s="16">
        <v>0</v>
      </c>
      <c r="E1039" s="2" t="str">
        <f t="shared" si="20"/>
        <v>Non Significant</v>
      </c>
    </row>
    <row r="1040" spans="3:5">
      <c r="C1040" s="15" t="s">
        <v>4567</v>
      </c>
      <c r="D1040" s="16">
        <v>0</v>
      </c>
      <c r="E1040" s="2" t="str">
        <f t="shared" si="20"/>
        <v>Non Significant</v>
      </c>
    </row>
    <row r="1041" spans="3:5">
      <c r="C1041" s="15" t="s">
        <v>996</v>
      </c>
      <c r="D1041" s="16">
        <v>0</v>
      </c>
      <c r="E1041" s="2" t="str">
        <f t="shared" si="20"/>
        <v>Non Significant</v>
      </c>
    </row>
    <row r="1042" spans="3:5">
      <c r="C1042" s="15" t="s">
        <v>1310</v>
      </c>
      <c r="D1042" s="16">
        <v>0</v>
      </c>
      <c r="E1042" s="2" t="str">
        <f t="shared" si="20"/>
        <v>Non Significant</v>
      </c>
    </row>
    <row r="1043" spans="3:5">
      <c r="C1043" s="15" t="s">
        <v>990</v>
      </c>
      <c r="D1043" s="16">
        <v>0</v>
      </c>
      <c r="E1043" s="2" t="str">
        <f t="shared" si="20"/>
        <v>Non Significant</v>
      </c>
    </row>
    <row r="1044" spans="3:5">
      <c r="C1044" s="15" t="s">
        <v>4568</v>
      </c>
      <c r="D1044" s="16">
        <v>0</v>
      </c>
      <c r="E1044" s="2" t="str">
        <f t="shared" si="20"/>
        <v>Non Significant</v>
      </c>
    </row>
    <row r="1045" spans="3:5">
      <c r="C1045" s="15" t="s">
        <v>994</v>
      </c>
      <c r="D1045" s="16">
        <v>0</v>
      </c>
      <c r="E1045" s="2" t="str">
        <f t="shared" si="20"/>
        <v>Non Significant</v>
      </c>
    </row>
    <row r="1046" spans="3:5">
      <c r="C1046" s="15" t="s">
        <v>2237</v>
      </c>
      <c r="D1046" s="16">
        <v>0</v>
      </c>
      <c r="E1046" s="2" t="str">
        <f t="shared" si="20"/>
        <v>Non Significant</v>
      </c>
    </row>
    <row r="1047" spans="3:5">
      <c r="C1047" s="15" t="s">
        <v>1179</v>
      </c>
      <c r="D1047" s="16">
        <v>0</v>
      </c>
      <c r="E1047" s="2" t="str">
        <f t="shared" si="20"/>
        <v>Non Significant</v>
      </c>
    </row>
    <row r="1048" spans="3:5">
      <c r="C1048" s="15" t="s">
        <v>2285</v>
      </c>
      <c r="D1048" s="16">
        <v>0</v>
      </c>
      <c r="E1048" s="2" t="str">
        <f t="shared" si="20"/>
        <v>Non Significant</v>
      </c>
    </row>
    <row r="1049" spans="3:5">
      <c r="C1049" s="15" t="s">
        <v>4569</v>
      </c>
      <c r="D1049" s="16">
        <v>0</v>
      </c>
      <c r="E1049" s="2" t="str">
        <f t="shared" si="20"/>
        <v>Non Significant</v>
      </c>
    </row>
    <row r="1050" spans="3:5">
      <c r="C1050" s="15" t="s">
        <v>2273</v>
      </c>
      <c r="D1050" s="16">
        <v>0</v>
      </c>
      <c r="E1050" s="2" t="str">
        <f t="shared" si="20"/>
        <v>Non Significant</v>
      </c>
    </row>
    <row r="1051" spans="3:5">
      <c r="C1051" s="15" t="s">
        <v>1174</v>
      </c>
      <c r="D1051" s="16">
        <v>0</v>
      </c>
      <c r="E1051" s="2" t="str">
        <f t="shared" si="20"/>
        <v>Non Significant</v>
      </c>
    </row>
    <row r="1052" spans="3:5">
      <c r="C1052" s="15" t="s">
        <v>2217</v>
      </c>
      <c r="D1052" s="16">
        <v>0</v>
      </c>
      <c r="E1052" s="2" t="str">
        <f t="shared" si="20"/>
        <v>Non Significant</v>
      </c>
    </row>
    <row r="1053" spans="3:5">
      <c r="C1053" s="15" t="s">
        <v>1177</v>
      </c>
      <c r="D1053" s="16">
        <v>0</v>
      </c>
      <c r="E1053" s="2" t="str">
        <f t="shared" si="20"/>
        <v>Non Significant</v>
      </c>
    </row>
    <row r="1054" spans="3:5">
      <c r="C1054" s="15" t="s">
        <v>2303</v>
      </c>
      <c r="D1054" s="16">
        <v>0</v>
      </c>
      <c r="E1054" s="2" t="str">
        <f t="shared" si="20"/>
        <v>Non Significant</v>
      </c>
    </row>
    <row r="1055" spans="3:5">
      <c r="C1055" s="15" t="s">
        <v>1129</v>
      </c>
      <c r="D1055" s="16">
        <v>0</v>
      </c>
      <c r="E1055" s="2" t="str">
        <f t="shared" si="20"/>
        <v>Non Significant</v>
      </c>
    </row>
    <row r="1056" spans="3:5">
      <c r="C1056" s="15" t="s">
        <v>2228</v>
      </c>
      <c r="D1056" s="16">
        <v>0</v>
      </c>
      <c r="E1056" s="2" t="str">
        <f t="shared" si="20"/>
        <v>Non Significant</v>
      </c>
    </row>
    <row r="1057" spans="3:5">
      <c r="C1057" s="15" t="s">
        <v>4570</v>
      </c>
      <c r="D1057" s="16">
        <v>0</v>
      </c>
      <c r="E1057" s="2" t="str">
        <f t="shared" si="20"/>
        <v>Non Significant</v>
      </c>
    </row>
    <row r="1058" spans="3:5">
      <c r="C1058" s="15" t="s">
        <v>4571</v>
      </c>
      <c r="D1058" s="16">
        <v>0</v>
      </c>
      <c r="E1058" s="2" t="str">
        <f t="shared" si="20"/>
        <v>Non Significant</v>
      </c>
    </row>
    <row r="1059" spans="3:5">
      <c r="C1059" s="15" t="s">
        <v>1123</v>
      </c>
      <c r="D1059" s="16">
        <v>0</v>
      </c>
      <c r="E1059" s="2" t="str">
        <f t="shared" si="20"/>
        <v>Non Significant</v>
      </c>
    </row>
    <row r="1060" spans="3:5">
      <c r="C1060" s="15" t="s">
        <v>636</v>
      </c>
      <c r="D1060" s="16">
        <v>0</v>
      </c>
      <c r="E1060" s="2" t="str">
        <f t="shared" si="20"/>
        <v>Non Significant</v>
      </c>
    </row>
    <row r="1061" spans="3:5">
      <c r="C1061" s="15" t="s">
        <v>1127</v>
      </c>
      <c r="D1061" s="16">
        <v>0</v>
      </c>
      <c r="E1061" s="2" t="str">
        <f t="shared" si="20"/>
        <v>Non Significant</v>
      </c>
    </row>
    <row r="1062" spans="3:5">
      <c r="C1062" s="15" t="s">
        <v>783</v>
      </c>
      <c r="D1062" s="16">
        <v>0</v>
      </c>
      <c r="E1062" s="2" t="str">
        <f t="shared" si="20"/>
        <v>Non Significant</v>
      </c>
    </row>
    <row r="1063" spans="3:5">
      <c r="C1063" s="15" t="s">
        <v>3955</v>
      </c>
      <c r="D1063" s="16">
        <v>0</v>
      </c>
      <c r="E1063" s="2" t="str">
        <f t="shared" si="20"/>
        <v>Non Significant</v>
      </c>
    </row>
    <row r="1064" spans="3:5">
      <c r="C1064" s="15" t="s">
        <v>691</v>
      </c>
      <c r="D1064" s="16">
        <v>0</v>
      </c>
      <c r="E1064" s="2" t="str">
        <f t="shared" si="20"/>
        <v>Non Significant</v>
      </c>
    </row>
    <row r="1065" spans="3:5">
      <c r="C1065" s="15" t="s">
        <v>985</v>
      </c>
      <c r="D1065" s="16">
        <v>0</v>
      </c>
      <c r="E1065" s="2" t="str">
        <f t="shared" si="20"/>
        <v>Non Significant</v>
      </c>
    </row>
    <row r="1066" spans="3:5">
      <c r="C1066" s="15" t="s">
        <v>4572</v>
      </c>
      <c r="D1066" s="16">
        <v>0</v>
      </c>
      <c r="E1066" s="2" t="str">
        <f t="shared" si="20"/>
        <v>Non Significant</v>
      </c>
    </row>
    <row r="1067" spans="3:5">
      <c r="C1067" s="15" t="s">
        <v>4573</v>
      </c>
      <c r="D1067" s="16">
        <v>0</v>
      </c>
      <c r="E1067" s="2" t="str">
        <f t="shared" si="20"/>
        <v>Non Significant</v>
      </c>
    </row>
    <row r="1068" spans="3:5">
      <c r="C1068" s="15" t="s">
        <v>649</v>
      </c>
      <c r="D1068" s="16">
        <v>0</v>
      </c>
      <c r="E1068" s="2" t="str">
        <f t="shared" si="20"/>
        <v>Non Significant</v>
      </c>
    </row>
    <row r="1069" spans="3:5">
      <c r="C1069" s="15" t="s">
        <v>4574</v>
      </c>
      <c r="D1069" s="16">
        <v>0</v>
      </c>
      <c r="E1069" s="2" t="str">
        <f t="shared" si="20"/>
        <v>Non Significant</v>
      </c>
    </row>
    <row r="1070" spans="3:5">
      <c r="C1070" s="15" t="s">
        <v>4575</v>
      </c>
      <c r="D1070" s="16">
        <v>0</v>
      </c>
      <c r="E1070" s="2" t="str">
        <f t="shared" si="20"/>
        <v>Non Significant</v>
      </c>
    </row>
    <row r="1071" spans="3:5">
      <c r="C1071" s="15" t="s">
        <v>4165</v>
      </c>
      <c r="D1071" s="16">
        <v>0</v>
      </c>
      <c r="E1071" s="2" t="str">
        <f t="shared" si="20"/>
        <v>Non Significant</v>
      </c>
    </row>
    <row r="1072" spans="3:5">
      <c r="C1072" s="15" t="s">
        <v>671</v>
      </c>
      <c r="D1072" s="16">
        <v>0</v>
      </c>
      <c r="E1072" s="2" t="str">
        <f t="shared" si="20"/>
        <v>Non Significant</v>
      </c>
    </row>
    <row r="1073" spans="3:5">
      <c r="C1073" s="15" t="s">
        <v>4576</v>
      </c>
      <c r="D1073" s="16">
        <v>0</v>
      </c>
      <c r="E1073" s="2" t="str">
        <f t="shared" si="20"/>
        <v>Non Significant</v>
      </c>
    </row>
    <row r="1074" spans="3:5">
      <c r="C1074" s="15" t="s">
        <v>698</v>
      </c>
      <c r="D1074" s="16">
        <v>0</v>
      </c>
      <c r="E1074" s="2" t="str">
        <f t="shared" si="20"/>
        <v>Non Significant</v>
      </c>
    </row>
    <row r="1075" spans="3:5">
      <c r="C1075" s="15" t="s">
        <v>4577</v>
      </c>
      <c r="D1075" s="16">
        <v>0</v>
      </c>
      <c r="E1075" s="2" t="str">
        <f t="shared" si="20"/>
        <v>Non Significant</v>
      </c>
    </row>
    <row r="1076" spans="3:5">
      <c r="C1076" s="15" t="s">
        <v>730</v>
      </c>
      <c r="D1076" s="16">
        <v>0</v>
      </c>
      <c r="E1076" s="2" t="str">
        <f t="shared" si="20"/>
        <v>Non Significant</v>
      </c>
    </row>
    <row r="1077" spans="3:5">
      <c r="C1077" s="15" t="s">
        <v>4578</v>
      </c>
      <c r="D1077" s="16">
        <v>0</v>
      </c>
      <c r="E1077" s="2" t="str">
        <f t="shared" si="20"/>
        <v>Non Significant</v>
      </c>
    </row>
    <row r="1078" spans="3:5">
      <c r="C1078" s="15" t="s">
        <v>4579</v>
      </c>
      <c r="D1078" s="16">
        <v>0</v>
      </c>
      <c r="E1078" s="2" t="str">
        <f t="shared" si="20"/>
        <v>Non Significant</v>
      </c>
    </row>
    <row r="1079" spans="3:5">
      <c r="C1079" s="15" t="s">
        <v>2572</v>
      </c>
      <c r="D1079" s="16">
        <v>0</v>
      </c>
      <c r="E1079" s="2" t="str">
        <f t="shared" si="20"/>
        <v>Non Significant</v>
      </c>
    </row>
    <row r="1080" spans="3:5">
      <c r="C1080" s="15" t="s">
        <v>604</v>
      </c>
      <c r="D1080" s="16">
        <v>0</v>
      </c>
      <c r="E1080" s="2" t="str">
        <f t="shared" si="20"/>
        <v>Non Significant</v>
      </c>
    </row>
    <row r="1081" spans="3:5">
      <c r="C1081" s="15" t="s">
        <v>4580</v>
      </c>
      <c r="D1081" s="16">
        <v>0</v>
      </c>
      <c r="E1081" s="2" t="str">
        <f t="shared" si="20"/>
        <v>Non Significant</v>
      </c>
    </row>
    <row r="1082" spans="3:5">
      <c r="C1082" s="15" t="s">
        <v>4581</v>
      </c>
      <c r="D1082" s="16">
        <v>0</v>
      </c>
      <c r="E1082" s="2" t="str">
        <f t="shared" si="20"/>
        <v>Non Significant</v>
      </c>
    </row>
    <row r="1083" spans="3:5">
      <c r="C1083" s="15" t="s">
        <v>4582</v>
      </c>
      <c r="D1083" s="16">
        <v>0</v>
      </c>
      <c r="E1083" s="2" t="str">
        <f t="shared" si="20"/>
        <v>Non Significant</v>
      </c>
    </row>
    <row r="1084" spans="3:5">
      <c r="C1084" s="15" t="s">
        <v>415</v>
      </c>
      <c r="D1084" s="16">
        <v>0</v>
      </c>
      <c r="E1084" s="2" t="str">
        <f t="shared" si="20"/>
        <v>Non Significant</v>
      </c>
    </row>
    <row r="1085" spans="3:5">
      <c r="C1085" s="15" t="s">
        <v>4583</v>
      </c>
      <c r="D1085" s="16">
        <v>0</v>
      </c>
      <c r="E1085" s="2" t="str">
        <f t="shared" si="20"/>
        <v>Non Significant</v>
      </c>
    </row>
    <row r="1086" spans="3:5">
      <c r="C1086" s="15" t="s">
        <v>840</v>
      </c>
      <c r="D1086" s="16">
        <v>0</v>
      </c>
      <c r="E1086" s="2" t="str">
        <f t="shared" si="20"/>
        <v>Non Significant</v>
      </c>
    </row>
    <row r="1087" spans="3:5">
      <c r="C1087" s="15" t="s">
        <v>4584</v>
      </c>
      <c r="D1087" s="16">
        <v>0</v>
      </c>
      <c r="E1087" s="2" t="str">
        <f t="shared" si="20"/>
        <v>Non Significant</v>
      </c>
    </row>
    <row r="1088" spans="3:5">
      <c r="C1088" s="15" t="s">
        <v>838</v>
      </c>
      <c r="D1088" s="16">
        <v>0</v>
      </c>
      <c r="E1088" s="2" t="str">
        <f t="shared" si="20"/>
        <v>Non Significant</v>
      </c>
    </row>
    <row r="1089" spans="3:5">
      <c r="C1089" s="15" t="s">
        <v>2566</v>
      </c>
      <c r="D1089" s="16">
        <v>0</v>
      </c>
      <c r="E1089" s="2" t="str">
        <f t="shared" si="20"/>
        <v>Non Significant</v>
      </c>
    </row>
    <row r="1090" spans="3:5">
      <c r="C1090" s="15" t="s">
        <v>1218</v>
      </c>
      <c r="D1090" s="16">
        <v>0</v>
      </c>
      <c r="E1090" s="2" t="str">
        <f t="shared" si="20"/>
        <v>Non Significant</v>
      </c>
    </row>
    <row r="1091" spans="3:5">
      <c r="C1091" s="15" t="s">
        <v>2570</v>
      </c>
      <c r="D1091" s="16">
        <v>0</v>
      </c>
      <c r="E1091" s="2" t="str">
        <f t="shared" si="20"/>
        <v>Non Significant</v>
      </c>
    </row>
    <row r="1092" spans="3:5">
      <c r="C1092" s="15" t="s">
        <v>4585</v>
      </c>
      <c r="D1092" s="16">
        <v>0</v>
      </c>
      <c r="E1092" s="2" t="str">
        <f t="shared" si="20"/>
        <v>Non Significant</v>
      </c>
    </row>
    <row r="1093" spans="3:5">
      <c r="C1093" s="15" t="s">
        <v>1167</v>
      </c>
      <c r="D1093" s="16">
        <v>0</v>
      </c>
      <c r="E1093" s="2" t="str">
        <f t="shared" si="20"/>
        <v>Non Significant</v>
      </c>
    </row>
    <row r="1094" spans="3:5">
      <c r="C1094" s="15" t="s">
        <v>4586</v>
      </c>
      <c r="D1094" s="16">
        <v>0</v>
      </c>
      <c r="E1094" s="2" t="str">
        <f t="shared" si="20"/>
        <v>Non Significant</v>
      </c>
    </row>
    <row r="1095" spans="3: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>
      <c r="C1096" s="15" t="s">
        <v>4588</v>
      </c>
      <c r="D1096" s="16">
        <v>0</v>
      </c>
      <c r="E1096" s="2" t="str">
        <f t="shared" si="21"/>
        <v>Non Significant</v>
      </c>
    </row>
    <row r="1097" spans="3:5">
      <c r="C1097" s="15" t="s">
        <v>1283</v>
      </c>
      <c r="D1097" s="16">
        <v>0</v>
      </c>
      <c r="E1097" s="2" t="str">
        <f t="shared" si="21"/>
        <v>Non Significant</v>
      </c>
    </row>
    <row r="1098" spans="3:5">
      <c r="C1098" s="15" t="s">
        <v>2593</v>
      </c>
      <c r="D1098" s="16">
        <v>0</v>
      </c>
      <c r="E1098" s="2" t="str">
        <f t="shared" si="21"/>
        <v>Non Significant</v>
      </c>
    </row>
    <row r="1099" spans="3:5">
      <c r="C1099" s="15" t="s">
        <v>4122</v>
      </c>
      <c r="D1099" s="16">
        <v>0</v>
      </c>
      <c r="E1099" s="2" t="str">
        <f t="shared" si="21"/>
        <v>Non Significant</v>
      </c>
    </row>
    <row r="1100" spans="3:5">
      <c r="C1100" s="15" t="s">
        <v>4096</v>
      </c>
      <c r="D1100" s="16">
        <v>0</v>
      </c>
      <c r="E1100" s="2" t="str">
        <f t="shared" si="21"/>
        <v>Non Significant</v>
      </c>
    </row>
    <row r="1101" spans="3:5">
      <c r="C1101" s="15" t="s">
        <v>1162</v>
      </c>
      <c r="D1101" s="16">
        <v>0</v>
      </c>
      <c r="E1101" s="2" t="str">
        <f t="shared" si="21"/>
        <v>Non Significant</v>
      </c>
    </row>
    <row r="1102" spans="3:5">
      <c r="C1102" s="15" t="s">
        <v>4589</v>
      </c>
      <c r="D1102" s="16">
        <v>0</v>
      </c>
      <c r="E1102" s="2" t="str">
        <f t="shared" si="21"/>
        <v>Non Significant</v>
      </c>
    </row>
    <row r="1103" spans="3:5">
      <c r="C1103" s="15" t="s">
        <v>1165</v>
      </c>
      <c r="D1103" s="16">
        <v>0</v>
      </c>
      <c r="E1103" s="2" t="str">
        <f t="shared" si="21"/>
        <v>Non Significant</v>
      </c>
    </row>
    <row r="1104" spans="3:5">
      <c r="C1104" s="15" t="s">
        <v>4590</v>
      </c>
      <c r="D1104" s="16">
        <v>0</v>
      </c>
      <c r="E1104" s="2" t="str">
        <f t="shared" si="21"/>
        <v>Non Significant</v>
      </c>
    </row>
    <row r="1105" spans="3:5">
      <c r="C1105" s="15" t="s">
        <v>4591</v>
      </c>
      <c r="D1105" s="16">
        <v>0</v>
      </c>
      <c r="E1105" s="2" t="str">
        <f t="shared" si="21"/>
        <v>Non Significant</v>
      </c>
    </row>
    <row r="1106" spans="3:5">
      <c r="C1106" s="15" t="s">
        <v>4592</v>
      </c>
      <c r="D1106" s="16">
        <v>0</v>
      </c>
      <c r="E1106" s="2" t="str">
        <f t="shared" si="21"/>
        <v>Non Significant</v>
      </c>
    </row>
    <row r="1107" spans="3:5">
      <c r="C1107" s="15" t="s">
        <v>4593</v>
      </c>
      <c r="D1107" s="16">
        <v>0</v>
      </c>
      <c r="E1107" s="2" t="str">
        <f t="shared" si="21"/>
        <v>Non Significant</v>
      </c>
    </row>
    <row r="1108" spans="3:5">
      <c r="C1108" s="15" t="s">
        <v>4594</v>
      </c>
      <c r="D1108" s="16">
        <v>0</v>
      </c>
      <c r="E1108" s="2" t="str">
        <f t="shared" si="21"/>
        <v>Non Significant</v>
      </c>
    </row>
    <row r="1109" spans="3:5">
      <c r="C1109" s="15" t="s">
        <v>4595</v>
      </c>
      <c r="D1109" s="16">
        <v>0</v>
      </c>
      <c r="E1109" s="2" t="str">
        <f t="shared" si="21"/>
        <v>Non Significant</v>
      </c>
    </row>
    <row r="1110" spans="3:5">
      <c r="C1110" s="15" t="s">
        <v>4596</v>
      </c>
      <c r="D1110" s="16">
        <v>0</v>
      </c>
      <c r="E1110" s="2" t="str">
        <f t="shared" si="21"/>
        <v>Non Significant</v>
      </c>
    </row>
    <row r="1111" spans="3:5">
      <c r="C1111" s="15" t="s">
        <v>4597</v>
      </c>
      <c r="D1111" s="16">
        <v>0</v>
      </c>
      <c r="E1111" s="2" t="str">
        <f t="shared" si="21"/>
        <v>Non Significant</v>
      </c>
    </row>
    <row r="1112" spans="3:5">
      <c r="C1112" s="15" t="s">
        <v>4598</v>
      </c>
      <c r="D1112" s="16">
        <v>0</v>
      </c>
      <c r="E1112" s="2" t="str">
        <f t="shared" si="21"/>
        <v>Non Significant</v>
      </c>
    </row>
    <row r="1113" spans="3:5">
      <c r="C1113" s="15" t="s">
        <v>4599</v>
      </c>
      <c r="D1113" s="16">
        <v>0</v>
      </c>
      <c r="E1113" s="2" t="str">
        <f t="shared" si="21"/>
        <v>Non Significant</v>
      </c>
    </row>
    <row r="1114" spans="3:5">
      <c r="C1114" s="15" t="s">
        <v>4600</v>
      </c>
      <c r="D1114" s="16">
        <v>0</v>
      </c>
      <c r="E1114" s="2" t="str">
        <f t="shared" si="21"/>
        <v>Non Significant</v>
      </c>
    </row>
    <row r="1115" spans="3:5">
      <c r="C1115" s="15" t="s">
        <v>745</v>
      </c>
      <c r="D1115" s="16">
        <v>0</v>
      </c>
      <c r="E1115" s="2" t="str">
        <f t="shared" si="21"/>
        <v>Non Significant</v>
      </c>
    </row>
    <row r="1116" spans="3:5">
      <c r="C1116" s="15" t="s">
        <v>4601</v>
      </c>
      <c r="D1116" s="16">
        <v>0</v>
      </c>
      <c r="E1116" s="2" t="str">
        <f t="shared" si="21"/>
        <v>Non Significant</v>
      </c>
    </row>
    <row r="1117" spans="3:5">
      <c r="C1117" s="15" t="s">
        <v>802</v>
      </c>
      <c r="D1117" s="16">
        <v>0</v>
      </c>
      <c r="E1117" s="2" t="str">
        <f t="shared" si="21"/>
        <v>Non Significant</v>
      </c>
    </row>
    <row r="1118" spans="3:5">
      <c r="C1118" s="15" t="s">
        <v>4602</v>
      </c>
      <c r="D1118" s="16">
        <v>0</v>
      </c>
      <c r="E1118" s="2" t="str">
        <f t="shared" si="21"/>
        <v>Non Significant</v>
      </c>
    </row>
    <row r="1119" spans="3:5">
      <c r="C1119" s="15" t="s">
        <v>749</v>
      </c>
      <c r="D1119" s="16">
        <v>0</v>
      </c>
      <c r="E1119" s="2" t="str">
        <f t="shared" si="21"/>
        <v>Non Significant</v>
      </c>
    </row>
    <row r="1120" spans="3:5">
      <c r="C1120" s="15" t="s">
        <v>4603</v>
      </c>
      <c r="D1120" s="16">
        <v>0</v>
      </c>
      <c r="E1120" s="2" t="str">
        <f t="shared" si="21"/>
        <v>Non Significant</v>
      </c>
    </row>
    <row r="1121" spans="3:5">
      <c r="C1121" s="15" t="s">
        <v>3987</v>
      </c>
      <c r="D1121" s="16">
        <v>0</v>
      </c>
      <c r="E1121" s="2" t="str">
        <f t="shared" si="21"/>
        <v>Non Significant</v>
      </c>
    </row>
    <row r="1122" spans="3:5">
      <c r="C1122" s="15" t="s">
        <v>4604</v>
      </c>
      <c r="D1122" s="16">
        <v>0</v>
      </c>
      <c r="E1122" s="2" t="str">
        <f t="shared" si="21"/>
        <v>Non Significant</v>
      </c>
    </row>
    <row r="1123" spans="3:5">
      <c r="C1123" s="15" t="s">
        <v>4605</v>
      </c>
      <c r="D1123" s="16">
        <v>0</v>
      </c>
      <c r="E1123" s="2" t="str">
        <f t="shared" si="21"/>
        <v>Non Significant</v>
      </c>
    </row>
    <row r="1124" spans="3:5">
      <c r="C1124" s="15" t="s">
        <v>1314</v>
      </c>
      <c r="D1124" s="16">
        <v>0</v>
      </c>
      <c r="E1124" s="2" t="str">
        <f t="shared" si="21"/>
        <v>Non Significant</v>
      </c>
    </row>
    <row r="1125" spans="3:5">
      <c r="C1125" s="15" t="s">
        <v>4606</v>
      </c>
      <c r="D1125" s="16">
        <v>0</v>
      </c>
      <c r="E1125" s="2" t="str">
        <f t="shared" si="21"/>
        <v>Non Significant</v>
      </c>
    </row>
    <row r="1126" spans="3:5">
      <c r="C1126" s="15" t="s">
        <v>4607</v>
      </c>
      <c r="D1126" s="16">
        <v>0</v>
      </c>
      <c r="E1126" s="2" t="str">
        <f t="shared" si="21"/>
        <v>Non Significant</v>
      </c>
    </row>
    <row r="1127" spans="3:5">
      <c r="C1127" s="15" t="s">
        <v>4608</v>
      </c>
      <c r="D1127" s="16">
        <v>0</v>
      </c>
      <c r="E1127" s="2" t="str">
        <f t="shared" si="21"/>
        <v>Non Significant</v>
      </c>
    </row>
    <row r="1128" spans="3:5">
      <c r="C1128" s="15" t="s">
        <v>2240</v>
      </c>
      <c r="D1128" s="16">
        <v>0</v>
      </c>
      <c r="E1128" s="2" t="str">
        <f t="shared" si="21"/>
        <v>Non Significant</v>
      </c>
    </row>
    <row r="1129" spans="3:5">
      <c r="C1129" s="15" t="s">
        <v>2635</v>
      </c>
      <c r="D1129" s="16">
        <v>0</v>
      </c>
      <c r="E1129" s="2" t="str">
        <f t="shared" si="21"/>
        <v>Non Significant</v>
      </c>
    </row>
    <row r="1130" spans="3:5">
      <c r="C1130" s="15" t="s">
        <v>2231</v>
      </c>
      <c r="D1130" s="16">
        <v>0</v>
      </c>
      <c r="E1130" s="2" t="str">
        <f t="shared" si="21"/>
        <v>Non Significant</v>
      </c>
    </row>
    <row r="1131" spans="3:5">
      <c r="C1131" s="15" t="s">
        <v>4609</v>
      </c>
      <c r="D1131" s="16">
        <v>0</v>
      </c>
      <c r="E1131" s="2" t="str">
        <f t="shared" si="21"/>
        <v>Non Significant</v>
      </c>
    </row>
    <row r="1132" spans="3:5">
      <c r="C1132" s="15" t="s">
        <v>4610</v>
      </c>
      <c r="D1132" s="16">
        <v>0</v>
      </c>
      <c r="E1132" s="2" t="str">
        <f t="shared" si="21"/>
        <v>Non Significant</v>
      </c>
    </row>
    <row r="1133" spans="3:5">
      <c r="C1133" s="15" t="s">
        <v>2629</v>
      </c>
      <c r="D1133" s="16">
        <v>0</v>
      </c>
      <c r="E1133" s="2" t="str">
        <f t="shared" si="21"/>
        <v>Non Significant</v>
      </c>
    </row>
    <row r="1134" spans="3:5">
      <c r="C1134" s="15" t="s">
        <v>2222</v>
      </c>
      <c r="D1134" s="16">
        <v>0</v>
      </c>
      <c r="E1134" s="2" t="str">
        <f t="shared" si="21"/>
        <v>Non Significant</v>
      </c>
    </row>
    <row r="1135" spans="3:5">
      <c r="C1135" s="15" t="s">
        <v>2633</v>
      </c>
      <c r="D1135" s="16">
        <v>0</v>
      </c>
      <c r="E1135" s="2" t="str">
        <f t="shared" si="21"/>
        <v>Non Significant</v>
      </c>
    </row>
    <row r="1136" spans="3:5">
      <c r="C1136" s="15" t="s">
        <v>2282</v>
      </c>
      <c r="D1136" s="16">
        <v>0</v>
      </c>
      <c r="E1136" s="2" t="str">
        <f t="shared" si="21"/>
        <v>Non Significant</v>
      </c>
    </row>
    <row r="1137" spans="3:5">
      <c r="C1137" s="15" t="s">
        <v>980</v>
      </c>
      <c r="D1137" s="16">
        <v>0</v>
      </c>
      <c r="E1137" s="2" t="str">
        <f t="shared" si="21"/>
        <v>Non Significant</v>
      </c>
    </row>
    <row r="1138" spans="3:5">
      <c r="C1138" s="15" t="s">
        <v>2276</v>
      </c>
      <c r="D1138" s="16">
        <v>0</v>
      </c>
      <c r="E1138" s="2" t="str">
        <f t="shared" si="21"/>
        <v>Non Significant</v>
      </c>
    </row>
    <row r="1139" spans="3:5">
      <c r="C1139" s="15" t="s">
        <v>4611</v>
      </c>
      <c r="D1139" s="16">
        <v>0</v>
      </c>
      <c r="E1139" s="2" t="str">
        <f t="shared" si="21"/>
        <v>Non Significant</v>
      </c>
    </row>
    <row r="1140" spans="3:5">
      <c r="C1140" s="15" t="s">
        <v>2270</v>
      </c>
      <c r="D1140" s="16">
        <v>0</v>
      </c>
      <c r="E1140" s="2" t="str">
        <f t="shared" si="21"/>
        <v>Non Significant</v>
      </c>
    </row>
    <row r="1141" spans="3:5">
      <c r="C1141" s="15" t="s">
        <v>4612</v>
      </c>
      <c r="D1141" s="16">
        <v>0</v>
      </c>
      <c r="E1141" s="2" t="str">
        <f t="shared" si="21"/>
        <v>Non Significant</v>
      </c>
    </row>
    <row r="1142" spans="3:5">
      <c r="C1142" s="15" t="s">
        <v>2294</v>
      </c>
      <c r="D1142" s="16">
        <v>0</v>
      </c>
      <c r="E1142" s="2" t="str">
        <f t="shared" si="21"/>
        <v>Non Significant</v>
      </c>
    </row>
    <row r="1143" spans="3:5">
      <c r="C1143" s="15" t="s">
        <v>2675</v>
      </c>
      <c r="D1143" s="16">
        <v>0</v>
      </c>
      <c r="E1143" s="2" t="str">
        <f t="shared" si="21"/>
        <v>Non Significant</v>
      </c>
    </row>
    <row r="1144" spans="3:5">
      <c r="C1144" s="15" t="s">
        <v>2220</v>
      </c>
      <c r="D1144" s="16">
        <v>0</v>
      </c>
      <c r="E1144" s="2" t="str">
        <f t="shared" si="21"/>
        <v>Non Significant</v>
      </c>
    </row>
    <row r="1145" spans="3:5">
      <c r="C1145" s="15" t="s">
        <v>2678</v>
      </c>
      <c r="D1145" s="16">
        <v>0</v>
      </c>
      <c r="E1145" s="2" t="str">
        <f t="shared" si="21"/>
        <v>Non Significant</v>
      </c>
    </row>
    <row r="1146" spans="3:5">
      <c r="C1146" s="15" t="s">
        <v>2305</v>
      </c>
      <c r="D1146" s="16">
        <v>0</v>
      </c>
      <c r="E1146" s="2" t="str">
        <f t="shared" si="21"/>
        <v>Non Significant</v>
      </c>
    </row>
    <row r="1147" spans="3:5">
      <c r="C1147" s="15" t="s">
        <v>4613</v>
      </c>
      <c r="D1147" s="16">
        <v>0</v>
      </c>
      <c r="E1147" s="2" t="str">
        <f t="shared" si="21"/>
        <v>Non Significant</v>
      </c>
    </row>
    <row r="1148" spans="3:5">
      <c r="C1148" s="15" t="s">
        <v>2300</v>
      </c>
      <c r="D1148" s="16">
        <v>0</v>
      </c>
      <c r="E1148" s="2" t="str">
        <f t="shared" si="21"/>
        <v>Non Significant</v>
      </c>
    </row>
    <row r="1149" spans="3:5">
      <c r="C1149" s="15" t="s">
        <v>4614</v>
      </c>
      <c r="D1149" s="16">
        <v>0</v>
      </c>
      <c r="E1149" s="2" t="str">
        <f t="shared" si="21"/>
        <v>Non Significant</v>
      </c>
    </row>
    <row r="1150" spans="3:5">
      <c r="C1150" s="15" t="s">
        <v>2254</v>
      </c>
      <c r="D1150" s="16">
        <v>0</v>
      </c>
      <c r="E1150" s="2" t="str">
        <f t="shared" si="21"/>
        <v>Non Significant</v>
      </c>
    </row>
    <row r="1151" spans="3:5">
      <c r="C1151" s="15" t="s">
        <v>4615</v>
      </c>
      <c r="D1151" s="16">
        <v>0</v>
      </c>
      <c r="E1151" s="2" t="str">
        <f t="shared" si="21"/>
        <v>Non Significant</v>
      </c>
    </row>
    <row r="1152" spans="3:5">
      <c r="C1152" s="15" t="s">
        <v>2225</v>
      </c>
      <c r="D1152" s="16">
        <v>0</v>
      </c>
      <c r="E1152" s="2" t="str">
        <f t="shared" si="21"/>
        <v>Non Significant</v>
      </c>
    </row>
    <row r="1153" spans="3:5">
      <c r="C1153" s="15" t="s">
        <v>4616</v>
      </c>
      <c r="D1153" s="16">
        <v>0</v>
      </c>
      <c r="E1153" s="2" t="str">
        <f t="shared" si="21"/>
        <v>Non Significant</v>
      </c>
    </row>
    <row r="1154" spans="3:5">
      <c r="C1154" s="15" t="s">
        <v>2288</v>
      </c>
      <c r="D1154" s="16">
        <v>0</v>
      </c>
      <c r="E1154" s="2" t="str">
        <f t="shared" si="21"/>
        <v>Non Significant</v>
      </c>
    </row>
    <row r="1155" spans="3:5">
      <c r="C1155" s="15" t="s">
        <v>1120</v>
      </c>
      <c r="D1155" s="16">
        <v>0</v>
      </c>
      <c r="E1155" s="2" t="str">
        <f t="shared" si="21"/>
        <v>Non Significant</v>
      </c>
    </row>
    <row r="1156" spans="3:5">
      <c r="C1156" s="15" t="s">
        <v>4617</v>
      </c>
      <c r="D1156" s="16">
        <v>0</v>
      </c>
      <c r="E1156" s="2" t="str">
        <f t="shared" si="21"/>
        <v>Non Significant</v>
      </c>
    </row>
    <row r="1157" spans="3:5">
      <c r="C1157" s="15" t="s">
        <v>4618</v>
      </c>
      <c r="D1157" s="16">
        <v>0</v>
      </c>
      <c r="E1157" s="2" t="str">
        <f t="shared" si="21"/>
        <v>Non Significant</v>
      </c>
    </row>
    <row r="1158" spans="3:5">
      <c r="C1158" s="15" t="s">
        <v>4619</v>
      </c>
      <c r="D1158" s="16">
        <v>0</v>
      </c>
      <c r="E1158" s="2" t="str">
        <f t="shared" si="21"/>
        <v>Non Significant</v>
      </c>
    </row>
    <row r="1159" spans="3: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>
      <c r="C1160" s="15" t="s">
        <v>1114</v>
      </c>
      <c r="D1160" s="16">
        <v>0</v>
      </c>
      <c r="E1160" s="2" t="str">
        <f t="shared" si="22"/>
        <v>Non Significant</v>
      </c>
    </row>
    <row r="1161" spans="3:5">
      <c r="C1161" s="15" t="s">
        <v>4620</v>
      </c>
      <c r="D1161" s="16">
        <v>0</v>
      </c>
      <c r="E1161" s="2" t="str">
        <f t="shared" si="22"/>
        <v>Non Significant</v>
      </c>
    </row>
    <row r="1162" spans="3:5">
      <c r="C1162" s="15" t="s">
        <v>1118</v>
      </c>
      <c r="D1162" s="16">
        <v>0</v>
      </c>
      <c r="E1162" s="2" t="str">
        <f t="shared" si="22"/>
        <v>Non Significant</v>
      </c>
    </row>
    <row r="1163" spans="3:5">
      <c r="C1163" s="15" t="s">
        <v>4621</v>
      </c>
      <c r="D1163" s="16">
        <v>0</v>
      </c>
      <c r="E1163" s="2" t="str">
        <f t="shared" si="22"/>
        <v>Non Significant</v>
      </c>
    </row>
    <row r="1164" spans="3:5">
      <c r="C1164" s="15" t="s">
        <v>1212</v>
      </c>
      <c r="D1164" s="16">
        <v>0</v>
      </c>
      <c r="E1164" s="2" t="str">
        <f t="shared" si="22"/>
        <v>Non Significant</v>
      </c>
    </row>
    <row r="1165" spans="3:5">
      <c r="C1165" s="15" t="s">
        <v>664</v>
      </c>
      <c r="D1165" s="16">
        <v>0</v>
      </c>
      <c r="E1165" s="2" t="str">
        <f t="shared" si="22"/>
        <v>Non Significant</v>
      </c>
    </row>
    <row r="1166" spans="3:5">
      <c r="C1166" s="15" t="s">
        <v>4622</v>
      </c>
      <c r="D1166" s="16">
        <v>0</v>
      </c>
      <c r="E1166" s="2" t="str">
        <f t="shared" si="22"/>
        <v>Non Significant</v>
      </c>
    </row>
    <row r="1167" spans="3:5">
      <c r="C1167" s="15" t="s">
        <v>658</v>
      </c>
      <c r="D1167" s="16">
        <v>0</v>
      </c>
      <c r="E1167" s="2" t="str">
        <f t="shared" si="22"/>
        <v>Non Significant</v>
      </c>
    </row>
    <row r="1168" spans="3:5">
      <c r="C1168" s="15" t="s">
        <v>4623</v>
      </c>
      <c r="D1168" s="16">
        <v>0</v>
      </c>
      <c r="E1168" s="2" t="str">
        <f t="shared" si="22"/>
        <v>Non Significant</v>
      </c>
    </row>
    <row r="1169" spans="3:5">
      <c r="C1169" s="15" t="s">
        <v>689</v>
      </c>
      <c r="D1169" s="16">
        <v>0</v>
      </c>
      <c r="E1169" s="2" t="str">
        <f t="shared" si="22"/>
        <v>Non Significant</v>
      </c>
    </row>
    <row r="1170" spans="3:5">
      <c r="C1170" s="15" t="s">
        <v>4624</v>
      </c>
      <c r="D1170" s="16">
        <v>0</v>
      </c>
      <c r="E1170" s="2" t="str">
        <f t="shared" si="22"/>
        <v>Non Significant</v>
      </c>
    </row>
    <row r="1171" spans="3:5">
      <c r="C1171" s="15" t="s">
        <v>4625</v>
      </c>
      <c r="D1171" s="16">
        <v>0</v>
      </c>
      <c r="E1171" s="2" t="str">
        <f t="shared" si="22"/>
        <v>Non Significant</v>
      </c>
    </row>
    <row r="1172" spans="3:5">
      <c r="C1172" s="15" t="s">
        <v>4626</v>
      </c>
      <c r="D1172" s="16">
        <v>0</v>
      </c>
      <c r="E1172" s="2" t="str">
        <f t="shared" si="22"/>
        <v>Non Significant</v>
      </c>
    </row>
    <row r="1173" spans="3:5">
      <c r="C1173" s="15" t="s">
        <v>4627</v>
      </c>
      <c r="D1173" s="16">
        <v>0</v>
      </c>
      <c r="E1173" s="2" t="str">
        <f t="shared" si="22"/>
        <v>Non Significant</v>
      </c>
    </row>
    <row r="1174" spans="3:5">
      <c r="C1174" s="15" t="s">
        <v>1206</v>
      </c>
      <c r="D1174" s="16">
        <v>0</v>
      </c>
      <c r="E1174" s="2" t="str">
        <f t="shared" si="22"/>
        <v>Non Significant</v>
      </c>
    </row>
    <row r="1175" spans="3:5">
      <c r="C1175" s="15" t="s">
        <v>653</v>
      </c>
      <c r="D1175" s="16">
        <v>0</v>
      </c>
      <c r="E1175" s="2" t="str">
        <f t="shared" si="22"/>
        <v>Non Significant</v>
      </c>
    </row>
    <row r="1176" spans="3:5">
      <c r="C1176" s="15" t="s">
        <v>1210</v>
      </c>
      <c r="D1176" s="16">
        <v>0</v>
      </c>
      <c r="E1176" s="2" t="str">
        <f t="shared" si="22"/>
        <v>Non Significant</v>
      </c>
    </row>
    <row r="1177" spans="3:5">
      <c r="C1177" s="15" t="s">
        <v>709</v>
      </c>
      <c r="D1177" s="16">
        <v>0</v>
      </c>
      <c r="E1177" s="2" t="str">
        <f t="shared" si="22"/>
        <v>Non Significant</v>
      </c>
    </row>
    <row r="1178" spans="3:5">
      <c r="C1178" s="15" t="s">
        <v>612</v>
      </c>
      <c r="D1178" s="16">
        <v>0</v>
      </c>
      <c r="E1178" s="2" t="str">
        <f t="shared" si="22"/>
        <v>Non Significant</v>
      </c>
    </row>
    <row r="1179" spans="3:5">
      <c r="C1179" s="15" t="s">
        <v>703</v>
      </c>
      <c r="D1179" s="16">
        <v>0</v>
      </c>
      <c r="E1179" s="2" t="str">
        <f t="shared" si="22"/>
        <v>Non Significant</v>
      </c>
    </row>
    <row r="1180" spans="3:5">
      <c r="C1180" s="15" t="s">
        <v>738</v>
      </c>
      <c r="D1180" s="16">
        <v>0</v>
      </c>
      <c r="E1180" s="2" t="str">
        <f t="shared" si="22"/>
        <v>Non Significant</v>
      </c>
    </row>
    <row r="1181" spans="3:5">
      <c r="C1181" s="15" t="s">
        <v>4628</v>
      </c>
      <c r="D1181" s="16">
        <v>0</v>
      </c>
      <c r="E1181" s="2" t="str">
        <f t="shared" si="22"/>
        <v>Non Significant</v>
      </c>
    </row>
    <row r="1182" spans="3:5">
      <c r="C1182" s="15" t="s">
        <v>4629</v>
      </c>
      <c r="D1182" s="16">
        <v>0</v>
      </c>
      <c r="E1182" s="2" t="str">
        <f t="shared" si="22"/>
        <v>Non Significant</v>
      </c>
    </row>
    <row r="1183" spans="3:5">
      <c r="C1183" s="15" t="s">
        <v>673</v>
      </c>
      <c r="D1183" s="16">
        <v>0</v>
      </c>
      <c r="E1183" s="2" t="str">
        <f t="shared" si="22"/>
        <v>Non Significant</v>
      </c>
    </row>
    <row r="1184" spans="3:5">
      <c r="C1184" s="15" t="s">
        <v>763</v>
      </c>
      <c r="D1184" s="16">
        <v>0</v>
      </c>
      <c r="E1184" s="2" t="str">
        <f t="shared" si="22"/>
        <v>Non Significant</v>
      </c>
    </row>
    <row r="1185" spans="3:5">
      <c r="C1185" s="15" t="s">
        <v>667</v>
      </c>
      <c r="D1185" s="16">
        <v>0</v>
      </c>
      <c r="E1185" s="2" t="str">
        <f t="shared" si="22"/>
        <v>Non Significant</v>
      </c>
    </row>
    <row r="1186" spans="3:5">
      <c r="C1186" s="15" t="s">
        <v>756</v>
      </c>
      <c r="D1186" s="16">
        <v>0</v>
      </c>
      <c r="E1186" s="2" t="str">
        <f t="shared" si="22"/>
        <v>Non Significant</v>
      </c>
    </row>
    <row r="1187" spans="3:5">
      <c r="C1187" s="15" t="s">
        <v>700</v>
      </c>
      <c r="D1187" s="16">
        <v>0</v>
      </c>
      <c r="E1187" s="2" t="str">
        <f t="shared" si="22"/>
        <v>Non Significant</v>
      </c>
    </row>
    <row r="1188" spans="3:5">
      <c r="C1188" s="15" t="s">
        <v>1285</v>
      </c>
      <c r="D1188" s="16">
        <v>0</v>
      </c>
      <c r="E1188" s="2" t="str">
        <f t="shared" si="22"/>
        <v>Non Significant</v>
      </c>
    </row>
    <row r="1189" spans="3:5">
      <c r="C1189" s="15" t="s">
        <v>694</v>
      </c>
      <c r="D1189" s="16">
        <v>0</v>
      </c>
      <c r="E1189" s="2" t="str">
        <f t="shared" si="22"/>
        <v>Non Significant</v>
      </c>
    </row>
    <row r="1190" spans="3:5">
      <c r="C1190" s="15" t="s">
        <v>4630</v>
      </c>
      <c r="D1190" s="16">
        <v>0</v>
      </c>
      <c r="E1190" s="2" t="str">
        <f t="shared" si="22"/>
        <v>Non Significant</v>
      </c>
    </row>
    <row r="1191" spans="3:5">
      <c r="C1191" s="15" t="s">
        <v>734</v>
      </c>
      <c r="D1191" s="16">
        <v>0</v>
      </c>
      <c r="E1191" s="2" t="str">
        <f t="shared" si="22"/>
        <v>Non Significant</v>
      </c>
    </row>
    <row r="1192" spans="3:5">
      <c r="C1192" s="15" t="s">
        <v>628</v>
      </c>
      <c r="D1192" s="16">
        <v>0</v>
      </c>
      <c r="E1192" s="2" t="str">
        <f t="shared" si="22"/>
        <v>Non Significant</v>
      </c>
    </row>
    <row r="1193" spans="3:5">
      <c r="C1193" s="15" t="s">
        <v>727</v>
      </c>
      <c r="D1193" s="16">
        <v>0</v>
      </c>
      <c r="E1193" s="2" t="str">
        <f t="shared" si="22"/>
        <v>Non Significant</v>
      </c>
    </row>
    <row r="1194" spans="3:5">
      <c r="C1194" s="15" t="s">
        <v>646</v>
      </c>
      <c r="D1194" s="16">
        <v>0</v>
      </c>
      <c r="E1194" s="2" t="str">
        <f t="shared" si="22"/>
        <v>Non Significant</v>
      </c>
    </row>
    <row r="1195" spans="3:5">
      <c r="C1195" s="15" t="s">
        <v>721</v>
      </c>
      <c r="D1195" s="16">
        <v>0</v>
      </c>
      <c r="E1195" s="2" t="str">
        <f t="shared" si="22"/>
        <v>Non Significant</v>
      </c>
    </row>
    <row r="1196" spans="3:5">
      <c r="C1196" s="15" t="s">
        <v>640</v>
      </c>
      <c r="D1196" s="16">
        <v>0</v>
      </c>
      <c r="E1196" s="2" t="str">
        <f t="shared" si="22"/>
        <v>Non Significant</v>
      </c>
    </row>
    <row r="1197" spans="3:5">
      <c r="C1197" s="15" t="s">
        <v>776</v>
      </c>
      <c r="D1197" s="16">
        <v>0</v>
      </c>
      <c r="E1197" s="2" t="str">
        <f t="shared" si="22"/>
        <v>Non Significant</v>
      </c>
    </row>
    <row r="1198" spans="3:5">
      <c r="C1198" s="15" t="s">
        <v>792</v>
      </c>
      <c r="D1198" s="16">
        <v>0</v>
      </c>
      <c r="E1198" s="2" t="str">
        <f t="shared" si="22"/>
        <v>Non Significant</v>
      </c>
    </row>
    <row r="1199" spans="3:5">
      <c r="C1199" s="15" t="s">
        <v>2539</v>
      </c>
      <c r="D1199" s="16">
        <v>0</v>
      </c>
      <c r="E1199" s="2" t="str">
        <f t="shared" si="22"/>
        <v>Non Significant</v>
      </c>
    </row>
    <row r="1200" spans="3:5">
      <c r="C1200" s="15" t="s">
        <v>644</v>
      </c>
      <c r="D1200" s="16">
        <v>0</v>
      </c>
      <c r="E1200" s="2" t="str">
        <f t="shared" si="22"/>
        <v>Non Significant</v>
      </c>
    </row>
    <row r="1201" spans="3:7">
      <c r="C1201" s="15" t="s">
        <v>2543</v>
      </c>
      <c r="D1201" s="16">
        <v>0</v>
      </c>
      <c r="E1201" s="2" t="str">
        <f t="shared" si="22"/>
        <v>Non Significant</v>
      </c>
    </row>
    <row r="1202" spans="3:7">
      <c r="C1202" s="15" t="s">
        <v>780</v>
      </c>
      <c r="D1202" s="16">
        <v>0</v>
      </c>
      <c r="E1202" s="2" t="str">
        <f t="shared" si="22"/>
        <v>Non Significant</v>
      </c>
    </row>
    <row r="1203" spans="3:7">
      <c r="C1203" s="15" t="s">
        <v>4631</v>
      </c>
      <c r="D1203" s="16">
        <v>0</v>
      </c>
      <c r="E1203" s="2" t="str">
        <f t="shared" si="22"/>
        <v>Non Significant</v>
      </c>
    </row>
    <row r="1204" spans="3:7">
      <c r="C1204" s="15" t="s">
        <v>4632</v>
      </c>
      <c r="D1204" s="16">
        <v>0</v>
      </c>
      <c r="E1204" s="2" t="str">
        <f t="shared" si="22"/>
        <v>Non Significant</v>
      </c>
    </row>
    <row r="1205" spans="3:7">
      <c r="C1205" s="15" t="s">
        <v>149</v>
      </c>
      <c r="D1205" s="16">
        <v>0</v>
      </c>
      <c r="E1205" s="2" t="str">
        <f t="shared" si="22"/>
        <v>Non Significant</v>
      </c>
    </row>
    <row r="1206" spans="3:7">
      <c r="C1206" s="15" t="s">
        <v>742</v>
      </c>
      <c r="D1206" s="16">
        <v>0</v>
      </c>
      <c r="E1206" s="2" t="str">
        <f t="shared" si="22"/>
        <v>Non Significant</v>
      </c>
    </row>
    <row r="1207" spans="3:7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>
      <c r="C1209" s="15" t="s">
        <v>4634</v>
      </c>
      <c r="D1209" s="16">
        <v>0</v>
      </c>
    </row>
    <row r="1210" spans="3:7">
      <c r="C1210" s="15" t="s">
        <v>4635</v>
      </c>
      <c r="D1210" s="16">
        <v>0</v>
      </c>
    </row>
    <row r="1211" spans="3:7">
      <c r="C1211" s="15" t="s">
        <v>608</v>
      </c>
      <c r="D1211" s="16">
        <v>0</v>
      </c>
    </row>
    <row r="1212" spans="3:7">
      <c r="C1212" s="15" t="s">
        <v>4636</v>
      </c>
      <c r="D1212" s="16">
        <v>0</v>
      </c>
    </row>
    <row r="1213" spans="3:7">
      <c r="C1213" s="15" t="s">
        <v>766</v>
      </c>
      <c r="D1213" s="16">
        <v>0</v>
      </c>
    </row>
    <row r="1214" spans="3:7">
      <c r="C1214" s="15" t="s">
        <v>2575</v>
      </c>
      <c r="D1214" s="16">
        <v>0</v>
      </c>
    </row>
    <row r="1215" spans="3:7">
      <c r="C1215" s="15" t="s">
        <v>759</v>
      </c>
      <c r="D1215" s="16">
        <v>0</v>
      </c>
    </row>
    <row r="1216" spans="3:7">
      <c r="C1216" s="15" t="s">
        <v>2579</v>
      </c>
      <c r="D1216" s="16">
        <v>0</v>
      </c>
    </row>
    <row r="1217" spans="3:4">
      <c r="C1217" s="15" t="s">
        <v>752</v>
      </c>
      <c r="D1217" s="16">
        <v>0</v>
      </c>
    </row>
    <row r="1218" spans="3:4">
      <c r="C1218" s="15" t="s">
        <v>4637</v>
      </c>
      <c r="D1218" s="16">
        <v>0</v>
      </c>
    </row>
    <row r="1219" spans="3:4">
      <c r="C1219" s="15" t="s">
        <v>2545</v>
      </c>
      <c r="D1219" s="16">
        <v>0</v>
      </c>
    </row>
    <row r="1220" spans="3:4">
      <c r="C1220" s="15" t="s">
        <v>515</v>
      </c>
      <c r="D1220" s="16">
        <v>0</v>
      </c>
    </row>
    <row r="1221" spans="3:4">
      <c r="C1221" s="15" t="s">
        <v>2653</v>
      </c>
      <c r="D1221" s="16">
        <v>0</v>
      </c>
    </row>
    <row r="1222" spans="3:4">
      <c r="C1222" s="15" t="s">
        <v>1071</v>
      </c>
      <c r="D1222" s="16">
        <v>0</v>
      </c>
    </row>
    <row r="1223" spans="3:4">
      <c r="C1223" s="15" t="s">
        <v>385</v>
      </c>
      <c r="D1223" s="16">
        <v>0</v>
      </c>
    </row>
    <row r="1224" spans="3:4">
      <c r="C1224" s="15" t="s">
        <v>4638</v>
      </c>
      <c r="D1224" s="16">
        <v>0</v>
      </c>
    </row>
    <row r="1225" spans="3:4">
      <c r="C1225" s="15" t="s">
        <v>237</v>
      </c>
      <c r="D1225" s="16">
        <v>0</v>
      </c>
    </row>
    <row r="1226" spans="3:4">
      <c r="C1226" s="15" t="s">
        <v>308</v>
      </c>
      <c r="D1226" s="16">
        <v>0</v>
      </c>
    </row>
    <row r="1227" spans="3:4">
      <c r="C1227" s="15" t="s">
        <v>393</v>
      </c>
      <c r="D1227" s="16">
        <v>0</v>
      </c>
    </row>
    <row r="1228" spans="3:4">
      <c r="C1228" s="15" t="s">
        <v>4639</v>
      </c>
      <c r="D1228" s="16">
        <v>0</v>
      </c>
    </row>
    <row r="1229" spans="3:4">
      <c r="C1229" s="15" t="s">
        <v>381</v>
      </c>
      <c r="D1229" s="16">
        <v>0</v>
      </c>
    </row>
    <row r="1230" spans="3:4">
      <c r="C1230" s="15" t="s">
        <v>4640</v>
      </c>
      <c r="D1230" s="16">
        <v>0</v>
      </c>
    </row>
    <row r="1231" spans="3:4">
      <c r="C1231" s="15" t="s">
        <v>4641</v>
      </c>
      <c r="D1231" s="16">
        <v>0</v>
      </c>
    </row>
    <row r="1232" spans="3:4">
      <c r="C1232" s="15" t="s">
        <v>2608</v>
      </c>
      <c r="D1232" s="16">
        <v>0</v>
      </c>
    </row>
    <row r="1233" spans="3:4">
      <c r="C1233" s="15" t="s">
        <v>1334</v>
      </c>
      <c r="D1233" s="16">
        <v>0</v>
      </c>
    </row>
    <row r="1234" spans="3:4">
      <c r="C1234" s="15" t="s">
        <v>4642</v>
      </c>
      <c r="D1234" s="16">
        <v>0</v>
      </c>
    </row>
    <row r="1235" spans="3:4">
      <c r="C1235" s="15" t="s">
        <v>3833</v>
      </c>
      <c r="D1235" s="16">
        <v>0</v>
      </c>
    </row>
    <row r="1236" spans="3:4">
      <c r="C1236" s="15" t="s">
        <v>4643</v>
      </c>
      <c r="D1236" s="16">
        <v>0</v>
      </c>
    </row>
    <row r="1237" spans="3:4">
      <c r="C1237" s="15" t="s">
        <v>4644</v>
      </c>
      <c r="D1237" s="16">
        <v>0</v>
      </c>
    </row>
    <row r="1238" spans="3:4">
      <c r="C1238" s="15" t="s">
        <v>1041</v>
      </c>
      <c r="D1238" s="16">
        <v>0</v>
      </c>
    </row>
    <row r="1239" spans="3:4">
      <c r="C1239" s="15" t="s">
        <v>4645</v>
      </c>
      <c r="D1239" s="16">
        <v>0</v>
      </c>
    </row>
    <row r="1240" spans="3:4">
      <c r="C1240" s="15" t="s">
        <v>1095</v>
      </c>
      <c r="D1240" s="16">
        <v>0</v>
      </c>
    </row>
    <row r="1241" spans="3:4">
      <c r="C1241" s="15" t="s">
        <v>1337</v>
      </c>
      <c r="D1241" s="16">
        <v>0</v>
      </c>
    </row>
    <row r="1242" spans="3:4">
      <c r="C1242" s="15" t="s">
        <v>2644</v>
      </c>
      <c r="D1242" s="16">
        <v>0</v>
      </c>
    </row>
    <row r="1243" spans="3:4">
      <c r="C1243" s="15" t="s">
        <v>4646</v>
      </c>
      <c r="D1243" s="16">
        <v>0</v>
      </c>
    </row>
    <row r="1244" spans="3:4">
      <c r="C1244" s="15" t="s">
        <v>4647</v>
      </c>
      <c r="D1244" s="16">
        <v>0</v>
      </c>
    </row>
    <row r="1245" spans="3:4">
      <c r="C1245" s="15" t="s">
        <v>4648</v>
      </c>
      <c r="D1245" s="16">
        <v>0</v>
      </c>
    </row>
    <row r="1246" spans="3:4">
      <c r="C1246" s="15" t="s">
        <v>2698</v>
      </c>
      <c r="D1246" s="16">
        <v>0</v>
      </c>
    </row>
    <row r="1247" spans="3:4">
      <c r="C1247" s="15" t="s">
        <v>4649</v>
      </c>
      <c r="D1247" s="16">
        <v>0</v>
      </c>
    </row>
    <row r="1248" spans="3:4">
      <c r="C1248" s="15" t="s">
        <v>4650</v>
      </c>
      <c r="D1248" s="16">
        <v>0</v>
      </c>
    </row>
    <row r="1249" spans="3:4">
      <c r="C1249" s="15" t="s">
        <v>4651</v>
      </c>
      <c r="D1249" s="16">
        <v>0</v>
      </c>
    </row>
    <row r="1250" spans="3:4">
      <c r="C1250" s="15" t="s">
        <v>297</v>
      </c>
      <c r="D1250" s="16">
        <v>0</v>
      </c>
    </row>
    <row r="1251" spans="3:4">
      <c r="C1251" s="15" t="s">
        <v>4652</v>
      </c>
      <c r="D1251" s="16">
        <v>0</v>
      </c>
    </row>
    <row r="1252" spans="3:4">
      <c r="C1252" s="15" t="s">
        <v>324</v>
      </c>
      <c r="D1252" s="16">
        <v>0</v>
      </c>
    </row>
    <row r="1253" spans="3:4">
      <c r="C1253" s="15" t="s">
        <v>4653</v>
      </c>
      <c r="D1253" s="16">
        <v>0</v>
      </c>
    </row>
    <row r="1254" spans="3:4">
      <c r="C1254" s="15" t="s">
        <v>1023</v>
      </c>
      <c r="D1254" s="16">
        <v>0</v>
      </c>
    </row>
    <row r="1255" spans="3:4">
      <c r="C1255" s="15" t="s">
        <v>4654</v>
      </c>
      <c r="D1255" s="16">
        <v>0</v>
      </c>
    </row>
    <row r="1256" spans="3:4">
      <c r="C1256" s="15" t="s">
        <v>1080</v>
      </c>
      <c r="D1256" s="16">
        <v>0</v>
      </c>
    </row>
    <row r="1257" spans="3:4">
      <c r="C1257" s="15" t="s">
        <v>4655</v>
      </c>
      <c r="D1257" s="16">
        <v>0</v>
      </c>
    </row>
    <row r="1258" spans="3:4">
      <c r="C1258" s="15" t="s">
        <v>499</v>
      </c>
      <c r="D1258" s="16">
        <v>0</v>
      </c>
    </row>
    <row r="1259" spans="3:4">
      <c r="C1259" s="15" t="s">
        <v>3845</v>
      </c>
      <c r="D1259" s="16">
        <v>0</v>
      </c>
    </row>
    <row r="1260" spans="3:4">
      <c r="C1260" s="15" t="s">
        <v>1143</v>
      </c>
      <c r="D1260" s="16">
        <v>0</v>
      </c>
    </row>
    <row r="1261" spans="3:4">
      <c r="C1261" s="15" t="s">
        <v>3842</v>
      </c>
      <c r="D1261" s="16">
        <v>0</v>
      </c>
    </row>
    <row r="1262" spans="3:4">
      <c r="C1262" s="15" t="s">
        <v>1050</v>
      </c>
      <c r="D1262" s="16">
        <v>0</v>
      </c>
    </row>
    <row r="1263" spans="3:4">
      <c r="C1263" s="15" t="s">
        <v>249</v>
      </c>
      <c r="D1263" s="16">
        <v>0</v>
      </c>
    </row>
    <row r="1264" spans="3:4">
      <c r="C1264" s="15" t="s">
        <v>2617</v>
      </c>
      <c r="D1264" s="16">
        <v>0</v>
      </c>
    </row>
    <row r="1265" spans="3:4">
      <c r="C1265" s="15" t="s">
        <v>493</v>
      </c>
      <c r="D1265" s="16">
        <v>0</v>
      </c>
    </row>
    <row r="1266" spans="3:4">
      <c r="C1266" s="15" t="s">
        <v>4656</v>
      </c>
      <c r="D1266" s="16">
        <v>0</v>
      </c>
    </row>
    <row r="1267" spans="3:4">
      <c r="C1267" s="15" t="s">
        <v>173</v>
      </c>
      <c r="D1267" s="16">
        <v>0</v>
      </c>
    </row>
    <row r="1268" spans="3:4">
      <c r="C1268" s="15" t="s">
        <v>396</v>
      </c>
      <c r="D1268" s="16">
        <v>0</v>
      </c>
    </row>
    <row r="1269" spans="3:4">
      <c r="C1269" s="15" t="s">
        <v>489</v>
      </c>
      <c r="D1269" s="16">
        <v>0</v>
      </c>
    </row>
    <row r="1270" spans="3:4">
      <c r="C1270" s="15" t="s">
        <v>293</v>
      </c>
      <c r="D1270" s="16">
        <v>0</v>
      </c>
    </row>
    <row r="1271" spans="3:4">
      <c r="C1271" s="15" t="s">
        <v>201</v>
      </c>
      <c r="D1271" s="16">
        <v>0</v>
      </c>
    </row>
    <row r="1272" spans="3:4">
      <c r="C1272" s="15" t="s">
        <v>4657</v>
      </c>
      <c r="D1272" s="16">
        <v>0</v>
      </c>
    </row>
    <row r="1273" spans="3:4">
      <c r="C1273" s="15" t="s">
        <v>485</v>
      </c>
      <c r="D1273" s="16">
        <v>0</v>
      </c>
    </row>
    <row r="1274" spans="3:4">
      <c r="C1274" s="15" t="s">
        <v>2733</v>
      </c>
      <c r="D1274" s="16">
        <v>0</v>
      </c>
    </row>
    <row r="1275" spans="3:4">
      <c r="C1275" s="15" t="s">
        <v>169</v>
      </c>
      <c r="D1275" s="16">
        <v>0</v>
      </c>
    </row>
    <row r="1276" spans="3:4">
      <c r="C1276" s="15" t="s">
        <v>346</v>
      </c>
      <c r="D1276" s="16">
        <v>0</v>
      </c>
    </row>
    <row r="1277" spans="3:4">
      <c r="C1277" s="15" t="s">
        <v>3839</v>
      </c>
      <c r="D1277" s="16">
        <v>0</v>
      </c>
    </row>
    <row r="1278" spans="3:4">
      <c r="C1278" s="15" t="s">
        <v>2602</v>
      </c>
      <c r="D1278" s="16">
        <v>0</v>
      </c>
    </row>
    <row r="1279" spans="3:4">
      <c r="C1279" s="15" t="s">
        <v>142</v>
      </c>
      <c r="D1279" s="16">
        <v>0</v>
      </c>
    </row>
    <row r="1280" spans="3:4">
      <c r="C1280" s="15" t="s">
        <v>261</v>
      </c>
      <c r="D1280" s="16">
        <v>0</v>
      </c>
    </row>
    <row r="1281" spans="3:4">
      <c r="C1281" s="15" t="s">
        <v>146</v>
      </c>
      <c r="D1281" s="16">
        <v>0</v>
      </c>
    </row>
    <row r="1282" spans="3:4">
      <c r="C1282" s="15" t="s">
        <v>257</v>
      </c>
      <c r="D1282" s="16">
        <v>0</v>
      </c>
    </row>
    <row r="1283" spans="3:4">
      <c r="C1283" s="15" t="s">
        <v>189</v>
      </c>
      <c r="D1283" s="16">
        <v>0</v>
      </c>
    </row>
    <row r="1284" spans="3:4">
      <c r="C1284" s="15" t="s">
        <v>2536</v>
      </c>
      <c r="D1284" s="16">
        <v>0</v>
      </c>
    </row>
    <row r="1285" spans="3:4">
      <c r="C1285" s="15" t="s">
        <v>481</v>
      </c>
      <c r="D1285" s="16">
        <v>0</v>
      </c>
    </row>
    <row r="1286" spans="3:4">
      <c r="C1286" s="15" t="s">
        <v>4658</v>
      </c>
      <c r="D1286" s="16">
        <v>0</v>
      </c>
    </row>
    <row r="1287" spans="3:4">
      <c r="C1287" s="15" t="s">
        <v>181</v>
      </c>
      <c r="D1287" s="16">
        <v>0</v>
      </c>
    </row>
    <row r="1288" spans="3:4">
      <c r="C1288" s="15" t="s">
        <v>320</v>
      </c>
      <c r="D1288" s="16">
        <v>0</v>
      </c>
    </row>
    <row r="1289" spans="3:4">
      <c r="C1289" s="15" t="s">
        <v>487</v>
      </c>
      <c r="D1289" s="16">
        <v>0</v>
      </c>
    </row>
    <row r="1290" spans="3:4">
      <c r="C1290" s="15" t="s">
        <v>1027</v>
      </c>
      <c r="D1290" s="16">
        <v>0</v>
      </c>
    </row>
    <row r="1291" spans="3:4">
      <c r="C1291" s="15" t="s">
        <v>177</v>
      </c>
      <c r="D1291" s="16">
        <v>0</v>
      </c>
    </row>
    <row r="1292" spans="3:4">
      <c r="C1292" s="15" t="s">
        <v>1343</v>
      </c>
      <c r="D1292" s="16">
        <v>0</v>
      </c>
    </row>
    <row r="1293" spans="3:4">
      <c r="C1293" s="15" t="s">
        <v>491</v>
      </c>
      <c r="D1293" s="16">
        <v>0</v>
      </c>
    </row>
    <row r="1294" spans="3:4">
      <c r="C1294" s="15" t="s">
        <v>4659</v>
      </c>
      <c r="D1294" s="16">
        <v>0</v>
      </c>
    </row>
    <row r="1295" spans="3:4">
      <c r="C1295" s="15" t="s">
        <v>3823</v>
      </c>
      <c r="D1295" s="16">
        <v>0</v>
      </c>
    </row>
    <row r="1296" spans="3:4">
      <c r="C1296" s="15" t="s">
        <v>1077</v>
      </c>
      <c r="D1296" s="16">
        <v>0</v>
      </c>
    </row>
    <row r="1297" spans="3:4">
      <c r="C1297" s="15" t="s">
        <v>359</v>
      </c>
      <c r="D1297" s="16">
        <v>0</v>
      </c>
    </row>
    <row r="1298" spans="3:4">
      <c r="C1298" s="15" t="s">
        <v>4660</v>
      </c>
      <c r="D1298" s="16">
        <v>0</v>
      </c>
    </row>
    <row r="1299" spans="3:4">
      <c r="C1299" s="15" t="s">
        <v>3826</v>
      </c>
      <c r="D1299" s="16">
        <v>0</v>
      </c>
    </row>
    <row r="1300" spans="3:4">
      <c r="C1300" s="15" t="s">
        <v>1302</v>
      </c>
      <c r="D1300" s="16">
        <v>0</v>
      </c>
    </row>
    <row r="1301" spans="3:4">
      <c r="C1301" s="15" t="s">
        <v>3881</v>
      </c>
      <c r="D1301" s="16">
        <v>0</v>
      </c>
    </row>
    <row r="1302" spans="3:4">
      <c r="C1302" s="15" t="s">
        <v>1035</v>
      </c>
      <c r="D1302" s="16">
        <v>0</v>
      </c>
    </row>
    <row r="1303" spans="3:4">
      <c r="C1303" s="15" t="s">
        <v>3878</v>
      </c>
      <c r="D1303" s="16">
        <v>0</v>
      </c>
    </row>
    <row r="1304" spans="3:4">
      <c r="C1304" s="15" t="s">
        <v>1137</v>
      </c>
      <c r="D1304" s="16">
        <v>0</v>
      </c>
    </row>
    <row r="1305" spans="3:4">
      <c r="C1305" s="15" t="s">
        <v>3820</v>
      </c>
      <c r="D1305" s="16">
        <v>0</v>
      </c>
    </row>
    <row r="1306" spans="3:4">
      <c r="C1306" s="15" t="s">
        <v>4661</v>
      </c>
      <c r="D1306" s="16">
        <v>0</v>
      </c>
    </row>
    <row r="1307" spans="3:4">
      <c r="C1307" s="15" t="s">
        <v>355</v>
      </c>
      <c r="D1307" s="16">
        <v>0</v>
      </c>
    </row>
    <row r="1308" spans="3:4">
      <c r="C1308" s="15" t="s">
        <v>1044</v>
      </c>
      <c r="D1308" s="16">
        <v>0</v>
      </c>
    </row>
    <row r="1309" spans="3:4">
      <c r="C1309" s="15" t="s">
        <v>3835</v>
      </c>
      <c r="D1309" s="16">
        <v>0</v>
      </c>
    </row>
    <row r="1310" spans="3:4">
      <c r="C1310" s="15" t="s">
        <v>1089</v>
      </c>
      <c r="D1310" s="16">
        <v>0</v>
      </c>
    </row>
    <row r="1311" spans="3:4">
      <c r="C1311" s="15" t="s">
        <v>193</v>
      </c>
      <c r="D1311" s="16">
        <v>0</v>
      </c>
    </row>
    <row r="1312" spans="3:4">
      <c r="C1312" s="15" t="s">
        <v>2611</v>
      </c>
      <c r="D1312" s="16">
        <v>0</v>
      </c>
    </row>
    <row r="1313" spans="3:4">
      <c r="C1313" s="15" t="s">
        <v>479</v>
      </c>
      <c r="D1313" s="16">
        <v>0</v>
      </c>
    </row>
    <row r="1314" spans="3:4">
      <c r="C1314" s="15" t="s">
        <v>2647</v>
      </c>
      <c r="D1314" s="16">
        <v>0</v>
      </c>
    </row>
    <row r="1315" spans="3:4">
      <c r="C1315" s="15" t="s">
        <v>185</v>
      </c>
      <c r="D1315" s="16">
        <v>0</v>
      </c>
    </row>
    <row r="1316" spans="3:4">
      <c r="C1316" s="15" t="s">
        <v>4662</v>
      </c>
      <c r="D1316" s="16">
        <v>0</v>
      </c>
    </row>
    <row r="1317" spans="3:4">
      <c r="C1317" s="15" t="s">
        <v>483</v>
      </c>
      <c r="D1317" s="16">
        <v>0</v>
      </c>
    </row>
    <row r="1318" spans="3:4">
      <c r="C1318" s="15" t="s">
        <v>2638</v>
      </c>
      <c r="D1318" s="16">
        <v>0</v>
      </c>
    </row>
    <row r="1319" spans="3:4">
      <c r="C1319" s="15" t="s">
        <v>197</v>
      </c>
      <c r="D1319" s="16">
        <v>0</v>
      </c>
    </row>
    <row r="1320" spans="3:4">
      <c r="C1320" s="15" t="s">
        <v>4663</v>
      </c>
      <c r="D1320" s="16">
        <v>0</v>
      </c>
    </row>
    <row r="1321" spans="3:4">
      <c r="C1321" s="15" t="s">
        <v>457</v>
      </c>
      <c r="D1321" s="16">
        <v>0</v>
      </c>
    </row>
    <row r="1322" spans="3:4">
      <c r="C1322" s="15" t="s">
        <v>4664</v>
      </c>
      <c r="D1322" s="16">
        <v>0</v>
      </c>
    </row>
    <row r="1323" spans="3:4">
      <c r="C1323" s="15" t="s">
        <v>1341</v>
      </c>
      <c r="D1323" s="16">
        <v>0</v>
      </c>
    </row>
    <row r="1324" spans="3:4">
      <c r="C1324" s="15" t="s">
        <v>1319</v>
      </c>
      <c r="D1324" s="16">
        <v>0</v>
      </c>
    </row>
    <row r="1325" spans="3:4">
      <c r="C1325" s="15" t="s">
        <v>4665</v>
      </c>
      <c r="D1325" s="16">
        <v>0</v>
      </c>
    </row>
    <row r="1326" spans="3:4">
      <c r="C1326" s="15" t="s">
        <v>4666</v>
      </c>
      <c r="D1326" s="16">
        <v>0</v>
      </c>
    </row>
    <row r="1327" spans="3:4">
      <c r="C1327" s="15" t="s">
        <v>517</v>
      </c>
      <c r="D1327" s="16">
        <v>0</v>
      </c>
    </row>
    <row r="1328" spans="3:4">
      <c r="C1328" s="15" t="s">
        <v>2735</v>
      </c>
      <c r="D1328" s="16">
        <v>0</v>
      </c>
    </row>
    <row r="1329" spans="3:4">
      <c r="C1329" s="15" t="s">
        <v>421</v>
      </c>
      <c r="D1329" s="16">
        <v>0</v>
      </c>
    </row>
    <row r="1330" spans="3:4">
      <c r="C1330" s="15" t="s">
        <v>4667</v>
      </c>
      <c r="D1330" s="16">
        <v>0</v>
      </c>
    </row>
    <row r="1331" spans="3:4">
      <c r="C1331" s="15" t="s">
        <v>367</v>
      </c>
      <c r="D1331" s="16">
        <v>0</v>
      </c>
    </row>
    <row r="1332" spans="3:4">
      <c r="C1332" s="15" t="s">
        <v>501</v>
      </c>
      <c r="D1332" s="16">
        <v>0</v>
      </c>
    </row>
    <row r="1333" spans="3:4">
      <c r="C1333" s="15" t="s">
        <v>374</v>
      </c>
      <c r="D1333" s="16">
        <v>0</v>
      </c>
    </row>
    <row r="1334" spans="3:4">
      <c r="C1334" s="15" t="s">
        <v>2702</v>
      </c>
      <c r="D1334" s="16">
        <v>0</v>
      </c>
    </row>
    <row r="1335" spans="3:4">
      <c r="C1335" s="15" t="s">
        <v>165</v>
      </c>
      <c r="D1335" s="16">
        <v>0</v>
      </c>
    </row>
    <row r="1336" spans="3:4">
      <c r="C1336" s="15" t="s">
        <v>350</v>
      </c>
      <c r="D1336" s="16">
        <v>0</v>
      </c>
    </row>
    <row r="1337" spans="3:4">
      <c r="C1337" s="15" t="s">
        <v>4668</v>
      </c>
      <c r="D1337" s="16">
        <v>0</v>
      </c>
    </row>
    <row r="1338" spans="3:4">
      <c r="C1338" s="15" t="s">
        <v>269</v>
      </c>
      <c r="D1338" s="16">
        <v>0</v>
      </c>
    </row>
    <row r="1339" spans="3:4">
      <c r="C1339" s="15" t="s">
        <v>2695</v>
      </c>
      <c r="D1339" s="16">
        <v>0</v>
      </c>
    </row>
    <row r="1340" spans="3:4">
      <c r="C1340" s="15" t="s">
        <v>2606</v>
      </c>
      <c r="D1340" s="16">
        <v>0</v>
      </c>
    </row>
    <row r="1341" spans="3:4">
      <c r="C1341" s="15" t="s">
        <v>4669</v>
      </c>
      <c r="D1341" s="16">
        <v>0</v>
      </c>
    </row>
    <row r="1342" spans="3:4">
      <c r="C1342" s="15" t="s">
        <v>507</v>
      </c>
      <c r="D1342" s="16">
        <v>0</v>
      </c>
    </row>
    <row r="1343" spans="3:4">
      <c r="C1343" s="15" t="s">
        <v>2689</v>
      </c>
      <c r="D1343" s="16">
        <v>0</v>
      </c>
    </row>
    <row r="1344" spans="3:4">
      <c r="C1344" s="15" t="s">
        <v>528</v>
      </c>
      <c r="D1344" s="16">
        <v>0</v>
      </c>
    </row>
    <row r="1345" spans="3:4">
      <c r="C1345" s="15" t="s">
        <v>2693</v>
      </c>
      <c r="D1345" s="16">
        <v>0</v>
      </c>
    </row>
    <row r="1346" spans="3:4">
      <c r="C1346" s="15" t="s">
        <v>4670</v>
      </c>
      <c r="D1346" s="16">
        <v>0</v>
      </c>
    </row>
    <row r="1347" spans="3:4">
      <c r="C1347" s="15" t="s">
        <v>509</v>
      </c>
      <c r="D1347" s="16">
        <v>0</v>
      </c>
    </row>
    <row r="1348" spans="3:4">
      <c r="C1348" s="15" t="s">
        <v>532</v>
      </c>
      <c r="D1348" s="16">
        <v>0</v>
      </c>
    </row>
    <row r="1349" spans="3:4">
      <c r="C1349" s="15" t="s">
        <v>4671</v>
      </c>
      <c r="D1349" s="16">
        <v>0</v>
      </c>
    </row>
    <row r="1350" spans="3:4">
      <c r="C1350" s="15" t="s">
        <v>4672</v>
      </c>
      <c r="D1350" s="16">
        <v>0</v>
      </c>
    </row>
    <row r="1351" spans="3:4">
      <c r="C1351" s="15" t="s">
        <v>161</v>
      </c>
      <c r="D1351" s="16">
        <v>0</v>
      </c>
    </row>
    <row r="1352" spans="3:4">
      <c r="C1352" s="15" t="s">
        <v>2533</v>
      </c>
      <c r="D1352" s="16">
        <v>0</v>
      </c>
    </row>
    <row r="1353" spans="3:4">
      <c r="C1353" s="15" t="s">
        <v>4673</v>
      </c>
      <c r="D1353" s="16">
        <v>0</v>
      </c>
    </row>
    <row r="1354" spans="3:4">
      <c r="C1354" s="15" t="s">
        <v>339</v>
      </c>
      <c r="D1354" s="16">
        <v>0</v>
      </c>
    </row>
    <row r="1355" spans="3:4">
      <c r="C1355" s="15" t="s">
        <v>505</v>
      </c>
      <c r="D1355" s="16">
        <v>0</v>
      </c>
    </row>
    <row r="1356" spans="3:4">
      <c r="C1356" s="15" t="s">
        <v>459</v>
      </c>
      <c r="D1356" s="16">
        <v>0</v>
      </c>
    </row>
    <row r="1357" spans="3:4">
      <c r="C1357" s="15" t="s">
        <v>157</v>
      </c>
      <c r="D1357" s="16">
        <v>0</v>
      </c>
    </row>
    <row r="1358" spans="3:4">
      <c r="C1358" s="15" t="s">
        <v>465</v>
      </c>
      <c r="D1358" s="16">
        <v>0</v>
      </c>
    </row>
    <row r="1359" spans="3:4">
      <c r="C1359" s="15" t="s">
        <v>2683</v>
      </c>
      <c r="D1359" s="16">
        <v>0</v>
      </c>
    </row>
    <row r="1360" spans="3:4">
      <c r="C1360" s="15" t="s">
        <v>463</v>
      </c>
      <c r="D1360" s="16">
        <v>0</v>
      </c>
    </row>
    <row r="1361" spans="3:4">
      <c r="C1361" s="15" t="s">
        <v>4674</v>
      </c>
      <c r="D1361" s="16">
        <v>0</v>
      </c>
    </row>
    <row r="1362" spans="3:4">
      <c r="C1362" s="15" t="s">
        <v>1032</v>
      </c>
      <c r="D1362" s="16">
        <v>0</v>
      </c>
    </row>
    <row r="1363" spans="3:4">
      <c r="C1363" s="15" t="s">
        <v>4675</v>
      </c>
      <c r="D1363" s="16">
        <v>0</v>
      </c>
    </row>
    <row r="1364" spans="3:4">
      <c r="C1364" s="15" t="s">
        <v>1030</v>
      </c>
      <c r="D1364" s="16">
        <v>0</v>
      </c>
    </row>
    <row r="1365" spans="3:4">
      <c r="C1365" s="15" t="s">
        <v>4676</v>
      </c>
      <c r="D1365" s="16">
        <v>0</v>
      </c>
    </row>
    <row r="1366" spans="3:4">
      <c r="C1366" s="15" t="s">
        <v>949</v>
      </c>
      <c r="D1366" s="16">
        <v>0</v>
      </c>
    </row>
    <row r="1367" spans="3:4">
      <c r="C1367" s="15" t="s">
        <v>4677</v>
      </c>
      <c r="D1367" s="16">
        <v>0</v>
      </c>
    </row>
    <row r="1368" spans="3:4">
      <c r="C1368" s="15" t="s">
        <v>4678</v>
      </c>
      <c r="D1368" s="16">
        <v>0</v>
      </c>
    </row>
    <row r="1369" spans="3:4">
      <c r="C1369" s="15" t="s">
        <v>4679</v>
      </c>
      <c r="D1369" s="16">
        <v>0</v>
      </c>
    </row>
    <row r="1370" spans="3:4">
      <c r="C1370" s="15" t="s">
        <v>1086</v>
      </c>
      <c r="D1370" s="16">
        <v>0</v>
      </c>
    </row>
    <row r="1371" spans="3:4">
      <c r="C1371" s="15" t="s">
        <v>4680</v>
      </c>
      <c r="D1371" s="16">
        <v>0</v>
      </c>
    </row>
    <row r="1372" spans="3:4">
      <c r="C1372" s="15" t="s">
        <v>945</v>
      </c>
      <c r="D1372" s="16">
        <v>0</v>
      </c>
    </row>
    <row r="1373" spans="3:4">
      <c r="C1373" s="15" t="s">
        <v>4681</v>
      </c>
      <c r="D1373" s="16">
        <v>0</v>
      </c>
    </row>
    <row r="1374" spans="3:4">
      <c r="C1374" s="15" t="s">
        <v>1084</v>
      </c>
      <c r="D1374" s="16">
        <v>0</v>
      </c>
    </row>
    <row r="1375" spans="3:4">
      <c r="C1375" s="15" t="s">
        <v>519</v>
      </c>
      <c r="D1375" s="16">
        <v>0</v>
      </c>
    </row>
    <row r="1376" spans="3:4">
      <c r="C1376" s="15" t="s">
        <v>4682</v>
      </c>
      <c r="D1376" s="16">
        <v>0</v>
      </c>
    </row>
    <row r="1377" spans="3:4">
      <c r="C1377" s="15" t="s">
        <v>4683</v>
      </c>
      <c r="D1377" s="16">
        <v>0</v>
      </c>
    </row>
    <row r="1378" spans="3:4">
      <c r="C1378" s="15" t="s">
        <v>1075</v>
      </c>
      <c r="D1378" s="16">
        <v>0</v>
      </c>
    </row>
    <row r="1379" spans="3:4">
      <c r="C1379" s="15" t="s">
        <v>4684</v>
      </c>
      <c r="D1379" s="16">
        <v>0</v>
      </c>
    </row>
    <row r="1380" spans="3:4">
      <c r="C1380" s="15" t="s">
        <v>4685</v>
      </c>
      <c r="D1380" s="16">
        <v>0</v>
      </c>
    </row>
    <row r="1381" spans="3:4">
      <c r="C1381" s="15" t="s">
        <v>253</v>
      </c>
      <c r="D1381" s="16">
        <v>0</v>
      </c>
    </row>
    <row r="1382" spans="3:4">
      <c r="C1382" s="15" t="s">
        <v>1299</v>
      </c>
      <c r="D1382" s="16">
        <v>0</v>
      </c>
    </row>
    <row r="1383" spans="3:4">
      <c r="C1383" s="15" t="s">
        <v>4686</v>
      </c>
      <c r="D1383" s="16">
        <v>0</v>
      </c>
    </row>
    <row r="1384" spans="3:4">
      <c r="C1384" s="15" t="s">
        <v>1305</v>
      </c>
      <c r="D1384" s="16">
        <v>0</v>
      </c>
    </row>
    <row r="1385" spans="3:4">
      <c r="C1385" s="15" t="s">
        <v>423</v>
      </c>
      <c r="D1385" s="16">
        <v>0</v>
      </c>
    </row>
    <row r="1386" spans="3:4">
      <c r="C1386" s="15" t="s">
        <v>4687</v>
      </c>
      <c r="D1386" s="16">
        <v>0</v>
      </c>
    </row>
    <row r="1387" spans="3:4">
      <c r="C1387" s="15" t="s">
        <v>4688</v>
      </c>
      <c r="D1387" s="16">
        <v>0</v>
      </c>
    </row>
    <row r="1388" spans="3:4">
      <c r="C1388" s="15" t="s">
        <v>1039</v>
      </c>
      <c r="D1388" s="16">
        <v>0</v>
      </c>
    </row>
    <row r="1389" spans="3:4">
      <c r="C1389" s="15" t="s">
        <v>4689</v>
      </c>
      <c r="D1389" s="16">
        <v>0</v>
      </c>
    </row>
    <row r="1390" spans="3:4">
      <c r="C1390" s="15" t="s">
        <v>245</v>
      </c>
      <c r="D1390" s="16">
        <v>0</v>
      </c>
    </row>
    <row r="1391" spans="3:4">
      <c r="C1391" s="15" t="s">
        <v>4690</v>
      </c>
      <c r="D1391" s="16">
        <v>0</v>
      </c>
    </row>
    <row r="1392" spans="3:4">
      <c r="C1392" s="15" t="s">
        <v>1141</v>
      </c>
      <c r="D1392" s="16">
        <v>0</v>
      </c>
    </row>
    <row r="1393" spans="3:4">
      <c r="C1393" s="15" t="s">
        <v>1349</v>
      </c>
      <c r="D1393" s="16">
        <v>0</v>
      </c>
    </row>
    <row r="1394" spans="3:4">
      <c r="C1394" s="15" t="s">
        <v>503</v>
      </c>
      <c r="D1394" s="16">
        <v>0</v>
      </c>
    </row>
    <row r="1395" spans="3:4">
      <c r="C1395" s="15" t="s">
        <v>1328</v>
      </c>
      <c r="D1395" s="16">
        <v>0</v>
      </c>
    </row>
    <row r="1396" spans="3:4">
      <c r="C1396" s="15" t="s">
        <v>4691</v>
      </c>
      <c r="D1396" s="16">
        <v>0</v>
      </c>
    </row>
    <row r="1397" spans="3:4">
      <c r="C1397" s="15" t="s">
        <v>4692</v>
      </c>
      <c r="D1397" s="16">
        <v>0</v>
      </c>
    </row>
    <row r="1398" spans="3:4">
      <c r="C1398" s="15" t="s">
        <v>4693</v>
      </c>
      <c r="D1398" s="16">
        <v>0</v>
      </c>
    </row>
    <row r="1399" spans="3:4">
      <c r="C1399" s="15" t="s">
        <v>521</v>
      </c>
      <c r="D1399" s="16">
        <v>0</v>
      </c>
    </row>
    <row r="1400" spans="3:4">
      <c r="C1400" s="15" t="s">
        <v>1048</v>
      </c>
      <c r="D1400" s="16">
        <v>0</v>
      </c>
    </row>
    <row r="1401" spans="3:4">
      <c r="C1401" s="15" t="s">
        <v>301</v>
      </c>
      <c r="D1401" s="16">
        <v>0</v>
      </c>
    </row>
    <row r="1402" spans="3:4">
      <c r="C1402" s="15" t="s">
        <v>4694</v>
      </c>
      <c r="D1402" s="16">
        <v>0</v>
      </c>
    </row>
    <row r="1403" spans="3:4">
      <c r="C1403" s="15" t="s">
        <v>363</v>
      </c>
      <c r="D1403" s="16">
        <v>0</v>
      </c>
    </row>
    <row r="1404" spans="3:4">
      <c r="C1404" s="15" t="s">
        <v>1093</v>
      </c>
      <c r="D1404" s="16">
        <v>0</v>
      </c>
    </row>
    <row r="1405" spans="3:4">
      <c r="C1405" s="15" t="s">
        <v>4695</v>
      </c>
      <c r="D1405" s="16">
        <v>0</v>
      </c>
    </row>
    <row r="1406" spans="3:4">
      <c r="C1406" s="15" t="s">
        <v>4696</v>
      </c>
      <c r="D1406" s="16">
        <v>0</v>
      </c>
    </row>
    <row r="1407" spans="3:4">
      <c r="C1407" s="15" t="s">
        <v>371</v>
      </c>
      <c r="D1407" s="16">
        <v>0</v>
      </c>
    </row>
    <row r="1408" spans="3:4">
      <c r="C1408" s="15" t="s">
        <v>2615</v>
      </c>
      <c r="D1408" s="16">
        <v>0</v>
      </c>
    </row>
    <row r="1409" spans="3:4">
      <c r="C1409" s="15" t="s">
        <v>475</v>
      </c>
      <c r="D1409" s="16">
        <v>0</v>
      </c>
    </row>
    <row r="1410" spans="3:4">
      <c r="C1410" s="15" t="s">
        <v>4697</v>
      </c>
      <c r="D1410" s="16">
        <v>0</v>
      </c>
    </row>
    <row r="1411" spans="3:4">
      <c r="C1411" s="15" t="s">
        <v>316</v>
      </c>
      <c r="D1411" s="16">
        <v>0</v>
      </c>
    </row>
    <row r="1412" spans="3:4">
      <c r="C1412" s="15" t="s">
        <v>2651</v>
      </c>
      <c r="D1412" s="16">
        <v>0</v>
      </c>
    </row>
    <row r="1413" spans="3:4">
      <c r="C1413" s="15" t="s">
        <v>1215</v>
      </c>
      <c r="D1413" s="16">
        <v>0</v>
      </c>
    </row>
    <row r="1414" spans="3:4">
      <c r="C1414" s="15" t="s">
        <v>241</v>
      </c>
      <c r="D1414" s="16">
        <v>0</v>
      </c>
    </row>
    <row r="1415" spans="3:4">
      <c r="C1415" s="15" t="s">
        <v>1008</v>
      </c>
      <c r="D1415" s="16">
        <v>0</v>
      </c>
    </row>
    <row r="1416" spans="3:4">
      <c r="C1416" s="15" t="s">
        <v>4698</v>
      </c>
      <c r="D1416" s="16">
        <v>0</v>
      </c>
    </row>
    <row r="1417" spans="3:4">
      <c r="C1417" s="15" t="s">
        <v>4699</v>
      </c>
      <c r="D1417" s="16">
        <v>0</v>
      </c>
    </row>
    <row r="1418" spans="3:4">
      <c r="C1418" s="15" t="s">
        <v>4700</v>
      </c>
      <c r="D1418" s="16">
        <v>0</v>
      </c>
    </row>
    <row r="1419" spans="3:4">
      <c r="C1419" s="15" t="s">
        <v>4701</v>
      </c>
      <c r="D1419" s="16">
        <v>0</v>
      </c>
    </row>
    <row r="1420" spans="3:4">
      <c r="C1420" s="15" t="s">
        <v>2642</v>
      </c>
      <c r="D1420" s="16">
        <v>0</v>
      </c>
    </row>
    <row r="1421" spans="3:4">
      <c r="C1421" s="15" t="s">
        <v>4702</v>
      </c>
      <c r="D1421" s="16">
        <v>0</v>
      </c>
    </row>
    <row r="1422" spans="3:4">
      <c r="C1422" s="15" t="s">
        <v>4703</v>
      </c>
      <c r="D1422" s="16">
        <v>0</v>
      </c>
    </row>
    <row r="1423" spans="3:4">
      <c r="C1423" s="15" t="s">
        <v>471</v>
      </c>
      <c r="D1423" s="16">
        <v>0</v>
      </c>
    </row>
    <row r="1424" spans="3:4">
      <c r="C1424" s="15" t="s">
        <v>4704</v>
      </c>
      <c r="D1424" s="16">
        <v>0</v>
      </c>
    </row>
    <row r="1425" spans="3:4">
      <c r="C1425" s="15" t="s">
        <v>312</v>
      </c>
      <c r="D1425" s="16">
        <v>0</v>
      </c>
    </row>
    <row r="1426" spans="3:4">
      <c r="C1426" s="15" t="s">
        <v>4705</v>
      </c>
      <c r="D1426" s="16">
        <v>0</v>
      </c>
    </row>
    <row r="1427" spans="3:4">
      <c r="C1427" s="15" t="s">
        <v>467</v>
      </c>
      <c r="D1427" s="16">
        <v>0</v>
      </c>
    </row>
    <row r="1428" spans="3:4">
      <c r="C1428" s="15" t="s">
        <v>4706</v>
      </c>
      <c r="D1428" s="16">
        <v>0</v>
      </c>
    </row>
    <row r="1429" spans="3:4">
      <c r="C1429" s="15" t="s">
        <v>285</v>
      </c>
      <c r="D1429" s="16">
        <v>0</v>
      </c>
    </row>
    <row r="1430" spans="3:4">
      <c r="C1430" s="15" t="s">
        <v>4707</v>
      </c>
      <c r="D1430" s="16">
        <v>0</v>
      </c>
    </row>
    <row r="1431" spans="3:4">
      <c r="C1431" s="15" t="s">
        <v>477</v>
      </c>
      <c r="D1431" s="16">
        <v>0</v>
      </c>
    </row>
    <row r="1432" spans="3:4">
      <c r="C1432" s="15" t="s">
        <v>4708</v>
      </c>
      <c r="D1432" s="16">
        <v>0</v>
      </c>
    </row>
    <row r="1433" spans="3:4">
      <c r="C1433" s="15" t="s">
        <v>328</v>
      </c>
      <c r="D1433" s="16">
        <v>0</v>
      </c>
    </row>
    <row r="1434" spans="3:4">
      <c r="C1434" s="15" t="s">
        <v>4709</v>
      </c>
      <c r="D1434" s="16">
        <v>0</v>
      </c>
    </row>
    <row r="1435" spans="3:4">
      <c r="C1435" s="15" t="s">
        <v>4710</v>
      </c>
      <c r="D1435" s="16">
        <v>0</v>
      </c>
    </row>
    <row r="1436" spans="3:4">
      <c r="C1436" s="15" t="s">
        <v>4711</v>
      </c>
      <c r="D1436" s="16">
        <v>0</v>
      </c>
    </row>
    <row r="1437" spans="3:4">
      <c r="C1437" s="15" t="s">
        <v>461</v>
      </c>
      <c r="D1437" s="16">
        <v>0</v>
      </c>
    </row>
    <row r="1438" spans="3:4">
      <c r="C1438" s="15" t="s">
        <v>4712</v>
      </c>
      <c r="D1438" s="16">
        <v>0</v>
      </c>
    </row>
    <row r="1439" spans="3:4">
      <c r="C1439" s="15" t="s">
        <v>277</v>
      </c>
      <c r="D1439" s="16">
        <v>0</v>
      </c>
    </row>
    <row r="1440" spans="3:4">
      <c r="C1440" s="15" t="s">
        <v>1325</v>
      </c>
      <c r="D1440" s="16">
        <v>0</v>
      </c>
    </row>
    <row r="1441" spans="3:4">
      <c r="C1441" s="15" t="s">
        <v>469</v>
      </c>
      <c r="D1441" s="16">
        <v>0</v>
      </c>
    </row>
    <row r="1442" spans="3:4">
      <c r="C1442" s="15" t="s">
        <v>1323</v>
      </c>
      <c r="D1442" s="16">
        <v>0</v>
      </c>
    </row>
    <row r="1443" spans="3:4">
      <c r="C1443" s="15" t="s">
        <v>273</v>
      </c>
      <c r="D1443" s="16">
        <v>0</v>
      </c>
    </row>
    <row r="1444" spans="3:4">
      <c r="C1444" s="15" t="s">
        <v>4713</v>
      </c>
      <c r="D1444" s="16">
        <v>0</v>
      </c>
    </row>
    <row r="1445" spans="3:4">
      <c r="C1445" s="15" t="s">
        <v>4714</v>
      </c>
      <c r="D1445" s="16">
        <v>0</v>
      </c>
    </row>
    <row r="1446" spans="3:4">
      <c r="C1446" s="15" t="s">
        <v>1053</v>
      </c>
      <c r="D1446" s="16">
        <v>0</v>
      </c>
    </row>
    <row r="1447" spans="3:4">
      <c r="C1447" s="15" t="s">
        <v>473</v>
      </c>
      <c r="D1447" s="16">
        <v>0</v>
      </c>
    </row>
    <row r="1448" spans="3:4">
      <c r="C1448" s="15" t="s">
        <v>1057</v>
      </c>
      <c r="D1448" s="16">
        <v>0</v>
      </c>
    </row>
    <row r="1449" spans="3:4">
      <c r="C1449" s="15" t="s">
        <v>265</v>
      </c>
      <c r="D1449" s="16">
        <v>0</v>
      </c>
    </row>
    <row r="1450" spans="3:4">
      <c r="C1450" s="15" t="s">
        <v>352</v>
      </c>
      <c r="D1450" s="16">
        <v>0</v>
      </c>
    </row>
    <row r="1451" spans="3:4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sheetPr codeName="Sheet2"/>
  <dimension ref="A1:AF1248"/>
  <sheetViews>
    <sheetView topLeftCell="A1208" workbookViewId="0">
      <selection activeCell="B1" sqref="B1"/>
    </sheetView>
  </sheetViews>
  <sheetFormatPr defaultRowHeight="12.75"/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ISNUMBER(MATCH(G2,AUM!$C$6:$C$1451,0))</f>
        <v>0</v>
      </c>
      <c r="AF2" t="b">
        <f>ISNUMBER(MATCH(G2,AUM!$G$6:$G$240,0))</f>
        <v>0</v>
      </c>
    </row>
    <row r="3" spans="1:3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ISNUMBER(MATCH(G3,AUM!$C$6:$C$1451,0))</f>
        <v>0</v>
      </c>
      <c r="AF3" t="b">
        <f>ISNUMBER(MATCH(G3,AUM!$G$6:$G$240,0))</f>
        <v>0</v>
      </c>
    </row>
    <row r="4" spans="1:3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ISNUMBER(MATCH(G4,AUM!$C$6:$C$1451,0))</f>
        <v>0</v>
      </c>
      <c r="AF4" t="b">
        <f>ISNUMBER(MATCH(G4,AUM!$G$6:$G$240,0))</f>
        <v>0</v>
      </c>
    </row>
    <row r="5" spans="1:3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ISNUMBER(MATCH(G5,AUM!$C$6:$C$1451,0))</f>
        <v>0</v>
      </c>
      <c r="AF5" t="b">
        <f>ISNUMBER(MATCH(G5,AUM!$G$6:$G$240,0))</f>
        <v>0</v>
      </c>
    </row>
    <row r="6" spans="1:3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ISNUMBER(MATCH(G6,AUM!$C$6:$C$1451,0))</f>
        <v>0</v>
      </c>
      <c r="AF6" t="b">
        <f>ISNUMBER(MATCH(G6,AUM!$G$6:$G$240,0))</f>
        <v>0</v>
      </c>
    </row>
    <row r="7" spans="1:3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ISNUMBER(MATCH(G7,AUM!$C$6:$C$1451,0))</f>
        <v>0</v>
      </c>
      <c r="AF7" t="b">
        <f>ISNUMBER(MATCH(G7,AUM!$G$6:$G$240,0))</f>
        <v>0</v>
      </c>
    </row>
    <row r="8" spans="1:3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ISNUMBER(MATCH(G8,AUM!$C$6:$C$1451,0))</f>
        <v>0</v>
      </c>
      <c r="AF8" t="b">
        <f>ISNUMBER(MATCH(G8,AUM!$G$6:$G$240,0))</f>
        <v>0</v>
      </c>
    </row>
    <row r="9" spans="1:3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ISNUMBER(MATCH(G9,AUM!$C$6:$C$1451,0))</f>
        <v>0</v>
      </c>
      <c r="AF9" t="b">
        <f>ISNUMBER(MATCH(G9,AUM!$G$6:$G$240,0))</f>
        <v>0</v>
      </c>
    </row>
    <row r="10" spans="1:3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ISNUMBER(MATCH(G10,AUM!$C$6:$C$1451,0))</f>
        <v>0</v>
      </c>
      <c r="AF10" t="b">
        <f>ISNUMBER(MATCH(G10,AUM!$G$6:$G$240,0))</f>
        <v>0</v>
      </c>
    </row>
    <row r="11" spans="1:3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ISNUMBER(MATCH(G11,AUM!$C$6:$C$1451,0))</f>
        <v>0</v>
      </c>
      <c r="AF11" t="b">
        <f>ISNUMBER(MATCH(G11,AUM!$G$6:$G$240,0))</f>
        <v>0</v>
      </c>
    </row>
    <row r="12" spans="1:3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ISNUMBER(MATCH(G12,AUM!$C$6:$C$1451,0))</f>
        <v>0</v>
      </c>
      <c r="AF12" t="b">
        <f>ISNUMBER(MATCH(G12,AUM!$G$6:$G$240,0))</f>
        <v>0</v>
      </c>
    </row>
    <row r="13" spans="1:3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ISNUMBER(MATCH(G13,AUM!$C$6:$C$1451,0))</f>
        <v>0</v>
      </c>
      <c r="AF13" t="b">
        <f>ISNUMBER(MATCH(G13,AUM!$G$6:$G$240,0))</f>
        <v>0</v>
      </c>
    </row>
    <row r="14" spans="1:3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ISNUMBER(MATCH(G14,AUM!$C$6:$C$1451,0))</f>
        <v>0</v>
      </c>
      <c r="AF14" t="b">
        <f>ISNUMBER(MATCH(G14,AUM!$G$6:$G$240,0))</f>
        <v>0</v>
      </c>
    </row>
    <row r="15" spans="1:3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ISNUMBER(MATCH(G15,AUM!$C$6:$C$1451,0))</f>
        <v>0</v>
      </c>
      <c r="AF15" t="b">
        <f>ISNUMBER(MATCH(G15,AUM!$G$6:$G$240,0))</f>
        <v>0</v>
      </c>
    </row>
    <row r="16" spans="1:3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ISNUMBER(MATCH(G16,AUM!$C$6:$C$1451,0))</f>
        <v>0</v>
      </c>
      <c r="AF16" t="b">
        <f>ISNUMBER(MATCH(G16,AUM!$G$6:$G$240,0))</f>
        <v>0</v>
      </c>
    </row>
    <row r="17" spans="1:3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ISNUMBER(MATCH(G17,AUM!$C$6:$C$1451,0))</f>
        <v>0</v>
      </c>
      <c r="AF17" t="b">
        <f>ISNUMBER(MATCH(G17,AUM!$G$6:$G$240,0))</f>
        <v>0</v>
      </c>
    </row>
    <row r="18" spans="1:3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ISNUMBER(MATCH(G18,AUM!$C$6:$C$1451,0))</f>
        <v>0</v>
      </c>
      <c r="AF18" t="b">
        <f>ISNUMBER(MATCH(G18,AUM!$G$6:$G$240,0))</f>
        <v>0</v>
      </c>
    </row>
    <row r="19" spans="1:3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ISNUMBER(MATCH(G19,AUM!$C$6:$C$1451,0))</f>
        <v>0</v>
      </c>
      <c r="AF19" t="b">
        <f>ISNUMBER(MATCH(G19,AUM!$G$6:$G$240,0))</f>
        <v>0</v>
      </c>
    </row>
    <row r="20" spans="1:3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ISNUMBER(MATCH(G20,AUM!$C$6:$C$1451,0))</f>
        <v>0</v>
      </c>
      <c r="AF20" t="b">
        <f>ISNUMBER(MATCH(G20,AUM!$G$6:$G$240,0))</f>
        <v>0</v>
      </c>
    </row>
    <row r="21" spans="1:3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ISNUMBER(MATCH(G21,AUM!$C$6:$C$1451,0))</f>
        <v>0</v>
      </c>
      <c r="AF21" t="b">
        <f>ISNUMBER(MATCH(G21,AUM!$G$6:$G$240,0))</f>
        <v>0</v>
      </c>
    </row>
    <row r="22" spans="1:3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ISNUMBER(MATCH(G22,AUM!$C$6:$C$1451,0))</f>
        <v>0</v>
      </c>
      <c r="AF22" t="b">
        <f>ISNUMBER(MATCH(G22,AUM!$G$6:$G$240,0))</f>
        <v>0</v>
      </c>
    </row>
    <row r="23" spans="1:3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ISNUMBER(MATCH(G23,AUM!$C$6:$C$1451,0))</f>
        <v>0</v>
      </c>
      <c r="AF23" t="b">
        <f>ISNUMBER(MATCH(G23,AUM!$G$6:$G$240,0))</f>
        <v>0</v>
      </c>
    </row>
    <row r="24" spans="1:3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ISNUMBER(MATCH(G24,AUM!$C$6:$C$1451,0))</f>
        <v>0</v>
      </c>
      <c r="AF24" t="b">
        <f>ISNUMBER(MATCH(G24,AUM!$G$6:$G$240,0))</f>
        <v>0</v>
      </c>
    </row>
    <row r="25" spans="1:3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ISNUMBER(MATCH(G25,AUM!$C$6:$C$1451,0))</f>
        <v>0</v>
      </c>
      <c r="AF25" t="b">
        <f>ISNUMBER(MATCH(G25,AUM!$G$6:$G$240,0))</f>
        <v>0</v>
      </c>
    </row>
    <row r="26" spans="1:3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ISNUMBER(MATCH(G26,AUM!$C$6:$C$1451,0))</f>
        <v>0</v>
      </c>
      <c r="AF26" t="b">
        <f>ISNUMBER(MATCH(G26,AUM!$G$6:$G$240,0))</f>
        <v>0</v>
      </c>
    </row>
    <row r="27" spans="1:3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ISNUMBER(MATCH(G27,AUM!$C$6:$C$1451,0))</f>
        <v>0</v>
      </c>
      <c r="AF27" t="b">
        <f>ISNUMBER(MATCH(G27,AUM!$G$6:$G$240,0))</f>
        <v>0</v>
      </c>
    </row>
    <row r="28" spans="1:3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ISNUMBER(MATCH(G28,AUM!$C$6:$C$1451,0))</f>
        <v>1</v>
      </c>
      <c r="AF28" t="b">
        <f>ISNUMBER(MATCH(G28,AUM!$G$6:$G$240,0))</f>
        <v>0</v>
      </c>
    </row>
    <row r="29" spans="1:3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ISNUMBER(MATCH(G29,AUM!$C$6:$C$1451,0))</f>
        <v>1</v>
      </c>
      <c r="AF29" t="b">
        <f>ISNUMBER(MATCH(G29,AUM!$G$6:$G$240,0))</f>
        <v>0</v>
      </c>
    </row>
    <row r="30" spans="1:3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ISNUMBER(MATCH(G30,AUM!$C$6:$C$1451,0))</f>
        <v>0</v>
      </c>
      <c r="AF30" t="b">
        <f>ISNUMBER(MATCH(G30,AUM!$G$6:$G$240,0))</f>
        <v>0</v>
      </c>
    </row>
    <row r="31" spans="1:3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ISNUMBER(MATCH(G31,AUM!$C$6:$C$1451,0))</f>
        <v>0</v>
      </c>
      <c r="AF31" t="b">
        <f>ISNUMBER(MATCH(G31,AUM!$G$6:$G$240,0))</f>
        <v>0</v>
      </c>
    </row>
    <row r="32" spans="1:3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ISNUMBER(MATCH(G32,AUM!$C$6:$C$1451,0))</f>
        <v>1</v>
      </c>
      <c r="AF32" t="b">
        <f>ISNUMBER(MATCH(G32,AUM!$G$6:$G$240,0))</f>
        <v>0</v>
      </c>
    </row>
    <row r="33" spans="1:3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ISNUMBER(MATCH(G33,AUM!$C$6:$C$1451,0))</f>
        <v>1</v>
      </c>
      <c r="AF33" t="b">
        <f>ISNUMBER(MATCH(G33,AUM!$G$6:$G$240,0))</f>
        <v>0</v>
      </c>
    </row>
    <row r="34" spans="1:3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ISNUMBER(MATCH(G34,AUM!$C$6:$C$1451,0))</f>
        <v>1</v>
      </c>
      <c r="AF34" t="b">
        <f>ISNUMBER(MATCH(G34,AUM!$G$6:$G$240,0))</f>
        <v>0</v>
      </c>
    </row>
    <row r="35" spans="1:3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ISNUMBER(MATCH(G35,AUM!$C$6:$C$1451,0))</f>
        <v>1</v>
      </c>
      <c r="AF35" t="b">
        <f>ISNUMBER(MATCH(G35,AUM!$G$6:$G$240,0))</f>
        <v>0</v>
      </c>
    </row>
    <row r="36" spans="1:3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ISNUMBER(MATCH(G36,AUM!$C$6:$C$1451,0))</f>
        <v>1</v>
      </c>
      <c r="AF36" t="b">
        <f>ISNUMBER(MATCH(G36,AUM!$G$6:$G$240,0))</f>
        <v>0</v>
      </c>
    </row>
    <row r="37" spans="1:3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ISNUMBER(MATCH(G37,AUM!$C$6:$C$1451,0))</f>
        <v>1</v>
      </c>
      <c r="AF37" t="b">
        <f>ISNUMBER(MATCH(G37,AUM!$G$6:$G$240,0))</f>
        <v>0</v>
      </c>
    </row>
    <row r="38" spans="1:3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ISNUMBER(MATCH(G38,AUM!$C$6:$C$1451,0))</f>
        <v>1</v>
      </c>
      <c r="AF38" t="b">
        <f>ISNUMBER(MATCH(G38,AUM!$G$6:$G$240,0))</f>
        <v>0</v>
      </c>
    </row>
    <row r="39" spans="1:3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ISNUMBER(MATCH(G39,AUM!$C$6:$C$1451,0))</f>
        <v>1</v>
      </c>
      <c r="AF39" t="b">
        <f>ISNUMBER(MATCH(G39,AUM!$G$6:$G$240,0))</f>
        <v>0</v>
      </c>
    </row>
    <row r="40" spans="1:3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ISNUMBER(MATCH(G40,AUM!$C$6:$C$1451,0))</f>
        <v>1</v>
      </c>
      <c r="AF40" t="b">
        <f>ISNUMBER(MATCH(G40,AUM!$G$6:$G$240,0))</f>
        <v>0</v>
      </c>
    </row>
    <row r="41" spans="1:3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ISNUMBER(MATCH(G41,AUM!$C$6:$C$1451,0))</f>
        <v>1</v>
      </c>
      <c r="AF41" t="b">
        <f>ISNUMBER(MATCH(G41,AUM!$G$6:$G$240,0))</f>
        <v>0</v>
      </c>
    </row>
    <row r="42" spans="1:3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ISNUMBER(MATCH(G42,AUM!$C$6:$C$1451,0))</f>
        <v>1</v>
      </c>
      <c r="AF42" t="b">
        <f>ISNUMBER(MATCH(G42,AUM!$G$6:$G$240,0))</f>
        <v>0</v>
      </c>
    </row>
    <row r="43" spans="1:3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ISNUMBER(MATCH(G43,AUM!$C$6:$C$1451,0))</f>
        <v>1</v>
      </c>
      <c r="AF43" t="b">
        <f>ISNUMBER(MATCH(G43,AUM!$G$6:$G$240,0))</f>
        <v>0</v>
      </c>
    </row>
    <row r="44" spans="1:3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ISNUMBER(MATCH(G44,AUM!$C$6:$C$1451,0))</f>
        <v>1</v>
      </c>
      <c r="AF44" t="b">
        <f>ISNUMBER(MATCH(G44,AUM!$G$6:$G$240,0))</f>
        <v>0</v>
      </c>
    </row>
    <row r="45" spans="1:3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ISNUMBER(MATCH(G45,AUM!$C$6:$C$1451,0))</f>
        <v>1</v>
      </c>
      <c r="AF45" t="b">
        <f>ISNUMBER(MATCH(G45,AUM!$G$6:$G$240,0))</f>
        <v>0</v>
      </c>
    </row>
    <row r="46" spans="1:3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ISNUMBER(MATCH(G46,AUM!$C$6:$C$1451,0))</f>
        <v>1</v>
      </c>
      <c r="AF46" t="b">
        <f>ISNUMBER(MATCH(G46,AUM!$G$6:$G$240,0))</f>
        <v>0</v>
      </c>
    </row>
    <row r="47" spans="1:3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ISNUMBER(MATCH(G47,AUM!$C$6:$C$1451,0))</f>
        <v>1</v>
      </c>
      <c r="AF47" t="b">
        <f>ISNUMBER(MATCH(G47,AUM!$G$6:$G$240,0))</f>
        <v>0</v>
      </c>
    </row>
    <row r="48" spans="1:3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ISNUMBER(MATCH(G48,AUM!$C$6:$C$1451,0))</f>
        <v>1</v>
      </c>
      <c r="AF48" t="b">
        <f>ISNUMBER(MATCH(G48,AUM!$G$6:$G$240,0))</f>
        <v>0</v>
      </c>
    </row>
    <row r="49" spans="1:3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ISNUMBER(MATCH(G49,AUM!$C$6:$C$1451,0))</f>
        <v>1</v>
      </c>
      <c r="AF49" t="b">
        <f>ISNUMBER(MATCH(G49,AUM!$G$6:$G$240,0))</f>
        <v>0</v>
      </c>
    </row>
    <row r="50" spans="1:3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ISNUMBER(MATCH(G50,AUM!$C$6:$C$1451,0))</f>
        <v>1</v>
      </c>
      <c r="AF50" t="b">
        <f>ISNUMBER(MATCH(G50,AUM!$G$6:$G$240,0))</f>
        <v>0</v>
      </c>
    </row>
    <row r="51" spans="1:3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ISNUMBER(MATCH(G51,AUM!$C$6:$C$1451,0))</f>
        <v>1</v>
      </c>
      <c r="AF51" t="b">
        <f>ISNUMBER(MATCH(G51,AUM!$G$6:$G$240,0))</f>
        <v>0</v>
      </c>
    </row>
    <row r="52" spans="1:3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ISNUMBER(MATCH(G52,AUM!$C$6:$C$1451,0))</f>
        <v>1</v>
      </c>
      <c r="AF52" t="b">
        <f>ISNUMBER(MATCH(G52,AUM!$G$6:$G$240,0))</f>
        <v>0</v>
      </c>
    </row>
    <row r="53" spans="1:3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ISNUMBER(MATCH(G53,AUM!$C$6:$C$1451,0))</f>
        <v>1</v>
      </c>
      <c r="AF53" t="b">
        <f>ISNUMBER(MATCH(G53,AUM!$G$6:$G$240,0))</f>
        <v>0</v>
      </c>
    </row>
    <row r="54" spans="1:3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ISNUMBER(MATCH(G54,AUM!$C$6:$C$1451,0))</f>
        <v>1</v>
      </c>
      <c r="AF54" t="b">
        <f>ISNUMBER(MATCH(G54,AUM!$G$6:$G$240,0))</f>
        <v>0</v>
      </c>
    </row>
    <row r="55" spans="1:3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ISNUMBER(MATCH(G55,AUM!$C$6:$C$1451,0))</f>
        <v>1</v>
      </c>
      <c r="AF55" t="b">
        <f>ISNUMBER(MATCH(G55,AUM!$G$6:$G$240,0))</f>
        <v>0</v>
      </c>
    </row>
    <row r="56" spans="1:3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ISNUMBER(MATCH(G56,AUM!$C$6:$C$1451,0))</f>
        <v>1</v>
      </c>
      <c r="AF56" t="b">
        <f>ISNUMBER(MATCH(G56,AUM!$G$6:$G$240,0))</f>
        <v>0</v>
      </c>
    </row>
    <row r="57" spans="1:3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ISNUMBER(MATCH(G57,AUM!$C$6:$C$1451,0))</f>
        <v>1</v>
      </c>
      <c r="AF57" t="b">
        <f>ISNUMBER(MATCH(G57,AUM!$G$6:$G$240,0))</f>
        <v>0</v>
      </c>
    </row>
    <row r="58" spans="1:3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ISNUMBER(MATCH(G58,AUM!$C$6:$C$1451,0))</f>
        <v>1</v>
      </c>
      <c r="AF58" t="b">
        <f>ISNUMBER(MATCH(G58,AUM!$G$6:$G$240,0))</f>
        <v>0</v>
      </c>
    </row>
    <row r="59" spans="1:3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ISNUMBER(MATCH(G59,AUM!$C$6:$C$1451,0))</f>
        <v>1</v>
      </c>
      <c r="AF59" t="b">
        <f>ISNUMBER(MATCH(G59,AUM!$G$6:$G$240,0))</f>
        <v>0</v>
      </c>
    </row>
    <row r="60" spans="1:3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ISNUMBER(MATCH(G60,AUM!$C$6:$C$1451,0))</f>
        <v>1</v>
      </c>
      <c r="AF60" t="b">
        <f>ISNUMBER(MATCH(G60,AUM!$G$6:$G$240,0))</f>
        <v>0</v>
      </c>
    </row>
    <row r="61" spans="1:3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ISNUMBER(MATCH(G61,AUM!$C$6:$C$1451,0))</f>
        <v>1</v>
      </c>
      <c r="AF61" t="b">
        <f>ISNUMBER(MATCH(G61,AUM!$G$6:$G$240,0))</f>
        <v>0</v>
      </c>
    </row>
    <row r="62" spans="1:3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ISNUMBER(MATCH(G62,AUM!$C$6:$C$1451,0))</f>
        <v>1</v>
      </c>
      <c r="AF62" t="b">
        <f>ISNUMBER(MATCH(G62,AUM!$G$6:$G$240,0))</f>
        <v>0</v>
      </c>
    </row>
    <row r="63" spans="1:3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ISNUMBER(MATCH(G63,AUM!$C$6:$C$1451,0))</f>
        <v>1</v>
      </c>
      <c r="AF63" t="b">
        <f>ISNUMBER(MATCH(G63,AUM!$G$6:$G$240,0))</f>
        <v>0</v>
      </c>
    </row>
    <row r="64" spans="1:3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ISNUMBER(MATCH(G64,AUM!$C$6:$C$1451,0))</f>
        <v>1</v>
      </c>
      <c r="AF64" t="b">
        <f>ISNUMBER(MATCH(G64,AUM!$G$6:$G$240,0))</f>
        <v>0</v>
      </c>
    </row>
    <row r="65" spans="1:3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ISNUMBER(MATCH(G65,AUM!$C$6:$C$1451,0))</f>
        <v>1</v>
      </c>
      <c r="AF65" t="b">
        <f>ISNUMBER(MATCH(G65,AUM!$G$6:$G$240,0))</f>
        <v>0</v>
      </c>
    </row>
    <row r="66" spans="1:3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ISNUMBER(MATCH(G66,AUM!$C$6:$C$1451,0))</f>
        <v>1</v>
      </c>
      <c r="AF66" t="b">
        <f>ISNUMBER(MATCH(G66,AUM!$G$6:$G$240,0))</f>
        <v>0</v>
      </c>
    </row>
    <row r="67" spans="1:3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ISNUMBER(MATCH(G67,AUM!$C$6:$C$1451,0))</f>
        <v>1</v>
      </c>
      <c r="AF67" t="b">
        <f>ISNUMBER(MATCH(G67,AUM!$G$6:$G$240,0))</f>
        <v>0</v>
      </c>
    </row>
    <row r="68" spans="1:3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ISNUMBER(MATCH(G68,AUM!$C$6:$C$1451,0))</f>
        <v>1</v>
      </c>
      <c r="AF68" t="b">
        <f>ISNUMBER(MATCH(G68,AUM!$G$6:$G$240,0))</f>
        <v>0</v>
      </c>
    </row>
    <row r="69" spans="1:3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ISNUMBER(MATCH(G69,AUM!$C$6:$C$1451,0))</f>
        <v>1</v>
      </c>
      <c r="AF69" t="b">
        <f>ISNUMBER(MATCH(G69,AUM!$G$6:$G$240,0))</f>
        <v>0</v>
      </c>
    </row>
    <row r="70" spans="1:3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ISNUMBER(MATCH(G70,AUM!$C$6:$C$1451,0))</f>
        <v>1</v>
      </c>
      <c r="AF70" t="b">
        <f>ISNUMBER(MATCH(G70,AUM!$G$6:$G$240,0))</f>
        <v>0</v>
      </c>
    </row>
    <row r="71" spans="1:3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ISNUMBER(MATCH(G71,AUM!$C$6:$C$1451,0))</f>
        <v>1</v>
      </c>
      <c r="AF71" t="b">
        <f>ISNUMBER(MATCH(G71,AUM!$G$6:$G$240,0))</f>
        <v>0</v>
      </c>
    </row>
    <row r="72" spans="1:3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ISNUMBER(MATCH(G72,AUM!$C$6:$C$1451,0))</f>
        <v>1</v>
      </c>
      <c r="AF72" t="b">
        <f>ISNUMBER(MATCH(G72,AUM!$G$6:$G$240,0))</f>
        <v>0</v>
      </c>
    </row>
    <row r="73" spans="1:3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ISNUMBER(MATCH(G73,AUM!$C$6:$C$1451,0))</f>
        <v>1</v>
      </c>
      <c r="AF73" t="b">
        <f>ISNUMBER(MATCH(G73,AUM!$G$6:$G$240,0))</f>
        <v>0</v>
      </c>
    </row>
    <row r="74" spans="1:3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ISNUMBER(MATCH(G74,AUM!$C$6:$C$1451,0))</f>
        <v>1</v>
      </c>
      <c r="AF74" t="b">
        <f>ISNUMBER(MATCH(G74,AUM!$G$6:$G$240,0))</f>
        <v>0</v>
      </c>
    </row>
    <row r="75" spans="1:3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ISNUMBER(MATCH(G75,AUM!$C$6:$C$1451,0))</f>
        <v>1</v>
      </c>
      <c r="AF75" t="b">
        <f>ISNUMBER(MATCH(G75,AUM!$G$6:$G$240,0))</f>
        <v>0</v>
      </c>
    </row>
    <row r="76" spans="1:3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ISNUMBER(MATCH(G76,AUM!$C$6:$C$1451,0))</f>
        <v>1</v>
      </c>
      <c r="AF76" t="b">
        <f>ISNUMBER(MATCH(G76,AUM!$G$6:$G$240,0))</f>
        <v>0</v>
      </c>
    </row>
    <row r="77" spans="1:3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ISNUMBER(MATCH(G77,AUM!$C$6:$C$1451,0))</f>
        <v>1</v>
      </c>
      <c r="AF77" t="b">
        <f>ISNUMBER(MATCH(G77,AUM!$G$6:$G$240,0))</f>
        <v>0</v>
      </c>
    </row>
    <row r="78" spans="1:3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ISNUMBER(MATCH(G78,AUM!$C$6:$C$1451,0))</f>
        <v>1</v>
      </c>
      <c r="AF78" t="b">
        <f>ISNUMBER(MATCH(G78,AUM!$G$6:$G$240,0))</f>
        <v>0</v>
      </c>
    </row>
    <row r="79" spans="1:3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ISNUMBER(MATCH(G79,AUM!$C$6:$C$1451,0))</f>
        <v>1</v>
      </c>
      <c r="AF79" t="b">
        <f>ISNUMBER(MATCH(G79,AUM!$G$6:$G$240,0))</f>
        <v>0</v>
      </c>
    </row>
    <row r="80" spans="1:3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ISNUMBER(MATCH(G80,AUM!$C$6:$C$1451,0))</f>
        <v>1</v>
      </c>
      <c r="AF80" t="b">
        <f>ISNUMBER(MATCH(G80,AUM!$G$6:$G$240,0))</f>
        <v>0</v>
      </c>
    </row>
    <row r="81" spans="1:3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ISNUMBER(MATCH(G81,AUM!$C$6:$C$1451,0))</f>
        <v>1</v>
      </c>
      <c r="AF81" t="b">
        <f>ISNUMBER(MATCH(G81,AUM!$G$6:$G$240,0))</f>
        <v>0</v>
      </c>
    </row>
    <row r="82" spans="1:3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ISNUMBER(MATCH(G82,AUM!$C$6:$C$1451,0))</f>
        <v>1</v>
      </c>
      <c r="AF82" t="b">
        <f>ISNUMBER(MATCH(G82,AUM!$G$6:$G$240,0))</f>
        <v>0</v>
      </c>
    </row>
    <row r="83" spans="1:3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ISNUMBER(MATCH(G83,AUM!$C$6:$C$1451,0))</f>
        <v>1</v>
      </c>
      <c r="AF83" t="b">
        <f>ISNUMBER(MATCH(G83,AUM!$G$6:$G$240,0))</f>
        <v>0</v>
      </c>
    </row>
    <row r="84" spans="1:3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ISNUMBER(MATCH(G84,AUM!$C$6:$C$1451,0))</f>
        <v>1</v>
      </c>
      <c r="AF84" t="b">
        <f>ISNUMBER(MATCH(G84,AUM!$G$6:$G$240,0))</f>
        <v>0</v>
      </c>
    </row>
    <row r="85" spans="1:3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ISNUMBER(MATCH(G85,AUM!$C$6:$C$1451,0))</f>
        <v>1</v>
      </c>
      <c r="AF85" t="b">
        <f>ISNUMBER(MATCH(G85,AUM!$G$6:$G$240,0))</f>
        <v>0</v>
      </c>
    </row>
    <row r="86" spans="1:3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ISNUMBER(MATCH(G86,AUM!$C$6:$C$1451,0))</f>
        <v>1</v>
      </c>
      <c r="AF86" t="b">
        <f>ISNUMBER(MATCH(G86,AUM!$G$6:$G$240,0))</f>
        <v>0</v>
      </c>
    </row>
    <row r="87" spans="1:3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ISNUMBER(MATCH(G87,AUM!$C$6:$C$1451,0))</f>
        <v>1</v>
      </c>
      <c r="AF87" t="b">
        <f>ISNUMBER(MATCH(G87,AUM!$G$6:$G$240,0))</f>
        <v>0</v>
      </c>
    </row>
    <row r="88" spans="1:3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ISNUMBER(MATCH(G88,AUM!$C$6:$C$1451,0))</f>
        <v>1</v>
      </c>
      <c r="AF88" t="b">
        <f>ISNUMBER(MATCH(G88,AUM!$G$6:$G$240,0))</f>
        <v>0</v>
      </c>
    </row>
    <row r="89" spans="1:3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ISNUMBER(MATCH(G89,AUM!$C$6:$C$1451,0))</f>
        <v>1</v>
      </c>
      <c r="AF89" t="b">
        <f>ISNUMBER(MATCH(G89,AUM!$G$6:$G$240,0))</f>
        <v>0</v>
      </c>
    </row>
    <row r="90" spans="1:3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ISNUMBER(MATCH(G90,AUM!$C$6:$C$1451,0))</f>
        <v>1</v>
      </c>
      <c r="AF90" t="b">
        <f>ISNUMBER(MATCH(G90,AUM!$G$6:$G$240,0))</f>
        <v>0</v>
      </c>
    </row>
    <row r="91" spans="1:3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ISNUMBER(MATCH(G91,AUM!$C$6:$C$1451,0))</f>
        <v>1</v>
      </c>
      <c r="AF91" t="b">
        <f>ISNUMBER(MATCH(G91,AUM!$G$6:$G$240,0))</f>
        <v>0</v>
      </c>
    </row>
    <row r="92" spans="1:3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ISNUMBER(MATCH(G92,AUM!$C$6:$C$1451,0))</f>
        <v>1</v>
      </c>
      <c r="AF92" t="b">
        <f>ISNUMBER(MATCH(G92,AUM!$G$6:$G$240,0))</f>
        <v>0</v>
      </c>
    </row>
    <row r="93" spans="1:3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ISNUMBER(MATCH(G93,AUM!$C$6:$C$1451,0))</f>
        <v>1</v>
      </c>
      <c r="AF93" t="b">
        <f>ISNUMBER(MATCH(G93,AUM!$G$6:$G$240,0))</f>
        <v>0</v>
      </c>
    </row>
    <row r="94" spans="1:3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ISNUMBER(MATCH(G94,AUM!$C$6:$C$1451,0))</f>
        <v>1</v>
      </c>
      <c r="AF94" t="b">
        <f>ISNUMBER(MATCH(G94,AUM!$G$6:$G$240,0))</f>
        <v>0</v>
      </c>
    </row>
    <row r="95" spans="1:3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ISNUMBER(MATCH(G95,AUM!$C$6:$C$1451,0))</f>
        <v>1</v>
      </c>
      <c r="AF95" t="b">
        <f>ISNUMBER(MATCH(G95,AUM!$G$6:$G$240,0))</f>
        <v>0</v>
      </c>
    </row>
    <row r="96" spans="1:3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ISNUMBER(MATCH(G96,AUM!$C$6:$C$1451,0))</f>
        <v>1</v>
      </c>
      <c r="AF96" t="b">
        <f>ISNUMBER(MATCH(G96,AUM!$G$6:$G$240,0))</f>
        <v>0</v>
      </c>
    </row>
    <row r="97" spans="1:3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ISNUMBER(MATCH(G97,AUM!$C$6:$C$1451,0))</f>
        <v>1</v>
      </c>
      <c r="AF97" t="b">
        <f>ISNUMBER(MATCH(G97,AUM!$G$6:$G$240,0))</f>
        <v>0</v>
      </c>
    </row>
    <row r="98" spans="1:3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ISNUMBER(MATCH(G98,AUM!$C$6:$C$1451,0))</f>
        <v>1</v>
      </c>
      <c r="AF98" t="b">
        <f>ISNUMBER(MATCH(G98,AUM!$G$6:$G$240,0))</f>
        <v>0</v>
      </c>
    </row>
    <row r="99" spans="1:3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ISNUMBER(MATCH(G99,AUM!$C$6:$C$1451,0))</f>
        <v>0</v>
      </c>
      <c r="AF99" t="b">
        <f>ISNUMBER(MATCH(G99,AUM!$G$6:$G$240,0))</f>
        <v>0</v>
      </c>
    </row>
    <row r="100" spans="1:3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ISNUMBER(MATCH(G100,AUM!$C$6:$C$1451,0))</f>
        <v>0</v>
      </c>
      <c r="AF100" t="b">
        <f>ISNUMBER(MATCH(G100,AUM!$G$6:$G$240,0))</f>
        <v>0</v>
      </c>
    </row>
    <row r="101" spans="1:3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ISNUMBER(MATCH(G101,AUM!$C$6:$C$1451,0))</f>
        <v>0</v>
      </c>
      <c r="AF101" t="b">
        <f>ISNUMBER(MATCH(G101,AUM!$G$6:$G$240,0))</f>
        <v>0</v>
      </c>
    </row>
    <row r="102" spans="1:3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ISNUMBER(MATCH(G102,AUM!$C$6:$C$1451,0))</f>
        <v>0</v>
      </c>
      <c r="AF102" t="b">
        <f>ISNUMBER(MATCH(G102,AUM!$G$6:$G$240,0))</f>
        <v>0</v>
      </c>
    </row>
    <row r="103" spans="1:3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ISNUMBER(MATCH(G103,AUM!$C$6:$C$1451,0))</f>
        <v>0</v>
      </c>
      <c r="AF103" t="b">
        <f>ISNUMBER(MATCH(G103,AUM!$G$6:$G$240,0))</f>
        <v>0</v>
      </c>
    </row>
    <row r="104" spans="1:3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ISNUMBER(MATCH(G104,AUM!$C$6:$C$1451,0))</f>
        <v>0</v>
      </c>
      <c r="AF104" t="b">
        <f>ISNUMBER(MATCH(G104,AUM!$G$6:$G$240,0))</f>
        <v>0</v>
      </c>
    </row>
    <row r="105" spans="1:3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ISNUMBER(MATCH(G105,AUM!$C$6:$C$1451,0))</f>
        <v>1</v>
      </c>
      <c r="AF105" t="b">
        <f>ISNUMBER(MATCH(G105,AUM!$G$6:$G$240,0))</f>
        <v>0</v>
      </c>
    </row>
    <row r="106" spans="1:3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ISNUMBER(MATCH(G106,AUM!$C$6:$C$1451,0))</f>
        <v>1</v>
      </c>
      <c r="AF106" t="b">
        <f>ISNUMBER(MATCH(G106,AUM!$G$6:$G$240,0))</f>
        <v>0</v>
      </c>
    </row>
    <row r="107" spans="1:3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ISNUMBER(MATCH(G107,AUM!$C$6:$C$1451,0))</f>
        <v>1</v>
      </c>
      <c r="AF107" t="b">
        <f>ISNUMBER(MATCH(G107,AUM!$G$6:$G$240,0))</f>
        <v>0</v>
      </c>
    </row>
    <row r="108" spans="1:3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ISNUMBER(MATCH(G108,AUM!$C$6:$C$1451,0))</f>
        <v>1</v>
      </c>
      <c r="AF108" t="b">
        <f>ISNUMBER(MATCH(G108,AUM!$G$6:$G$240,0))</f>
        <v>0</v>
      </c>
    </row>
    <row r="109" spans="1:3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ISNUMBER(MATCH(G109,AUM!$C$6:$C$1451,0))</f>
        <v>1</v>
      </c>
      <c r="AF109" t="b">
        <f>ISNUMBER(MATCH(G109,AUM!$G$6:$G$240,0))</f>
        <v>0</v>
      </c>
    </row>
    <row r="110" spans="1:3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ISNUMBER(MATCH(G110,AUM!$C$6:$C$1451,0))</f>
        <v>1</v>
      </c>
      <c r="AF110" t="b">
        <f>ISNUMBER(MATCH(G110,AUM!$G$6:$G$240,0))</f>
        <v>0</v>
      </c>
    </row>
    <row r="111" spans="1:3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ISNUMBER(MATCH(G111,AUM!$C$6:$C$1451,0))</f>
        <v>1</v>
      </c>
      <c r="AF111" t="b">
        <f>ISNUMBER(MATCH(G111,AUM!$G$6:$G$240,0))</f>
        <v>0</v>
      </c>
    </row>
    <row r="112" spans="1:3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ISNUMBER(MATCH(G112,AUM!$C$6:$C$1451,0))</f>
        <v>1</v>
      </c>
      <c r="AF112" t="b">
        <f>ISNUMBER(MATCH(G112,AUM!$G$6:$G$240,0))</f>
        <v>0</v>
      </c>
    </row>
    <row r="113" spans="1:3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ISNUMBER(MATCH(G113,AUM!$C$6:$C$1451,0))</f>
        <v>1</v>
      </c>
      <c r="AF113" t="b">
        <f>ISNUMBER(MATCH(G113,AUM!$G$6:$G$240,0))</f>
        <v>0</v>
      </c>
    </row>
    <row r="114" spans="1:3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ISNUMBER(MATCH(G114,AUM!$C$6:$C$1451,0))</f>
        <v>0</v>
      </c>
      <c r="AF114" t="b">
        <f>ISNUMBER(MATCH(G114,AUM!$G$6:$G$240,0))</f>
        <v>0</v>
      </c>
    </row>
    <row r="115" spans="1:3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ISNUMBER(MATCH(G115,AUM!$C$6:$C$1451,0))</f>
        <v>0</v>
      </c>
      <c r="AF115" t="b">
        <f>ISNUMBER(MATCH(G115,AUM!$G$6:$G$240,0))</f>
        <v>0</v>
      </c>
    </row>
    <row r="116" spans="1:3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ISNUMBER(MATCH(G116,AUM!$C$6:$C$1451,0))</f>
        <v>1</v>
      </c>
      <c r="AF116" t="b">
        <f>ISNUMBER(MATCH(G116,AUM!$G$6:$G$240,0))</f>
        <v>1</v>
      </c>
    </row>
    <row r="117" spans="1:3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ISNUMBER(MATCH(G117,AUM!$C$6:$C$1451,0))</f>
        <v>1</v>
      </c>
      <c r="AF117" t="b">
        <f>ISNUMBER(MATCH(G117,AUM!$G$6:$G$240,0))</f>
        <v>0</v>
      </c>
    </row>
    <row r="118" spans="1:3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ISNUMBER(MATCH(G118,AUM!$C$6:$C$1451,0))</f>
        <v>1</v>
      </c>
      <c r="AF118" t="b">
        <f>ISNUMBER(MATCH(G118,AUM!$G$6:$G$240,0))</f>
        <v>0</v>
      </c>
    </row>
    <row r="119" spans="1:3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ISNUMBER(MATCH(G119,AUM!$C$6:$C$1451,0))</f>
        <v>1</v>
      </c>
      <c r="AF119" t="b">
        <f>ISNUMBER(MATCH(G119,AUM!$G$6:$G$240,0))</f>
        <v>0</v>
      </c>
    </row>
    <row r="120" spans="1:3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ISNUMBER(MATCH(G120,AUM!$C$6:$C$1451,0))</f>
        <v>1</v>
      </c>
      <c r="AF120" t="b">
        <f>ISNUMBER(MATCH(G120,AUM!$G$6:$G$240,0))</f>
        <v>0</v>
      </c>
    </row>
    <row r="121" spans="1:3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ISNUMBER(MATCH(G121,AUM!$C$6:$C$1451,0))</f>
        <v>1</v>
      </c>
      <c r="AF121" t="b">
        <f>ISNUMBER(MATCH(G121,AUM!$G$6:$G$240,0))</f>
        <v>0</v>
      </c>
    </row>
    <row r="122" spans="1:3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ISNUMBER(MATCH(G122,AUM!$C$6:$C$1451,0))</f>
        <v>1</v>
      </c>
      <c r="AF122" t="b">
        <f>ISNUMBER(MATCH(G122,AUM!$G$6:$G$240,0))</f>
        <v>0</v>
      </c>
    </row>
    <row r="123" spans="1:3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ISNUMBER(MATCH(G123,AUM!$C$6:$C$1451,0))</f>
        <v>1</v>
      </c>
      <c r="AF123" t="b">
        <f>ISNUMBER(MATCH(G123,AUM!$G$6:$G$240,0))</f>
        <v>0</v>
      </c>
    </row>
    <row r="124" spans="1:3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ISNUMBER(MATCH(G124,AUM!$C$6:$C$1451,0))</f>
        <v>1</v>
      </c>
      <c r="AF124" t="b">
        <f>ISNUMBER(MATCH(G124,AUM!$G$6:$G$240,0))</f>
        <v>0</v>
      </c>
    </row>
    <row r="125" spans="1:3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ISNUMBER(MATCH(G125,AUM!$C$6:$C$1451,0))</f>
        <v>1</v>
      </c>
      <c r="AF125" t="b">
        <f>ISNUMBER(MATCH(G125,AUM!$G$6:$G$240,0))</f>
        <v>0</v>
      </c>
    </row>
    <row r="126" spans="1:3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ISNUMBER(MATCH(G126,AUM!$C$6:$C$1451,0))</f>
        <v>1</v>
      </c>
      <c r="AF126" t="b">
        <f>ISNUMBER(MATCH(G126,AUM!$G$6:$G$240,0))</f>
        <v>0</v>
      </c>
    </row>
    <row r="127" spans="1:3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ISNUMBER(MATCH(G127,AUM!$C$6:$C$1451,0))</f>
        <v>1</v>
      </c>
      <c r="AF127" t="b">
        <f>ISNUMBER(MATCH(G127,AUM!$G$6:$G$240,0))</f>
        <v>0</v>
      </c>
    </row>
    <row r="128" spans="1:3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ISNUMBER(MATCH(G128,AUM!$C$6:$C$1451,0))</f>
        <v>1</v>
      </c>
      <c r="AF128" t="b">
        <f>ISNUMBER(MATCH(G128,AUM!$G$6:$G$240,0))</f>
        <v>0</v>
      </c>
    </row>
    <row r="129" spans="1:3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ISNUMBER(MATCH(G129,AUM!$C$6:$C$1451,0))</f>
        <v>1</v>
      </c>
      <c r="AF129" t="b">
        <f>ISNUMBER(MATCH(G129,AUM!$G$6:$G$240,0))</f>
        <v>0</v>
      </c>
    </row>
    <row r="130" spans="1:3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ISNUMBER(MATCH(G130,AUM!$C$6:$C$1451,0))</f>
        <v>1</v>
      </c>
      <c r="AF130" t="b">
        <f>ISNUMBER(MATCH(G130,AUM!$G$6:$G$240,0))</f>
        <v>0</v>
      </c>
    </row>
    <row r="131" spans="1:3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ISNUMBER(MATCH(G131,AUM!$C$6:$C$1451,0))</f>
        <v>1</v>
      </c>
      <c r="AF131" t="b">
        <f>ISNUMBER(MATCH(G131,AUM!$G$6:$G$240,0))</f>
        <v>0</v>
      </c>
    </row>
    <row r="132" spans="1:3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ISNUMBER(MATCH(G132,AUM!$C$6:$C$1451,0))</f>
        <v>1</v>
      </c>
      <c r="AF132" t="b">
        <f>ISNUMBER(MATCH(G132,AUM!$G$6:$G$240,0))</f>
        <v>0</v>
      </c>
    </row>
    <row r="133" spans="1:3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ISNUMBER(MATCH(G133,AUM!$C$6:$C$1451,0))</f>
        <v>1</v>
      </c>
      <c r="AF133" t="b">
        <f>ISNUMBER(MATCH(G133,AUM!$G$6:$G$240,0))</f>
        <v>0</v>
      </c>
    </row>
    <row r="134" spans="1:3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ISNUMBER(MATCH(G134,AUM!$C$6:$C$1451,0))</f>
        <v>1</v>
      </c>
      <c r="AF134" t="b">
        <f>ISNUMBER(MATCH(G134,AUM!$G$6:$G$240,0))</f>
        <v>0</v>
      </c>
    </row>
    <row r="135" spans="1:3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ISNUMBER(MATCH(G135,AUM!$C$6:$C$1451,0))</f>
        <v>1</v>
      </c>
      <c r="AF135" t="b">
        <f>ISNUMBER(MATCH(G135,AUM!$G$6:$G$240,0))</f>
        <v>0</v>
      </c>
    </row>
    <row r="136" spans="1:3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ISNUMBER(MATCH(G136,AUM!$C$6:$C$1451,0))</f>
        <v>1</v>
      </c>
      <c r="AF136" t="b">
        <f>ISNUMBER(MATCH(G136,AUM!$G$6:$G$240,0))</f>
        <v>0</v>
      </c>
    </row>
    <row r="137" spans="1:3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ISNUMBER(MATCH(G137,AUM!$C$6:$C$1451,0))</f>
        <v>1</v>
      </c>
      <c r="AF137" t="b">
        <f>ISNUMBER(MATCH(G137,AUM!$G$6:$G$240,0))</f>
        <v>0</v>
      </c>
    </row>
    <row r="138" spans="1:3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ISNUMBER(MATCH(G138,AUM!$C$6:$C$1451,0))</f>
        <v>1</v>
      </c>
      <c r="AF138" t="b">
        <f>ISNUMBER(MATCH(G138,AUM!$G$6:$G$240,0))</f>
        <v>0</v>
      </c>
    </row>
    <row r="139" spans="1:3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ISNUMBER(MATCH(G139,AUM!$C$6:$C$1451,0))</f>
        <v>1</v>
      </c>
      <c r="AF139" t="b">
        <f>ISNUMBER(MATCH(G139,AUM!$G$6:$G$240,0))</f>
        <v>0</v>
      </c>
    </row>
    <row r="140" spans="1:3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ISNUMBER(MATCH(G140,AUM!$C$6:$C$1451,0))</f>
        <v>1</v>
      </c>
      <c r="AF140" t="b">
        <f>ISNUMBER(MATCH(G140,AUM!$G$6:$G$240,0))</f>
        <v>0</v>
      </c>
    </row>
    <row r="141" spans="1:3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ISNUMBER(MATCH(G141,AUM!$C$6:$C$1451,0))</f>
        <v>1</v>
      </c>
      <c r="AF141" t="b">
        <f>ISNUMBER(MATCH(G141,AUM!$G$6:$G$240,0))</f>
        <v>0</v>
      </c>
    </row>
    <row r="142" spans="1:3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ISNUMBER(MATCH(G142,AUM!$C$6:$C$1451,0))</f>
        <v>1</v>
      </c>
      <c r="AF142" t="b">
        <f>ISNUMBER(MATCH(G142,AUM!$G$6:$G$240,0))</f>
        <v>0</v>
      </c>
    </row>
    <row r="143" spans="1:3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ISNUMBER(MATCH(G143,AUM!$C$6:$C$1451,0))</f>
        <v>1</v>
      </c>
      <c r="AF143" t="b">
        <f>ISNUMBER(MATCH(G143,AUM!$G$6:$G$240,0))</f>
        <v>0</v>
      </c>
    </row>
    <row r="144" spans="1:3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ISNUMBER(MATCH(G144,AUM!$C$6:$C$1451,0))</f>
        <v>1</v>
      </c>
      <c r="AF144" t="b">
        <f>ISNUMBER(MATCH(G144,AUM!$G$6:$G$240,0))</f>
        <v>0</v>
      </c>
    </row>
    <row r="145" spans="1:3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ISNUMBER(MATCH(G145,AUM!$C$6:$C$1451,0))</f>
        <v>1</v>
      </c>
      <c r="AF145" t="b">
        <f>ISNUMBER(MATCH(G145,AUM!$G$6:$G$240,0))</f>
        <v>0</v>
      </c>
    </row>
    <row r="146" spans="1:3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ISNUMBER(MATCH(G146,AUM!$C$6:$C$1451,0))</f>
        <v>1</v>
      </c>
      <c r="AF146" t="b">
        <f>ISNUMBER(MATCH(G146,AUM!$G$6:$G$240,0))</f>
        <v>0</v>
      </c>
    </row>
    <row r="147" spans="1:3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ISNUMBER(MATCH(G147,AUM!$C$6:$C$1451,0))</f>
        <v>1</v>
      </c>
      <c r="AF147" t="b">
        <f>ISNUMBER(MATCH(G147,AUM!$G$6:$G$240,0))</f>
        <v>0</v>
      </c>
    </row>
    <row r="148" spans="1:3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ISNUMBER(MATCH(G148,AUM!$C$6:$C$1451,0))</f>
        <v>1</v>
      </c>
      <c r="AF148" t="b">
        <f>ISNUMBER(MATCH(G148,AUM!$G$6:$G$240,0))</f>
        <v>0</v>
      </c>
    </row>
    <row r="149" spans="1:3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ISNUMBER(MATCH(G149,AUM!$C$6:$C$1451,0))</f>
        <v>1</v>
      </c>
      <c r="AF149" t="b">
        <f>ISNUMBER(MATCH(G149,AUM!$G$6:$G$240,0))</f>
        <v>0</v>
      </c>
    </row>
    <row r="150" spans="1:3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ISNUMBER(MATCH(G150,AUM!$C$6:$C$1451,0))</f>
        <v>1</v>
      </c>
      <c r="AF150" t="b">
        <f>ISNUMBER(MATCH(G150,AUM!$G$6:$G$240,0))</f>
        <v>0</v>
      </c>
    </row>
    <row r="151" spans="1:3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ISNUMBER(MATCH(G151,AUM!$C$6:$C$1451,0))</f>
        <v>1</v>
      </c>
      <c r="AF151" t="b">
        <f>ISNUMBER(MATCH(G151,AUM!$G$6:$G$240,0))</f>
        <v>0</v>
      </c>
    </row>
    <row r="152" spans="1:3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ISNUMBER(MATCH(G152,AUM!$C$6:$C$1451,0))</f>
        <v>1</v>
      </c>
      <c r="AF152" t="b">
        <f>ISNUMBER(MATCH(G152,AUM!$G$6:$G$240,0))</f>
        <v>0</v>
      </c>
    </row>
    <row r="153" spans="1:3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ISNUMBER(MATCH(G153,AUM!$C$6:$C$1451,0))</f>
        <v>1</v>
      </c>
      <c r="AF153" t="b">
        <f>ISNUMBER(MATCH(G153,AUM!$G$6:$G$240,0))</f>
        <v>0</v>
      </c>
    </row>
    <row r="154" spans="1:3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ISNUMBER(MATCH(G154,AUM!$C$6:$C$1451,0))</f>
        <v>1</v>
      </c>
      <c r="AF154" t="b">
        <f>ISNUMBER(MATCH(G154,AUM!$G$6:$G$240,0))</f>
        <v>0</v>
      </c>
    </row>
    <row r="155" spans="1:3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ISNUMBER(MATCH(G155,AUM!$C$6:$C$1451,0))</f>
        <v>1</v>
      </c>
      <c r="AF155" t="b">
        <f>ISNUMBER(MATCH(G155,AUM!$G$6:$G$240,0))</f>
        <v>0</v>
      </c>
    </row>
    <row r="156" spans="1:3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ISNUMBER(MATCH(G156,AUM!$C$6:$C$1451,0))</f>
        <v>0</v>
      </c>
      <c r="AF156" t="b">
        <f>ISNUMBER(MATCH(G156,AUM!$G$6:$G$240,0))</f>
        <v>0</v>
      </c>
    </row>
    <row r="157" spans="1:3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ISNUMBER(MATCH(G157,AUM!$C$6:$C$1451,0))</f>
        <v>0</v>
      </c>
      <c r="AF157" t="b">
        <f>ISNUMBER(MATCH(G157,AUM!$G$6:$G$240,0))</f>
        <v>0</v>
      </c>
    </row>
    <row r="158" spans="1:3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ISNUMBER(MATCH(G158,AUM!$C$6:$C$1451,0))</f>
        <v>0</v>
      </c>
      <c r="AF158" t="b">
        <f>ISNUMBER(MATCH(G158,AUM!$G$6:$G$240,0))</f>
        <v>0</v>
      </c>
    </row>
    <row r="159" spans="1:3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ISNUMBER(MATCH(G159,AUM!$C$6:$C$1451,0))</f>
        <v>0</v>
      </c>
      <c r="AF159" t="b">
        <f>ISNUMBER(MATCH(G159,AUM!$G$6:$G$240,0))</f>
        <v>0</v>
      </c>
    </row>
    <row r="160" spans="1:3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ISNUMBER(MATCH(G160,AUM!$C$6:$C$1451,0))</f>
        <v>0</v>
      </c>
      <c r="AF160" t="b">
        <f>ISNUMBER(MATCH(G160,AUM!$G$6:$G$240,0))</f>
        <v>0</v>
      </c>
    </row>
    <row r="161" spans="1:3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ISNUMBER(MATCH(G161,AUM!$C$6:$C$1451,0))</f>
        <v>1</v>
      </c>
      <c r="AF161" t="b">
        <f>ISNUMBER(MATCH(G161,AUM!$G$6:$G$240,0))</f>
        <v>0</v>
      </c>
    </row>
    <row r="162" spans="1:3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ISNUMBER(MATCH(G162,AUM!$C$6:$C$1451,0))</f>
        <v>1</v>
      </c>
      <c r="AF162" t="b">
        <f>ISNUMBER(MATCH(G162,AUM!$G$6:$G$240,0))</f>
        <v>0</v>
      </c>
    </row>
    <row r="163" spans="1:3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ISNUMBER(MATCH(G163,AUM!$C$6:$C$1451,0))</f>
        <v>1</v>
      </c>
      <c r="AF163" t="b">
        <f>ISNUMBER(MATCH(G163,AUM!$G$6:$G$240,0))</f>
        <v>0</v>
      </c>
    </row>
    <row r="164" spans="1:3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ISNUMBER(MATCH(G164,AUM!$C$6:$C$1451,0))</f>
        <v>1</v>
      </c>
      <c r="AF164" t="b">
        <f>ISNUMBER(MATCH(G164,AUM!$G$6:$G$240,0))</f>
        <v>1</v>
      </c>
    </row>
    <row r="165" spans="1:3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ISNUMBER(MATCH(G165,AUM!$C$6:$C$1451,0))</f>
        <v>0</v>
      </c>
      <c r="AF165" t="b">
        <f>ISNUMBER(MATCH(G165,AUM!$G$6:$G$240,0))</f>
        <v>0</v>
      </c>
    </row>
    <row r="166" spans="1:3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ISNUMBER(MATCH(G166,AUM!$C$6:$C$1451,0))</f>
        <v>0</v>
      </c>
      <c r="AF166" t="b">
        <f>ISNUMBER(MATCH(G166,AUM!$G$6:$G$240,0))</f>
        <v>0</v>
      </c>
    </row>
    <row r="167" spans="1:3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ISNUMBER(MATCH(G167,AUM!$C$6:$C$1451,0))</f>
        <v>0</v>
      </c>
      <c r="AF167" t="b">
        <f>ISNUMBER(MATCH(G167,AUM!$G$6:$G$240,0))</f>
        <v>0</v>
      </c>
    </row>
    <row r="168" spans="1:3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ISNUMBER(MATCH(G168,AUM!$C$6:$C$1451,0))</f>
        <v>0</v>
      </c>
      <c r="AF168" t="b">
        <f>ISNUMBER(MATCH(G168,AUM!$G$6:$G$240,0))</f>
        <v>0</v>
      </c>
    </row>
    <row r="169" spans="1:3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ISNUMBER(MATCH(G169,AUM!$C$6:$C$1451,0))</f>
        <v>1</v>
      </c>
      <c r="AF169" t="b">
        <f>ISNUMBER(MATCH(G169,AUM!$G$6:$G$240,0))</f>
        <v>0</v>
      </c>
    </row>
    <row r="170" spans="1:3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ISNUMBER(MATCH(G170,AUM!$C$6:$C$1451,0))</f>
        <v>1</v>
      </c>
      <c r="AF170" t="b">
        <f>ISNUMBER(MATCH(G170,AUM!$G$6:$G$240,0))</f>
        <v>0</v>
      </c>
    </row>
    <row r="171" spans="1:3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ISNUMBER(MATCH(G171,AUM!$C$6:$C$1451,0))</f>
        <v>1</v>
      </c>
      <c r="AF171" t="b">
        <f>ISNUMBER(MATCH(G171,AUM!$G$6:$G$240,0))</f>
        <v>1</v>
      </c>
    </row>
    <row r="172" spans="1:3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ISNUMBER(MATCH(G172,AUM!$C$6:$C$1451,0))</f>
        <v>1</v>
      </c>
      <c r="AF172" t="b">
        <f>ISNUMBER(MATCH(G172,AUM!$G$6:$G$240,0))</f>
        <v>0</v>
      </c>
    </row>
    <row r="173" spans="1:3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ISNUMBER(MATCH(G173,AUM!$C$6:$C$1451,0))</f>
        <v>1</v>
      </c>
      <c r="AF173" t="b">
        <f>ISNUMBER(MATCH(G173,AUM!$G$6:$G$240,0))</f>
        <v>0</v>
      </c>
    </row>
    <row r="174" spans="1:3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ISNUMBER(MATCH(G174,AUM!$C$6:$C$1451,0))</f>
        <v>1</v>
      </c>
      <c r="AF174" t="b">
        <f>ISNUMBER(MATCH(G174,AUM!$G$6:$G$240,0))</f>
        <v>1</v>
      </c>
    </row>
    <row r="175" spans="1:3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ISNUMBER(MATCH(G175,AUM!$C$6:$C$1451,0))</f>
        <v>1</v>
      </c>
      <c r="AF175" t="b">
        <f>ISNUMBER(MATCH(G175,AUM!$G$6:$G$240,0))</f>
        <v>0</v>
      </c>
    </row>
    <row r="176" spans="1:3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ISNUMBER(MATCH(G176,AUM!$C$6:$C$1451,0))</f>
        <v>1</v>
      </c>
      <c r="AF176" t="b">
        <f>ISNUMBER(MATCH(G176,AUM!$G$6:$G$240,0))</f>
        <v>0</v>
      </c>
    </row>
    <row r="177" spans="1:3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ISNUMBER(MATCH(G177,AUM!$C$6:$C$1451,0))</f>
        <v>1</v>
      </c>
      <c r="AF177" t="b">
        <f>ISNUMBER(MATCH(G177,AUM!$G$6:$G$240,0))</f>
        <v>0</v>
      </c>
    </row>
    <row r="178" spans="1:3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ISNUMBER(MATCH(G178,AUM!$C$6:$C$1451,0))</f>
        <v>1</v>
      </c>
      <c r="AF178" t="b">
        <f>ISNUMBER(MATCH(G178,AUM!$G$6:$G$240,0))</f>
        <v>0</v>
      </c>
    </row>
    <row r="179" spans="1:3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ISNUMBER(MATCH(G179,AUM!$C$6:$C$1451,0))</f>
        <v>1</v>
      </c>
      <c r="AF179" t="b">
        <f>ISNUMBER(MATCH(G179,AUM!$G$6:$G$240,0))</f>
        <v>0</v>
      </c>
    </row>
    <row r="180" spans="1:3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ISNUMBER(MATCH(G180,AUM!$C$6:$C$1451,0))</f>
        <v>1</v>
      </c>
      <c r="AF180" t="b">
        <f>ISNUMBER(MATCH(G180,AUM!$G$6:$G$240,0))</f>
        <v>0</v>
      </c>
    </row>
    <row r="181" spans="1:3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ISNUMBER(MATCH(G181,AUM!$C$6:$C$1451,0))</f>
        <v>1</v>
      </c>
      <c r="AF181" t="b">
        <f>ISNUMBER(MATCH(G181,AUM!$G$6:$G$240,0))</f>
        <v>0</v>
      </c>
    </row>
    <row r="182" spans="1:3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ISNUMBER(MATCH(G182,AUM!$C$6:$C$1451,0))</f>
        <v>1</v>
      </c>
      <c r="AF182" t="b">
        <f>ISNUMBER(MATCH(G182,AUM!$G$6:$G$240,0))</f>
        <v>0</v>
      </c>
    </row>
    <row r="183" spans="1:3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ISNUMBER(MATCH(G183,AUM!$C$6:$C$1451,0))</f>
        <v>1</v>
      </c>
      <c r="AF183" t="b">
        <f>ISNUMBER(MATCH(G183,AUM!$G$6:$G$240,0))</f>
        <v>0</v>
      </c>
    </row>
    <row r="184" spans="1:3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ISNUMBER(MATCH(G184,AUM!$C$6:$C$1451,0))</f>
        <v>1</v>
      </c>
      <c r="AF184" t="b">
        <f>ISNUMBER(MATCH(G184,AUM!$G$6:$G$240,0))</f>
        <v>0</v>
      </c>
    </row>
    <row r="185" spans="1:3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ISNUMBER(MATCH(G185,AUM!$C$6:$C$1451,0))</f>
        <v>1</v>
      </c>
      <c r="AF185" t="b">
        <f>ISNUMBER(MATCH(G185,AUM!$G$6:$G$240,0))</f>
        <v>0</v>
      </c>
    </row>
    <row r="186" spans="1:3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ISNUMBER(MATCH(G186,AUM!$C$6:$C$1451,0))</f>
        <v>1</v>
      </c>
      <c r="AF186" t="b">
        <f>ISNUMBER(MATCH(G186,AUM!$G$6:$G$240,0))</f>
        <v>0</v>
      </c>
    </row>
    <row r="187" spans="1:3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ISNUMBER(MATCH(G187,AUM!$C$6:$C$1451,0))</f>
        <v>1</v>
      </c>
      <c r="AF187" t="b">
        <f>ISNUMBER(MATCH(G187,AUM!$G$6:$G$240,0))</f>
        <v>0</v>
      </c>
    </row>
    <row r="188" spans="1:3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ISNUMBER(MATCH(G188,AUM!$C$6:$C$1451,0))</f>
        <v>1</v>
      </c>
      <c r="AF188" t="b">
        <f>ISNUMBER(MATCH(G188,AUM!$G$6:$G$240,0))</f>
        <v>0</v>
      </c>
    </row>
    <row r="189" spans="1:3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ISNUMBER(MATCH(G189,AUM!$C$6:$C$1451,0))</f>
        <v>1</v>
      </c>
      <c r="AF189" t="b">
        <f>ISNUMBER(MATCH(G189,AUM!$G$6:$G$240,0))</f>
        <v>0</v>
      </c>
    </row>
    <row r="190" spans="1:3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ISNUMBER(MATCH(G190,AUM!$C$6:$C$1451,0))</f>
        <v>1</v>
      </c>
      <c r="AF190" t="b">
        <f>ISNUMBER(MATCH(G190,AUM!$G$6:$G$240,0))</f>
        <v>0</v>
      </c>
    </row>
    <row r="191" spans="1:3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ISNUMBER(MATCH(G191,AUM!$C$6:$C$1451,0))</f>
        <v>1</v>
      </c>
      <c r="AF191" t="b">
        <f>ISNUMBER(MATCH(G191,AUM!$G$6:$G$240,0))</f>
        <v>0</v>
      </c>
    </row>
    <row r="192" spans="1:3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ISNUMBER(MATCH(G192,AUM!$C$6:$C$1451,0))</f>
        <v>1</v>
      </c>
      <c r="AF192" t="b">
        <f>ISNUMBER(MATCH(G192,AUM!$G$6:$G$240,0))</f>
        <v>0</v>
      </c>
    </row>
    <row r="193" spans="1:3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ISNUMBER(MATCH(G193,AUM!$C$6:$C$1451,0))</f>
        <v>1</v>
      </c>
      <c r="AF193" t="b">
        <f>ISNUMBER(MATCH(G193,AUM!$G$6:$G$240,0))</f>
        <v>0</v>
      </c>
    </row>
    <row r="194" spans="1:3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ISNUMBER(MATCH(G194,AUM!$C$6:$C$1451,0))</f>
        <v>1</v>
      </c>
      <c r="AF194" t="b">
        <f>ISNUMBER(MATCH(G194,AUM!$G$6:$G$240,0))</f>
        <v>0</v>
      </c>
    </row>
    <row r="195" spans="1:3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ISNUMBER(MATCH(G195,AUM!$C$6:$C$1451,0))</f>
        <v>1</v>
      </c>
      <c r="AF195" t="b">
        <f>ISNUMBER(MATCH(G195,AUM!$G$6:$G$240,0))</f>
        <v>0</v>
      </c>
    </row>
    <row r="196" spans="1:3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ISNUMBER(MATCH(G196,AUM!$C$6:$C$1451,0))</f>
        <v>0</v>
      </c>
      <c r="AF196" t="b">
        <f>ISNUMBER(MATCH(G196,AUM!$G$6:$G$240,0))</f>
        <v>0</v>
      </c>
    </row>
    <row r="197" spans="1:3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ISNUMBER(MATCH(G197,AUM!$C$6:$C$1451,0))</f>
        <v>0</v>
      </c>
      <c r="AF197" t="b">
        <f>ISNUMBER(MATCH(G197,AUM!$G$6:$G$240,0))</f>
        <v>0</v>
      </c>
    </row>
    <row r="198" spans="1:3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ISNUMBER(MATCH(G198,AUM!$C$6:$C$1451,0))</f>
        <v>0</v>
      </c>
      <c r="AF198" t="b">
        <f>ISNUMBER(MATCH(G198,AUM!$G$6:$G$240,0))</f>
        <v>0</v>
      </c>
    </row>
    <row r="199" spans="1:3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ISNUMBER(MATCH(G199,AUM!$C$6:$C$1451,0))</f>
        <v>1</v>
      </c>
      <c r="AF199" t="b">
        <f>ISNUMBER(MATCH(G199,AUM!$G$6:$G$240,0))</f>
        <v>0</v>
      </c>
    </row>
    <row r="200" spans="1:3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ISNUMBER(MATCH(G200,AUM!$C$6:$C$1451,0))</f>
        <v>1</v>
      </c>
      <c r="AF200" t="b">
        <f>ISNUMBER(MATCH(G200,AUM!$G$6:$G$240,0))</f>
        <v>0</v>
      </c>
    </row>
    <row r="201" spans="1:3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ISNUMBER(MATCH(G201,AUM!$C$6:$C$1451,0))</f>
        <v>1</v>
      </c>
      <c r="AF201" t="b">
        <f>ISNUMBER(MATCH(G201,AUM!$G$6:$G$240,0))</f>
        <v>0</v>
      </c>
    </row>
    <row r="202" spans="1:3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ISNUMBER(MATCH(G202,AUM!$C$6:$C$1451,0))</f>
        <v>1</v>
      </c>
      <c r="AF202" t="b">
        <f>ISNUMBER(MATCH(G202,AUM!$G$6:$G$240,0))</f>
        <v>0</v>
      </c>
    </row>
    <row r="203" spans="1:3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ISNUMBER(MATCH(G203,AUM!$C$6:$C$1451,0))</f>
        <v>1</v>
      </c>
      <c r="AF203" t="b">
        <f>ISNUMBER(MATCH(G203,AUM!$G$6:$G$240,0))</f>
        <v>0</v>
      </c>
    </row>
    <row r="204" spans="1:3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ISNUMBER(MATCH(G204,AUM!$C$6:$C$1451,0))</f>
        <v>1</v>
      </c>
      <c r="AF204" t="b">
        <f>ISNUMBER(MATCH(G204,AUM!$G$6:$G$240,0))</f>
        <v>0</v>
      </c>
    </row>
    <row r="205" spans="1:3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ISNUMBER(MATCH(G205,AUM!$C$6:$C$1451,0))</f>
        <v>1</v>
      </c>
      <c r="AF205" t="b">
        <f>ISNUMBER(MATCH(G205,AUM!$G$6:$G$240,0))</f>
        <v>0</v>
      </c>
    </row>
    <row r="206" spans="1:3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ISNUMBER(MATCH(G206,AUM!$C$6:$C$1451,0))</f>
        <v>1</v>
      </c>
      <c r="AF206" t="b">
        <f>ISNUMBER(MATCH(G206,AUM!$G$6:$G$240,0))</f>
        <v>0</v>
      </c>
    </row>
    <row r="207" spans="1:3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ISNUMBER(MATCH(G207,AUM!$C$6:$C$1451,0))</f>
        <v>1</v>
      </c>
      <c r="AF207" t="b">
        <f>ISNUMBER(MATCH(G207,AUM!$G$6:$G$240,0))</f>
        <v>0</v>
      </c>
    </row>
    <row r="208" spans="1:3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ISNUMBER(MATCH(G208,AUM!$C$6:$C$1451,0))</f>
        <v>0</v>
      </c>
      <c r="AF208" t="b">
        <f>ISNUMBER(MATCH(G208,AUM!$G$6:$G$240,0))</f>
        <v>0</v>
      </c>
    </row>
    <row r="209" spans="1:3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ISNUMBER(MATCH(G209,AUM!$C$6:$C$1451,0))</f>
        <v>0</v>
      </c>
      <c r="AF209" t="b">
        <f>ISNUMBER(MATCH(G209,AUM!$G$6:$G$240,0))</f>
        <v>0</v>
      </c>
    </row>
    <row r="210" spans="1:3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ISNUMBER(MATCH(G210,AUM!$C$6:$C$1451,0))</f>
        <v>0</v>
      </c>
      <c r="AF210" t="b">
        <f>ISNUMBER(MATCH(G210,AUM!$G$6:$G$240,0))</f>
        <v>0</v>
      </c>
    </row>
    <row r="211" spans="1:3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ISNUMBER(MATCH(G211,AUM!$C$6:$C$1451,0))</f>
        <v>1</v>
      </c>
      <c r="AF211" t="b">
        <f>ISNUMBER(MATCH(G211,AUM!$G$6:$G$240,0))</f>
        <v>0</v>
      </c>
    </row>
    <row r="212" spans="1:3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ISNUMBER(MATCH(G212,AUM!$C$6:$C$1451,0))</f>
        <v>1</v>
      </c>
      <c r="AF212" t="b">
        <f>ISNUMBER(MATCH(G212,AUM!$G$6:$G$240,0))</f>
        <v>0</v>
      </c>
    </row>
    <row r="213" spans="1:3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ISNUMBER(MATCH(G213,AUM!$C$6:$C$1451,0))</f>
        <v>1</v>
      </c>
      <c r="AF213" t="b">
        <f>ISNUMBER(MATCH(G213,AUM!$G$6:$G$240,0))</f>
        <v>0</v>
      </c>
    </row>
    <row r="214" spans="1:3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ISNUMBER(MATCH(G214,AUM!$C$6:$C$1451,0))</f>
        <v>1</v>
      </c>
      <c r="AF214" t="b">
        <f>ISNUMBER(MATCH(G214,AUM!$G$6:$G$240,0))</f>
        <v>0</v>
      </c>
    </row>
    <row r="215" spans="1:3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ISNUMBER(MATCH(G215,AUM!$C$6:$C$1451,0))</f>
        <v>1</v>
      </c>
      <c r="AF215" t="b">
        <f>ISNUMBER(MATCH(G215,AUM!$G$6:$G$240,0))</f>
        <v>0</v>
      </c>
    </row>
    <row r="216" spans="1:3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ISNUMBER(MATCH(G216,AUM!$C$6:$C$1451,0))</f>
        <v>1</v>
      </c>
      <c r="AF216" t="b">
        <f>ISNUMBER(MATCH(G216,AUM!$G$6:$G$240,0))</f>
        <v>0</v>
      </c>
    </row>
    <row r="217" spans="1:3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ISNUMBER(MATCH(G217,AUM!$C$6:$C$1451,0))</f>
        <v>1</v>
      </c>
      <c r="AF217" t="b">
        <f>ISNUMBER(MATCH(G217,AUM!$G$6:$G$240,0))</f>
        <v>0</v>
      </c>
    </row>
    <row r="218" spans="1:3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ISNUMBER(MATCH(G218,AUM!$C$6:$C$1451,0))</f>
        <v>1</v>
      </c>
      <c r="AF218" t="b">
        <f>ISNUMBER(MATCH(G218,AUM!$G$6:$G$240,0))</f>
        <v>0</v>
      </c>
    </row>
    <row r="219" spans="1:3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ISNUMBER(MATCH(G219,AUM!$C$6:$C$1451,0))</f>
        <v>1</v>
      </c>
      <c r="AF219" t="b">
        <f>ISNUMBER(MATCH(G219,AUM!$G$6:$G$240,0))</f>
        <v>0</v>
      </c>
    </row>
    <row r="220" spans="1:3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ISNUMBER(MATCH(G220,AUM!$C$6:$C$1451,0))</f>
        <v>1</v>
      </c>
      <c r="AF220" t="b">
        <f>ISNUMBER(MATCH(G220,AUM!$G$6:$G$240,0))</f>
        <v>0</v>
      </c>
    </row>
    <row r="221" spans="1:3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ISNUMBER(MATCH(G221,AUM!$C$6:$C$1451,0))</f>
        <v>1</v>
      </c>
      <c r="AF221" t="b">
        <f>ISNUMBER(MATCH(G221,AUM!$G$6:$G$240,0))</f>
        <v>0</v>
      </c>
    </row>
    <row r="222" spans="1:3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ISNUMBER(MATCH(G222,AUM!$C$6:$C$1451,0))</f>
        <v>1</v>
      </c>
      <c r="AF222" t="b">
        <f>ISNUMBER(MATCH(G222,AUM!$G$6:$G$240,0))</f>
        <v>0</v>
      </c>
    </row>
    <row r="223" spans="1:3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ISNUMBER(MATCH(G223,AUM!$C$6:$C$1451,0))</f>
        <v>1</v>
      </c>
      <c r="AF223" t="b">
        <f>ISNUMBER(MATCH(G223,AUM!$G$6:$G$240,0))</f>
        <v>0</v>
      </c>
    </row>
    <row r="224" spans="1:3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ISNUMBER(MATCH(G224,AUM!$C$6:$C$1451,0))</f>
        <v>1</v>
      </c>
      <c r="AF224" t="b">
        <f>ISNUMBER(MATCH(G224,AUM!$G$6:$G$240,0))</f>
        <v>0</v>
      </c>
    </row>
    <row r="225" spans="1:3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ISNUMBER(MATCH(G225,AUM!$C$6:$C$1451,0))</f>
        <v>1</v>
      </c>
      <c r="AF225" t="b">
        <f>ISNUMBER(MATCH(G225,AUM!$G$6:$G$240,0))</f>
        <v>0</v>
      </c>
    </row>
    <row r="226" spans="1:3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ISNUMBER(MATCH(G226,AUM!$C$6:$C$1451,0))</f>
        <v>1</v>
      </c>
      <c r="AF226" t="b">
        <f>ISNUMBER(MATCH(G226,AUM!$G$6:$G$240,0))</f>
        <v>0</v>
      </c>
    </row>
    <row r="227" spans="1:3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ISNUMBER(MATCH(G227,AUM!$C$6:$C$1451,0))</f>
        <v>1</v>
      </c>
      <c r="AF227" t="b">
        <f>ISNUMBER(MATCH(G227,AUM!$G$6:$G$240,0))</f>
        <v>0</v>
      </c>
    </row>
    <row r="228" spans="1:3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ISNUMBER(MATCH(G228,AUM!$C$6:$C$1451,0))</f>
        <v>1</v>
      </c>
      <c r="AF228" t="b">
        <f>ISNUMBER(MATCH(G228,AUM!$G$6:$G$240,0))</f>
        <v>0</v>
      </c>
    </row>
    <row r="229" spans="1:3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ISNUMBER(MATCH(G229,AUM!$C$6:$C$1451,0))</f>
        <v>1</v>
      </c>
      <c r="AF229" t="b">
        <f>ISNUMBER(MATCH(G229,AUM!$G$6:$G$240,0))</f>
        <v>0</v>
      </c>
    </row>
    <row r="230" spans="1:3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ISNUMBER(MATCH(G230,AUM!$C$6:$C$1451,0))</f>
        <v>1</v>
      </c>
      <c r="AF230" t="b">
        <f>ISNUMBER(MATCH(G230,AUM!$G$6:$G$240,0))</f>
        <v>0</v>
      </c>
    </row>
    <row r="231" spans="1:3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ISNUMBER(MATCH(G231,AUM!$C$6:$C$1451,0))</f>
        <v>1</v>
      </c>
      <c r="AF231" t="b">
        <f>ISNUMBER(MATCH(G231,AUM!$G$6:$G$240,0))</f>
        <v>0</v>
      </c>
    </row>
    <row r="232" spans="1:3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ISNUMBER(MATCH(G232,AUM!$C$6:$C$1451,0))</f>
        <v>1</v>
      </c>
      <c r="AF232" t="b">
        <f>ISNUMBER(MATCH(G232,AUM!$G$6:$G$240,0))</f>
        <v>0</v>
      </c>
    </row>
    <row r="233" spans="1:3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ISNUMBER(MATCH(G233,AUM!$C$6:$C$1451,0))</f>
        <v>1</v>
      </c>
      <c r="AF233" t="b">
        <f>ISNUMBER(MATCH(G233,AUM!$G$6:$G$240,0))</f>
        <v>0</v>
      </c>
    </row>
    <row r="234" spans="1:3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ISNUMBER(MATCH(G234,AUM!$C$6:$C$1451,0))</f>
        <v>1</v>
      </c>
      <c r="AF234" t="b">
        <f>ISNUMBER(MATCH(G234,AUM!$G$6:$G$240,0))</f>
        <v>0</v>
      </c>
    </row>
    <row r="235" spans="1:3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ISNUMBER(MATCH(G235,AUM!$C$6:$C$1451,0))</f>
        <v>1</v>
      </c>
      <c r="AF235" t="b">
        <f>ISNUMBER(MATCH(G235,AUM!$G$6:$G$240,0))</f>
        <v>0</v>
      </c>
    </row>
    <row r="236" spans="1:3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ISNUMBER(MATCH(G236,AUM!$C$6:$C$1451,0))</f>
        <v>1</v>
      </c>
      <c r="AF236" t="b">
        <f>ISNUMBER(MATCH(G236,AUM!$G$6:$G$240,0))</f>
        <v>0</v>
      </c>
    </row>
    <row r="237" spans="1:3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ISNUMBER(MATCH(G237,AUM!$C$6:$C$1451,0))</f>
        <v>1</v>
      </c>
      <c r="AF237" t="b">
        <f>ISNUMBER(MATCH(G237,AUM!$G$6:$G$240,0))</f>
        <v>0</v>
      </c>
    </row>
    <row r="238" spans="1:3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ISNUMBER(MATCH(G238,AUM!$C$6:$C$1451,0))</f>
        <v>1</v>
      </c>
      <c r="AF238" t="b">
        <f>ISNUMBER(MATCH(G238,AUM!$G$6:$G$240,0))</f>
        <v>0</v>
      </c>
    </row>
    <row r="239" spans="1:3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ISNUMBER(MATCH(G239,AUM!$C$6:$C$1451,0))</f>
        <v>1</v>
      </c>
      <c r="AF239" t="b">
        <f>ISNUMBER(MATCH(G239,AUM!$G$6:$G$240,0))</f>
        <v>0</v>
      </c>
    </row>
    <row r="240" spans="1:3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ISNUMBER(MATCH(G240,AUM!$C$6:$C$1451,0))</f>
        <v>1</v>
      </c>
      <c r="AF240" t="b">
        <f>ISNUMBER(MATCH(G240,AUM!$G$6:$G$240,0))</f>
        <v>0</v>
      </c>
    </row>
    <row r="241" spans="1:3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ISNUMBER(MATCH(G241,AUM!$C$6:$C$1451,0))</f>
        <v>0</v>
      </c>
      <c r="AF241" t="b">
        <f>ISNUMBER(MATCH(G241,AUM!$G$6:$G$240,0))</f>
        <v>0</v>
      </c>
    </row>
    <row r="242" spans="1:3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ISNUMBER(MATCH(G242,AUM!$C$6:$C$1451,0))</f>
        <v>0</v>
      </c>
      <c r="AF242" t="b">
        <f>ISNUMBER(MATCH(G242,AUM!$G$6:$G$240,0))</f>
        <v>0</v>
      </c>
    </row>
    <row r="243" spans="1:3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ISNUMBER(MATCH(G243,AUM!$C$6:$C$1451,0))</f>
        <v>1</v>
      </c>
      <c r="AF243" t="b">
        <f>ISNUMBER(MATCH(G243,AUM!$G$6:$G$240,0))</f>
        <v>0</v>
      </c>
    </row>
    <row r="244" spans="1:3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ISNUMBER(MATCH(G244,AUM!$C$6:$C$1451,0))</f>
        <v>1</v>
      </c>
      <c r="AF244" t="b">
        <f>ISNUMBER(MATCH(G244,AUM!$G$6:$G$240,0))</f>
        <v>0</v>
      </c>
    </row>
    <row r="245" spans="1:3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ISNUMBER(MATCH(G245,AUM!$C$6:$C$1451,0))</f>
        <v>0</v>
      </c>
      <c r="AF245" t="b">
        <f>ISNUMBER(MATCH(G245,AUM!$G$6:$G$240,0))</f>
        <v>0</v>
      </c>
    </row>
    <row r="246" spans="1:3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ISNUMBER(MATCH(G246,AUM!$C$6:$C$1451,0))</f>
        <v>1</v>
      </c>
      <c r="AF246" t="b">
        <f>ISNUMBER(MATCH(G246,AUM!$G$6:$G$240,0))</f>
        <v>1</v>
      </c>
    </row>
    <row r="247" spans="1:3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ISNUMBER(MATCH(G247,AUM!$C$6:$C$1451,0))</f>
        <v>1</v>
      </c>
      <c r="AF247" t="b">
        <f>ISNUMBER(MATCH(G247,AUM!$G$6:$G$240,0))</f>
        <v>0</v>
      </c>
    </row>
    <row r="248" spans="1:3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ISNUMBER(MATCH(G248,AUM!$C$6:$C$1451,0))</f>
        <v>1</v>
      </c>
      <c r="AF248" t="b">
        <f>ISNUMBER(MATCH(G248,AUM!$G$6:$G$240,0))</f>
        <v>0</v>
      </c>
    </row>
    <row r="249" spans="1:3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ISNUMBER(MATCH(G249,AUM!$C$6:$C$1451,0))</f>
        <v>1</v>
      </c>
      <c r="AF249" t="b">
        <f>ISNUMBER(MATCH(G249,AUM!$G$6:$G$240,0))</f>
        <v>1</v>
      </c>
    </row>
    <row r="250" spans="1:3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ISNUMBER(MATCH(G250,AUM!$C$6:$C$1451,0))</f>
        <v>1</v>
      </c>
      <c r="AF250" t="b">
        <f>ISNUMBER(MATCH(G250,AUM!$G$6:$G$240,0))</f>
        <v>0</v>
      </c>
    </row>
    <row r="251" spans="1:3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ISNUMBER(MATCH(G251,AUM!$C$6:$C$1451,0))</f>
        <v>1</v>
      </c>
      <c r="AF251" t="b">
        <f>ISNUMBER(MATCH(G251,AUM!$G$6:$G$240,0))</f>
        <v>1</v>
      </c>
    </row>
    <row r="252" spans="1:3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ISNUMBER(MATCH(G252,AUM!$C$6:$C$1451,0))</f>
        <v>1</v>
      </c>
      <c r="AF252" t="b">
        <f>ISNUMBER(MATCH(G252,AUM!$G$6:$G$240,0))</f>
        <v>0</v>
      </c>
    </row>
    <row r="253" spans="1:3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ISNUMBER(MATCH(G253,AUM!$C$6:$C$1451,0))</f>
        <v>1</v>
      </c>
      <c r="AF253" t="b">
        <f>ISNUMBER(MATCH(G253,AUM!$G$6:$G$240,0))</f>
        <v>1</v>
      </c>
    </row>
    <row r="254" spans="1:3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ISNUMBER(MATCH(G254,AUM!$C$6:$C$1451,0))</f>
        <v>1</v>
      </c>
      <c r="AF254" t="b">
        <f>ISNUMBER(MATCH(G254,AUM!$G$6:$G$240,0))</f>
        <v>0</v>
      </c>
    </row>
    <row r="255" spans="1:3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ISNUMBER(MATCH(G255,AUM!$C$6:$C$1451,0))</f>
        <v>1</v>
      </c>
      <c r="AF255" t="b">
        <f>ISNUMBER(MATCH(G255,AUM!$G$6:$G$240,0))</f>
        <v>0</v>
      </c>
    </row>
    <row r="256" spans="1:3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ISNUMBER(MATCH(G256,AUM!$C$6:$C$1451,0))</f>
        <v>1</v>
      </c>
      <c r="AF256" t="b">
        <f>ISNUMBER(MATCH(G256,AUM!$G$6:$G$240,0))</f>
        <v>1</v>
      </c>
    </row>
    <row r="257" spans="1:3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ISNUMBER(MATCH(G257,AUM!$C$6:$C$1451,0))</f>
        <v>1</v>
      </c>
      <c r="AF257" t="b">
        <f>ISNUMBER(MATCH(G257,AUM!$G$6:$G$240,0))</f>
        <v>0</v>
      </c>
    </row>
    <row r="258" spans="1:3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ISNUMBER(MATCH(G258,AUM!$C$6:$C$1451,0))</f>
        <v>1</v>
      </c>
      <c r="AF258" t="b">
        <f>ISNUMBER(MATCH(G258,AUM!$G$6:$G$240,0))</f>
        <v>1</v>
      </c>
    </row>
    <row r="259" spans="1:3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ISNUMBER(MATCH(G259,AUM!$C$6:$C$1451,0))</f>
        <v>0</v>
      </c>
      <c r="AF259" t="b">
        <f>ISNUMBER(MATCH(G259,AUM!$G$6:$G$240,0))</f>
        <v>0</v>
      </c>
    </row>
    <row r="260" spans="1:3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ISNUMBER(MATCH(G260,AUM!$C$6:$C$1451,0))</f>
        <v>1</v>
      </c>
      <c r="AF260" t="b">
        <f>ISNUMBER(MATCH(G260,AUM!$G$6:$G$240,0))</f>
        <v>0</v>
      </c>
    </row>
    <row r="261" spans="1:3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ISNUMBER(MATCH(G261,AUM!$C$6:$C$1451,0))</f>
        <v>0</v>
      </c>
      <c r="AF261" t="b">
        <f>ISNUMBER(MATCH(G261,AUM!$G$6:$G$240,0))</f>
        <v>0</v>
      </c>
    </row>
    <row r="262" spans="1:3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ISNUMBER(MATCH(G262,AUM!$C$6:$C$1451,0))</f>
        <v>0</v>
      </c>
      <c r="AF262" t="b">
        <f>ISNUMBER(MATCH(G262,AUM!$G$6:$G$240,0))</f>
        <v>0</v>
      </c>
    </row>
    <row r="263" spans="1:3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ISNUMBER(MATCH(G263,AUM!$C$6:$C$1451,0))</f>
        <v>1</v>
      </c>
      <c r="AF263" t="b">
        <f>ISNUMBER(MATCH(G263,AUM!$G$6:$G$240,0))</f>
        <v>0</v>
      </c>
    </row>
    <row r="264" spans="1:3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ISNUMBER(MATCH(G264,AUM!$C$6:$C$1451,0))</f>
        <v>0</v>
      </c>
      <c r="AF264" t="b">
        <f>ISNUMBER(MATCH(G264,AUM!$G$6:$G$240,0))</f>
        <v>0</v>
      </c>
    </row>
    <row r="265" spans="1:3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ISNUMBER(MATCH(G265,AUM!$C$6:$C$1451,0))</f>
        <v>1</v>
      </c>
      <c r="AF265" t="b">
        <f>ISNUMBER(MATCH(G265,AUM!$G$6:$G$240,0))</f>
        <v>0</v>
      </c>
    </row>
    <row r="266" spans="1:3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ISNUMBER(MATCH(G266,AUM!$C$6:$C$1451,0))</f>
        <v>1</v>
      </c>
      <c r="AF266" t="b">
        <f>ISNUMBER(MATCH(G266,AUM!$G$6:$G$240,0))</f>
        <v>0</v>
      </c>
    </row>
    <row r="267" spans="1:3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ISNUMBER(MATCH(G267,AUM!$C$6:$C$1451,0))</f>
        <v>0</v>
      </c>
      <c r="AF267" t="b">
        <f>ISNUMBER(MATCH(G267,AUM!$G$6:$G$240,0))</f>
        <v>0</v>
      </c>
    </row>
    <row r="268" spans="1:3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ISNUMBER(MATCH(G268,AUM!$C$6:$C$1451,0))</f>
        <v>0</v>
      </c>
      <c r="AF268" t="b">
        <f>ISNUMBER(MATCH(G268,AUM!$G$6:$G$240,0))</f>
        <v>0</v>
      </c>
    </row>
    <row r="269" spans="1:3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ISNUMBER(MATCH(G269,AUM!$C$6:$C$1451,0))</f>
        <v>1</v>
      </c>
      <c r="AF269" t="b">
        <f>ISNUMBER(MATCH(G269,AUM!$G$6:$G$240,0))</f>
        <v>0</v>
      </c>
    </row>
    <row r="270" spans="1:3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ISNUMBER(MATCH(G270,AUM!$C$6:$C$1451,0))</f>
        <v>1</v>
      </c>
      <c r="AF270" t="b">
        <f>ISNUMBER(MATCH(G270,AUM!$G$6:$G$240,0))</f>
        <v>0</v>
      </c>
    </row>
    <row r="271" spans="1:3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ISNUMBER(MATCH(G271,AUM!$C$6:$C$1451,0))</f>
        <v>1</v>
      </c>
      <c r="AF271" t="b">
        <f>ISNUMBER(MATCH(G271,AUM!$G$6:$G$240,0))</f>
        <v>0</v>
      </c>
    </row>
    <row r="272" spans="1:3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ISNUMBER(MATCH(G272,AUM!$C$6:$C$1451,0))</f>
        <v>1</v>
      </c>
      <c r="AF272" t="b">
        <f>ISNUMBER(MATCH(G272,AUM!$G$6:$G$240,0))</f>
        <v>1</v>
      </c>
    </row>
    <row r="273" spans="1:3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ISNUMBER(MATCH(G273,AUM!$C$6:$C$1451,0))</f>
        <v>1</v>
      </c>
      <c r="AF273" t="b">
        <f>ISNUMBER(MATCH(G273,AUM!$G$6:$G$240,0))</f>
        <v>0</v>
      </c>
    </row>
    <row r="274" spans="1:3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ISNUMBER(MATCH(G274,AUM!$C$6:$C$1451,0))</f>
        <v>1</v>
      </c>
      <c r="AF274" t="b">
        <f>ISNUMBER(MATCH(G274,AUM!$G$6:$G$240,0))</f>
        <v>0</v>
      </c>
    </row>
    <row r="275" spans="1:3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ISNUMBER(MATCH(G275,AUM!$C$6:$C$1451,0))</f>
        <v>1</v>
      </c>
      <c r="AF275" t="b">
        <f>ISNUMBER(MATCH(G275,AUM!$G$6:$G$240,0))</f>
        <v>0</v>
      </c>
    </row>
    <row r="276" spans="1:3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ISNUMBER(MATCH(G276,AUM!$C$6:$C$1451,0))</f>
        <v>1</v>
      </c>
      <c r="AF276" t="b">
        <f>ISNUMBER(MATCH(G276,AUM!$G$6:$G$240,0))</f>
        <v>1</v>
      </c>
    </row>
    <row r="277" spans="1:3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ISNUMBER(MATCH(G277,AUM!$C$6:$C$1451,0))</f>
        <v>1</v>
      </c>
      <c r="AF277" t="b">
        <f>ISNUMBER(MATCH(G277,AUM!$G$6:$G$240,0))</f>
        <v>0</v>
      </c>
    </row>
    <row r="278" spans="1:3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ISNUMBER(MATCH(G278,AUM!$C$6:$C$1451,0))</f>
        <v>1</v>
      </c>
      <c r="AF278" t="b">
        <f>ISNUMBER(MATCH(G278,AUM!$G$6:$G$240,0))</f>
        <v>0</v>
      </c>
    </row>
    <row r="279" spans="1:3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ISNUMBER(MATCH(G279,AUM!$C$6:$C$1451,0))</f>
        <v>1</v>
      </c>
      <c r="AF279" t="b">
        <f>ISNUMBER(MATCH(G279,AUM!$G$6:$G$240,0))</f>
        <v>0</v>
      </c>
    </row>
    <row r="280" spans="1:3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ISNUMBER(MATCH(G280,AUM!$C$6:$C$1451,0))</f>
        <v>1</v>
      </c>
      <c r="AF280" t="b">
        <f>ISNUMBER(MATCH(G280,AUM!$G$6:$G$240,0))</f>
        <v>1</v>
      </c>
    </row>
    <row r="281" spans="1:3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ISNUMBER(MATCH(G281,AUM!$C$6:$C$1451,0))</f>
        <v>1</v>
      </c>
      <c r="AF281" t="b">
        <f>ISNUMBER(MATCH(G281,AUM!$G$6:$G$240,0))</f>
        <v>0</v>
      </c>
    </row>
    <row r="282" spans="1:3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ISNUMBER(MATCH(G282,AUM!$C$6:$C$1451,0))</f>
        <v>1</v>
      </c>
      <c r="AF282" t="b">
        <f>ISNUMBER(MATCH(G282,AUM!$G$6:$G$240,0))</f>
        <v>0</v>
      </c>
    </row>
    <row r="283" spans="1:3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ISNUMBER(MATCH(G283,AUM!$C$6:$C$1451,0))</f>
        <v>0</v>
      </c>
      <c r="AF283" t="b">
        <f>ISNUMBER(MATCH(G283,AUM!$G$6:$G$240,0))</f>
        <v>0</v>
      </c>
    </row>
    <row r="284" spans="1:3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ISNUMBER(MATCH(G284,AUM!$C$6:$C$1451,0))</f>
        <v>0</v>
      </c>
      <c r="AF284" t="b">
        <f>ISNUMBER(MATCH(G284,AUM!$G$6:$G$240,0))</f>
        <v>0</v>
      </c>
    </row>
    <row r="285" spans="1:3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ISNUMBER(MATCH(G285,AUM!$C$6:$C$1451,0))</f>
        <v>0</v>
      </c>
      <c r="AF285" t="b">
        <f>ISNUMBER(MATCH(G285,AUM!$G$6:$G$240,0))</f>
        <v>0</v>
      </c>
    </row>
    <row r="286" spans="1:3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ISNUMBER(MATCH(G286,AUM!$C$6:$C$1451,0))</f>
        <v>0</v>
      </c>
      <c r="AF286" t="b">
        <f>ISNUMBER(MATCH(G286,AUM!$G$6:$G$240,0))</f>
        <v>0</v>
      </c>
    </row>
    <row r="287" spans="1:3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ISNUMBER(MATCH(G287,AUM!$C$6:$C$1451,0))</f>
        <v>0</v>
      </c>
      <c r="AF287" t="b">
        <f>ISNUMBER(MATCH(G287,AUM!$G$6:$G$240,0))</f>
        <v>0</v>
      </c>
    </row>
    <row r="288" spans="1:3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ISNUMBER(MATCH(G288,AUM!$C$6:$C$1451,0))</f>
        <v>0</v>
      </c>
      <c r="AF288" t="b">
        <f>ISNUMBER(MATCH(G288,AUM!$G$6:$G$240,0))</f>
        <v>0</v>
      </c>
    </row>
    <row r="289" spans="1:3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ISNUMBER(MATCH(G289,AUM!$C$6:$C$1451,0))</f>
        <v>0</v>
      </c>
      <c r="AF289" t="b">
        <f>ISNUMBER(MATCH(G289,AUM!$G$6:$G$240,0))</f>
        <v>0</v>
      </c>
    </row>
    <row r="290" spans="1:3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ISNUMBER(MATCH(G290,AUM!$C$6:$C$1451,0))</f>
        <v>1</v>
      </c>
      <c r="AF290" t="b">
        <f>ISNUMBER(MATCH(G290,AUM!$G$6:$G$240,0))</f>
        <v>0</v>
      </c>
    </row>
    <row r="291" spans="1:3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ISNUMBER(MATCH(G291,AUM!$C$6:$C$1451,0))</f>
        <v>1</v>
      </c>
      <c r="AF291" t="b">
        <f>ISNUMBER(MATCH(G291,AUM!$G$6:$G$240,0))</f>
        <v>0</v>
      </c>
    </row>
    <row r="292" spans="1:3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ISNUMBER(MATCH(G292,AUM!$C$6:$C$1451,0))</f>
        <v>1</v>
      </c>
      <c r="AF292" t="b">
        <f>ISNUMBER(MATCH(G292,AUM!$G$6:$G$240,0))</f>
        <v>0</v>
      </c>
    </row>
    <row r="293" spans="1:3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ISNUMBER(MATCH(G293,AUM!$C$6:$C$1451,0))</f>
        <v>1</v>
      </c>
      <c r="AF293" t="b">
        <f>ISNUMBER(MATCH(G293,AUM!$G$6:$G$240,0))</f>
        <v>0</v>
      </c>
    </row>
    <row r="294" spans="1:3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ISNUMBER(MATCH(G294,AUM!$C$6:$C$1451,0))</f>
        <v>1</v>
      </c>
      <c r="AF294" t="b">
        <f>ISNUMBER(MATCH(G294,AUM!$G$6:$G$240,0))</f>
        <v>1</v>
      </c>
    </row>
    <row r="295" spans="1:3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ISNUMBER(MATCH(G295,AUM!$C$6:$C$1451,0))</f>
        <v>1</v>
      </c>
      <c r="AF295" t="b">
        <f>ISNUMBER(MATCH(G295,AUM!$G$6:$G$240,0))</f>
        <v>0</v>
      </c>
    </row>
    <row r="296" spans="1:3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ISNUMBER(MATCH(G296,AUM!$C$6:$C$1451,0))</f>
        <v>1</v>
      </c>
      <c r="AF296" t="b">
        <f>ISNUMBER(MATCH(G296,AUM!$G$6:$G$240,0))</f>
        <v>0</v>
      </c>
    </row>
    <row r="297" spans="1:3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ISNUMBER(MATCH(G297,AUM!$C$6:$C$1451,0))</f>
        <v>1</v>
      </c>
      <c r="AF297" t="b">
        <f>ISNUMBER(MATCH(G297,AUM!$G$6:$G$240,0))</f>
        <v>1</v>
      </c>
    </row>
    <row r="298" spans="1:3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ISNUMBER(MATCH(G298,AUM!$C$6:$C$1451,0))</f>
        <v>1</v>
      </c>
      <c r="AF298" t="b">
        <f>ISNUMBER(MATCH(G298,AUM!$G$6:$G$240,0))</f>
        <v>0</v>
      </c>
    </row>
    <row r="299" spans="1:3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ISNUMBER(MATCH(G299,AUM!$C$6:$C$1451,0))</f>
        <v>1</v>
      </c>
      <c r="AF299" t="b">
        <f>ISNUMBER(MATCH(G299,AUM!$G$6:$G$240,0))</f>
        <v>0</v>
      </c>
    </row>
    <row r="300" spans="1:3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ISNUMBER(MATCH(G300,AUM!$C$6:$C$1451,0))</f>
        <v>0</v>
      </c>
      <c r="AF300" t="b">
        <f>ISNUMBER(MATCH(G300,AUM!$G$6:$G$240,0))</f>
        <v>1</v>
      </c>
    </row>
    <row r="301" spans="1:3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ISNUMBER(MATCH(G301,AUM!$C$6:$C$1451,0))</f>
        <v>1</v>
      </c>
      <c r="AF301" t="b">
        <f>ISNUMBER(MATCH(G301,AUM!$G$6:$G$240,0))</f>
        <v>0</v>
      </c>
    </row>
    <row r="302" spans="1:3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ISNUMBER(MATCH(G302,AUM!$C$6:$C$1451,0))</f>
        <v>1</v>
      </c>
      <c r="AF302" t="b">
        <f>ISNUMBER(MATCH(G302,AUM!$G$6:$G$240,0))</f>
        <v>0</v>
      </c>
    </row>
    <row r="303" spans="1:3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ISNUMBER(MATCH(G303,AUM!$C$6:$C$1451,0))</f>
        <v>1</v>
      </c>
      <c r="AF303" t="b">
        <f>ISNUMBER(MATCH(G303,AUM!$G$6:$G$240,0))</f>
        <v>0</v>
      </c>
    </row>
    <row r="304" spans="1:3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ISNUMBER(MATCH(G304,AUM!$C$6:$C$1451,0))</f>
        <v>1</v>
      </c>
      <c r="AF304" t="b">
        <f>ISNUMBER(MATCH(G304,AUM!$G$6:$G$240,0))</f>
        <v>0</v>
      </c>
    </row>
    <row r="305" spans="1:3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ISNUMBER(MATCH(G305,AUM!$C$6:$C$1451,0))</f>
        <v>1</v>
      </c>
      <c r="AF305" t="b">
        <f>ISNUMBER(MATCH(G305,AUM!$G$6:$G$240,0))</f>
        <v>0</v>
      </c>
    </row>
    <row r="306" spans="1:3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ISNUMBER(MATCH(G306,AUM!$C$6:$C$1451,0))</f>
        <v>1</v>
      </c>
      <c r="AF306" t="b">
        <f>ISNUMBER(MATCH(G306,AUM!$G$6:$G$240,0))</f>
        <v>0</v>
      </c>
    </row>
    <row r="307" spans="1:3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ISNUMBER(MATCH(G307,AUM!$C$6:$C$1451,0))</f>
        <v>1</v>
      </c>
      <c r="AF307" t="b">
        <f>ISNUMBER(MATCH(G307,AUM!$G$6:$G$240,0))</f>
        <v>0</v>
      </c>
    </row>
    <row r="308" spans="1:3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ISNUMBER(MATCH(G308,AUM!$C$6:$C$1451,0))</f>
        <v>1</v>
      </c>
      <c r="AF308" t="b">
        <f>ISNUMBER(MATCH(G308,AUM!$G$6:$G$240,0))</f>
        <v>0</v>
      </c>
    </row>
    <row r="309" spans="1:3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ISNUMBER(MATCH(G309,AUM!$C$6:$C$1451,0))</f>
        <v>1</v>
      </c>
      <c r="AF309" t="b">
        <f>ISNUMBER(MATCH(G309,AUM!$G$6:$G$240,0))</f>
        <v>0</v>
      </c>
    </row>
    <row r="310" spans="1:3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ISNUMBER(MATCH(G310,AUM!$C$6:$C$1451,0))</f>
        <v>1</v>
      </c>
      <c r="AF310" t="b">
        <f>ISNUMBER(MATCH(G310,AUM!$G$6:$G$240,0))</f>
        <v>0</v>
      </c>
    </row>
    <row r="311" spans="1:3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ISNUMBER(MATCH(G311,AUM!$C$6:$C$1451,0))</f>
        <v>1</v>
      </c>
      <c r="AF311" t="b">
        <f>ISNUMBER(MATCH(G311,AUM!$G$6:$G$240,0))</f>
        <v>0</v>
      </c>
    </row>
    <row r="312" spans="1:3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ISNUMBER(MATCH(G312,AUM!$C$6:$C$1451,0))</f>
        <v>1</v>
      </c>
      <c r="AF312" t="b">
        <f>ISNUMBER(MATCH(G312,AUM!$G$6:$G$240,0))</f>
        <v>0</v>
      </c>
    </row>
    <row r="313" spans="1:3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ISNUMBER(MATCH(G313,AUM!$C$6:$C$1451,0))</f>
        <v>1</v>
      </c>
      <c r="AF313" t="b">
        <f>ISNUMBER(MATCH(G313,AUM!$G$6:$G$240,0))</f>
        <v>1</v>
      </c>
    </row>
    <row r="314" spans="1:3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ISNUMBER(MATCH(G314,AUM!$C$6:$C$1451,0))</f>
        <v>1</v>
      </c>
      <c r="AF314" t="b">
        <f>ISNUMBER(MATCH(G314,AUM!$G$6:$G$240,0))</f>
        <v>0</v>
      </c>
    </row>
    <row r="315" spans="1:3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ISNUMBER(MATCH(G315,AUM!$C$6:$C$1451,0))</f>
        <v>1</v>
      </c>
      <c r="AF315" t="b">
        <f>ISNUMBER(MATCH(G315,AUM!$G$6:$G$240,0))</f>
        <v>0</v>
      </c>
    </row>
    <row r="316" spans="1:3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ISNUMBER(MATCH(G316,AUM!$C$6:$C$1451,0))</f>
        <v>1</v>
      </c>
      <c r="AF316" t="b">
        <f>ISNUMBER(MATCH(G316,AUM!$G$6:$G$240,0))</f>
        <v>1</v>
      </c>
    </row>
    <row r="317" spans="1:3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ISNUMBER(MATCH(G317,AUM!$C$6:$C$1451,0))</f>
        <v>1</v>
      </c>
      <c r="AF317" t="b">
        <f>ISNUMBER(MATCH(G317,AUM!$G$6:$G$240,0))</f>
        <v>0</v>
      </c>
    </row>
    <row r="318" spans="1:3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ISNUMBER(MATCH(G318,AUM!$C$6:$C$1451,0))</f>
        <v>1</v>
      </c>
      <c r="AF318" t="b">
        <f>ISNUMBER(MATCH(G318,AUM!$G$6:$G$240,0))</f>
        <v>0</v>
      </c>
    </row>
    <row r="319" spans="1:3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ISNUMBER(MATCH(G319,AUM!$C$6:$C$1451,0))</f>
        <v>1</v>
      </c>
      <c r="AF319" t="b">
        <f>ISNUMBER(MATCH(G319,AUM!$G$6:$G$240,0))</f>
        <v>0</v>
      </c>
    </row>
    <row r="320" spans="1:3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ISNUMBER(MATCH(G320,AUM!$C$6:$C$1451,0))</f>
        <v>1</v>
      </c>
      <c r="AF320" t="b">
        <f>ISNUMBER(MATCH(G320,AUM!$G$6:$G$240,0))</f>
        <v>0</v>
      </c>
    </row>
    <row r="321" spans="1:3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ISNUMBER(MATCH(G321,AUM!$C$6:$C$1451,0))</f>
        <v>1</v>
      </c>
      <c r="AF321" t="b">
        <f>ISNUMBER(MATCH(G321,AUM!$G$6:$G$240,0))</f>
        <v>0</v>
      </c>
    </row>
    <row r="322" spans="1:3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ISNUMBER(MATCH(G322,AUM!$C$6:$C$1451,0))</f>
        <v>1</v>
      </c>
      <c r="AF322" t="b">
        <f>ISNUMBER(MATCH(G322,AUM!$G$6:$G$240,0))</f>
        <v>0</v>
      </c>
    </row>
    <row r="323" spans="1:3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ISNUMBER(MATCH(G323,AUM!$C$6:$C$1451,0))</f>
        <v>1</v>
      </c>
      <c r="AF323" t="b">
        <f>ISNUMBER(MATCH(G323,AUM!$G$6:$G$240,0))</f>
        <v>0</v>
      </c>
    </row>
    <row r="324" spans="1:3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ISNUMBER(MATCH(G324,AUM!$C$6:$C$1451,0))</f>
        <v>1</v>
      </c>
      <c r="AF324" t="b">
        <f>ISNUMBER(MATCH(G324,AUM!$G$6:$G$240,0))</f>
        <v>0</v>
      </c>
    </row>
    <row r="325" spans="1:3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ISNUMBER(MATCH(G325,AUM!$C$6:$C$1451,0))</f>
        <v>1</v>
      </c>
      <c r="AF325" t="b">
        <f>ISNUMBER(MATCH(G325,AUM!$G$6:$G$240,0))</f>
        <v>0</v>
      </c>
    </row>
    <row r="326" spans="1:3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ISNUMBER(MATCH(G326,AUM!$C$6:$C$1451,0))</f>
        <v>1</v>
      </c>
      <c r="AF326" t="b">
        <f>ISNUMBER(MATCH(G326,AUM!$G$6:$G$240,0))</f>
        <v>0</v>
      </c>
    </row>
    <row r="327" spans="1:3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ISNUMBER(MATCH(G327,AUM!$C$6:$C$1451,0))</f>
        <v>1</v>
      </c>
      <c r="AF327" t="b">
        <f>ISNUMBER(MATCH(G327,AUM!$G$6:$G$240,0))</f>
        <v>0</v>
      </c>
    </row>
    <row r="328" spans="1:3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ISNUMBER(MATCH(G328,AUM!$C$6:$C$1451,0))</f>
        <v>1</v>
      </c>
      <c r="AF328" t="b">
        <f>ISNUMBER(MATCH(G328,AUM!$G$6:$G$240,0))</f>
        <v>1</v>
      </c>
    </row>
    <row r="329" spans="1:3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ISNUMBER(MATCH(G329,AUM!$C$6:$C$1451,0))</f>
        <v>0</v>
      </c>
      <c r="AF329" t="b">
        <f>ISNUMBER(MATCH(G329,AUM!$G$6:$G$240,0))</f>
        <v>0</v>
      </c>
    </row>
    <row r="330" spans="1:3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ISNUMBER(MATCH(G330,AUM!$C$6:$C$1451,0))</f>
        <v>0</v>
      </c>
      <c r="AF330" t="b">
        <f>ISNUMBER(MATCH(G330,AUM!$G$6:$G$240,0))</f>
        <v>0</v>
      </c>
    </row>
    <row r="331" spans="1:3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ISNUMBER(MATCH(G331,AUM!$C$6:$C$1451,0))</f>
        <v>1</v>
      </c>
      <c r="AF331" t="b">
        <f>ISNUMBER(MATCH(G331,AUM!$G$6:$G$240,0))</f>
        <v>0</v>
      </c>
    </row>
    <row r="332" spans="1:3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ISNUMBER(MATCH(G332,AUM!$C$6:$C$1451,0))</f>
        <v>1</v>
      </c>
      <c r="AF332" t="b">
        <f>ISNUMBER(MATCH(G332,AUM!$G$6:$G$240,0))</f>
        <v>0</v>
      </c>
    </row>
    <row r="333" spans="1:3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ISNUMBER(MATCH(G333,AUM!$C$6:$C$1451,0))</f>
        <v>1</v>
      </c>
      <c r="AF333" t="b">
        <f>ISNUMBER(MATCH(G333,AUM!$G$6:$G$240,0))</f>
        <v>1</v>
      </c>
    </row>
    <row r="334" spans="1:3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ISNUMBER(MATCH(G334,AUM!$C$6:$C$1451,0))</f>
        <v>1</v>
      </c>
      <c r="AF334" t="b">
        <f>ISNUMBER(MATCH(G334,AUM!$G$6:$G$240,0))</f>
        <v>0</v>
      </c>
    </row>
    <row r="335" spans="1:3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ISNUMBER(MATCH(G335,AUM!$C$6:$C$1451,0))</f>
        <v>1</v>
      </c>
      <c r="AF335" t="b">
        <f>ISNUMBER(MATCH(G335,AUM!$G$6:$G$240,0))</f>
        <v>0</v>
      </c>
    </row>
    <row r="336" spans="1:3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ISNUMBER(MATCH(G336,AUM!$C$6:$C$1451,0))</f>
        <v>1</v>
      </c>
      <c r="AF336" t="b">
        <f>ISNUMBER(MATCH(G336,AUM!$G$6:$G$240,0))</f>
        <v>1</v>
      </c>
    </row>
    <row r="337" spans="1:3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ISNUMBER(MATCH(G337,AUM!$C$6:$C$1451,0))</f>
        <v>0</v>
      </c>
      <c r="AF337" t="b">
        <f>ISNUMBER(MATCH(G337,AUM!$G$6:$G$240,0))</f>
        <v>0</v>
      </c>
    </row>
    <row r="338" spans="1:3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ISNUMBER(MATCH(G338,AUM!$C$6:$C$1451,0))</f>
        <v>0</v>
      </c>
      <c r="AF338" t="b">
        <f>ISNUMBER(MATCH(G338,AUM!$G$6:$G$240,0))</f>
        <v>0</v>
      </c>
    </row>
    <row r="339" spans="1:3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ISNUMBER(MATCH(G339,AUM!$C$6:$C$1451,0))</f>
        <v>1</v>
      </c>
      <c r="AF339" t="b">
        <f>ISNUMBER(MATCH(G339,AUM!$G$6:$G$240,0))</f>
        <v>0</v>
      </c>
    </row>
    <row r="340" spans="1:3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ISNUMBER(MATCH(G340,AUM!$C$6:$C$1451,0))</f>
        <v>1</v>
      </c>
      <c r="AF340" t="b">
        <f>ISNUMBER(MATCH(G340,AUM!$G$6:$G$240,0))</f>
        <v>0</v>
      </c>
    </row>
    <row r="341" spans="1:3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ISNUMBER(MATCH(G341,AUM!$C$6:$C$1451,0))</f>
        <v>1</v>
      </c>
      <c r="AF341" t="b">
        <f>ISNUMBER(MATCH(G341,AUM!$G$6:$G$240,0))</f>
        <v>0</v>
      </c>
    </row>
    <row r="342" spans="1:3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ISNUMBER(MATCH(G342,AUM!$C$6:$C$1451,0))</f>
        <v>0</v>
      </c>
      <c r="AF342" t="b">
        <f>ISNUMBER(MATCH(G342,AUM!$G$6:$G$240,0))</f>
        <v>0</v>
      </c>
    </row>
    <row r="343" spans="1:3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ISNUMBER(MATCH(G343,AUM!$C$6:$C$1451,0))</f>
        <v>0</v>
      </c>
      <c r="AF343" t="b">
        <f>ISNUMBER(MATCH(G343,AUM!$G$6:$G$240,0))</f>
        <v>0</v>
      </c>
    </row>
    <row r="344" spans="1:3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ISNUMBER(MATCH(G344,AUM!$C$6:$C$1451,0))</f>
        <v>0</v>
      </c>
      <c r="AF344" t="b">
        <f>ISNUMBER(MATCH(G344,AUM!$G$6:$G$240,0))</f>
        <v>0</v>
      </c>
    </row>
    <row r="345" spans="1:3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ISNUMBER(MATCH(G345,AUM!$C$6:$C$1451,0))</f>
        <v>0</v>
      </c>
      <c r="AF345" t="b">
        <f>ISNUMBER(MATCH(G345,AUM!$G$6:$G$240,0))</f>
        <v>0</v>
      </c>
    </row>
    <row r="346" spans="1:3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ISNUMBER(MATCH(G346,AUM!$C$6:$C$1451,0))</f>
        <v>0</v>
      </c>
      <c r="AF346" t="b">
        <f>ISNUMBER(MATCH(G346,AUM!$G$6:$G$240,0))</f>
        <v>0</v>
      </c>
    </row>
    <row r="347" spans="1:3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ISNUMBER(MATCH(G347,AUM!$C$6:$C$1451,0))</f>
        <v>1</v>
      </c>
      <c r="AF347" t="b">
        <f>ISNUMBER(MATCH(G347,AUM!$G$6:$G$240,0))</f>
        <v>0</v>
      </c>
    </row>
    <row r="348" spans="1:3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ISNUMBER(MATCH(G348,AUM!$C$6:$C$1451,0))</f>
        <v>1</v>
      </c>
      <c r="AF348" t="b">
        <f>ISNUMBER(MATCH(G348,AUM!$G$6:$G$240,0))</f>
        <v>0</v>
      </c>
    </row>
    <row r="349" spans="1:3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ISNUMBER(MATCH(G349,AUM!$C$6:$C$1451,0))</f>
        <v>1</v>
      </c>
      <c r="AF349" t="b">
        <f>ISNUMBER(MATCH(G349,AUM!$G$6:$G$240,0))</f>
        <v>1</v>
      </c>
    </row>
    <row r="350" spans="1:3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ISNUMBER(MATCH(G350,AUM!$C$6:$C$1451,0))</f>
        <v>1</v>
      </c>
      <c r="AF350" t="b">
        <f>ISNUMBER(MATCH(G350,AUM!$G$6:$G$240,0))</f>
        <v>0</v>
      </c>
    </row>
    <row r="351" spans="1:3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ISNUMBER(MATCH(G351,AUM!$C$6:$C$1451,0))</f>
        <v>1</v>
      </c>
      <c r="AF351" t="b">
        <f>ISNUMBER(MATCH(G351,AUM!$G$6:$G$240,0))</f>
        <v>0</v>
      </c>
    </row>
    <row r="352" spans="1:3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ISNUMBER(MATCH(G352,AUM!$C$6:$C$1451,0))</f>
        <v>1</v>
      </c>
      <c r="AF352" t="b">
        <f>ISNUMBER(MATCH(G352,AUM!$G$6:$G$240,0))</f>
        <v>0</v>
      </c>
    </row>
    <row r="353" spans="1:3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ISNUMBER(MATCH(G353,AUM!$C$6:$C$1451,0))</f>
        <v>1</v>
      </c>
      <c r="AF353" t="b">
        <f>ISNUMBER(MATCH(G353,AUM!$G$6:$G$240,0))</f>
        <v>1</v>
      </c>
    </row>
    <row r="354" spans="1:3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ISNUMBER(MATCH(G354,AUM!$C$6:$C$1451,0))</f>
        <v>0</v>
      </c>
      <c r="AF354" t="b">
        <f>ISNUMBER(MATCH(G354,AUM!$G$6:$G$240,0))</f>
        <v>0</v>
      </c>
    </row>
    <row r="355" spans="1:3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ISNUMBER(MATCH(G355,AUM!$C$6:$C$1451,0))</f>
        <v>0</v>
      </c>
      <c r="AF355" t="b">
        <f>ISNUMBER(MATCH(G355,AUM!$G$6:$G$240,0))</f>
        <v>0</v>
      </c>
    </row>
    <row r="356" spans="1:3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ISNUMBER(MATCH(G356,AUM!$C$6:$C$1451,0))</f>
        <v>0</v>
      </c>
      <c r="AF356" t="b">
        <f>ISNUMBER(MATCH(G356,AUM!$G$6:$G$240,0))</f>
        <v>0</v>
      </c>
    </row>
    <row r="357" spans="1:3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ISNUMBER(MATCH(G357,AUM!$C$6:$C$1451,0))</f>
        <v>0</v>
      </c>
      <c r="AF357" t="b">
        <f>ISNUMBER(MATCH(G357,AUM!$G$6:$G$240,0))</f>
        <v>0</v>
      </c>
    </row>
    <row r="358" spans="1:3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ISNUMBER(MATCH(G358,AUM!$C$6:$C$1451,0))</f>
        <v>0</v>
      </c>
      <c r="AF358" t="b">
        <f>ISNUMBER(MATCH(G358,AUM!$G$6:$G$240,0))</f>
        <v>0</v>
      </c>
    </row>
    <row r="359" spans="1:3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ISNUMBER(MATCH(G359,AUM!$C$6:$C$1451,0))</f>
        <v>0</v>
      </c>
      <c r="AF359" t="b">
        <f>ISNUMBER(MATCH(G359,AUM!$G$6:$G$240,0))</f>
        <v>0</v>
      </c>
    </row>
    <row r="360" spans="1:3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ISNUMBER(MATCH(G360,AUM!$C$6:$C$1451,0))</f>
        <v>0</v>
      </c>
      <c r="AF360" t="b">
        <f>ISNUMBER(MATCH(G360,AUM!$G$6:$G$240,0))</f>
        <v>0</v>
      </c>
    </row>
    <row r="361" spans="1:3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ISNUMBER(MATCH(G361,AUM!$C$6:$C$1451,0))</f>
        <v>0</v>
      </c>
      <c r="AF361" t="b">
        <f>ISNUMBER(MATCH(G361,AUM!$G$6:$G$240,0))</f>
        <v>0</v>
      </c>
    </row>
    <row r="362" spans="1:3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ISNUMBER(MATCH(G362,AUM!$C$6:$C$1451,0))</f>
        <v>1</v>
      </c>
      <c r="AF362" t="b">
        <f>ISNUMBER(MATCH(G362,AUM!$G$6:$G$240,0))</f>
        <v>0</v>
      </c>
    </row>
    <row r="363" spans="1:3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ISNUMBER(MATCH(G363,AUM!$C$6:$C$1451,0))</f>
        <v>1</v>
      </c>
      <c r="AF363" t="b">
        <f>ISNUMBER(MATCH(G363,AUM!$G$6:$G$240,0))</f>
        <v>0</v>
      </c>
    </row>
    <row r="364" spans="1:3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ISNUMBER(MATCH(G364,AUM!$C$6:$C$1451,0))</f>
        <v>1</v>
      </c>
      <c r="AF364" t="b">
        <f>ISNUMBER(MATCH(G364,AUM!$G$6:$G$240,0))</f>
        <v>0</v>
      </c>
    </row>
    <row r="365" spans="1:3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ISNUMBER(MATCH(G365,AUM!$C$6:$C$1451,0))</f>
        <v>1</v>
      </c>
      <c r="AF365" t="b">
        <f>ISNUMBER(MATCH(G365,AUM!$G$6:$G$240,0))</f>
        <v>0</v>
      </c>
    </row>
    <row r="366" spans="1:3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ISNUMBER(MATCH(G366,AUM!$C$6:$C$1451,0))</f>
        <v>1</v>
      </c>
      <c r="AF366" t="b">
        <f>ISNUMBER(MATCH(G366,AUM!$G$6:$G$240,0))</f>
        <v>0</v>
      </c>
    </row>
    <row r="367" spans="1:3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ISNUMBER(MATCH(G367,AUM!$C$6:$C$1451,0))</f>
        <v>1</v>
      </c>
      <c r="AF367" t="b">
        <f>ISNUMBER(MATCH(G367,AUM!$G$6:$G$240,0))</f>
        <v>0</v>
      </c>
    </row>
    <row r="368" spans="1:3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ISNUMBER(MATCH(G368,AUM!$C$6:$C$1451,0))</f>
        <v>1</v>
      </c>
      <c r="AF368" t="b">
        <f>ISNUMBER(MATCH(G368,AUM!$G$6:$G$240,0))</f>
        <v>0</v>
      </c>
    </row>
    <row r="369" spans="1:3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ISNUMBER(MATCH(G369,AUM!$C$6:$C$1451,0))</f>
        <v>0</v>
      </c>
      <c r="AF369" t="b">
        <f>ISNUMBER(MATCH(G369,AUM!$G$6:$G$240,0))</f>
        <v>0</v>
      </c>
    </row>
    <row r="370" spans="1:3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ISNUMBER(MATCH(G370,AUM!$C$6:$C$1451,0))</f>
        <v>0</v>
      </c>
      <c r="AF370" t="b">
        <f>ISNUMBER(MATCH(G370,AUM!$G$6:$G$240,0))</f>
        <v>0</v>
      </c>
    </row>
    <row r="371" spans="1:3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ISNUMBER(MATCH(G371,AUM!$C$6:$C$1451,0))</f>
        <v>1</v>
      </c>
      <c r="AF371" t="b">
        <f>ISNUMBER(MATCH(G371,AUM!$G$6:$G$240,0))</f>
        <v>0</v>
      </c>
    </row>
    <row r="372" spans="1:3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ISNUMBER(MATCH(G372,AUM!$C$6:$C$1451,0))</f>
        <v>1</v>
      </c>
      <c r="AF372" t="b">
        <f>ISNUMBER(MATCH(G372,AUM!$G$6:$G$240,0))</f>
        <v>0</v>
      </c>
    </row>
    <row r="373" spans="1:3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ISNUMBER(MATCH(G373,AUM!$C$6:$C$1451,0))</f>
        <v>1</v>
      </c>
      <c r="AF373" t="b">
        <f>ISNUMBER(MATCH(G373,AUM!$G$6:$G$240,0))</f>
        <v>0</v>
      </c>
    </row>
    <row r="374" spans="1:3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ISNUMBER(MATCH(G374,AUM!$C$6:$C$1451,0))</f>
        <v>0</v>
      </c>
      <c r="AF374" t="b">
        <f>ISNUMBER(MATCH(G374,AUM!$G$6:$G$240,0))</f>
        <v>0</v>
      </c>
    </row>
    <row r="375" spans="1:3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ISNUMBER(MATCH(G375,AUM!$C$6:$C$1451,0))</f>
        <v>1</v>
      </c>
      <c r="AF375" t="b">
        <f>ISNUMBER(MATCH(G375,AUM!$G$6:$G$240,0))</f>
        <v>0</v>
      </c>
    </row>
    <row r="376" spans="1:3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ISNUMBER(MATCH(G376,AUM!$C$6:$C$1451,0))</f>
        <v>1</v>
      </c>
      <c r="AF376" t="b">
        <f>ISNUMBER(MATCH(G376,AUM!$G$6:$G$240,0))</f>
        <v>0</v>
      </c>
    </row>
    <row r="377" spans="1:3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ISNUMBER(MATCH(G377,AUM!$C$6:$C$1451,0))</f>
        <v>1</v>
      </c>
      <c r="AF377" t="b">
        <f>ISNUMBER(MATCH(G377,AUM!$G$6:$G$240,0))</f>
        <v>1</v>
      </c>
    </row>
    <row r="378" spans="1:3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ISNUMBER(MATCH(G378,AUM!$C$6:$C$1451,0))</f>
        <v>1</v>
      </c>
      <c r="AF378" t="b">
        <f>ISNUMBER(MATCH(G378,AUM!$G$6:$G$240,0))</f>
        <v>0</v>
      </c>
    </row>
    <row r="379" spans="1:3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ISNUMBER(MATCH(G379,AUM!$C$6:$C$1451,0))</f>
        <v>0</v>
      </c>
      <c r="AF379" t="b">
        <f>ISNUMBER(MATCH(G379,AUM!$G$6:$G$240,0))</f>
        <v>0</v>
      </c>
    </row>
    <row r="380" spans="1:3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ISNUMBER(MATCH(G380,AUM!$C$6:$C$1451,0))</f>
        <v>0</v>
      </c>
      <c r="AF380" t="b">
        <f>ISNUMBER(MATCH(G380,AUM!$G$6:$G$240,0))</f>
        <v>0</v>
      </c>
    </row>
    <row r="381" spans="1:3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ISNUMBER(MATCH(G381,AUM!$C$6:$C$1451,0))</f>
        <v>0</v>
      </c>
      <c r="AF381" t="b">
        <f>ISNUMBER(MATCH(G381,AUM!$G$6:$G$240,0))</f>
        <v>0</v>
      </c>
    </row>
    <row r="382" spans="1:3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ISNUMBER(MATCH(G382,AUM!$C$6:$C$1451,0))</f>
        <v>1</v>
      </c>
      <c r="AF382" t="b">
        <f>ISNUMBER(MATCH(G382,AUM!$G$6:$G$240,0))</f>
        <v>0</v>
      </c>
    </row>
    <row r="383" spans="1:3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ISNUMBER(MATCH(G383,AUM!$C$6:$C$1451,0))</f>
        <v>1</v>
      </c>
      <c r="AF383" t="b">
        <f>ISNUMBER(MATCH(G383,AUM!$G$6:$G$240,0))</f>
        <v>0</v>
      </c>
    </row>
    <row r="384" spans="1:3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ISNUMBER(MATCH(G384,AUM!$C$6:$C$1451,0))</f>
        <v>1</v>
      </c>
      <c r="AF384" t="b">
        <f>ISNUMBER(MATCH(G384,AUM!$G$6:$G$240,0))</f>
        <v>1</v>
      </c>
    </row>
    <row r="385" spans="1:3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ISNUMBER(MATCH(G385,AUM!$C$6:$C$1451,0))</f>
        <v>1</v>
      </c>
      <c r="AF385" t="b">
        <f>ISNUMBER(MATCH(G385,AUM!$G$6:$G$240,0))</f>
        <v>0</v>
      </c>
    </row>
    <row r="386" spans="1:3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ISNUMBER(MATCH(G386,AUM!$C$6:$C$1451,0))</f>
        <v>1</v>
      </c>
      <c r="AF386" t="b">
        <f>ISNUMBER(MATCH(G386,AUM!$G$6:$G$240,0))</f>
        <v>0</v>
      </c>
    </row>
    <row r="387" spans="1:3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ISNUMBER(MATCH(G387,AUM!$C$6:$C$1451,0))</f>
        <v>1</v>
      </c>
      <c r="AF387" t="b">
        <f>ISNUMBER(MATCH(G387,AUM!$G$6:$G$240,0))</f>
        <v>0</v>
      </c>
    </row>
    <row r="388" spans="1:3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ISNUMBER(MATCH(G388,AUM!$C$6:$C$1451,0))</f>
        <v>1</v>
      </c>
      <c r="AF388" t="b">
        <f>ISNUMBER(MATCH(G388,AUM!$G$6:$G$240,0))</f>
        <v>1</v>
      </c>
    </row>
    <row r="389" spans="1:3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ISNUMBER(MATCH(G389,AUM!$C$6:$C$1451,0))</f>
        <v>0</v>
      </c>
      <c r="AF389" t="b">
        <f>ISNUMBER(MATCH(G389,AUM!$G$6:$G$240,0))</f>
        <v>0</v>
      </c>
    </row>
    <row r="390" spans="1:3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ISNUMBER(MATCH(G390,AUM!$C$6:$C$1451,0))</f>
        <v>1</v>
      </c>
      <c r="AF390" t="b">
        <f>ISNUMBER(MATCH(G390,AUM!$G$6:$G$240,0))</f>
        <v>0</v>
      </c>
    </row>
    <row r="391" spans="1:3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ISNUMBER(MATCH(G391,AUM!$C$6:$C$1451,0))</f>
        <v>1</v>
      </c>
      <c r="AF391" t="b">
        <f>ISNUMBER(MATCH(G391,AUM!$G$6:$G$240,0))</f>
        <v>0</v>
      </c>
    </row>
    <row r="392" spans="1:3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ISNUMBER(MATCH(G392,AUM!$C$6:$C$1451,0))</f>
        <v>0</v>
      </c>
      <c r="AF392" t="b">
        <f>ISNUMBER(MATCH(G392,AUM!$G$6:$G$240,0))</f>
        <v>0</v>
      </c>
    </row>
    <row r="393" spans="1:3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ISNUMBER(MATCH(G393,AUM!$C$6:$C$1451,0))</f>
        <v>1</v>
      </c>
      <c r="AF393" t="b">
        <f>ISNUMBER(MATCH(G393,AUM!$G$6:$G$240,0))</f>
        <v>0</v>
      </c>
    </row>
    <row r="394" spans="1:3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ISNUMBER(MATCH(G394,AUM!$C$6:$C$1451,0))</f>
        <v>1</v>
      </c>
      <c r="AF394" t="b">
        <f>ISNUMBER(MATCH(G394,AUM!$G$6:$G$240,0))</f>
        <v>0</v>
      </c>
    </row>
    <row r="395" spans="1:3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ISNUMBER(MATCH(G395,AUM!$C$6:$C$1451,0))</f>
        <v>1</v>
      </c>
      <c r="AF395" t="b">
        <f>ISNUMBER(MATCH(G395,AUM!$G$6:$G$240,0))</f>
        <v>0</v>
      </c>
    </row>
    <row r="396" spans="1:3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ISNUMBER(MATCH(G396,AUM!$C$6:$C$1451,0))</f>
        <v>1</v>
      </c>
      <c r="AF396" t="b">
        <f>ISNUMBER(MATCH(G396,AUM!$G$6:$G$240,0))</f>
        <v>0</v>
      </c>
    </row>
    <row r="397" spans="1:3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ISNUMBER(MATCH(G397,AUM!$C$6:$C$1451,0))</f>
        <v>1</v>
      </c>
      <c r="AF397" t="b">
        <f>ISNUMBER(MATCH(G397,AUM!$G$6:$G$240,0))</f>
        <v>0</v>
      </c>
    </row>
    <row r="398" spans="1:3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ISNUMBER(MATCH(G398,AUM!$C$6:$C$1451,0))</f>
        <v>1</v>
      </c>
      <c r="AF398" t="b">
        <f>ISNUMBER(MATCH(G398,AUM!$G$6:$G$240,0))</f>
        <v>0</v>
      </c>
    </row>
    <row r="399" spans="1:3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ISNUMBER(MATCH(G399,AUM!$C$6:$C$1451,0))</f>
        <v>1</v>
      </c>
      <c r="AF399" t="b">
        <f>ISNUMBER(MATCH(G399,AUM!$G$6:$G$240,0))</f>
        <v>1</v>
      </c>
    </row>
    <row r="400" spans="1:3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ISNUMBER(MATCH(G400,AUM!$C$6:$C$1451,0))</f>
        <v>1</v>
      </c>
      <c r="AF400" t="b">
        <f>ISNUMBER(MATCH(G400,AUM!$G$6:$G$240,0))</f>
        <v>0</v>
      </c>
    </row>
    <row r="401" spans="1:3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ISNUMBER(MATCH(G401,AUM!$C$6:$C$1451,0))</f>
        <v>1</v>
      </c>
      <c r="AF401" t="b">
        <f>ISNUMBER(MATCH(G401,AUM!$G$6:$G$240,0))</f>
        <v>0</v>
      </c>
    </row>
    <row r="402" spans="1:3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ISNUMBER(MATCH(G402,AUM!$C$6:$C$1451,0))</f>
        <v>1</v>
      </c>
      <c r="AF402" t="b">
        <f>ISNUMBER(MATCH(G402,AUM!$G$6:$G$240,0))</f>
        <v>0</v>
      </c>
    </row>
    <row r="403" spans="1:3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ISNUMBER(MATCH(G403,AUM!$C$6:$C$1451,0))</f>
        <v>1</v>
      </c>
      <c r="AF403" t="b">
        <f>ISNUMBER(MATCH(G403,AUM!$G$6:$G$240,0))</f>
        <v>0</v>
      </c>
    </row>
    <row r="404" spans="1:3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ISNUMBER(MATCH(G404,AUM!$C$6:$C$1451,0))</f>
        <v>1</v>
      </c>
      <c r="AF404" t="b">
        <f>ISNUMBER(MATCH(G404,AUM!$G$6:$G$240,0))</f>
        <v>0</v>
      </c>
    </row>
    <row r="405" spans="1:3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ISNUMBER(MATCH(G405,AUM!$C$6:$C$1451,0))</f>
        <v>1</v>
      </c>
      <c r="AF405" t="b">
        <f>ISNUMBER(MATCH(G405,AUM!$G$6:$G$240,0))</f>
        <v>0</v>
      </c>
    </row>
    <row r="406" spans="1:3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ISNUMBER(MATCH(G406,AUM!$C$6:$C$1451,0))</f>
        <v>1</v>
      </c>
      <c r="AF406" t="b">
        <f>ISNUMBER(MATCH(G406,AUM!$G$6:$G$240,0))</f>
        <v>0</v>
      </c>
    </row>
    <row r="407" spans="1:3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ISNUMBER(MATCH(G407,AUM!$C$6:$C$1451,0))</f>
        <v>1</v>
      </c>
      <c r="AF407" t="b">
        <f>ISNUMBER(MATCH(G407,AUM!$G$6:$G$240,0))</f>
        <v>0</v>
      </c>
    </row>
    <row r="408" spans="1:3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ISNUMBER(MATCH(G408,AUM!$C$6:$C$1451,0))</f>
        <v>1</v>
      </c>
      <c r="AF408" t="b">
        <f>ISNUMBER(MATCH(G408,AUM!$G$6:$G$240,0))</f>
        <v>0</v>
      </c>
    </row>
    <row r="409" spans="1:3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ISNUMBER(MATCH(G409,AUM!$C$6:$C$1451,0))</f>
        <v>1</v>
      </c>
      <c r="AF409" t="b">
        <f>ISNUMBER(MATCH(G409,AUM!$G$6:$G$240,0))</f>
        <v>0</v>
      </c>
    </row>
    <row r="410" spans="1:3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ISNUMBER(MATCH(G410,AUM!$C$6:$C$1451,0))</f>
        <v>1</v>
      </c>
      <c r="AF410" t="b">
        <f>ISNUMBER(MATCH(G410,AUM!$G$6:$G$240,0))</f>
        <v>0</v>
      </c>
    </row>
    <row r="411" spans="1:3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ISNUMBER(MATCH(G411,AUM!$C$6:$C$1451,0))</f>
        <v>1</v>
      </c>
      <c r="AF411" t="b">
        <f>ISNUMBER(MATCH(G411,AUM!$G$6:$G$240,0))</f>
        <v>0</v>
      </c>
    </row>
    <row r="412" spans="1:3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ISNUMBER(MATCH(G412,AUM!$C$6:$C$1451,0))</f>
        <v>0</v>
      </c>
      <c r="AF412" t="b">
        <f>ISNUMBER(MATCH(G412,AUM!$G$6:$G$240,0))</f>
        <v>0</v>
      </c>
    </row>
    <row r="413" spans="1:3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ISNUMBER(MATCH(G413,AUM!$C$6:$C$1451,0))</f>
        <v>0</v>
      </c>
      <c r="AF413" t="b">
        <f>ISNUMBER(MATCH(G413,AUM!$G$6:$G$240,0))</f>
        <v>0</v>
      </c>
    </row>
    <row r="414" spans="1:3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ISNUMBER(MATCH(G414,AUM!$C$6:$C$1451,0))</f>
        <v>1</v>
      </c>
      <c r="AF414" t="b">
        <f>ISNUMBER(MATCH(G414,AUM!$G$6:$G$240,0))</f>
        <v>0</v>
      </c>
    </row>
    <row r="415" spans="1:3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ISNUMBER(MATCH(G415,AUM!$C$6:$C$1451,0))</f>
        <v>0</v>
      </c>
      <c r="AF415" t="b">
        <f>ISNUMBER(MATCH(G415,AUM!$G$6:$G$240,0))</f>
        <v>0</v>
      </c>
    </row>
    <row r="416" spans="1:3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ISNUMBER(MATCH(G416,AUM!$C$6:$C$1451,0))</f>
        <v>0</v>
      </c>
      <c r="AF416" t="b">
        <f>ISNUMBER(MATCH(G416,AUM!$G$6:$G$240,0))</f>
        <v>0</v>
      </c>
    </row>
    <row r="417" spans="1:3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ISNUMBER(MATCH(G417,AUM!$C$6:$C$1451,0))</f>
        <v>0</v>
      </c>
      <c r="AF417" t="b">
        <f>ISNUMBER(MATCH(G417,AUM!$G$6:$G$240,0))</f>
        <v>0</v>
      </c>
    </row>
    <row r="418" spans="1:3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ISNUMBER(MATCH(G418,AUM!$C$6:$C$1451,0))</f>
        <v>0</v>
      </c>
      <c r="AF418" t="b">
        <f>ISNUMBER(MATCH(G418,AUM!$G$6:$G$240,0))</f>
        <v>0</v>
      </c>
    </row>
    <row r="419" spans="1:3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ISNUMBER(MATCH(G419,AUM!$C$6:$C$1451,0))</f>
        <v>0</v>
      </c>
      <c r="AF419" t="b">
        <f>ISNUMBER(MATCH(G419,AUM!$G$6:$G$240,0))</f>
        <v>0</v>
      </c>
    </row>
    <row r="420" spans="1:3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ISNUMBER(MATCH(G420,AUM!$C$6:$C$1451,0))</f>
        <v>0</v>
      </c>
      <c r="AF420" t="b">
        <f>ISNUMBER(MATCH(G420,AUM!$G$6:$G$240,0))</f>
        <v>0</v>
      </c>
    </row>
    <row r="421" spans="1:3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ISNUMBER(MATCH(G421,AUM!$C$6:$C$1451,0))</f>
        <v>0</v>
      </c>
      <c r="AF421" t="b">
        <f>ISNUMBER(MATCH(G421,AUM!$G$6:$G$240,0))</f>
        <v>0</v>
      </c>
    </row>
    <row r="422" spans="1:3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ISNUMBER(MATCH(G422,AUM!$C$6:$C$1451,0))</f>
        <v>0</v>
      </c>
      <c r="AF422" t="b">
        <f>ISNUMBER(MATCH(G422,AUM!$G$6:$G$240,0))</f>
        <v>0</v>
      </c>
    </row>
    <row r="423" spans="1:3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ISNUMBER(MATCH(G423,AUM!$C$6:$C$1451,0))</f>
        <v>0</v>
      </c>
      <c r="AF423" t="b">
        <f>ISNUMBER(MATCH(G423,AUM!$G$6:$G$240,0))</f>
        <v>0</v>
      </c>
    </row>
    <row r="424" spans="1:3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ISNUMBER(MATCH(G424,AUM!$C$6:$C$1451,0))</f>
        <v>0</v>
      </c>
      <c r="AF424" t="b">
        <f>ISNUMBER(MATCH(G424,AUM!$G$6:$G$240,0))</f>
        <v>0</v>
      </c>
    </row>
    <row r="425" spans="1:3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ISNUMBER(MATCH(G425,AUM!$C$6:$C$1451,0))</f>
        <v>0</v>
      </c>
      <c r="AF425" t="b">
        <f>ISNUMBER(MATCH(G425,AUM!$G$6:$G$240,0))</f>
        <v>0</v>
      </c>
    </row>
    <row r="426" spans="1:3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ISNUMBER(MATCH(G426,AUM!$C$6:$C$1451,0))</f>
        <v>0</v>
      </c>
      <c r="AF426" t="b">
        <f>ISNUMBER(MATCH(G426,AUM!$G$6:$G$240,0))</f>
        <v>0</v>
      </c>
    </row>
    <row r="427" spans="1:3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ISNUMBER(MATCH(G427,AUM!$C$6:$C$1451,0))</f>
        <v>0</v>
      </c>
      <c r="AF427" t="b">
        <f>ISNUMBER(MATCH(G427,AUM!$G$6:$G$240,0))</f>
        <v>0</v>
      </c>
    </row>
    <row r="428" spans="1:3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ISNUMBER(MATCH(G428,AUM!$C$6:$C$1451,0))</f>
        <v>0</v>
      </c>
      <c r="AF428" t="b">
        <f>ISNUMBER(MATCH(G428,AUM!$G$6:$G$240,0))</f>
        <v>0</v>
      </c>
    </row>
    <row r="429" spans="1:3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ISNUMBER(MATCH(G429,AUM!$C$6:$C$1451,0))</f>
        <v>0</v>
      </c>
      <c r="AF429" t="b">
        <f>ISNUMBER(MATCH(G429,AUM!$G$6:$G$240,0))</f>
        <v>0</v>
      </c>
    </row>
    <row r="430" spans="1:3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ISNUMBER(MATCH(G430,AUM!$C$6:$C$1451,0))</f>
        <v>0</v>
      </c>
      <c r="AF430" t="b">
        <f>ISNUMBER(MATCH(G430,AUM!$G$6:$G$240,0))</f>
        <v>0</v>
      </c>
    </row>
    <row r="431" spans="1:3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ISNUMBER(MATCH(G431,AUM!$C$6:$C$1451,0))</f>
        <v>0</v>
      </c>
      <c r="AF431" t="b">
        <f>ISNUMBER(MATCH(G431,AUM!$G$6:$G$240,0))</f>
        <v>0</v>
      </c>
    </row>
    <row r="432" spans="1:3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ISNUMBER(MATCH(G432,AUM!$C$6:$C$1451,0))</f>
        <v>0</v>
      </c>
      <c r="AF432" t="b">
        <f>ISNUMBER(MATCH(G432,AUM!$G$6:$G$240,0))</f>
        <v>0</v>
      </c>
    </row>
    <row r="433" spans="1:3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ISNUMBER(MATCH(G433,AUM!$C$6:$C$1451,0))</f>
        <v>0</v>
      </c>
      <c r="AF433" t="b">
        <f>ISNUMBER(MATCH(G433,AUM!$G$6:$G$240,0))</f>
        <v>0</v>
      </c>
    </row>
    <row r="434" spans="1:3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ISNUMBER(MATCH(G434,AUM!$C$6:$C$1451,0))</f>
        <v>0</v>
      </c>
      <c r="AF434" t="b">
        <f>ISNUMBER(MATCH(G434,AUM!$G$6:$G$240,0))</f>
        <v>0</v>
      </c>
    </row>
    <row r="435" spans="1:3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ISNUMBER(MATCH(G435,AUM!$C$6:$C$1451,0))</f>
        <v>0</v>
      </c>
      <c r="AF435" t="b">
        <f>ISNUMBER(MATCH(G435,AUM!$G$6:$G$240,0))</f>
        <v>0</v>
      </c>
    </row>
    <row r="436" spans="1:3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ISNUMBER(MATCH(G436,AUM!$C$6:$C$1451,0))</f>
        <v>0</v>
      </c>
      <c r="AF436" t="b">
        <f>ISNUMBER(MATCH(G436,AUM!$G$6:$G$240,0))</f>
        <v>0</v>
      </c>
    </row>
    <row r="437" spans="1:3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ISNUMBER(MATCH(G437,AUM!$C$6:$C$1451,0))</f>
        <v>0</v>
      </c>
      <c r="AF437" t="b">
        <f>ISNUMBER(MATCH(G437,AUM!$G$6:$G$240,0))</f>
        <v>0</v>
      </c>
    </row>
    <row r="438" spans="1:3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ISNUMBER(MATCH(G438,AUM!$C$6:$C$1451,0))</f>
        <v>0</v>
      </c>
      <c r="AF438" t="b">
        <f>ISNUMBER(MATCH(G438,AUM!$G$6:$G$240,0))</f>
        <v>0</v>
      </c>
    </row>
    <row r="439" spans="1:3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ISNUMBER(MATCH(G439,AUM!$C$6:$C$1451,0))</f>
        <v>0</v>
      </c>
      <c r="AF439" t="b">
        <f>ISNUMBER(MATCH(G439,AUM!$G$6:$G$240,0))</f>
        <v>0</v>
      </c>
    </row>
    <row r="440" spans="1:3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ISNUMBER(MATCH(G440,AUM!$C$6:$C$1451,0))</f>
        <v>0</v>
      </c>
      <c r="AF440" t="b">
        <f>ISNUMBER(MATCH(G440,AUM!$G$6:$G$240,0))</f>
        <v>0</v>
      </c>
    </row>
    <row r="441" spans="1:3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ISNUMBER(MATCH(G441,AUM!$C$6:$C$1451,0))</f>
        <v>0</v>
      </c>
      <c r="AF441" t="b">
        <f>ISNUMBER(MATCH(G441,AUM!$G$6:$G$240,0))</f>
        <v>0</v>
      </c>
    </row>
    <row r="442" spans="1:3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ISNUMBER(MATCH(G442,AUM!$C$6:$C$1451,0))</f>
        <v>0</v>
      </c>
      <c r="AF442" t="b">
        <f>ISNUMBER(MATCH(G442,AUM!$G$6:$G$240,0))</f>
        <v>0</v>
      </c>
    </row>
    <row r="443" spans="1:3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ISNUMBER(MATCH(G443,AUM!$C$6:$C$1451,0))</f>
        <v>0</v>
      </c>
      <c r="AF443" t="b">
        <f>ISNUMBER(MATCH(G443,AUM!$G$6:$G$240,0))</f>
        <v>0</v>
      </c>
    </row>
    <row r="444" spans="1:3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ISNUMBER(MATCH(G444,AUM!$C$6:$C$1451,0))</f>
        <v>0</v>
      </c>
      <c r="AF444" t="b">
        <f>ISNUMBER(MATCH(G444,AUM!$G$6:$G$240,0))</f>
        <v>0</v>
      </c>
    </row>
    <row r="445" spans="1:3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ISNUMBER(MATCH(G445,AUM!$C$6:$C$1451,0))</f>
        <v>0</v>
      </c>
      <c r="AF445" t="b">
        <f>ISNUMBER(MATCH(G445,AUM!$G$6:$G$240,0))</f>
        <v>0</v>
      </c>
    </row>
    <row r="446" spans="1:3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ISNUMBER(MATCH(G446,AUM!$C$6:$C$1451,0))</f>
        <v>0</v>
      </c>
      <c r="AF446" t="b">
        <f>ISNUMBER(MATCH(G446,AUM!$G$6:$G$240,0))</f>
        <v>0</v>
      </c>
    </row>
    <row r="447" spans="1:3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ISNUMBER(MATCH(G447,AUM!$C$6:$C$1451,0))</f>
        <v>0</v>
      </c>
      <c r="AF447" t="b">
        <f>ISNUMBER(MATCH(G447,AUM!$G$6:$G$240,0))</f>
        <v>0</v>
      </c>
    </row>
    <row r="448" spans="1:3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ISNUMBER(MATCH(G448,AUM!$C$6:$C$1451,0))</f>
        <v>0</v>
      </c>
      <c r="AF448" t="b">
        <f>ISNUMBER(MATCH(G448,AUM!$G$6:$G$240,0))</f>
        <v>0</v>
      </c>
    </row>
    <row r="449" spans="1:3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ISNUMBER(MATCH(G449,AUM!$C$6:$C$1451,0))</f>
        <v>0</v>
      </c>
      <c r="AF449" t="b">
        <f>ISNUMBER(MATCH(G449,AUM!$G$6:$G$240,0))</f>
        <v>0</v>
      </c>
    </row>
    <row r="450" spans="1:3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ISNUMBER(MATCH(G450,AUM!$C$6:$C$1451,0))</f>
        <v>0</v>
      </c>
      <c r="AF450" t="b">
        <f>ISNUMBER(MATCH(G450,AUM!$G$6:$G$240,0))</f>
        <v>0</v>
      </c>
    </row>
    <row r="451" spans="1:3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ISNUMBER(MATCH(G451,AUM!$C$6:$C$1451,0))</f>
        <v>1</v>
      </c>
      <c r="AF451" t="b">
        <f>ISNUMBER(MATCH(G451,AUM!$G$6:$G$240,0))</f>
        <v>0</v>
      </c>
    </row>
    <row r="452" spans="1:3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ISNUMBER(MATCH(G452,AUM!$C$6:$C$1451,0))</f>
        <v>1</v>
      </c>
      <c r="AF452" t="b">
        <f>ISNUMBER(MATCH(G452,AUM!$G$6:$G$240,0))</f>
        <v>0</v>
      </c>
    </row>
    <row r="453" spans="1:3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ISNUMBER(MATCH(G453,AUM!$C$6:$C$1451,0))</f>
        <v>1</v>
      </c>
      <c r="AF453" t="b">
        <f>ISNUMBER(MATCH(G453,AUM!$G$6:$G$240,0))</f>
        <v>0</v>
      </c>
    </row>
    <row r="454" spans="1:3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ISNUMBER(MATCH(G454,AUM!$C$6:$C$1451,0))</f>
        <v>0</v>
      </c>
      <c r="AF454" t="b">
        <f>ISNUMBER(MATCH(G454,AUM!$G$6:$G$240,0))</f>
        <v>0</v>
      </c>
    </row>
    <row r="455" spans="1:3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ISNUMBER(MATCH(G455,AUM!$C$6:$C$1451,0))</f>
        <v>0</v>
      </c>
      <c r="AF455" t="b">
        <f>ISNUMBER(MATCH(G455,AUM!$G$6:$G$240,0))</f>
        <v>0</v>
      </c>
    </row>
    <row r="456" spans="1:3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ISNUMBER(MATCH(G456,AUM!$C$6:$C$1451,0))</f>
        <v>0</v>
      </c>
      <c r="AF456" t="b">
        <f>ISNUMBER(MATCH(G456,AUM!$G$6:$G$240,0))</f>
        <v>0</v>
      </c>
    </row>
    <row r="457" spans="1:3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ISNUMBER(MATCH(G457,AUM!$C$6:$C$1451,0))</f>
        <v>1</v>
      </c>
      <c r="AF457" t="b">
        <f>ISNUMBER(MATCH(G457,AUM!$G$6:$G$240,0))</f>
        <v>0</v>
      </c>
    </row>
    <row r="458" spans="1:3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ISNUMBER(MATCH(G458,AUM!$C$6:$C$1451,0))</f>
        <v>1</v>
      </c>
      <c r="AF458" t="b">
        <f>ISNUMBER(MATCH(G458,AUM!$G$6:$G$240,0))</f>
        <v>0</v>
      </c>
    </row>
    <row r="459" spans="1:3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ISNUMBER(MATCH(G459,AUM!$C$6:$C$1451,0))</f>
        <v>1</v>
      </c>
      <c r="AF459" t="b">
        <f>ISNUMBER(MATCH(G459,AUM!$G$6:$G$240,0))</f>
        <v>0</v>
      </c>
    </row>
    <row r="460" spans="1:3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ISNUMBER(MATCH(G460,AUM!$C$6:$C$1451,0))</f>
        <v>0</v>
      </c>
      <c r="AF460" t="b">
        <f>ISNUMBER(MATCH(G460,AUM!$G$6:$G$240,0))</f>
        <v>0</v>
      </c>
    </row>
    <row r="461" spans="1:3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ISNUMBER(MATCH(G461,AUM!$C$6:$C$1451,0))</f>
        <v>0</v>
      </c>
      <c r="AF461" t="b">
        <f>ISNUMBER(MATCH(G461,AUM!$G$6:$G$240,0))</f>
        <v>0</v>
      </c>
    </row>
    <row r="462" spans="1:3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ISNUMBER(MATCH(G462,AUM!$C$6:$C$1451,0))</f>
        <v>0</v>
      </c>
      <c r="AF462" t="b">
        <f>ISNUMBER(MATCH(G462,AUM!$G$6:$G$240,0))</f>
        <v>0</v>
      </c>
    </row>
    <row r="463" spans="1:3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ISNUMBER(MATCH(G463,AUM!$C$6:$C$1451,0))</f>
        <v>1</v>
      </c>
      <c r="AF463" t="b">
        <f>ISNUMBER(MATCH(G463,AUM!$G$6:$G$240,0))</f>
        <v>0</v>
      </c>
    </row>
    <row r="464" spans="1:3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ISNUMBER(MATCH(G464,AUM!$C$6:$C$1451,0))</f>
        <v>1</v>
      </c>
      <c r="AF464" t="b">
        <f>ISNUMBER(MATCH(G464,AUM!$G$6:$G$240,0))</f>
        <v>0</v>
      </c>
    </row>
    <row r="465" spans="1:3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ISNUMBER(MATCH(G465,AUM!$C$6:$C$1451,0))</f>
        <v>1</v>
      </c>
      <c r="AF465" t="b">
        <f>ISNUMBER(MATCH(G465,AUM!$G$6:$G$240,0))</f>
        <v>0</v>
      </c>
    </row>
    <row r="466" spans="1:3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ISNUMBER(MATCH(G466,AUM!$C$6:$C$1451,0))</f>
        <v>1</v>
      </c>
      <c r="AF466" t="b">
        <f>ISNUMBER(MATCH(G466,AUM!$G$6:$G$240,0))</f>
        <v>0</v>
      </c>
    </row>
    <row r="467" spans="1:3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ISNUMBER(MATCH(G467,AUM!$C$6:$C$1451,0))</f>
        <v>1</v>
      </c>
      <c r="AF467" t="b">
        <f>ISNUMBER(MATCH(G467,AUM!$G$6:$G$240,0))</f>
        <v>0</v>
      </c>
    </row>
    <row r="468" spans="1:3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ISNUMBER(MATCH(G468,AUM!$C$6:$C$1451,0))</f>
        <v>1</v>
      </c>
      <c r="AF468" t="b">
        <f>ISNUMBER(MATCH(G468,AUM!$G$6:$G$240,0))</f>
        <v>0</v>
      </c>
    </row>
    <row r="469" spans="1:3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ISNUMBER(MATCH(G469,AUM!$C$6:$C$1451,0))</f>
        <v>0</v>
      </c>
      <c r="AF469" t="b">
        <f>ISNUMBER(MATCH(G469,AUM!$G$6:$G$240,0))</f>
        <v>0</v>
      </c>
    </row>
    <row r="470" spans="1:3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ISNUMBER(MATCH(G470,AUM!$C$6:$C$1451,0))</f>
        <v>0</v>
      </c>
      <c r="AF470" t="b">
        <f>ISNUMBER(MATCH(G470,AUM!$G$6:$G$240,0))</f>
        <v>0</v>
      </c>
    </row>
    <row r="471" spans="1:3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ISNUMBER(MATCH(G471,AUM!$C$6:$C$1451,0))</f>
        <v>0</v>
      </c>
      <c r="AF471" t="b">
        <f>ISNUMBER(MATCH(G471,AUM!$G$6:$G$240,0))</f>
        <v>0</v>
      </c>
    </row>
    <row r="472" spans="1:3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ISNUMBER(MATCH(G472,AUM!$C$6:$C$1451,0))</f>
        <v>0</v>
      </c>
      <c r="AF472" t="b">
        <f>ISNUMBER(MATCH(G472,AUM!$G$6:$G$240,0))</f>
        <v>0</v>
      </c>
    </row>
    <row r="473" spans="1:3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ISNUMBER(MATCH(G473,AUM!$C$6:$C$1451,0))</f>
        <v>0</v>
      </c>
      <c r="AF473" t="b">
        <f>ISNUMBER(MATCH(G473,AUM!$G$6:$G$240,0))</f>
        <v>0</v>
      </c>
    </row>
    <row r="474" spans="1:3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ISNUMBER(MATCH(G474,AUM!$C$6:$C$1451,0))</f>
        <v>0</v>
      </c>
      <c r="AF474" t="b">
        <f>ISNUMBER(MATCH(G474,AUM!$G$6:$G$240,0))</f>
        <v>0</v>
      </c>
    </row>
    <row r="475" spans="1:3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ISNUMBER(MATCH(G475,AUM!$C$6:$C$1451,0))</f>
        <v>1</v>
      </c>
      <c r="AF475" t="b">
        <f>ISNUMBER(MATCH(G475,AUM!$G$6:$G$240,0))</f>
        <v>0</v>
      </c>
    </row>
    <row r="476" spans="1:3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ISNUMBER(MATCH(G476,AUM!$C$6:$C$1451,0))</f>
        <v>1</v>
      </c>
      <c r="AF476" t="b">
        <f>ISNUMBER(MATCH(G476,AUM!$G$6:$G$240,0))</f>
        <v>0</v>
      </c>
    </row>
    <row r="477" spans="1:3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ISNUMBER(MATCH(G477,AUM!$C$6:$C$1451,0))</f>
        <v>1</v>
      </c>
      <c r="AF477" t="b">
        <f>ISNUMBER(MATCH(G477,AUM!$G$6:$G$240,0))</f>
        <v>0</v>
      </c>
    </row>
    <row r="478" spans="1:3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ISNUMBER(MATCH(G478,AUM!$C$6:$C$1451,0))</f>
        <v>1</v>
      </c>
      <c r="AF478" t="b">
        <f>ISNUMBER(MATCH(G478,AUM!$G$6:$G$240,0))</f>
        <v>0</v>
      </c>
    </row>
    <row r="479" spans="1:3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ISNUMBER(MATCH(G479,AUM!$C$6:$C$1451,0))</f>
        <v>1</v>
      </c>
      <c r="AF479" t="b">
        <f>ISNUMBER(MATCH(G479,AUM!$G$6:$G$240,0))</f>
        <v>0</v>
      </c>
    </row>
    <row r="480" spans="1:3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ISNUMBER(MATCH(G480,AUM!$C$6:$C$1451,0))</f>
        <v>1</v>
      </c>
      <c r="AF480" t="b">
        <f>ISNUMBER(MATCH(G480,AUM!$G$6:$G$240,0))</f>
        <v>0</v>
      </c>
    </row>
    <row r="481" spans="1:3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ISNUMBER(MATCH(G481,AUM!$C$6:$C$1451,0))</f>
        <v>0</v>
      </c>
      <c r="AF481" t="b">
        <f>ISNUMBER(MATCH(G481,AUM!$G$6:$G$240,0))</f>
        <v>0</v>
      </c>
    </row>
    <row r="482" spans="1:3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ISNUMBER(MATCH(G482,AUM!$C$6:$C$1451,0))</f>
        <v>0</v>
      </c>
      <c r="AF482" t="b">
        <f>ISNUMBER(MATCH(G482,AUM!$G$6:$G$240,0))</f>
        <v>0</v>
      </c>
    </row>
    <row r="483" spans="1:3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ISNUMBER(MATCH(G483,AUM!$C$6:$C$1451,0))</f>
        <v>0</v>
      </c>
      <c r="AF483" t="b">
        <f>ISNUMBER(MATCH(G483,AUM!$G$6:$G$240,0))</f>
        <v>1</v>
      </c>
    </row>
    <row r="484" spans="1:3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ISNUMBER(MATCH(G484,AUM!$C$6:$C$1451,0))</f>
        <v>1</v>
      </c>
      <c r="AF484" t="b">
        <f>ISNUMBER(MATCH(G484,AUM!$G$6:$G$240,0))</f>
        <v>0</v>
      </c>
    </row>
    <row r="485" spans="1:3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ISNUMBER(MATCH(G485,AUM!$C$6:$C$1451,0))</f>
        <v>1</v>
      </c>
      <c r="AF485" t="b">
        <f>ISNUMBER(MATCH(G485,AUM!$G$6:$G$240,0))</f>
        <v>0</v>
      </c>
    </row>
    <row r="486" spans="1:3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ISNUMBER(MATCH(G486,AUM!$C$6:$C$1451,0))</f>
        <v>1</v>
      </c>
      <c r="AF486" t="b">
        <f>ISNUMBER(MATCH(G486,AUM!$G$6:$G$240,0))</f>
        <v>0</v>
      </c>
    </row>
    <row r="487" spans="1:3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ISNUMBER(MATCH(G487,AUM!$C$6:$C$1451,0))</f>
        <v>1</v>
      </c>
      <c r="AF487" t="b">
        <f>ISNUMBER(MATCH(G487,AUM!$G$6:$G$240,0))</f>
        <v>0</v>
      </c>
    </row>
    <row r="488" spans="1:3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ISNUMBER(MATCH(G488,AUM!$C$6:$C$1451,0))</f>
        <v>1</v>
      </c>
      <c r="AF488" t="b">
        <f>ISNUMBER(MATCH(G488,AUM!$G$6:$G$240,0))</f>
        <v>0</v>
      </c>
    </row>
    <row r="489" spans="1:3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ISNUMBER(MATCH(G489,AUM!$C$6:$C$1451,0))</f>
        <v>1</v>
      </c>
      <c r="AF489" t="b">
        <f>ISNUMBER(MATCH(G489,AUM!$G$6:$G$240,0))</f>
        <v>0</v>
      </c>
    </row>
    <row r="490" spans="1:3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ISNUMBER(MATCH(G490,AUM!$C$6:$C$1451,0))</f>
        <v>1</v>
      </c>
      <c r="AF490" t="b">
        <f>ISNUMBER(MATCH(G490,AUM!$G$6:$G$240,0))</f>
        <v>0</v>
      </c>
    </row>
    <row r="491" spans="1:3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ISNUMBER(MATCH(G491,AUM!$C$6:$C$1451,0))</f>
        <v>1</v>
      </c>
      <c r="AF491" t="b">
        <f>ISNUMBER(MATCH(G491,AUM!$G$6:$G$240,0))</f>
        <v>0</v>
      </c>
    </row>
    <row r="492" spans="1:3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ISNUMBER(MATCH(G492,AUM!$C$6:$C$1451,0))</f>
        <v>1</v>
      </c>
      <c r="AF492" t="b">
        <f>ISNUMBER(MATCH(G492,AUM!$G$6:$G$240,0))</f>
        <v>0</v>
      </c>
    </row>
    <row r="493" spans="1:3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ISNUMBER(MATCH(G493,AUM!$C$6:$C$1451,0))</f>
        <v>1</v>
      </c>
      <c r="AF493" t="b">
        <f>ISNUMBER(MATCH(G493,AUM!$G$6:$G$240,0))</f>
        <v>0</v>
      </c>
    </row>
    <row r="494" spans="1:3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ISNUMBER(MATCH(G494,AUM!$C$6:$C$1451,0))</f>
        <v>1</v>
      </c>
      <c r="AF494" t="b">
        <f>ISNUMBER(MATCH(G494,AUM!$G$6:$G$240,0))</f>
        <v>0</v>
      </c>
    </row>
    <row r="495" spans="1:3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ISNUMBER(MATCH(G495,AUM!$C$6:$C$1451,0))</f>
        <v>1</v>
      </c>
      <c r="AF495" t="b">
        <f>ISNUMBER(MATCH(G495,AUM!$G$6:$G$240,0))</f>
        <v>0</v>
      </c>
    </row>
    <row r="496" spans="1:3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ISNUMBER(MATCH(G496,AUM!$C$6:$C$1451,0))</f>
        <v>0</v>
      </c>
      <c r="AF496" t="b">
        <f>ISNUMBER(MATCH(G496,AUM!$G$6:$G$240,0))</f>
        <v>0</v>
      </c>
    </row>
    <row r="497" spans="1:3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ISNUMBER(MATCH(G497,AUM!$C$6:$C$1451,0))</f>
        <v>0</v>
      </c>
      <c r="AF497" t="b">
        <f>ISNUMBER(MATCH(G497,AUM!$G$6:$G$240,0))</f>
        <v>0</v>
      </c>
    </row>
    <row r="498" spans="1:3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ISNUMBER(MATCH(G498,AUM!$C$6:$C$1451,0))</f>
        <v>1</v>
      </c>
      <c r="AF498" t="b">
        <f>ISNUMBER(MATCH(G498,AUM!$G$6:$G$240,0))</f>
        <v>0</v>
      </c>
    </row>
    <row r="499" spans="1:3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ISNUMBER(MATCH(G499,AUM!$C$6:$C$1451,0))</f>
        <v>1</v>
      </c>
      <c r="AF499" t="b">
        <f>ISNUMBER(MATCH(G499,AUM!$G$6:$G$240,0))</f>
        <v>0</v>
      </c>
    </row>
    <row r="500" spans="1:3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ISNUMBER(MATCH(G500,AUM!$C$6:$C$1451,0))</f>
        <v>1</v>
      </c>
      <c r="AF500" t="b">
        <f>ISNUMBER(MATCH(G500,AUM!$G$6:$G$240,0))</f>
        <v>0</v>
      </c>
    </row>
    <row r="501" spans="1:3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ISNUMBER(MATCH(G501,AUM!$C$6:$C$1451,0))</f>
        <v>1</v>
      </c>
      <c r="AF501" t="b">
        <f>ISNUMBER(MATCH(G501,AUM!$G$6:$G$240,0))</f>
        <v>0</v>
      </c>
    </row>
    <row r="502" spans="1:3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ISNUMBER(MATCH(G502,AUM!$C$6:$C$1451,0))</f>
        <v>1</v>
      </c>
      <c r="AF502" t="b">
        <f>ISNUMBER(MATCH(G502,AUM!$G$6:$G$240,0))</f>
        <v>0</v>
      </c>
    </row>
    <row r="503" spans="1:3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ISNUMBER(MATCH(G503,AUM!$C$6:$C$1451,0))</f>
        <v>1</v>
      </c>
      <c r="AF503" t="b">
        <f>ISNUMBER(MATCH(G503,AUM!$G$6:$G$240,0))</f>
        <v>0</v>
      </c>
    </row>
    <row r="504" spans="1:3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ISNUMBER(MATCH(G504,AUM!$C$6:$C$1451,0))</f>
        <v>1</v>
      </c>
      <c r="AF504" t="b">
        <f>ISNUMBER(MATCH(G504,AUM!$G$6:$G$240,0))</f>
        <v>0</v>
      </c>
    </row>
    <row r="505" spans="1:3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ISNUMBER(MATCH(G505,AUM!$C$6:$C$1451,0))</f>
        <v>1</v>
      </c>
      <c r="AF505" t="b">
        <f>ISNUMBER(MATCH(G505,AUM!$G$6:$G$240,0))</f>
        <v>0</v>
      </c>
    </row>
    <row r="506" spans="1:3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ISNUMBER(MATCH(G506,AUM!$C$6:$C$1451,0))</f>
        <v>1</v>
      </c>
      <c r="AF506" t="b">
        <f>ISNUMBER(MATCH(G506,AUM!$G$6:$G$240,0))</f>
        <v>0</v>
      </c>
    </row>
    <row r="507" spans="1:3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ISNUMBER(MATCH(G507,AUM!$C$6:$C$1451,0))</f>
        <v>1</v>
      </c>
      <c r="AF507" t="b">
        <f>ISNUMBER(MATCH(G507,AUM!$G$6:$G$240,0))</f>
        <v>0</v>
      </c>
    </row>
    <row r="508" spans="1:3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ISNUMBER(MATCH(G508,AUM!$C$6:$C$1451,0))</f>
        <v>1</v>
      </c>
      <c r="AF508" t="b">
        <f>ISNUMBER(MATCH(G508,AUM!$G$6:$G$240,0))</f>
        <v>0</v>
      </c>
    </row>
    <row r="509" spans="1:3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ISNUMBER(MATCH(G509,AUM!$C$6:$C$1451,0))</f>
        <v>1</v>
      </c>
      <c r="AF509" t="b">
        <f>ISNUMBER(MATCH(G509,AUM!$G$6:$G$240,0))</f>
        <v>0</v>
      </c>
    </row>
    <row r="510" spans="1:3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ISNUMBER(MATCH(G510,AUM!$C$6:$C$1451,0))</f>
        <v>1</v>
      </c>
      <c r="AF510" t="b">
        <f>ISNUMBER(MATCH(G510,AUM!$G$6:$G$240,0))</f>
        <v>0</v>
      </c>
    </row>
    <row r="511" spans="1:3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ISNUMBER(MATCH(G511,AUM!$C$6:$C$1451,0))</f>
        <v>1</v>
      </c>
      <c r="AF511" t="b">
        <f>ISNUMBER(MATCH(G511,AUM!$G$6:$G$240,0))</f>
        <v>0</v>
      </c>
    </row>
    <row r="512" spans="1:3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ISNUMBER(MATCH(G512,AUM!$C$6:$C$1451,0))</f>
        <v>0</v>
      </c>
      <c r="AF512" t="b">
        <f>ISNUMBER(MATCH(G512,AUM!$G$6:$G$240,0))</f>
        <v>0</v>
      </c>
    </row>
    <row r="513" spans="1:3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ISNUMBER(MATCH(G513,AUM!$C$6:$C$1451,0))</f>
        <v>1</v>
      </c>
      <c r="AF513" t="b">
        <f>ISNUMBER(MATCH(G513,AUM!$G$6:$G$240,0))</f>
        <v>0</v>
      </c>
    </row>
    <row r="514" spans="1:3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ISNUMBER(MATCH(G514,AUM!$C$6:$C$1451,0))</f>
        <v>1</v>
      </c>
      <c r="AF514" t="b">
        <f>ISNUMBER(MATCH(G514,AUM!$G$6:$G$240,0))</f>
        <v>0</v>
      </c>
    </row>
    <row r="515" spans="1:3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ISNUMBER(MATCH(G515,AUM!$C$6:$C$1451,0))</f>
        <v>1</v>
      </c>
      <c r="AF515" t="b">
        <f>ISNUMBER(MATCH(G515,AUM!$G$6:$G$240,0))</f>
        <v>0</v>
      </c>
    </row>
    <row r="516" spans="1:3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ISNUMBER(MATCH(G516,AUM!$C$6:$C$1451,0))</f>
        <v>1</v>
      </c>
      <c r="AF516" t="b">
        <f>ISNUMBER(MATCH(G516,AUM!$G$6:$G$240,0))</f>
        <v>0</v>
      </c>
    </row>
    <row r="517" spans="1:3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ISNUMBER(MATCH(G517,AUM!$C$6:$C$1451,0))</f>
        <v>1</v>
      </c>
      <c r="AF517" t="b">
        <f>ISNUMBER(MATCH(G517,AUM!$G$6:$G$240,0))</f>
        <v>0</v>
      </c>
    </row>
    <row r="518" spans="1:3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ISNUMBER(MATCH(G518,AUM!$C$6:$C$1451,0))</f>
        <v>0</v>
      </c>
      <c r="AF518" t="b">
        <f>ISNUMBER(MATCH(G518,AUM!$G$6:$G$240,0))</f>
        <v>0</v>
      </c>
    </row>
    <row r="519" spans="1:3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ISNUMBER(MATCH(G519,AUM!$C$6:$C$1451,0))</f>
        <v>0</v>
      </c>
      <c r="AF519" t="b">
        <f>ISNUMBER(MATCH(G519,AUM!$G$6:$G$240,0))</f>
        <v>0</v>
      </c>
    </row>
    <row r="520" spans="1:3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ISNUMBER(MATCH(G520,AUM!$C$6:$C$1451,0))</f>
        <v>1</v>
      </c>
      <c r="AF520" t="b">
        <f>ISNUMBER(MATCH(G520,AUM!$G$6:$G$240,0))</f>
        <v>0</v>
      </c>
    </row>
    <row r="521" spans="1:3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ISNUMBER(MATCH(G521,AUM!$C$6:$C$1451,0))</f>
        <v>1</v>
      </c>
      <c r="AF521" t="b">
        <f>ISNUMBER(MATCH(G521,AUM!$G$6:$G$240,0))</f>
        <v>0</v>
      </c>
    </row>
    <row r="522" spans="1:3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ISNUMBER(MATCH(G522,AUM!$C$6:$C$1451,0))</f>
        <v>1</v>
      </c>
      <c r="AF522" t="b">
        <f>ISNUMBER(MATCH(G522,AUM!$G$6:$G$240,0))</f>
        <v>0</v>
      </c>
    </row>
    <row r="523" spans="1:3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ISNUMBER(MATCH(G523,AUM!$C$6:$C$1451,0))</f>
        <v>1</v>
      </c>
      <c r="AF523" t="b">
        <f>ISNUMBER(MATCH(G523,AUM!$G$6:$G$240,0))</f>
        <v>1</v>
      </c>
    </row>
    <row r="524" spans="1:3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ISNUMBER(MATCH(G524,AUM!$C$6:$C$1451,0))</f>
        <v>0</v>
      </c>
      <c r="AF524" t="b">
        <f>ISNUMBER(MATCH(G524,AUM!$G$6:$G$240,0))</f>
        <v>0</v>
      </c>
    </row>
    <row r="525" spans="1:3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ISNUMBER(MATCH(G525,AUM!$C$6:$C$1451,0))</f>
        <v>0</v>
      </c>
      <c r="AF525" t="b">
        <f>ISNUMBER(MATCH(G525,AUM!$G$6:$G$240,0))</f>
        <v>0</v>
      </c>
    </row>
    <row r="526" spans="1:3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ISNUMBER(MATCH(G526,AUM!$C$6:$C$1451,0))</f>
        <v>0</v>
      </c>
      <c r="AF526" t="b">
        <f>ISNUMBER(MATCH(G526,AUM!$G$6:$G$240,0))</f>
        <v>0</v>
      </c>
    </row>
    <row r="527" spans="1:3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ISNUMBER(MATCH(G527,AUM!$C$6:$C$1451,0))</f>
        <v>1</v>
      </c>
      <c r="AF527" t="b">
        <f>ISNUMBER(MATCH(G527,AUM!$G$6:$G$240,0))</f>
        <v>0</v>
      </c>
    </row>
    <row r="528" spans="1:3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ISNUMBER(MATCH(G528,AUM!$C$6:$C$1451,0))</f>
        <v>1</v>
      </c>
      <c r="AF528" t="b">
        <f>ISNUMBER(MATCH(G528,AUM!$G$6:$G$240,0))</f>
        <v>0</v>
      </c>
    </row>
    <row r="529" spans="1:3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ISNUMBER(MATCH(G529,AUM!$C$6:$C$1451,0))</f>
        <v>1</v>
      </c>
      <c r="AF529" t="b">
        <f>ISNUMBER(MATCH(G529,AUM!$G$6:$G$240,0))</f>
        <v>1</v>
      </c>
    </row>
    <row r="530" spans="1:3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ISNUMBER(MATCH(G530,AUM!$C$6:$C$1451,0))</f>
        <v>1</v>
      </c>
      <c r="AF530" t="b">
        <f>ISNUMBER(MATCH(G530,AUM!$G$6:$G$240,0))</f>
        <v>1</v>
      </c>
    </row>
    <row r="531" spans="1:3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ISNUMBER(MATCH(G531,AUM!$C$6:$C$1451,0))</f>
        <v>0</v>
      </c>
      <c r="AF531" t="b">
        <f>ISNUMBER(MATCH(G531,AUM!$G$6:$G$240,0))</f>
        <v>0</v>
      </c>
    </row>
    <row r="532" spans="1:3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ISNUMBER(MATCH(G532,AUM!$C$6:$C$1451,0))</f>
        <v>0</v>
      </c>
      <c r="AF532" t="b">
        <f>ISNUMBER(MATCH(G532,AUM!$G$6:$G$240,0))</f>
        <v>0</v>
      </c>
    </row>
    <row r="533" spans="1:3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ISNUMBER(MATCH(G533,AUM!$C$6:$C$1451,0))</f>
        <v>0</v>
      </c>
      <c r="AF533" t="b">
        <f>ISNUMBER(MATCH(G533,AUM!$G$6:$G$240,0))</f>
        <v>0</v>
      </c>
    </row>
    <row r="534" spans="1:3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ISNUMBER(MATCH(G534,AUM!$C$6:$C$1451,0))</f>
        <v>0</v>
      </c>
      <c r="AF534" t="b">
        <f>ISNUMBER(MATCH(G534,AUM!$G$6:$G$240,0))</f>
        <v>0</v>
      </c>
    </row>
    <row r="535" spans="1:3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ISNUMBER(MATCH(G535,AUM!$C$6:$C$1451,0))</f>
        <v>0</v>
      </c>
      <c r="AF535" t="b">
        <f>ISNUMBER(MATCH(G535,AUM!$G$6:$G$240,0))</f>
        <v>0</v>
      </c>
    </row>
    <row r="536" spans="1:3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ISNUMBER(MATCH(G536,AUM!$C$6:$C$1451,0))</f>
        <v>0</v>
      </c>
      <c r="AF536" t="b">
        <f>ISNUMBER(MATCH(G536,AUM!$G$6:$G$240,0))</f>
        <v>0</v>
      </c>
    </row>
    <row r="537" spans="1:3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ISNUMBER(MATCH(G537,AUM!$C$6:$C$1451,0))</f>
        <v>0</v>
      </c>
      <c r="AF537" t="b">
        <f>ISNUMBER(MATCH(G537,AUM!$G$6:$G$240,0))</f>
        <v>0</v>
      </c>
    </row>
    <row r="538" spans="1:3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ISNUMBER(MATCH(G538,AUM!$C$6:$C$1451,0))</f>
        <v>0</v>
      </c>
      <c r="AF538" t="b">
        <f>ISNUMBER(MATCH(G538,AUM!$G$6:$G$240,0))</f>
        <v>0</v>
      </c>
    </row>
    <row r="539" spans="1:3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ISNUMBER(MATCH(G539,AUM!$C$6:$C$1451,0))</f>
        <v>0</v>
      </c>
      <c r="AF539" t="b">
        <f>ISNUMBER(MATCH(G539,AUM!$G$6:$G$240,0))</f>
        <v>0</v>
      </c>
    </row>
    <row r="540" spans="1:3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ISNUMBER(MATCH(G540,AUM!$C$6:$C$1451,0))</f>
        <v>0</v>
      </c>
      <c r="AF540" t="b">
        <f>ISNUMBER(MATCH(G540,AUM!$G$6:$G$240,0))</f>
        <v>0</v>
      </c>
    </row>
    <row r="541" spans="1:3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ISNUMBER(MATCH(G541,AUM!$C$6:$C$1451,0))</f>
        <v>0</v>
      </c>
      <c r="AF541" t="b">
        <f>ISNUMBER(MATCH(G541,AUM!$G$6:$G$240,0))</f>
        <v>0</v>
      </c>
    </row>
    <row r="542" spans="1:3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ISNUMBER(MATCH(G542,AUM!$C$6:$C$1451,0))</f>
        <v>0</v>
      </c>
      <c r="AF542" t="b">
        <f>ISNUMBER(MATCH(G542,AUM!$G$6:$G$240,0))</f>
        <v>0</v>
      </c>
    </row>
    <row r="543" spans="1:3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ISNUMBER(MATCH(G543,AUM!$C$6:$C$1451,0))</f>
        <v>0</v>
      </c>
      <c r="AF543" t="b">
        <f>ISNUMBER(MATCH(G543,AUM!$G$6:$G$240,0))</f>
        <v>0</v>
      </c>
    </row>
    <row r="544" spans="1:3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ISNUMBER(MATCH(G544,AUM!$C$6:$C$1451,0))</f>
        <v>0</v>
      </c>
      <c r="AF544" t="b">
        <f>ISNUMBER(MATCH(G544,AUM!$G$6:$G$240,0))</f>
        <v>0</v>
      </c>
    </row>
    <row r="545" spans="1:3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ISNUMBER(MATCH(G545,AUM!$C$6:$C$1451,0))</f>
        <v>0</v>
      </c>
      <c r="AF545" t="b">
        <f>ISNUMBER(MATCH(G545,AUM!$G$6:$G$240,0))</f>
        <v>0</v>
      </c>
    </row>
    <row r="546" spans="1:3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ISNUMBER(MATCH(G546,AUM!$C$6:$C$1451,0))</f>
        <v>0</v>
      </c>
      <c r="AF546" t="b">
        <f>ISNUMBER(MATCH(G546,AUM!$G$6:$G$240,0))</f>
        <v>0</v>
      </c>
    </row>
    <row r="547" spans="1:3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ISNUMBER(MATCH(G547,AUM!$C$6:$C$1451,0))</f>
        <v>0</v>
      </c>
      <c r="AF547" t="b">
        <f>ISNUMBER(MATCH(G547,AUM!$G$6:$G$240,0))</f>
        <v>0</v>
      </c>
    </row>
    <row r="548" spans="1:3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ISNUMBER(MATCH(G548,AUM!$C$6:$C$1451,0))</f>
        <v>0</v>
      </c>
      <c r="AF548" t="b">
        <f>ISNUMBER(MATCH(G548,AUM!$G$6:$G$240,0))</f>
        <v>0</v>
      </c>
    </row>
    <row r="549" spans="1:3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ISNUMBER(MATCH(G549,AUM!$C$6:$C$1451,0))</f>
        <v>0</v>
      </c>
      <c r="AF549" t="b">
        <f>ISNUMBER(MATCH(G549,AUM!$G$6:$G$240,0))</f>
        <v>0</v>
      </c>
    </row>
    <row r="550" spans="1:3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ISNUMBER(MATCH(G550,AUM!$C$6:$C$1451,0))</f>
        <v>0</v>
      </c>
      <c r="AF550" t="b">
        <f>ISNUMBER(MATCH(G550,AUM!$G$6:$G$240,0))</f>
        <v>0</v>
      </c>
    </row>
    <row r="551" spans="1:3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ISNUMBER(MATCH(G551,AUM!$C$6:$C$1451,0))</f>
        <v>0</v>
      </c>
      <c r="AF551" t="b">
        <f>ISNUMBER(MATCH(G551,AUM!$G$6:$G$240,0))</f>
        <v>0</v>
      </c>
    </row>
    <row r="552" spans="1:3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ISNUMBER(MATCH(G552,AUM!$C$6:$C$1451,0))</f>
        <v>0</v>
      </c>
      <c r="AF552" t="b">
        <f>ISNUMBER(MATCH(G552,AUM!$G$6:$G$240,0))</f>
        <v>0</v>
      </c>
    </row>
    <row r="553" spans="1:3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ISNUMBER(MATCH(G553,AUM!$C$6:$C$1451,0))</f>
        <v>0</v>
      </c>
      <c r="AF553" t="b">
        <f>ISNUMBER(MATCH(G553,AUM!$G$6:$G$240,0))</f>
        <v>0</v>
      </c>
    </row>
    <row r="554" spans="1:3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ISNUMBER(MATCH(G554,AUM!$C$6:$C$1451,0))</f>
        <v>0</v>
      </c>
      <c r="AF554" t="b">
        <f>ISNUMBER(MATCH(G554,AUM!$G$6:$G$240,0))</f>
        <v>0</v>
      </c>
    </row>
    <row r="555" spans="1:3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ISNUMBER(MATCH(G555,AUM!$C$6:$C$1451,0))</f>
        <v>0</v>
      </c>
      <c r="AF555" t="b">
        <f>ISNUMBER(MATCH(G555,AUM!$G$6:$G$240,0))</f>
        <v>0</v>
      </c>
    </row>
    <row r="556" spans="1:3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ISNUMBER(MATCH(G556,AUM!$C$6:$C$1451,0))</f>
        <v>0</v>
      </c>
      <c r="AF556" t="b">
        <f>ISNUMBER(MATCH(G556,AUM!$G$6:$G$240,0))</f>
        <v>0</v>
      </c>
    </row>
    <row r="557" spans="1:3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ISNUMBER(MATCH(G557,AUM!$C$6:$C$1451,0))</f>
        <v>0</v>
      </c>
      <c r="AF557" t="b">
        <f>ISNUMBER(MATCH(G557,AUM!$G$6:$G$240,0))</f>
        <v>0</v>
      </c>
    </row>
    <row r="558" spans="1:3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ISNUMBER(MATCH(G558,AUM!$C$6:$C$1451,0))</f>
        <v>0</v>
      </c>
      <c r="AF558" t="b">
        <f>ISNUMBER(MATCH(G558,AUM!$G$6:$G$240,0))</f>
        <v>0</v>
      </c>
    </row>
    <row r="559" spans="1:3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ISNUMBER(MATCH(G559,AUM!$C$6:$C$1451,0))</f>
        <v>0</v>
      </c>
      <c r="AF559" t="b">
        <f>ISNUMBER(MATCH(G559,AUM!$G$6:$G$240,0))</f>
        <v>0</v>
      </c>
    </row>
    <row r="560" spans="1:3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ISNUMBER(MATCH(G560,AUM!$C$6:$C$1451,0))</f>
        <v>0</v>
      </c>
      <c r="AF560" t="b">
        <f>ISNUMBER(MATCH(G560,AUM!$G$6:$G$240,0))</f>
        <v>0</v>
      </c>
    </row>
    <row r="561" spans="1:3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ISNUMBER(MATCH(G561,AUM!$C$6:$C$1451,0))</f>
        <v>0</v>
      </c>
      <c r="AF561" t="b">
        <f>ISNUMBER(MATCH(G561,AUM!$G$6:$G$240,0))</f>
        <v>0</v>
      </c>
    </row>
    <row r="562" spans="1:3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ISNUMBER(MATCH(G562,AUM!$C$6:$C$1451,0))</f>
        <v>0</v>
      </c>
      <c r="AF562" t="b">
        <f>ISNUMBER(MATCH(G562,AUM!$G$6:$G$240,0))</f>
        <v>0</v>
      </c>
    </row>
    <row r="563" spans="1:3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ISNUMBER(MATCH(G563,AUM!$C$6:$C$1451,0))</f>
        <v>0</v>
      </c>
      <c r="AF563" t="b">
        <f>ISNUMBER(MATCH(G563,AUM!$G$6:$G$240,0))</f>
        <v>0</v>
      </c>
    </row>
    <row r="564" spans="1:3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ISNUMBER(MATCH(G564,AUM!$C$6:$C$1451,0))</f>
        <v>0</v>
      </c>
      <c r="AF564" t="b">
        <f>ISNUMBER(MATCH(G564,AUM!$G$6:$G$240,0))</f>
        <v>0</v>
      </c>
    </row>
    <row r="565" spans="1:3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ISNUMBER(MATCH(G565,AUM!$C$6:$C$1451,0))</f>
        <v>0</v>
      </c>
      <c r="AF565" t="b">
        <f>ISNUMBER(MATCH(G565,AUM!$G$6:$G$240,0))</f>
        <v>0</v>
      </c>
    </row>
    <row r="566" spans="1:3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ISNUMBER(MATCH(G566,AUM!$C$6:$C$1451,0))</f>
        <v>0</v>
      </c>
      <c r="AF566" t="b">
        <f>ISNUMBER(MATCH(G566,AUM!$G$6:$G$240,0))</f>
        <v>0</v>
      </c>
    </row>
    <row r="567" spans="1:3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ISNUMBER(MATCH(G567,AUM!$C$6:$C$1451,0))</f>
        <v>1</v>
      </c>
      <c r="AF567" t="b">
        <f>ISNUMBER(MATCH(G567,AUM!$G$6:$G$240,0))</f>
        <v>0</v>
      </c>
    </row>
    <row r="568" spans="1:3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ISNUMBER(MATCH(G568,AUM!$C$6:$C$1451,0))</f>
        <v>1</v>
      </c>
      <c r="AF568" t="b">
        <f>ISNUMBER(MATCH(G568,AUM!$G$6:$G$240,0))</f>
        <v>0</v>
      </c>
    </row>
    <row r="569" spans="1:3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ISNUMBER(MATCH(G569,AUM!$C$6:$C$1451,0))</f>
        <v>0</v>
      </c>
      <c r="AF569" t="b">
        <f>ISNUMBER(MATCH(G569,AUM!$G$6:$G$240,0))</f>
        <v>1</v>
      </c>
    </row>
    <row r="570" spans="1:3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ISNUMBER(MATCH(G570,AUM!$C$6:$C$1451,0))</f>
        <v>1</v>
      </c>
      <c r="AF570" t="b">
        <f>ISNUMBER(MATCH(G570,AUM!$G$6:$G$240,0))</f>
        <v>0</v>
      </c>
    </row>
    <row r="571" spans="1:3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ISNUMBER(MATCH(G571,AUM!$C$6:$C$1451,0))</f>
        <v>1</v>
      </c>
      <c r="AF571" t="b">
        <f>ISNUMBER(MATCH(G571,AUM!$G$6:$G$240,0))</f>
        <v>0</v>
      </c>
    </row>
    <row r="572" spans="1:3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ISNUMBER(MATCH(G572,AUM!$C$6:$C$1451,0))</f>
        <v>0</v>
      </c>
      <c r="AF572" t="b">
        <f>ISNUMBER(MATCH(G572,AUM!$G$6:$G$240,0))</f>
        <v>1</v>
      </c>
    </row>
    <row r="573" spans="1:3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ISNUMBER(MATCH(G573,AUM!$C$6:$C$1451,0))</f>
        <v>1</v>
      </c>
      <c r="AF573" t="b">
        <f>ISNUMBER(MATCH(G573,AUM!$G$6:$G$240,0))</f>
        <v>0</v>
      </c>
    </row>
    <row r="574" spans="1:3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ISNUMBER(MATCH(G574,AUM!$C$6:$C$1451,0))</f>
        <v>1</v>
      </c>
      <c r="AF574" t="b">
        <f>ISNUMBER(MATCH(G574,AUM!$G$6:$G$240,0))</f>
        <v>0</v>
      </c>
    </row>
    <row r="575" spans="1:3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ISNUMBER(MATCH(G575,AUM!$C$6:$C$1451,0))</f>
        <v>0</v>
      </c>
      <c r="AF575" t="b">
        <f>ISNUMBER(MATCH(G575,AUM!$G$6:$G$240,0))</f>
        <v>1</v>
      </c>
    </row>
    <row r="576" spans="1:3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ISNUMBER(MATCH(G576,AUM!$C$6:$C$1451,0))</f>
        <v>1</v>
      </c>
      <c r="AF576" t="b">
        <f>ISNUMBER(MATCH(G576,AUM!$G$6:$G$240,0))</f>
        <v>0</v>
      </c>
    </row>
    <row r="577" spans="1:3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ISNUMBER(MATCH(G577,AUM!$C$6:$C$1451,0))</f>
        <v>1</v>
      </c>
      <c r="AF577" t="b">
        <f>ISNUMBER(MATCH(G577,AUM!$G$6:$G$240,0))</f>
        <v>0</v>
      </c>
    </row>
    <row r="578" spans="1:3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ISNUMBER(MATCH(G578,AUM!$C$6:$C$1451,0))</f>
        <v>0</v>
      </c>
      <c r="AF578" t="b">
        <f>ISNUMBER(MATCH(G578,AUM!$G$6:$G$240,0))</f>
        <v>1</v>
      </c>
    </row>
    <row r="579" spans="1:3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ISNUMBER(MATCH(G579,AUM!$C$6:$C$1451,0))</f>
        <v>0</v>
      </c>
      <c r="AF579" t="b">
        <f>ISNUMBER(MATCH(G579,AUM!$G$6:$G$240,0))</f>
        <v>1</v>
      </c>
    </row>
    <row r="580" spans="1:3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ISNUMBER(MATCH(G580,AUM!$C$6:$C$1451,0))</f>
        <v>1</v>
      </c>
      <c r="AF580" t="b">
        <f>ISNUMBER(MATCH(G580,AUM!$G$6:$G$240,0))</f>
        <v>0</v>
      </c>
    </row>
    <row r="581" spans="1:3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ISNUMBER(MATCH(G581,AUM!$C$6:$C$1451,0))</f>
        <v>1</v>
      </c>
      <c r="AF581" t="b">
        <f>ISNUMBER(MATCH(G581,AUM!$G$6:$G$240,0))</f>
        <v>0</v>
      </c>
    </row>
    <row r="582" spans="1:3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ISNUMBER(MATCH(G582,AUM!$C$6:$C$1451,0))</f>
        <v>1</v>
      </c>
      <c r="AF582" t="b">
        <f>ISNUMBER(MATCH(G582,AUM!$G$6:$G$240,0))</f>
        <v>1</v>
      </c>
    </row>
    <row r="583" spans="1:3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ISNUMBER(MATCH(G583,AUM!$C$6:$C$1451,0))</f>
        <v>1</v>
      </c>
      <c r="AF583" t="b">
        <f>ISNUMBER(MATCH(G583,AUM!$G$6:$G$240,0))</f>
        <v>0</v>
      </c>
    </row>
    <row r="584" spans="1:3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ISNUMBER(MATCH(G584,AUM!$C$6:$C$1451,0))</f>
        <v>1</v>
      </c>
      <c r="AF584" t="b">
        <f>ISNUMBER(MATCH(G584,AUM!$G$6:$G$240,0))</f>
        <v>0</v>
      </c>
    </row>
    <row r="585" spans="1:3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ISNUMBER(MATCH(G585,AUM!$C$6:$C$1451,0))</f>
        <v>1</v>
      </c>
      <c r="AF585" t="b">
        <f>ISNUMBER(MATCH(G585,AUM!$G$6:$G$240,0))</f>
        <v>1</v>
      </c>
    </row>
    <row r="586" spans="1:3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ISNUMBER(MATCH(G586,AUM!$C$6:$C$1451,0))</f>
        <v>1</v>
      </c>
      <c r="AF586" t="b">
        <f>ISNUMBER(MATCH(G586,AUM!$G$6:$G$240,0))</f>
        <v>0</v>
      </c>
    </row>
    <row r="587" spans="1:3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ISNUMBER(MATCH(G587,AUM!$C$6:$C$1451,0))</f>
        <v>1</v>
      </c>
      <c r="AF587" t="b">
        <f>ISNUMBER(MATCH(G587,AUM!$G$6:$G$240,0))</f>
        <v>0</v>
      </c>
    </row>
    <row r="588" spans="1:3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ISNUMBER(MATCH(G588,AUM!$C$6:$C$1451,0))</f>
        <v>0</v>
      </c>
      <c r="AF588" t="b">
        <f>ISNUMBER(MATCH(G588,AUM!$G$6:$G$240,0))</f>
        <v>1</v>
      </c>
    </row>
    <row r="589" spans="1:3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ISNUMBER(MATCH(G589,AUM!$C$6:$C$1451,0))</f>
        <v>1</v>
      </c>
      <c r="AF589" t="b">
        <f>ISNUMBER(MATCH(G589,AUM!$G$6:$G$240,0))</f>
        <v>0</v>
      </c>
    </row>
    <row r="590" spans="1:3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ISNUMBER(MATCH(G590,AUM!$C$6:$C$1451,0))</f>
        <v>1</v>
      </c>
      <c r="AF590" t="b">
        <f>ISNUMBER(MATCH(G590,AUM!$G$6:$G$240,0))</f>
        <v>0</v>
      </c>
    </row>
    <row r="591" spans="1:3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ISNUMBER(MATCH(G591,AUM!$C$6:$C$1451,0))</f>
        <v>0</v>
      </c>
      <c r="AF591" t="b">
        <f>ISNUMBER(MATCH(G591,AUM!$G$6:$G$240,0))</f>
        <v>1</v>
      </c>
    </row>
    <row r="592" spans="1:3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ISNUMBER(MATCH(G592,AUM!$C$6:$C$1451,0))</f>
        <v>1</v>
      </c>
      <c r="AF592" t="b">
        <f>ISNUMBER(MATCH(G592,AUM!$G$6:$G$240,0))</f>
        <v>0</v>
      </c>
    </row>
    <row r="593" spans="1:3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ISNUMBER(MATCH(G593,AUM!$C$6:$C$1451,0))</f>
        <v>1</v>
      </c>
      <c r="AF593" t="b">
        <f>ISNUMBER(MATCH(G593,AUM!$G$6:$G$240,0))</f>
        <v>0</v>
      </c>
    </row>
    <row r="594" spans="1:3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ISNUMBER(MATCH(G594,AUM!$C$6:$C$1451,0))</f>
        <v>0</v>
      </c>
      <c r="AF594" t="b">
        <f>ISNUMBER(MATCH(G594,AUM!$G$6:$G$240,0))</f>
        <v>1</v>
      </c>
    </row>
    <row r="595" spans="1:3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ISNUMBER(MATCH(G595,AUM!$C$6:$C$1451,0))</f>
        <v>1</v>
      </c>
      <c r="AF595" t="b">
        <f>ISNUMBER(MATCH(G595,AUM!$G$6:$G$240,0))</f>
        <v>0</v>
      </c>
    </row>
    <row r="596" spans="1:3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ISNUMBER(MATCH(G596,AUM!$C$6:$C$1451,0))</f>
        <v>1</v>
      </c>
      <c r="AF596" t="b">
        <f>ISNUMBER(MATCH(G596,AUM!$G$6:$G$240,0))</f>
        <v>0</v>
      </c>
    </row>
    <row r="597" spans="1:3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ISNUMBER(MATCH(G597,AUM!$C$6:$C$1451,0))</f>
        <v>0</v>
      </c>
      <c r="AF597" t="b">
        <f>ISNUMBER(MATCH(G597,AUM!$G$6:$G$240,0))</f>
        <v>1</v>
      </c>
    </row>
    <row r="598" spans="1:3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ISNUMBER(MATCH(G598,AUM!$C$6:$C$1451,0))</f>
        <v>1</v>
      </c>
      <c r="AF598" t="b">
        <f>ISNUMBER(MATCH(G598,AUM!$G$6:$G$240,0))</f>
        <v>0</v>
      </c>
    </row>
    <row r="599" spans="1:3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ISNUMBER(MATCH(G599,AUM!$C$6:$C$1451,0))</f>
        <v>1</v>
      </c>
      <c r="AF599" t="b">
        <f>ISNUMBER(MATCH(G599,AUM!$G$6:$G$240,0))</f>
        <v>0</v>
      </c>
    </row>
    <row r="600" spans="1:3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ISNUMBER(MATCH(G600,AUM!$C$6:$C$1451,0))</f>
        <v>0</v>
      </c>
      <c r="AF600" t="b">
        <f>ISNUMBER(MATCH(G600,AUM!$G$6:$G$240,0))</f>
        <v>1</v>
      </c>
    </row>
    <row r="601" spans="1:3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ISNUMBER(MATCH(G601,AUM!$C$6:$C$1451,0))</f>
        <v>0</v>
      </c>
      <c r="AF601" t="b">
        <f>ISNUMBER(MATCH(G601,AUM!$G$6:$G$240,0))</f>
        <v>0</v>
      </c>
    </row>
    <row r="602" spans="1:3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ISNUMBER(MATCH(G602,AUM!$C$6:$C$1451,0))</f>
        <v>0</v>
      </c>
      <c r="AF602" t="b">
        <f>ISNUMBER(MATCH(G602,AUM!$G$6:$G$240,0))</f>
        <v>0</v>
      </c>
    </row>
    <row r="603" spans="1:3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ISNUMBER(MATCH(G603,AUM!$C$6:$C$1451,0))</f>
        <v>0</v>
      </c>
      <c r="AF603" t="b">
        <f>ISNUMBER(MATCH(G603,AUM!$G$6:$G$240,0))</f>
        <v>0</v>
      </c>
    </row>
    <row r="604" spans="1:3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ISNUMBER(MATCH(G604,AUM!$C$6:$C$1451,0))</f>
        <v>0</v>
      </c>
      <c r="AF604" t="b">
        <f>ISNUMBER(MATCH(G604,AUM!$G$6:$G$240,0))</f>
        <v>0</v>
      </c>
    </row>
    <row r="605" spans="1:3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ISNUMBER(MATCH(G605,AUM!$C$6:$C$1451,0))</f>
        <v>0</v>
      </c>
      <c r="AF605" t="b">
        <f>ISNUMBER(MATCH(G605,AUM!$G$6:$G$240,0))</f>
        <v>0</v>
      </c>
    </row>
    <row r="606" spans="1:3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ISNUMBER(MATCH(G606,AUM!$C$6:$C$1451,0))</f>
        <v>0</v>
      </c>
      <c r="AF606" t="b">
        <f>ISNUMBER(MATCH(G606,AUM!$G$6:$G$240,0))</f>
        <v>0</v>
      </c>
    </row>
    <row r="607" spans="1:3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ISNUMBER(MATCH(G607,AUM!$C$6:$C$1451,0))</f>
        <v>0</v>
      </c>
      <c r="AF607" t="b">
        <f>ISNUMBER(MATCH(G607,AUM!$G$6:$G$240,0))</f>
        <v>0</v>
      </c>
    </row>
    <row r="608" spans="1:3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ISNUMBER(MATCH(G608,AUM!$C$6:$C$1451,0))</f>
        <v>0</v>
      </c>
      <c r="AF608" t="b">
        <f>ISNUMBER(MATCH(G608,AUM!$G$6:$G$240,0))</f>
        <v>0</v>
      </c>
    </row>
    <row r="609" spans="1:3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ISNUMBER(MATCH(G609,AUM!$C$6:$C$1451,0))</f>
        <v>0</v>
      </c>
      <c r="AF609" t="b">
        <f>ISNUMBER(MATCH(G609,AUM!$G$6:$G$240,0))</f>
        <v>0</v>
      </c>
    </row>
    <row r="610" spans="1:3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ISNUMBER(MATCH(G610,AUM!$C$6:$C$1451,0))</f>
        <v>0</v>
      </c>
      <c r="AF610" t="b">
        <f>ISNUMBER(MATCH(G610,AUM!$G$6:$G$240,0))</f>
        <v>0</v>
      </c>
    </row>
    <row r="611" spans="1:3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ISNUMBER(MATCH(G611,AUM!$C$6:$C$1451,0))</f>
        <v>0</v>
      </c>
      <c r="AF611" t="b">
        <f>ISNUMBER(MATCH(G611,AUM!$G$6:$G$240,0))</f>
        <v>0</v>
      </c>
    </row>
    <row r="612" spans="1:3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ISNUMBER(MATCH(G612,AUM!$C$6:$C$1451,0))</f>
        <v>0</v>
      </c>
      <c r="AF612" t="b">
        <f>ISNUMBER(MATCH(G612,AUM!$G$6:$G$240,0))</f>
        <v>0</v>
      </c>
    </row>
    <row r="613" spans="1:3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ISNUMBER(MATCH(G613,AUM!$C$6:$C$1451,0))</f>
        <v>0</v>
      </c>
      <c r="AF613" t="b">
        <f>ISNUMBER(MATCH(G613,AUM!$G$6:$G$240,0))</f>
        <v>0</v>
      </c>
    </row>
    <row r="614" spans="1:3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ISNUMBER(MATCH(G614,AUM!$C$6:$C$1451,0))</f>
        <v>0</v>
      </c>
      <c r="AF614" t="b">
        <f>ISNUMBER(MATCH(G614,AUM!$G$6:$G$240,0))</f>
        <v>0</v>
      </c>
    </row>
    <row r="615" spans="1:3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ISNUMBER(MATCH(G615,AUM!$C$6:$C$1451,0))</f>
        <v>0</v>
      </c>
      <c r="AF615" t="b">
        <f>ISNUMBER(MATCH(G615,AUM!$G$6:$G$240,0))</f>
        <v>0</v>
      </c>
    </row>
    <row r="616" spans="1:3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ISNUMBER(MATCH(G616,AUM!$C$6:$C$1451,0))</f>
        <v>0</v>
      </c>
      <c r="AF616" t="b">
        <f>ISNUMBER(MATCH(G616,AUM!$G$6:$G$240,0))</f>
        <v>0</v>
      </c>
    </row>
    <row r="617" spans="1:3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ISNUMBER(MATCH(G617,AUM!$C$6:$C$1451,0))</f>
        <v>0</v>
      </c>
      <c r="AF617" t="b">
        <f>ISNUMBER(MATCH(G617,AUM!$G$6:$G$240,0))</f>
        <v>0</v>
      </c>
    </row>
    <row r="618" spans="1:3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ISNUMBER(MATCH(G618,AUM!$C$6:$C$1451,0))</f>
        <v>0</v>
      </c>
      <c r="AF618" t="b">
        <f>ISNUMBER(MATCH(G618,AUM!$G$6:$G$240,0))</f>
        <v>0</v>
      </c>
    </row>
    <row r="619" spans="1:3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ISNUMBER(MATCH(G619,AUM!$C$6:$C$1451,0))</f>
        <v>0</v>
      </c>
      <c r="AF619" t="b">
        <f>ISNUMBER(MATCH(G619,AUM!$G$6:$G$240,0))</f>
        <v>0</v>
      </c>
    </row>
    <row r="620" spans="1:3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ISNUMBER(MATCH(G620,AUM!$C$6:$C$1451,0))</f>
        <v>0</v>
      </c>
      <c r="AF620" t="b">
        <f>ISNUMBER(MATCH(G620,AUM!$G$6:$G$240,0))</f>
        <v>0</v>
      </c>
    </row>
    <row r="621" spans="1:3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ISNUMBER(MATCH(G621,AUM!$C$6:$C$1451,0))</f>
        <v>0</v>
      </c>
      <c r="AF621" t="b">
        <f>ISNUMBER(MATCH(G621,AUM!$G$6:$G$240,0))</f>
        <v>0</v>
      </c>
    </row>
    <row r="622" spans="1:3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ISNUMBER(MATCH(G622,AUM!$C$6:$C$1451,0))</f>
        <v>0</v>
      </c>
      <c r="AF622" t="b">
        <f>ISNUMBER(MATCH(G622,AUM!$G$6:$G$240,0))</f>
        <v>0</v>
      </c>
    </row>
    <row r="623" spans="1:3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ISNUMBER(MATCH(G623,AUM!$C$6:$C$1451,0))</f>
        <v>0</v>
      </c>
      <c r="AF623" t="b">
        <f>ISNUMBER(MATCH(G623,AUM!$G$6:$G$240,0))</f>
        <v>0</v>
      </c>
    </row>
    <row r="624" spans="1:3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ISNUMBER(MATCH(G624,AUM!$C$6:$C$1451,0))</f>
        <v>0</v>
      </c>
      <c r="AF624" t="b">
        <f>ISNUMBER(MATCH(G624,AUM!$G$6:$G$240,0))</f>
        <v>0</v>
      </c>
    </row>
    <row r="625" spans="1:3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ISNUMBER(MATCH(G625,AUM!$C$6:$C$1451,0))</f>
        <v>0</v>
      </c>
      <c r="AF625" t="b">
        <f>ISNUMBER(MATCH(G625,AUM!$G$6:$G$240,0))</f>
        <v>0</v>
      </c>
    </row>
    <row r="626" spans="1:3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ISNUMBER(MATCH(G626,AUM!$C$6:$C$1451,0))</f>
        <v>0</v>
      </c>
      <c r="AF626" t="b">
        <f>ISNUMBER(MATCH(G626,AUM!$G$6:$G$240,0))</f>
        <v>0</v>
      </c>
    </row>
    <row r="627" spans="1:3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ISNUMBER(MATCH(G627,AUM!$C$6:$C$1451,0))</f>
        <v>0</v>
      </c>
      <c r="AF627" t="b">
        <f>ISNUMBER(MATCH(G627,AUM!$G$6:$G$240,0))</f>
        <v>0</v>
      </c>
    </row>
    <row r="628" spans="1:3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ISNUMBER(MATCH(G628,AUM!$C$6:$C$1451,0))</f>
        <v>0</v>
      </c>
      <c r="AF628" t="b">
        <f>ISNUMBER(MATCH(G628,AUM!$G$6:$G$240,0))</f>
        <v>0</v>
      </c>
    </row>
    <row r="629" spans="1:3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ISNUMBER(MATCH(G629,AUM!$C$6:$C$1451,0))</f>
        <v>0</v>
      </c>
      <c r="AF629" t="b">
        <f>ISNUMBER(MATCH(G629,AUM!$G$6:$G$240,0))</f>
        <v>0</v>
      </c>
    </row>
    <row r="630" spans="1:3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ISNUMBER(MATCH(G630,AUM!$C$6:$C$1451,0))</f>
        <v>0</v>
      </c>
      <c r="AF630" t="b">
        <f>ISNUMBER(MATCH(G630,AUM!$G$6:$G$240,0))</f>
        <v>0</v>
      </c>
    </row>
    <row r="631" spans="1:3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ISNUMBER(MATCH(G631,AUM!$C$6:$C$1451,0))</f>
        <v>0</v>
      </c>
      <c r="AF631" t="b">
        <f>ISNUMBER(MATCH(G631,AUM!$G$6:$G$240,0))</f>
        <v>0</v>
      </c>
    </row>
    <row r="632" spans="1:3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ISNUMBER(MATCH(G632,AUM!$C$6:$C$1451,0))</f>
        <v>0</v>
      </c>
      <c r="AF632" t="b">
        <f>ISNUMBER(MATCH(G632,AUM!$G$6:$G$240,0))</f>
        <v>0</v>
      </c>
    </row>
    <row r="633" spans="1:3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ISNUMBER(MATCH(G633,AUM!$C$6:$C$1451,0))</f>
        <v>0</v>
      </c>
      <c r="AF633" t="b">
        <f>ISNUMBER(MATCH(G633,AUM!$G$6:$G$240,0))</f>
        <v>0</v>
      </c>
    </row>
    <row r="634" spans="1:3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ISNUMBER(MATCH(G634,AUM!$C$6:$C$1451,0))</f>
        <v>0</v>
      </c>
      <c r="AF634" t="b">
        <f>ISNUMBER(MATCH(G634,AUM!$G$6:$G$240,0))</f>
        <v>0</v>
      </c>
    </row>
    <row r="635" spans="1:3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ISNUMBER(MATCH(G635,AUM!$C$6:$C$1451,0))</f>
        <v>0</v>
      </c>
      <c r="AF635" t="b">
        <f>ISNUMBER(MATCH(G635,AUM!$G$6:$G$240,0))</f>
        <v>0</v>
      </c>
    </row>
    <row r="636" spans="1:3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ISNUMBER(MATCH(G636,AUM!$C$6:$C$1451,0))</f>
        <v>0</v>
      </c>
      <c r="AF636" t="b">
        <f>ISNUMBER(MATCH(G636,AUM!$G$6:$G$240,0))</f>
        <v>0</v>
      </c>
    </row>
    <row r="637" spans="1:3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ISNUMBER(MATCH(G637,AUM!$C$6:$C$1451,0))</f>
        <v>0</v>
      </c>
      <c r="AF637" t="b">
        <f>ISNUMBER(MATCH(G637,AUM!$G$6:$G$240,0))</f>
        <v>0</v>
      </c>
    </row>
    <row r="638" spans="1:3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ISNUMBER(MATCH(G638,AUM!$C$6:$C$1451,0))</f>
        <v>0</v>
      </c>
      <c r="AF638" t="b">
        <f>ISNUMBER(MATCH(G638,AUM!$G$6:$G$240,0))</f>
        <v>0</v>
      </c>
    </row>
    <row r="639" spans="1:3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ISNUMBER(MATCH(G639,AUM!$C$6:$C$1451,0))</f>
        <v>0</v>
      </c>
      <c r="AF639" t="b">
        <f>ISNUMBER(MATCH(G639,AUM!$G$6:$G$240,0))</f>
        <v>0</v>
      </c>
    </row>
    <row r="640" spans="1:3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ISNUMBER(MATCH(G640,AUM!$C$6:$C$1451,0))</f>
        <v>0</v>
      </c>
      <c r="AF640" t="b">
        <f>ISNUMBER(MATCH(G640,AUM!$G$6:$G$240,0))</f>
        <v>0</v>
      </c>
    </row>
    <row r="641" spans="1:3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ISNUMBER(MATCH(G641,AUM!$C$6:$C$1451,0))</f>
        <v>0</v>
      </c>
      <c r="AF641" t="b">
        <f>ISNUMBER(MATCH(G641,AUM!$G$6:$G$240,0))</f>
        <v>0</v>
      </c>
    </row>
    <row r="642" spans="1:3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ISNUMBER(MATCH(G642,AUM!$C$6:$C$1451,0))</f>
        <v>0</v>
      </c>
      <c r="AF642" t="b">
        <f>ISNUMBER(MATCH(G642,AUM!$G$6:$G$240,0))</f>
        <v>0</v>
      </c>
    </row>
    <row r="643" spans="1:3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ISNUMBER(MATCH(G643,AUM!$C$6:$C$1451,0))</f>
        <v>0</v>
      </c>
      <c r="AF643" t="b">
        <f>ISNUMBER(MATCH(G643,AUM!$G$6:$G$240,0))</f>
        <v>0</v>
      </c>
    </row>
    <row r="644" spans="1:3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ISNUMBER(MATCH(G644,AUM!$C$6:$C$1451,0))</f>
        <v>0</v>
      </c>
      <c r="AF644" t="b">
        <f>ISNUMBER(MATCH(G644,AUM!$G$6:$G$240,0))</f>
        <v>0</v>
      </c>
    </row>
    <row r="645" spans="1:3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ISNUMBER(MATCH(G645,AUM!$C$6:$C$1451,0))</f>
        <v>0</v>
      </c>
      <c r="AF645" t="b">
        <f>ISNUMBER(MATCH(G645,AUM!$G$6:$G$240,0))</f>
        <v>0</v>
      </c>
    </row>
    <row r="646" spans="1:3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ISNUMBER(MATCH(G646,AUM!$C$6:$C$1451,0))</f>
        <v>0</v>
      </c>
      <c r="AF646" t="b">
        <f>ISNUMBER(MATCH(G646,AUM!$G$6:$G$240,0))</f>
        <v>0</v>
      </c>
    </row>
    <row r="647" spans="1:3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ISNUMBER(MATCH(G647,AUM!$C$6:$C$1451,0))</f>
        <v>0</v>
      </c>
      <c r="AF647" t="b">
        <f>ISNUMBER(MATCH(G647,AUM!$G$6:$G$240,0))</f>
        <v>0</v>
      </c>
    </row>
    <row r="648" spans="1:3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ISNUMBER(MATCH(G648,AUM!$C$6:$C$1451,0))</f>
        <v>0</v>
      </c>
      <c r="AF648" t="b">
        <f>ISNUMBER(MATCH(G648,AUM!$G$6:$G$240,0))</f>
        <v>0</v>
      </c>
    </row>
    <row r="649" spans="1:3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ISNUMBER(MATCH(G649,AUM!$C$6:$C$1451,0))</f>
        <v>0</v>
      </c>
      <c r="AF649" t="b">
        <f>ISNUMBER(MATCH(G649,AUM!$G$6:$G$240,0))</f>
        <v>0</v>
      </c>
    </row>
    <row r="650" spans="1:3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ISNUMBER(MATCH(G650,AUM!$C$6:$C$1451,0))</f>
        <v>0</v>
      </c>
      <c r="AF650" t="b">
        <f>ISNUMBER(MATCH(G650,AUM!$G$6:$G$240,0))</f>
        <v>0</v>
      </c>
    </row>
    <row r="651" spans="1:3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ISNUMBER(MATCH(G651,AUM!$C$6:$C$1451,0))</f>
        <v>0</v>
      </c>
      <c r="AF651" t="b">
        <f>ISNUMBER(MATCH(G651,AUM!$G$6:$G$240,0))</f>
        <v>0</v>
      </c>
    </row>
    <row r="652" spans="1:3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ISNUMBER(MATCH(G652,AUM!$C$6:$C$1451,0))</f>
        <v>0</v>
      </c>
      <c r="AF652" t="b">
        <f>ISNUMBER(MATCH(G652,AUM!$G$6:$G$240,0))</f>
        <v>0</v>
      </c>
    </row>
    <row r="653" spans="1:3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ISNUMBER(MATCH(G653,AUM!$C$6:$C$1451,0))</f>
        <v>1</v>
      </c>
      <c r="AF653" t="b">
        <f>ISNUMBER(MATCH(G653,AUM!$G$6:$G$240,0))</f>
        <v>0</v>
      </c>
    </row>
    <row r="654" spans="1:3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ISNUMBER(MATCH(G654,AUM!$C$6:$C$1451,0))</f>
        <v>1</v>
      </c>
      <c r="AF654" t="b">
        <f>ISNUMBER(MATCH(G654,AUM!$G$6:$G$240,0))</f>
        <v>0</v>
      </c>
    </row>
    <row r="655" spans="1:3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ISNUMBER(MATCH(G655,AUM!$C$6:$C$1451,0))</f>
        <v>1</v>
      </c>
      <c r="AF655" t="b">
        <f>ISNUMBER(MATCH(G655,AUM!$G$6:$G$240,0))</f>
        <v>1</v>
      </c>
    </row>
    <row r="656" spans="1:3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ISNUMBER(MATCH(G656,AUM!$C$6:$C$1451,0))</f>
        <v>0</v>
      </c>
      <c r="AF656" t="b">
        <f>ISNUMBER(MATCH(G656,AUM!$G$6:$G$240,0))</f>
        <v>0</v>
      </c>
    </row>
    <row r="657" spans="1:3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ISNUMBER(MATCH(G657,AUM!$C$6:$C$1451,0))</f>
        <v>0</v>
      </c>
      <c r="AF657" t="b">
        <f>ISNUMBER(MATCH(G657,AUM!$G$6:$G$240,0))</f>
        <v>0</v>
      </c>
    </row>
    <row r="658" spans="1:3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ISNUMBER(MATCH(G658,AUM!$C$6:$C$1451,0))</f>
        <v>0</v>
      </c>
      <c r="AF658" t="b">
        <f>ISNUMBER(MATCH(G658,AUM!$G$6:$G$240,0))</f>
        <v>0</v>
      </c>
    </row>
    <row r="659" spans="1:3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ISNUMBER(MATCH(G659,AUM!$C$6:$C$1451,0))</f>
        <v>0</v>
      </c>
      <c r="AF659" t="b">
        <f>ISNUMBER(MATCH(G659,AUM!$G$6:$G$240,0))</f>
        <v>0</v>
      </c>
    </row>
    <row r="660" spans="1:3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ISNUMBER(MATCH(G660,AUM!$C$6:$C$1451,0))</f>
        <v>0</v>
      </c>
      <c r="AF660" t="b">
        <f>ISNUMBER(MATCH(G660,AUM!$G$6:$G$240,0))</f>
        <v>0</v>
      </c>
    </row>
    <row r="661" spans="1:3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ISNUMBER(MATCH(G661,AUM!$C$6:$C$1451,0))</f>
        <v>0</v>
      </c>
      <c r="AF661" t="b">
        <f>ISNUMBER(MATCH(G661,AUM!$G$6:$G$240,0))</f>
        <v>0</v>
      </c>
    </row>
    <row r="662" spans="1:3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ISNUMBER(MATCH(G662,AUM!$C$6:$C$1451,0))</f>
        <v>1</v>
      </c>
      <c r="AF662" t="b">
        <f>ISNUMBER(MATCH(G662,AUM!$G$6:$G$240,0))</f>
        <v>0</v>
      </c>
    </row>
    <row r="663" spans="1:3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ISNUMBER(MATCH(G663,AUM!$C$6:$C$1451,0))</f>
        <v>1</v>
      </c>
      <c r="AF663" t="b">
        <f>ISNUMBER(MATCH(G663,AUM!$G$6:$G$240,0))</f>
        <v>0</v>
      </c>
    </row>
    <row r="664" spans="1:3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ISNUMBER(MATCH(G664,AUM!$C$6:$C$1451,0))</f>
        <v>1</v>
      </c>
      <c r="AF664" t="b">
        <f>ISNUMBER(MATCH(G664,AUM!$G$6:$G$240,0))</f>
        <v>1</v>
      </c>
    </row>
    <row r="665" spans="1:3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ISNUMBER(MATCH(G665,AUM!$C$6:$C$1451,0))</f>
        <v>1</v>
      </c>
      <c r="AF665" t="b">
        <f>ISNUMBER(MATCH(G665,AUM!$G$6:$G$240,0))</f>
        <v>0</v>
      </c>
    </row>
    <row r="666" spans="1:3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ISNUMBER(MATCH(G666,AUM!$C$6:$C$1451,0))</f>
        <v>1</v>
      </c>
      <c r="AF666" t="b">
        <f>ISNUMBER(MATCH(G666,AUM!$G$6:$G$240,0))</f>
        <v>0</v>
      </c>
    </row>
    <row r="667" spans="1:3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ISNUMBER(MATCH(G667,AUM!$C$6:$C$1451,0))</f>
        <v>1</v>
      </c>
      <c r="AF667" t="b">
        <f>ISNUMBER(MATCH(G667,AUM!$G$6:$G$240,0))</f>
        <v>1</v>
      </c>
    </row>
    <row r="668" spans="1:3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ISNUMBER(MATCH(G668,AUM!$C$6:$C$1451,0))</f>
        <v>0</v>
      </c>
      <c r="AF668" t="b">
        <f>ISNUMBER(MATCH(G668,AUM!$G$6:$G$240,0))</f>
        <v>0</v>
      </c>
    </row>
    <row r="669" spans="1:3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ISNUMBER(MATCH(G669,AUM!$C$6:$C$1451,0))</f>
        <v>0</v>
      </c>
      <c r="AF669" t="b">
        <f>ISNUMBER(MATCH(G669,AUM!$G$6:$G$240,0))</f>
        <v>0</v>
      </c>
    </row>
    <row r="670" spans="1:3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ISNUMBER(MATCH(G670,AUM!$C$6:$C$1451,0))</f>
        <v>0</v>
      </c>
      <c r="AF670" t="b">
        <f>ISNUMBER(MATCH(G670,AUM!$G$6:$G$240,0))</f>
        <v>0</v>
      </c>
    </row>
    <row r="671" spans="1:3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ISNUMBER(MATCH(G671,AUM!$C$6:$C$1451,0))</f>
        <v>0</v>
      </c>
      <c r="AF671" t="b">
        <f>ISNUMBER(MATCH(G671,AUM!$G$6:$G$240,0))</f>
        <v>0</v>
      </c>
    </row>
    <row r="672" spans="1:3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ISNUMBER(MATCH(G672,AUM!$C$6:$C$1451,0))</f>
        <v>0</v>
      </c>
      <c r="AF672" t="b">
        <f>ISNUMBER(MATCH(G672,AUM!$G$6:$G$240,0))</f>
        <v>0</v>
      </c>
    </row>
    <row r="673" spans="1:3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ISNUMBER(MATCH(G673,AUM!$C$6:$C$1451,0))</f>
        <v>0</v>
      </c>
      <c r="AF673" t="b">
        <f>ISNUMBER(MATCH(G673,AUM!$G$6:$G$240,0))</f>
        <v>0</v>
      </c>
    </row>
    <row r="674" spans="1:3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ISNUMBER(MATCH(G674,AUM!$C$6:$C$1451,0))</f>
        <v>0</v>
      </c>
      <c r="AF674" t="b">
        <f>ISNUMBER(MATCH(G674,AUM!$G$6:$G$240,0))</f>
        <v>0</v>
      </c>
    </row>
    <row r="675" spans="1:3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ISNUMBER(MATCH(G675,AUM!$C$6:$C$1451,0))</f>
        <v>0</v>
      </c>
      <c r="AF675" t="b">
        <f>ISNUMBER(MATCH(G675,AUM!$G$6:$G$240,0))</f>
        <v>0</v>
      </c>
    </row>
    <row r="676" spans="1:3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ISNUMBER(MATCH(G676,AUM!$C$6:$C$1451,0))</f>
        <v>0</v>
      </c>
      <c r="AF676" t="b">
        <f>ISNUMBER(MATCH(G676,AUM!$G$6:$G$240,0))</f>
        <v>0</v>
      </c>
    </row>
    <row r="677" spans="1:3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ISNUMBER(MATCH(G677,AUM!$C$6:$C$1451,0))</f>
        <v>0</v>
      </c>
      <c r="AF677" t="b">
        <f>ISNUMBER(MATCH(G677,AUM!$G$6:$G$240,0))</f>
        <v>0</v>
      </c>
    </row>
    <row r="678" spans="1:3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ISNUMBER(MATCH(G678,AUM!$C$6:$C$1451,0))</f>
        <v>0</v>
      </c>
      <c r="AF678" t="b">
        <f>ISNUMBER(MATCH(G678,AUM!$G$6:$G$240,0))</f>
        <v>0</v>
      </c>
    </row>
    <row r="679" spans="1:3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ISNUMBER(MATCH(G679,AUM!$C$6:$C$1451,0))</f>
        <v>0</v>
      </c>
      <c r="AF679" t="b">
        <f>ISNUMBER(MATCH(G679,AUM!$G$6:$G$240,0))</f>
        <v>0</v>
      </c>
    </row>
    <row r="680" spans="1:3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ISNUMBER(MATCH(G680,AUM!$C$6:$C$1451,0))</f>
        <v>0</v>
      </c>
      <c r="AF680" t="b">
        <f>ISNUMBER(MATCH(G680,AUM!$G$6:$G$240,0))</f>
        <v>0</v>
      </c>
    </row>
    <row r="681" spans="1:3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ISNUMBER(MATCH(G681,AUM!$C$6:$C$1451,0))</f>
        <v>0</v>
      </c>
      <c r="AF681" t="b">
        <f>ISNUMBER(MATCH(G681,AUM!$G$6:$G$240,0))</f>
        <v>0</v>
      </c>
    </row>
    <row r="682" spans="1:3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ISNUMBER(MATCH(G682,AUM!$C$6:$C$1451,0))</f>
        <v>0</v>
      </c>
      <c r="AF682" t="b">
        <f>ISNUMBER(MATCH(G682,AUM!$G$6:$G$240,0))</f>
        <v>0</v>
      </c>
    </row>
    <row r="683" spans="1:3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ISNUMBER(MATCH(G683,AUM!$C$6:$C$1451,0))</f>
        <v>0</v>
      </c>
      <c r="AF683" t="b">
        <f>ISNUMBER(MATCH(G683,AUM!$G$6:$G$240,0))</f>
        <v>0</v>
      </c>
    </row>
    <row r="684" spans="1:3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ISNUMBER(MATCH(G684,AUM!$C$6:$C$1451,0))</f>
        <v>1</v>
      </c>
      <c r="AF684" t="b">
        <f>ISNUMBER(MATCH(G684,AUM!$G$6:$G$240,0))</f>
        <v>0</v>
      </c>
    </row>
    <row r="685" spans="1:3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ISNUMBER(MATCH(G685,AUM!$C$6:$C$1451,0))</f>
        <v>1</v>
      </c>
      <c r="AF685" t="b">
        <f>ISNUMBER(MATCH(G685,AUM!$G$6:$G$240,0))</f>
        <v>0</v>
      </c>
    </row>
    <row r="686" spans="1:3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ISNUMBER(MATCH(G686,AUM!$C$6:$C$1451,0))</f>
        <v>1</v>
      </c>
      <c r="AF686" t="b">
        <f>ISNUMBER(MATCH(G686,AUM!$G$6:$G$240,0))</f>
        <v>0</v>
      </c>
    </row>
    <row r="687" spans="1:3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ISNUMBER(MATCH(G687,AUM!$C$6:$C$1451,0))</f>
        <v>1</v>
      </c>
      <c r="AF687" t="b">
        <f>ISNUMBER(MATCH(G687,AUM!$G$6:$G$240,0))</f>
        <v>0</v>
      </c>
    </row>
    <row r="688" spans="1:3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ISNUMBER(MATCH(G688,AUM!$C$6:$C$1451,0))</f>
        <v>1</v>
      </c>
      <c r="AF688" t="b">
        <f>ISNUMBER(MATCH(G688,AUM!$G$6:$G$240,0))</f>
        <v>0</v>
      </c>
    </row>
    <row r="689" spans="1:3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ISNUMBER(MATCH(G689,AUM!$C$6:$C$1451,0))</f>
        <v>1</v>
      </c>
      <c r="AF689" t="b">
        <f>ISNUMBER(MATCH(G689,AUM!$G$6:$G$240,0))</f>
        <v>1</v>
      </c>
    </row>
    <row r="690" spans="1:3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ISNUMBER(MATCH(G690,AUM!$C$6:$C$1451,0))</f>
        <v>0</v>
      </c>
      <c r="AF690" t="b">
        <f>ISNUMBER(MATCH(G690,AUM!$G$6:$G$240,0))</f>
        <v>0</v>
      </c>
    </row>
    <row r="691" spans="1:3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ISNUMBER(MATCH(G691,AUM!$C$6:$C$1451,0))</f>
        <v>0</v>
      </c>
      <c r="AF691" t="b">
        <f>ISNUMBER(MATCH(G691,AUM!$G$6:$G$240,0))</f>
        <v>0</v>
      </c>
    </row>
    <row r="692" spans="1:3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ISNUMBER(MATCH(G692,AUM!$C$6:$C$1451,0))</f>
        <v>0</v>
      </c>
      <c r="AF692" t="b">
        <f>ISNUMBER(MATCH(G692,AUM!$G$6:$G$240,0))</f>
        <v>1</v>
      </c>
    </row>
    <row r="693" spans="1:3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ISNUMBER(MATCH(G693,AUM!$C$6:$C$1451,0))</f>
        <v>0</v>
      </c>
      <c r="AF693" t="b">
        <f>ISNUMBER(MATCH(G693,AUM!$G$6:$G$240,0))</f>
        <v>0</v>
      </c>
    </row>
    <row r="694" spans="1:3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ISNUMBER(MATCH(G694,AUM!$C$6:$C$1451,0))</f>
        <v>0</v>
      </c>
      <c r="AF694" t="b">
        <f>ISNUMBER(MATCH(G694,AUM!$G$6:$G$240,0))</f>
        <v>0</v>
      </c>
    </row>
    <row r="695" spans="1:3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ISNUMBER(MATCH(G695,AUM!$C$6:$C$1451,0))</f>
        <v>1</v>
      </c>
      <c r="AF695" t="b">
        <f>ISNUMBER(MATCH(G695,AUM!$G$6:$G$240,0))</f>
        <v>0</v>
      </c>
    </row>
    <row r="696" spans="1:3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ISNUMBER(MATCH(G696,AUM!$C$6:$C$1451,0))</f>
        <v>1</v>
      </c>
      <c r="AF696" t="b">
        <f>ISNUMBER(MATCH(G696,AUM!$G$6:$G$240,0))</f>
        <v>0</v>
      </c>
    </row>
    <row r="697" spans="1:3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ISNUMBER(MATCH(G697,AUM!$C$6:$C$1451,0))</f>
        <v>1</v>
      </c>
      <c r="AF697" t="b">
        <f>ISNUMBER(MATCH(G697,AUM!$G$6:$G$240,0))</f>
        <v>0</v>
      </c>
    </row>
    <row r="698" spans="1:3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ISNUMBER(MATCH(G698,AUM!$C$6:$C$1451,0))</f>
        <v>1</v>
      </c>
      <c r="AF698" t="b">
        <f>ISNUMBER(MATCH(G698,AUM!$G$6:$G$240,0))</f>
        <v>0</v>
      </c>
    </row>
    <row r="699" spans="1:3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ISNUMBER(MATCH(G699,AUM!$C$6:$C$1451,0))</f>
        <v>1</v>
      </c>
      <c r="AF699" t="b">
        <f>ISNUMBER(MATCH(G699,AUM!$G$6:$G$240,0))</f>
        <v>0</v>
      </c>
    </row>
    <row r="700" spans="1:3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ISNUMBER(MATCH(G700,AUM!$C$6:$C$1451,0))</f>
        <v>1</v>
      </c>
      <c r="AF700" t="b">
        <f>ISNUMBER(MATCH(G700,AUM!$G$6:$G$240,0))</f>
        <v>0</v>
      </c>
    </row>
    <row r="701" spans="1:3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ISNUMBER(MATCH(G701,AUM!$C$6:$C$1451,0))</f>
        <v>1</v>
      </c>
      <c r="AF701" t="b">
        <f>ISNUMBER(MATCH(G701,AUM!$G$6:$G$240,0))</f>
        <v>0</v>
      </c>
    </row>
    <row r="702" spans="1:3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ISNUMBER(MATCH(G702,AUM!$C$6:$C$1451,0))</f>
        <v>1</v>
      </c>
      <c r="AF702" t="b">
        <f>ISNUMBER(MATCH(G702,AUM!$G$6:$G$240,0))</f>
        <v>0</v>
      </c>
    </row>
    <row r="703" spans="1:3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ISNUMBER(MATCH(G703,AUM!$C$6:$C$1451,0))</f>
        <v>1</v>
      </c>
      <c r="AF703" t="b">
        <f>ISNUMBER(MATCH(G703,AUM!$G$6:$G$240,0))</f>
        <v>0</v>
      </c>
    </row>
    <row r="704" spans="1:3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ISNUMBER(MATCH(G704,AUM!$C$6:$C$1451,0))</f>
        <v>1</v>
      </c>
      <c r="AF704" t="b">
        <f>ISNUMBER(MATCH(G704,AUM!$G$6:$G$240,0))</f>
        <v>0</v>
      </c>
    </row>
    <row r="705" spans="1:3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ISNUMBER(MATCH(G705,AUM!$C$6:$C$1451,0))</f>
        <v>0</v>
      </c>
      <c r="AF705" t="b">
        <f>ISNUMBER(MATCH(G705,AUM!$G$6:$G$240,0))</f>
        <v>0</v>
      </c>
    </row>
    <row r="706" spans="1:3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ISNUMBER(MATCH(G706,AUM!$C$6:$C$1451,0))</f>
        <v>0</v>
      </c>
      <c r="AF706" t="b">
        <f>ISNUMBER(MATCH(G706,AUM!$G$6:$G$240,0))</f>
        <v>0</v>
      </c>
    </row>
    <row r="707" spans="1:3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ISNUMBER(MATCH(G707,AUM!$C$6:$C$1451,0))</f>
        <v>0</v>
      </c>
      <c r="AF707" t="b">
        <f>ISNUMBER(MATCH(G707,AUM!$G$6:$G$240,0))</f>
        <v>0</v>
      </c>
    </row>
    <row r="708" spans="1:3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ISNUMBER(MATCH(G708,AUM!$C$6:$C$1451,0))</f>
        <v>1</v>
      </c>
      <c r="AF708" t="b">
        <f>ISNUMBER(MATCH(G708,AUM!$G$6:$G$240,0))</f>
        <v>0</v>
      </c>
    </row>
    <row r="709" spans="1:3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ISNUMBER(MATCH(G709,AUM!$C$6:$C$1451,0))</f>
        <v>1</v>
      </c>
      <c r="AF709" t="b">
        <f>ISNUMBER(MATCH(G709,AUM!$G$6:$G$240,0))</f>
        <v>0</v>
      </c>
    </row>
    <row r="710" spans="1:3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ISNUMBER(MATCH(G710,AUM!$C$6:$C$1451,0))</f>
        <v>1</v>
      </c>
      <c r="AF710" t="b">
        <f>ISNUMBER(MATCH(G710,AUM!$G$6:$G$240,0))</f>
        <v>0</v>
      </c>
    </row>
    <row r="711" spans="1:3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ISNUMBER(MATCH(G711,AUM!$C$6:$C$1451,0))</f>
        <v>1</v>
      </c>
      <c r="AF711" t="b">
        <f>ISNUMBER(MATCH(G711,AUM!$G$6:$G$240,0))</f>
        <v>0</v>
      </c>
    </row>
    <row r="712" spans="1:3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ISNUMBER(MATCH(G712,AUM!$C$6:$C$1451,0))</f>
        <v>1</v>
      </c>
      <c r="AF712" t="b">
        <f>ISNUMBER(MATCH(G712,AUM!$G$6:$G$240,0))</f>
        <v>0</v>
      </c>
    </row>
    <row r="713" spans="1:3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ISNUMBER(MATCH(G713,AUM!$C$6:$C$1451,0))</f>
        <v>1</v>
      </c>
      <c r="AF713" t="b">
        <f>ISNUMBER(MATCH(G713,AUM!$G$6:$G$240,0))</f>
        <v>0</v>
      </c>
    </row>
    <row r="714" spans="1:3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ISNUMBER(MATCH(G714,AUM!$C$6:$C$1451,0))</f>
        <v>1</v>
      </c>
      <c r="AF714" t="b">
        <f>ISNUMBER(MATCH(G714,AUM!$G$6:$G$240,0))</f>
        <v>0</v>
      </c>
    </row>
    <row r="715" spans="1:3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ISNUMBER(MATCH(G715,AUM!$C$6:$C$1451,0))</f>
        <v>1</v>
      </c>
      <c r="AF715" t="b">
        <f>ISNUMBER(MATCH(G715,AUM!$G$6:$G$240,0))</f>
        <v>0</v>
      </c>
    </row>
    <row r="716" spans="1:3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ISNUMBER(MATCH(G716,AUM!$C$6:$C$1451,0))</f>
        <v>1</v>
      </c>
      <c r="AF716" t="b">
        <f>ISNUMBER(MATCH(G716,AUM!$G$6:$G$240,0))</f>
        <v>0</v>
      </c>
    </row>
    <row r="717" spans="1:3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ISNUMBER(MATCH(G717,AUM!$C$6:$C$1451,0))</f>
        <v>1</v>
      </c>
      <c r="AF717" t="b">
        <f>ISNUMBER(MATCH(G717,AUM!$G$6:$G$240,0))</f>
        <v>0</v>
      </c>
    </row>
    <row r="718" spans="1:3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ISNUMBER(MATCH(G718,AUM!$C$6:$C$1451,0))</f>
        <v>1</v>
      </c>
      <c r="AF718" t="b">
        <f>ISNUMBER(MATCH(G718,AUM!$G$6:$G$240,0))</f>
        <v>0</v>
      </c>
    </row>
    <row r="719" spans="1:3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ISNUMBER(MATCH(G719,AUM!$C$6:$C$1451,0))</f>
        <v>1</v>
      </c>
      <c r="AF719" t="b">
        <f>ISNUMBER(MATCH(G719,AUM!$G$6:$G$240,0))</f>
        <v>0</v>
      </c>
    </row>
    <row r="720" spans="1:3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ISNUMBER(MATCH(G720,AUM!$C$6:$C$1451,0))</f>
        <v>1</v>
      </c>
      <c r="AF720" t="b">
        <f>ISNUMBER(MATCH(G720,AUM!$G$6:$G$240,0))</f>
        <v>0</v>
      </c>
    </row>
    <row r="721" spans="1:3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ISNUMBER(MATCH(G721,AUM!$C$6:$C$1451,0))</f>
        <v>1</v>
      </c>
      <c r="AF721" t="b">
        <f>ISNUMBER(MATCH(G721,AUM!$G$6:$G$240,0))</f>
        <v>0</v>
      </c>
    </row>
    <row r="722" spans="1:3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ISNUMBER(MATCH(G722,AUM!$C$6:$C$1451,0))</f>
        <v>1</v>
      </c>
      <c r="AF722" t="b">
        <f>ISNUMBER(MATCH(G722,AUM!$G$6:$G$240,0))</f>
        <v>0</v>
      </c>
    </row>
    <row r="723" spans="1:3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ISNUMBER(MATCH(G723,AUM!$C$6:$C$1451,0))</f>
        <v>1</v>
      </c>
      <c r="AF723" t="b">
        <f>ISNUMBER(MATCH(G723,AUM!$G$6:$G$240,0))</f>
        <v>0</v>
      </c>
    </row>
    <row r="724" spans="1:3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ISNUMBER(MATCH(G724,AUM!$C$6:$C$1451,0))</f>
        <v>1</v>
      </c>
      <c r="AF724" t="b">
        <f>ISNUMBER(MATCH(G724,AUM!$G$6:$G$240,0))</f>
        <v>0</v>
      </c>
    </row>
    <row r="725" spans="1:3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ISNUMBER(MATCH(G725,AUM!$C$6:$C$1451,0))</f>
        <v>1</v>
      </c>
      <c r="AF725" t="b">
        <f>ISNUMBER(MATCH(G725,AUM!$G$6:$G$240,0))</f>
        <v>0</v>
      </c>
    </row>
    <row r="726" spans="1:3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ISNUMBER(MATCH(G726,AUM!$C$6:$C$1451,0))</f>
        <v>0</v>
      </c>
      <c r="AF726" t="b">
        <f>ISNUMBER(MATCH(G726,AUM!$G$6:$G$240,0))</f>
        <v>0</v>
      </c>
    </row>
    <row r="727" spans="1:3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ISNUMBER(MATCH(G727,AUM!$C$6:$C$1451,0))</f>
        <v>1</v>
      </c>
      <c r="AF727" t="b">
        <f>ISNUMBER(MATCH(G727,AUM!$G$6:$G$240,0))</f>
        <v>1</v>
      </c>
    </row>
    <row r="728" spans="1:3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ISNUMBER(MATCH(G728,AUM!$C$6:$C$1451,0))</f>
        <v>1</v>
      </c>
      <c r="AF728" t="b">
        <f>ISNUMBER(MATCH(G728,AUM!$G$6:$G$240,0))</f>
        <v>0</v>
      </c>
    </row>
    <row r="729" spans="1:3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ISNUMBER(MATCH(G729,AUM!$C$6:$C$1451,0))</f>
        <v>1</v>
      </c>
      <c r="AF729" t="b">
        <f>ISNUMBER(MATCH(G729,AUM!$G$6:$G$240,0))</f>
        <v>0</v>
      </c>
    </row>
    <row r="730" spans="1:3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ISNUMBER(MATCH(G730,AUM!$C$6:$C$1451,0))</f>
        <v>0</v>
      </c>
      <c r="AF730" t="b">
        <f>ISNUMBER(MATCH(G730,AUM!$G$6:$G$240,0))</f>
        <v>0</v>
      </c>
    </row>
    <row r="731" spans="1:3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ISNUMBER(MATCH(G731,AUM!$C$6:$C$1451,0))</f>
        <v>0</v>
      </c>
      <c r="AF731" t="b">
        <f>ISNUMBER(MATCH(G731,AUM!$G$6:$G$240,0))</f>
        <v>0</v>
      </c>
    </row>
    <row r="732" spans="1:3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ISNUMBER(MATCH(G732,AUM!$C$6:$C$1451,0))</f>
        <v>0</v>
      </c>
      <c r="AF732" t="b">
        <f>ISNUMBER(MATCH(G732,AUM!$G$6:$G$240,0))</f>
        <v>0</v>
      </c>
    </row>
    <row r="733" spans="1:3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ISNUMBER(MATCH(G733,AUM!$C$6:$C$1451,0))</f>
        <v>0</v>
      </c>
      <c r="AF733" t="b">
        <f>ISNUMBER(MATCH(G733,AUM!$G$6:$G$240,0))</f>
        <v>0</v>
      </c>
    </row>
    <row r="734" spans="1:3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ISNUMBER(MATCH(G734,AUM!$C$6:$C$1451,0))</f>
        <v>0</v>
      </c>
      <c r="AF734" t="b">
        <f>ISNUMBER(MATCH(G734,AUM!$G$6:$G$240,0))</f>
        <v>0</v>
      </c>
    </row>
    <row r="735" spans="1:3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ISNUMBER(MATCH(G735,AUM!$C$6:$C$1451,0))</f>
        <v>0</v>
      </c>
      <c r="AF735" t="b">
        <f>ISNUMBER(MATCH(G735,AUM!$G$6:$G$240,0))</f>
        <v>0</v>
      </c>
    </row>
    <row r="736" spans="1:3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ISNUMBER(MATCH(G736,AUM!$C$6:$C$1451,0))</f>
        <v>0</v>
      </c>
      <c r="AF736" t="b">
        <f>ISNUMBER(MATCH(G736,AUM!$G$6:$G$240,0))</f>
        <v>0</v>
      </c>
    </row>
    <row r="737" spans="1:3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ISNUMBER(MATCH(G737,AUM!$C$6:$C$1451,0))</f>
        <v>0</v>
      </c>
      <c r="AF737" t="b">
        <f>ISNUMBER(MATCH(G737,AUM!$G$6:$G$240,0))</f>
        <v>0</v>
      </c>
    </row>
    <row r="738" spans="1:3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ISNUMBER(MATCH(G738,AUM!$C$6:$C$1451,0))</f>
        <v>0</v>
      </c>
      <c r="AF738" t="b">
        <f>ISNUMBER(MATCH(G738,AUM!$G$6:$G$240,0))</f>
        <v>0</v>
      </c>
    </row>
    <row r="739" spans="1:3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ISNUMBER(MATCH(G739,AUM!$C$6:$C$1451,0))</f>
        <v>0</v>
      </c>
      <c r="AF739" t="b">
        <f>ISNUMBER(MATCH(G739,AUM!$G$6:$G$240,0))</f>
        <v>0</v>
      </c>
    </row>
    <row r="740" spans="1:3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ISNUMBER(MATCH(G740,AUM!$C$6:$C$1451,0))</f>
        <v>0</v>
      </c>
      <c r="AF740" t="b">
        <f>ISNUMBER(MATCH(G740,AUM!$G$6:$G$240,0))</f>
        <v>0</v>
      </c>
    </row>
    <row r="741" spans="1:3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ISNUMBER(MATCH(G741,AUM!$C$6:$C$1451,0))</f>
        <v>0</v>
      </c>
      <c r="AF741" t="b">
        <f>ISNUMBER(MATCH(G741,AUM!$G$6:$G$240,0))</f>
        <v>0</v>
      </c>
    </row>
    <row r="742" spans="1:3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ISNUMBER(MATCH(G742,AUM!$C$6:$C$1451,0))</f>
        <v>1</v>
      </c>
      <c r="AF742" t="b">
        <f>ISNUMBER(MATCH(G742,AUM!$G$6:$G$240,0))</f>
        <v>0</v>
      </c>
    </row>
    <row r="743" spans="1:3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ISNUMBER(MATCH(G743,AUM!$C$6:$C$1451,0))</f>
        <v>1</v>
      </c>
      <c r="AF743" t="b">
        <f>ISNUMBER(MATCH(G743,AUM!$G$6:$G$240,0))</f>
        <v>0</v>
      </c>
    </row>
    <row r="744" spans="1:3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ISNUMBER(MATCH(G744,AUM!$C$6:$C$1451,0))</f>
        <v>1</v>
      </c>
      <c r="AF744" t="b">
        <f>ISNUMBER(MATCH(G744,AUM!$G$6:$G$240,0))</f>
        <v>1</v>
      </c>
    </row>
    <row r="745" spans="1:3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ISNUMBER(MATCH(G745,AUM!$C$6:$C$1451,0))</f>
        <v>1</v>
      </c>
      <c r="AF745" t="b">
        <f>ISNUMBER(MATCH(G745,AUM!$G$6:$G$240,0))</f>
        <v>0</v>
      </c>
    </row>
    <row r="746" spans="1:3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ISNUMBER(MATCH(G746,AUM!$C$6:$C$1451,0))</f>
        <v>0</v>
      </c>
      <c r="AF746" t="b">
        <f>ISNUMBER(MATCH(G746,AUM!$G$6:$G$240,0))</f>
        <v>0</v>
      </c>
    </row>
    <row r="747" spans="1:3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ISNUMBER(MATCH(G747,AUM!$C$6:$C$1451,0))</f>
        <v>0</v>
      </c>
      <c r="AF747" t="b">
        <f>ISNUMBER(MATCH(G747,AUM!$G$6:$G$240,0))</f>
        <v>0</v>
      </c>
    </row>
    <row r="748" spans="1:3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ISNUMBER(MATCH(G748,AUM!$C$6:$C$1451,0))</f>
        <v>0</v>
      </c>
      <c r="AF748" t="b">
        <f>ISNUMBER(MATCH(G748,AUM!$G$6:$G$240,0))</f>
        <v>0</v>
      </c>
    </row>
    <row r="749" spans="1:3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ISNUMBER(MATCH(G749,AUM!$C$6:$C$1451,0))</f>
        <v>0</v>
      </c>
      <c r="AF749" t="b">
        <f>ISNUMBER(MATCH(G749,AUM!$G$6:$G$240,0))</f>
        <v>0</v>
      </c>
    </row>
    <row r="750" spans="1:3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ISNUMBER(MATCH(G750,AUM!$C$6:$C$1451,0))</f>
        <v>0</v>
      </c>
      <c r="AF750" t="b">
        <f>ISNUMBER(MATCH(G750,AUM!$G$6:$G$240,0))</f>
        <v>0</v>
      </c>
    </row>
    <row r="751" spans="1:3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ISNUMBER(MATCH(G751,AUM!$C$6:$C$1451,0))</f>
        <v>0</v>
      </c>
      <c r="AF751" t="b">
        <f>ISNUMBER(MATCH(G751,AUM!$G$6:$G$240,0))</f>
        <v>0</v>
      </c>
    </row>
    <row r="752" spans="1:3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ISNUMBER(MATCH(G752,AUM!$C$6:$C$1451,0))</f>
        <v>0</v>
      </c>
      <c r="AF752" t="b">
        <f>ISNUMBER(MATCH(G752,AUM!$G$6:$G$240,0))</f>
        <v>0</v>
      </c>
    </row>
    <row r="753" spans="1:3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ISNUMBER(MATCH(G753,AUM!$C$6:$C$1451,0))</f>
        <v>0</v>
      </c>
      <c r="AF753" t="b">
        <f>ISNUMBER(MATCH(G753,AUM!$G$6:$G$240,0))</f>
        <v>0</v>
      </c>
    </row>
    <row r="754" spans="1:3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ISNUMBER(MATCH(G754,AUM!$C$6:$C$1451,0))</f>
        <v>0</v>
      </c>
      <c r="AF754" t="b">
        <f>ISNUMBER(MATCH(G754,AUM!$G$6:$G$240,0))</f>
        <v>0</v>
      </c>
    </row>
    <row r="755" spans="1:3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ISNUMBER(MATCH(G755,AUM!$C$6:$C$1451,0))</f>
        <v>0</v>
      </c>
      <c r="AF755" t="b">
        <f>ISNUMBER(MATCH(G755,AUM!$G$6:$G$240,0))</f>
        <v>0</v>
      </c>
    </row>
    <row r="756" spans="1:3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ISNUMBER(MATCH(G756,AUM!$C$6:$C$1451,0))</f>
        <v>0</v>
      </c>
      <c r="AF756" t="b">
        <f>ISNUMBER(MATCH(G756,AUM!$G$6:$G$240,0))</f>
        <v>0</v>
      </c>
    </row>
    <row r="757" spans="1:3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ISNUMBER(MATCH(G757,AUM!$C$6:$C$1451,0))</f>
        <v>0</v>
      </c>
      <c r="AF757" t="b">
        <f>ISNUMBER(MATCH(G757,AUM!$G$6:$G$240,0))</f>
        <v>0</v>
      </c>
    </row>
    <row r="758" spans="1:3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ISNUMBER(MATCH(G758,AUM!$C$6:$C$1451,0))</f>
        <v>0</v>
      </c>
      <c r="AF758" t="b">
        <f>ISNUMBER(MATCH(G758,AUM!$G$6:$G$240,0))</f>
        <v>0</v>
      </c>
    </row>
    <row r="759" spans="1:3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ISNUMBER(MATCH(G759,AUM!$C$6:$C$1451,0))</f>
        <v>0</v>
      </c>
      <c r="AF759" t="b">
        <f>ISNUMBER(MATCH(G759,AUM!$G$6:$G$240,0))</f>
        <v>0</v>
      </c>
    </row>
    <row r="760" spans="1:3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ISNUMBER(MATCH(G760,AUM!$C$6:$C$1451,0))</f>
        <v>0</v>
      </c>
      <c r="AF760" t="b">
        <f>ISNUMBER(MATCH(G760,AUM!$G$6:$G$240,0))</f>
        <v>0</v>
      </c>
    </row>
    <row r="761" spans="1:3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ISNUMBER(MATCH(G761,AUM!$C$6:$C$1451,0))</f>
        <v>0</v>
      </c>
      <c r="AF761" t="b">
        <f>ISNUMBER(MATCH(G761,AUM!$G$6:$G$240,0))</f>
        <v>0</v>
      </c>
    </row>
    <row r="762" spans="1:3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ISNUMBER(MATCH(G762,AUM!$C$6:$C$1451,0))</f>
        <v>1</v>
      </c>
      <c r="AF762" t="b">
        <f>ISNUMBER(MATCH(G762,AUM!$G$6:$G$240,0))</f>
        <v>0</v>
      </c>
    </row>
    <row r="763" spans="1:3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ISNUMBER(MATCH(G763,AUM!$C$6:$C$1451,0))</f>
        <v>1</v>
      </c>
      <c r="AF763" t="b">
        <f>ISNUMBER(MATCH(G763,AUM!$G$6:$G$240,0))</f>
        <v>0</v>
      </c>
    </row>
    <row r="764" spans="1:3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ISNUMBER(MATCH(G764,AUM!$C$6:$C$1451,0))</f>
        <v>1</v>
      </c>
      <c r="AF764" t="b">
        <f>ISNUMBER(MATCH(G764,AUM!$G$6:$G$240,0))</f>
        <v>1</v>
      </c>
    </row>
    <row r="765" spans="1:3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ISNUMBER(MATCH(G765,AUM!$C$6:$C$1451,0))</f>
        <v>0</v>
      </c>
      <c r="AF765" t="b">
        <f>ISNUMBER(MATCH(G765,AUM!$G$6:$G$240,0))</f>
        <v>0</v>
      </c>
    </row>
    <row r="766" spans="1:3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ISNUMBER(MATCH(G766,AUM!$C$6:$C$1451,0))</f>
        <v>1</v>
      </c>
      <c r="AF766" t="b">
        <f>ISNUMBER(MATCH(G766,AUM!$G$6:$G$240,0))</f>
        <v>0</v>
      </c>
    </row>
    <row r="767" spans="1:3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ISNUMBER(MATCH(G767,AUM!$C$6:$C$1451,0))</f>
        <v>1</v>
      </c>
      <c r="AF767" t="b">
        <f>ISNUMBER(MATCH(G767,AUM!$G$6:$G$240,0))</f>
        <v>1</v>
      </c>
    </row>
    <row r="768" spans="1:3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ISNUMBER(MATCH(G768,AUM!$C$6:$C$1451,0))</f>
        <v>0</v>
      </c>
      <c r="AF768" t="b">
        <f>ISNUMBER(MATCH(G768,AUM!$G$6:$G$240,0))</f>
        <v>0</v>
      </c>
    </row>
    <row r="769" spans="1:3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ISNUMBER(MATCH(G769,AUM!$C$6:$C$1451,0))</f>
        <v>0</v>
      </c>
      <c r="AF769" t="b">
        <f>ISNUMBER(MATCH(G769,AUM!$G$6:$G$240,0))</f>
        <v>0</v>
      </c>
    </row>
    <row r="770" spans="1:3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ISNUMBER(MATCH(G770,AUM!$C$6:$C$1451,0))</f>
        <v>1</v>
      </c>
      <c r="AF770" t="b">
        <f>ISNUMBER(MATCH(G770,AUM!$G$6:$G$240,0))</f>
        <v>1</v>
      </c>
    </row>
    <row r="771" spans="1:3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ISNUMBER(MATCH(G771,AUM!$C$6:$C$1451,0))</f>
        <v>1</v>
      </c>
      <c r="AF771" t="b">
        <f>ISNUMBER(MATCH(G771,AUM!$G$6:$G$240,0))</f>
        <v>0</v>
      </c>
    </row>
    <row r="772" spans="1:3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ISNUMBER(MATCH(G772,AUM!$C$6:$C$1451,0))</f>
        <v>0</v>
      </c>
      <c r="AF772" t="b">
        <f>ISNUMBER(MATCH(G772,AUM!$G$6:$G$240,0))</f>
        <v>0</v>
      </c>
    </row>
    <row r="773" spans="1:3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ISNUMBER(MATCH(G773,AUM!$C$6:$C$1451,0))</f>
        <v>1</v>
      </c>
      <c r="AF773" t="b">
        <f>ISNUMBER(MATCH(G773,AUM!$G$6:$G$240,0))</f>
        <v>0</v>
      </c>
    </row>
    <row r="774" spans="1:3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ISNUMBER(MATCH(G774,AUM!$C$6:$C$1451,0))</f>
        <v>1</v>
      </c>
      <c r="AF774" t="b">
        <f>ISNUMBER(MATCH(G774,AUM!$G$6:$G$240,0))</f>
        <v>0</v>
      </c>
    </row>
    <row r="775" spans="1:3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ISNUMBER(MATCH(G775,AUM!$C$6:$C$1451,0))</f>
        <v>1</v>
      </c>
      <c r="AF775" t="b">
        <f>ISNUMBER(MATCH(G775,AUM!$G$6:$G$240,0))</f>
        <v>0</v>
      </c>
    </row>
    <row r="776" spans="1:3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ISNUMBER(MATCH(G776,AUM!$C$6:$C$1451,0))</f>
        <v>1</v>
      </c>
      <c r="AF776" t="b">
        <f>ISNUMBER(MATCH(G776,AUM!$G$6:$G$240,0))</f>
        <v>0</v>
      </c>
    </row>
    <row r="777" spans="1:3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ISNUMBER(MATCH(G777,AUM!$C$6:$C$1451,0))</f>
        <v>0</v>
      </c>
      <c r="AF777" t="b">
        <f>ISNUMBER(MATCH(G777,AUM!$G$6:$G$240,0))</f>
        <v>0</v>
      </c>
    </row>
    <row r="778" spans="1:3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ISNUMBER(MATCH(G778,AUM!$C$6:$C$1451,0))</f>
        <v>0</v>
      </c>
      <c r="AF778" t="b">
        <f>ISNUMBER(MATCH(G778,AUM!$G$6:$G$240,0))</f>
        <v>0</v>
      </c>
    </row>
    <row r="779" spans="1:3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ISNUMBER(MATCH(G779,AUM!$C$6:$C$1451,0))</f>
        <v>0</v>
      </c>
      <c r="AF779" t="b">
        <f>ISNUMBER(MATCH(G779,AUM!$G$6:$G$240,0))</f>
        <v>0</v>
      </c>
    </row>
    <row r="780" spans="1:3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ISNUMBER(MATCH(G780,AUM!$C$6:$C$1451,0))</f>
        <v>0</v>
      </c>
      <c r="AF780" t="b">
        <f>ISNUMBER(MATCH(G780,AUM!$G$6:$G$240,0))</f>
        <v>0</v>
      </c>
    </row>
    <row r="781" spans="1:3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ISNUMBER(MATCH(G781,AUM!$C$6:$C$1451,0))</f>
        <v>1</v>
      </c>
      <c r="AF781" t="b">
        <f>ISNUMBER(MATCH(G781,AUM!$G$6:$G$240,0))</f>
        <v>0</v>
      </c>
    </row>
    <row r="782" spans="1:3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ISNUMBER(MATCH(G782,AUM!$C$6:$C$1451,0))</f>
        <v>1</v>
      </c>
      <c r="AF782" t="b">
        <f>ISNUMBER(MATCH(G782,AUM!$G$6:$G$240,0))</f>
        <v>0</v>
      </c>
    </row>
    <row r="783" spans="1:3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ISNUMBER(MATCH(G783,AUM!$C$6:$C$1451,0))</f>
        <v>1</v>
      </c>
      <c r="AF783" t="b">
        <f>ISNUMBER(MATCH(G783,AUM!$G$6:$G$240,0))</f>
        <v>0</v>
      </c>
    </row>
    <row r="784" spans="1:3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ISNUMBER(MATCH(G784,AUM!$C$6:$C$1451,0))</f>
        <v>1</v>
      </c>
      <c r="AF784" t="b">
        <f>ISNUMBER(MATCH(G784,AUM!$G$6:$G$240,0))</f>
        <v>0</v>
      </c>
    </row>
    <row r="785" spans="1:3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ISNUMBER(MATCH(G785,AUM!$C$6:$C$1451,0))</f>
        <v>1</v>
      </c>
      <c r="AF785" t="b">
        <f>ISNUMBER(MATCH(G785,AUM!$G$6:$G$240,0))</f>
        <v>0</v>
      </c>
    </row>
    <row r="786" spans="1:3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ISNUMBER(MATCH(G786,AUM!$C$6:$C$1451,0))</f>
        <v>1</v>
      </c>
      <c r="AF786" t="b">
        <f>ISNUMBER(MATCH(G786,AUM!$G$6:$G$240,0))</f>
        <v>0</v>
      </c>
    </row>
    <row r="787" spans="1:3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ISNUMBER(MATCH(G787,AUM!$C$6:$C$1451,0))</f>
        <v>1</v>
      </c>
      <c r="AF787" t="b">
        <f>ISNUMBER(MATCH(G787,AUM!$G$6:$G$240,0))</f>
        <v>0</v>
      </c>
    </row>
    <row r="788" spans="1:3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ISNUMBER(MATCH(G788,AUM!$C$6:$C$1451,0))</f>
        <v>1</v>
      </c>
      <c r="AF788" t="b">
        <f>ISNUMBER(MATCH(G788,AUM!$G$6:$G$240,0))</f>
        <v>1</v>
      </c>
    </row>
    <row r="789" spans="1:3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ISNUMBER(MATCH(G789,AUM!$C$6:$C$1451,0))</f>
        <v>0</v>
      </c>
      <c r="AF789" t="b">
        <f>ISNUMBER(MATCH(G789,AUM!$G$6:$G$240,0))</f>
        <v>0</v>
      </c>
    </row>
    <row r="790" spans="1:3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ISNUMBER(MATCH(G790,AUM!$C$6:$C$1451,0))</f>
        <v>0</v>
      </c>
      <c r="AF790" t="b">
        <f>ISNUMBER(MATCH(G790,AUM!$G$6:$G$240,0))</f>
        <v>0</v>
      </c>
    </row>
    <row r="791" spans="1:3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ISNUMBER(MATCH(G791,AUM!$C$6:$C$1451,0))</f>
        <v>0</v>
      </c>
      <c r="AF791" t="b">
        <f>ISNUMBER(MATCH(G791,AUM!$G$6:$G$240,0))</f>
        <v>0</v>
      </c>
    </row>
    <row r="792" spans="1:3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ISNUMBER(MATCH(G792,AUM!$C$6:$C$1451,0))</f>
        <v>0</v>
      </c>
      <c r="AF792" t="b">
        <f>ISNUMBER(MATCH(G792,AUM!$G$6:$G$240,0))</f>
        <v>0</v>
      </c>
    </row>
    <row r="793" spans="1:3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ISNUMBER(MATCH(G793,AUM!$C$6:$C$1451,0))</f>
        <v>0</v>
      </c>
      <c r="AF793" t="b">
        <f>ISNUMBER(MATCH(G793,AUM!$G$6:$G$240,0))</f>
        <v>0</v>
      </c>
    </row>
    <row r="794" spans="1:3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ISNUMBER(MATCH(G794,AUM!$C$6:$C$1451,0))</f>
        <v>0</v>
      </c>
      <c r="AF794" t="b">
        <f>ISNUMBER(MATCH(G794,AUM!$G$6:$G$240,0))</f>
        <v>0</v>
      </c>
    </row>
    <row r="795" spans="1:3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ISNUMBER(MATCH(G795,AUM!$C$6:$C$1451,0))</f>
        <v>1</v>
      </c>
      <c r="AF795" t="b">
        <f>ISNUMBER(MATCH(G795,AUM!$G$6:$G$240,0))</f>
        <v>0</v>
      </c>
    </row>
    <row r="796" spans="1:3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ISNUMBER(MATCH(G796,AUM!$C$6:$C$1451,0))</f>
        <v>1</v>
      </c>
      <c r="AF796" t="b">
        <f>ISNUMBER(MATCH(G796,AUM!$G$6:$G$240,0))</f>
        <v>0</v>
      </c>
    </row>
    <row r="797" spans="1:3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ISNUMBER(MATCH(G797,AUM!$C$6:$C$1451,0))</f>
        <v>1</v>
      </c>
      <c r="AF797" t="b">
        <f>ISNUMBER(MATCH(G797,AUM!$G$6:$G$240,0))</f>
        <v>0</v>
      </c>
    </row>
    <row r="798" spans="1:3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ISNUMBER(MATCH(G798,AUM!$C$6:$C$1451,0))</f>
        <v>1</v>
      </c>
      <c r="AF798" t="b">
        <f>ISNUMBER(MATCH(G798,AUM!$G$6:$G$240,0))</f>
        <v>0</v>
      </c>
    </row>
    <row r="799" spans="1:3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ISNUMBER(MATCH(G799,AUM!$C$6:$C$1451,0))</f>
        <v>1</v>
      </c>
      <c r="AF799" t="b">
        <f>ISNUMBER(MATCH(G799,AUM!$G$6:$G$240,0))</f>
        <v>0</v>
      </c>
    </row>
    <row r="800" spans="1:3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ISNUMBER(MATCH(G800,AUM!$C$6:$C$1451,0))</f>
        <v>1</v>
      </c>
      <c r="AF800" t="b">
        <f>ISNUMBER(MATCH(G800,AUM!$G$6:$G$240,0))</f>
        <v>0</v>
      </c>
    </row>
    <row r="801" spans="1:3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ISNUMBER(MATCH(G801,AUM!$C$6:$C$1451,0))</f>
        <v>1</v>
      </c>
      <c r="AF801" t="b">
        <f>ISNUMBER(MATCH(G801,AUM!$G$6:$G$240,0))</f>
        <v>0</v>
      </c>
    </row>
    <row r="802" spans="1:3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ISNUMBER(MATCH(G802,AUM!$C$6:$C$1451,0))</f>
        <v>1</v>
      </c>
      <c r="AF802" t="b">
        <f>ISNUMBER(MATCH(G802,AUM!$G$6:$G$240,0))</f>
        <v>0</v>
      </c>
    </row>
    <row r="803" spans="1:3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ISNUMBER(MATCH(G803,AUM!$C$6:$C$1451,0))</f>
        <v>1</v>
      </c>
      <c r="AF803" t="b">
        <f>ISNUMBER(MATCH(G803,AUM!$G$6:$G$240,0))</f>
        <v>0</v>
      </c>
    </row>
    <row r="804" spans="1:3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ISNUMBER(MATCH(G804,AUM!$C$6:$C$1451,0))</f>
        <v>1</v>
      </c>
      <c r="AF804" t="b">
        <f>ISNUMBER(MATCH(G804,AUM!$G$6:$G$240,0))</f>
        <v>0</v>
      </c>
    </row>
    <row r="805" spans="1:3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ISNUMBER(MATCH(G805,AUM!$C$6:$C$1451,0))</f>
        <v>1</v>
      </c>
      <c r="AF805" t="b">
        <f>ISNUMBER(MATCH(G805,AUM!$G$6:$G$240,0))</f>
        <v>0</v>
      </c>
    </row>
    <row r="806" spans="1:3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ISNUMBER(MATCH(G806,AUM!$C$6:$C$1451,0))</f>
        <v>0</v>
      </c>
      <c r="AF806" t="b">
        <f>ISNUMBER(MATCH(G806,AUM!$G$6:$G$240,0))</f>
        <v>0</v>
      </c>
    </row>
    <row r="807" spans="1:3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ISNUMBER(MATCH(G807,AUM!$C$6:$C$1451,0))</f>
        <v>0</v>
      </c>
      <c r="AF807" t="b">
        <f>ISNUMBER(MATCH(G807,AUM!$G$6:$G$240,0))</f>
        <v>0</v>
      </c>
    </row>
    <row r="808" spans="1:3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ISNUMBER(MATCH(G808,AUM!$C$6:$C$1451,0))</f>
        <v>0</v>
      </c>
      <c r="AF808" t="b">
        <f>ISNUMBER(MATCH(G808,AUM!$G$6:$G$240,0))</f>
        <v>0</v>
      </c>
    </row>
    <row r="809" spans="1:3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ISNUMBER(MATCH(G809,AUM!$C$6:$C$1451,0))</f>
        <v>0</v>
      </c>
      <c r="AF809" t="b">
        <f>ISNUMBER(MATCH(G809,AUM!$G$6:$G$240,0))</f>
        <v>0</v>
      </c>
    </row>
    <row r="810" spans="1:3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ISNUMBER(MATCH(G810,AUM!$C$6:$C$1451,0))</f>
        <v>0</v>
      </c>
      <c r="AF810" t="b">
        <f>ISNUMBER(MATCH(G810,AUM!$G$6:$G$240,0))</f>
        <v>0</v>
      </c>
    </row>
    <row r="811" spans="1:3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ISNUMBER(MATCH(G811,AUM!$C$6:$C$1451,0))</f>
        <v>0</v>
      </c>
      <c r="AF811" t="b">
        <f>ISNUMBER(MATCH(G811,AUM!$G$6:$G$240,0))</f>
        <v>0</v>
      </c>
    </row>
    <row r="812" spans="1:3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ISNUMBER(MATCH(G812,AUM!$C$6:$C$1451,0))</f>
        <v>1</v>
      </c>
      <c r="AF812" t="b">
        <f>ISNUMBER(MATCH(G812,AUM!$G$6:$G$240,0))</f>
        <v>0</v>
      </c>
    </row>
    <row r="813" spans="1:3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ISNUMBER(MATCH(G813,AUM!$C$6:$C$1451,0))</f>
        <v>1</v>
      </c>
      <c r="AF813" t="b">
        <f>ISNUMBER(MATCH(G813,AUM!$G$6:$G$240,0))</f>
        <v>0</v>
      </c>
    </row>
    <row r="814" spans="1:3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ISNUMBER(MATCH(G814,AUM!$C$6:$C$1451,0))</f>
        <v>1</v>
      </c>
      <c r="AF814" t="b">
        <f>ISNUMBER(MATCH(G814,AUM!$G$6:$G$240,0))</f>
        <v>1</v>
      </c>
    </row>
    <row r="815" spans="1:3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ISNUMBER(MATCH(G815,AUM!$C$6:$C$1451,0))</f>
        <v>1</v>
      </c>
      <c r="AF815" t="b">
        <f>ISNUMBER(MATCH(G815,AUM!$G$6:$G$240,0))</f>
        <v>0</v>
      </c>
    </row>
    <row r="816" spans="1:3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ISNUMBER(MATCH(G816,AUM!$C$6:$C$1451,0))</f>
        <v>1</v>
      </c>
      <c r="AF816" t="b">
        <f>ISNUMBER(MATCH(G816,AUM!$G$6:$G$240,0))</f>
        <v>0</v>
      </c>
    </row>
    <row r="817" spans="1:3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ISNUMBER(MATCH(G817,AUM!$C$6:$C$1451,0))</f>
        <v>0</v>
      </c>
      <c r="AF817" t="b">
        <f>ISNUMBER(MATCH(G817,AUM!$G$6:$G$240,0))</f>
        <v>1</v>
      </c>
    </row>
    <row r="818" spans="1:3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ISNUMBER(MATCH(G818,AUM!$C$6:$C$1451,0))</f>
        <v>0</v>
      </c>
      <c r="AF818" t="b">
        <f>ISNUMBER(MATCH(G818,AUM!$G$6:$G$240,0))</f>
        <v>0</v>
      </c>
    </row>
    <row r="819" spans="1:3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ISNUMBER(MATCH(G819,AUM!$C$6:$C$1451,0))</f>
        <v>0</v>
      </c>
      <c r="AF819" t="b">
        <f>ISNUMBER(MATCH(G819,AUM!$G$6:$G$240,0))</f>
        <v>0</v>
      </c>
    </row>
    <row r="820" spans="1:3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ISNUMBER(MATCH(G820,AUM!$C$6:$C$1451,0))</f>
        <v>0</v>
      </c>
      <c r="AF820" t="b">
        <f>ISNUMBER(MATCH(G820,AUM!$G$6:$G$240,0))</f>
        <v>0</v>
      </c>
    </row>
    <row r="821" spans="1:3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ISNUMBER(MATCH(G821,AUM!$C$6:$C$1451,0))</f>
        <v>1</v>
      </c>
      <c r="AF821" t="b">
        <f>ISNUMBER(MATCH(G821,AUM!$G$6:$G$240,0))</f>
        <v>0</v>
      </c>
    </row>
    <row r="822" spans="1:3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ISNUMBER(MATCH(G822,AUM!$C$6:$C$1451,0))</f>
        <v>1</v>
      </c>
      <c r="AF822" t="b">
        <f>ISNUMBER(MATCH(G822,AUM!$G$6:$G$240,0))</f>
        <v>0</v>
      </c>
    </row>
    <row r="823" spans="1:3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ISNUMBER(MATCH(G823,AUM!$C$6:$C$1451,0))</f>
        <v>1</v>
      </c>
      <c r="AF823" t="b">
        <f>ISNUMBER(MATCH(G823,AUM!$G$6:$G$240,0))</f>
        <v>0</v>
      </c>
    </row>
    <row r="824" spans="1:3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ISNUMBER(MATCH(G824,AUM!$C$6:$C$1451,0))</f>
        <v>1</v>
      </c>
      <c r="AF824" t="b">
        <f>ISNUMBER(MATCH(G824,AUM!$G$6:$G$240,0))</f>
        <v>0</v>
      </c>
    </row>
    <row r="825" spans="1:3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ISNUMBER(MATCH(G825,AUM!$C$6:$C$1451,0))</f>
        <v>1</v>
      </c>
      <c r="AF825" t="b">
        <f>ISNUMBER(MATCH(G825,AUM!$G$6:$G$240,0))</f>
        <v>0</v>
      </c>
    </row>
    <row r="826" spans="1:3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ISNUMBER(MATCH(G826,AUM!$C$6:$C$1451,0))</f>
        <v>1</v>
      </c>
      <c r="AF826" t="b">
        <f>ISNUMBER(MATCH(G826,AUM!$G$6:$G$240,0))</f>
        <v>0</v>
      </c>
    </row>
    <row r="827" spans="1:3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ISNUMBER(MATCH(G827,AUM!$C$6:$C$1451,0))</f>
        <v>1</v>
      </c>
      <c r="AF827" t="b">
        <f>ISNUMBER(MATCH(G827,AUM!$G$6:$G$240,0))</f>
        <v>0</v>
      </c>
    </row>
    <row r="828" spans="1:3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ISNUMBER(MATCH(G828,AUM!$C$6:$C$1451,0))</f>
        <v>1</v>
      </c>
      <c r="AF828" t="b">
        <f>ISNUMBER(MATCH(G828,AUM!$G$6:$G$240,0))</f>
        <v>0</v>
      </c>
    </row>
    <row r="829" spans="1:3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ISNUMBER(MATCH(G829,AUM!$C$6:$C$1451,0))</f>
        <v>1</v>
      </c>
      <c r="AF829" t="b">
        <f>ISNUMBER(MATCH(G829,AUM!$G$6:$G$240,0))</f>
        <v>0</v>
      </c>
    </row>
    <row r="830" spans="1:3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ISNUMBER(MATCH(G830,AUM!$C$6:$C$1451,0))</f>
        <v>1</v>
      </c>
      <c r="AF830" t="b">
        <f>ISNUMBER(MATCH(G830,AUM!$G$6:$G$240,0))</f>
        <v>0</v>
      </c>
    </row>
    <row r="831" spans="1:3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ISNUMBER(MATCH(G831,AUM!$C$6:$C$1451,0))</f>
        <v>1</v>
      </c>
      <c r="AF831" t="b">
        <f>ISNUMBER(MATCH(G831,AUM!$G$6:$G$240,0))</f>
        <v>0</v>
      </c>
    </row>
    <row r="832" spans="1:3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ISNUMBER(MATCH(G832,AUM!$C$6:$C$1451,0))</f>
        <v>1</v>
      </c>
      <c r="AF832" t="b">
        <f>ISNUMBER(MATCH(G832,AUM!$G$6:$G$240,0))</f>
        <v>1</v>
      </c>
    </row>
    <row r="833" spans="1:3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ISNUMBER(MATCH(G833,AUM!$C$6:$C$1451,0))</f>
        <v>1</v>
      </c>
      <c r="AF833" t="b">
        <f>ISNUMBER(MATCH(G833,AUM!$G$6:$G$240,0))</f>
        <v>0</v>
      </c>
    </row>
    <row r="834" spans="1:3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ISNUMBER(MATCH(G834,AUM!$C$6:$C$1451,0))</f>
        <v>1</v>
      </c>
      <c r="AF834" t="b">
        <f>ISNUMBER(MATCH(G834,AUM!$G$6:$G$240,0))</f>
        <v>0</v>
      </c>
    </row>
    <row r="835" spans="1:3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ISNUMBER(MATCH(G835,AUM!$C$6:$C$1451,0))</f>
        <v>1</v>
      </c>
      <c r="AF835" t="b">
        <f>ISNUMBER(MATCH(G835,AUM!$G$6:$G$240,0))</f>
        <v>1</v>
      </c>
    </row>
    <row r="836" spans="1:3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ISNUMBER(MATCH(G836,AUM!$C$6:$C$1451,0))</f>
        <v>1</v>
      </c>
      <c r="AF836" t="b">
        <f>ISNUMBER(MATCH(G836,AUM!$G$6:$G$240,0))</f>
        <v>0</v>
      </c>
    </row>
    <row r="837" spans="1:3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ISNUMBER(MATCH(G837,AUM!$C$6:$C$1451,0))</f>
        <v>1</v>
      </c>
      <c r="AF837" t="b">
        <f>ISNUMBER(MATCH(G837,AUM!$G$6:$G$240,0))</f>
        <v>0</v>
      </c>
    </row>
    <row r="838" spans="1:3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ISNUMBER(MATCH(G838,AUM!$C$6:$C$1451,0))</f>
        <v>1</v>
      </c>
      <c r="AF838" t="b">
        <f>ISNUMBER(MATCH(G838,AUM!$G$6:$G$240,0))</f>
        <v>0</v>
      </c>
    </row>
    <row r="839" spans="1:3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ISNUMBER(MATCH(G839,AUM!$C$6:$C$1451,0))</f>
        <v>1</v>
      </c>
      <c r="AF839" t="b">
        <f>ISNUMBER(MATCH(G839,AUM!$G$6:$G$240,0))</f>
        <v>0</v>
      </c>
    </row>
    <row r="840" spans="1:3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ISNUMBER(MATCH(G840,AUM!$C$6:$C$1451,0))</f>
        <v>1</v>
      </c>
      <c r="AF840" t="b">
        <f>ISNUMBER(MATCH(G840,AUM!$G$6:$G$240,0))</f>
        <v>0</v>
      </c>
    </row>
    <row r="841" spans="1:3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ISNUMBER(MATCH(G841,AUM!$C$6:$C$1451,0))</f>
        <v>1</v>
      </c>
      <c r="AF841" t="b">
        <f>ISNUMBER(MATCH(G841,AUM!$G$6:$G$240,0))</f>
        <v>0</v>
      </c>
    </row>
    <row r="842" spans="1:3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ISNUMBER(MATCH(G842,AUM!$C$6:$C$1451,0))</f>
        <v>1</v>
      </c>
      <c r="AF842" t="b">
        <f>ISNUMBER(MATCH(G842,AUM!$G$6:$G$240,0))</f>
        <v>0</v>
      </c>
    </row>
    <row r="843" spans="1:3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ISNUMBER(MATCH(G843,AUM!$C$6:$C$1451,0))</f>
        <v>0</v>
      </c>
      <c r="AF843" t="b">
        <f>ISNUMBER(MATCH(G843,AUM!$G$6:$G$240,0))</f>
        <v>0</v>
      </c>
    </row>
    <row r="844" spans="1:3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ISNUMBER(MATCH(G844,AUM!$C$6:$C$1451,0))</f>
        <v>0</v>
      </c>
      <c r="AF844" t="b">
        <f>ISNUMBER(MATCH(G844,AUM!$G$6:$G$240,0))</f>
        <v>0</v>
      </c>
    </row>
    <row r="845" spans="1:3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ISNUMBER(MATCH(G845,AUM!$C$6:$C$1451,0))</f>
        <v>0</v>
      </c>
      <c r="AF845" t="b">
        <f>ISNUMBER(MATCH(G845,AUM!$G$6:$G$240,0))</f>
        <v>0</v>
      </c>
    </row>
    <row r="846" spans="1:3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ISNUMBER(MATCH(G846,AUM!$C$6:$C$1451,0))</f>
        <v>0</v>
      </c>
      <c r="AF846" t="b">
        <f>ISNUMBER(MATCH(G846,AUM!$G$6:$G$240,0))</f>
        <v>0</v>
      </c>
    </row>
    <row r="847" spans="1:3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ISNUMBER(MATCH(G847,AUM!$C$6:$C$1451,0))</f>
        <v>0</v>
      </c>
      <c r="AF847" t="b">
        <f>ISNUMBER(MATCH(G847,AUM!$G$6:$G$240,0))</f>
        <v>0</v>
      </c>
    </row>
    <row r="848" spans="1:3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ISNUMBER(MATCH(G848,AUM!$C$6:$C$1451,0))</f>
        <v>1</v>
      </c>
      <c r="AF848" t="b">
        <f>ISNUMBER(MATCH(G848,AUM!$G$6:$G$240,0))</f>
        <v>0</v>
      </c>
    </row>
    <row r="849" spans="1:3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ISNUMBER(MATCH(G849,AUM!$C$6:$C$1451,0))</f>
        <v>1</v>
      </c>
      <c r="AF849" t="b">
        <f>ISNUMBER(MATCH(G849,AUM!$G$6:$G$240,0))</f>
        <v>0</v>
      </c>
    </row>
    <row r="850" spans="1:3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ISNUMBER(MATCH(G850,AUM!$C$6:$C$1451,0))</f>
        <v>1</v>
      </c>
      <c r="AF850" t="b">
        <f>ISNUMBER(MATCH(G850,AUM!$G$6:$G$240,0))</f>
        <v>1</v>
      </c>
    </row>
    <row r="851" spans="1:3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ISNUMBER(MATCH(G851,AUM!$C$6:$C$1451,0))</f>
        <v>1</v>
      </c>
      <c r="AF851" t="b">
        <f>ISNUMBER(MATCH(G851,AUM!$G$6:$G$240,0))</f>
        <v>0</v>
      </c>
    </row>
    <row r="852" spans="1:3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ISNUMBER(MATCH(G852,AUM!$C$6:$C$1451,0))</f>
        <v>1</v>
      </c>
      <c r="AF852" t="b">
        <f>ISNUMBER(MATCH(G852,AUM!$G$6:$G$240,0))</f>
        <v>0</v>
      </c>
    </row>
    <row r="853" spans="1:3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ISNUMBER(MATCH(G853,AUM!$C$6:$C$1451,0))</f>
        <v>1</v>
      </c>
      <c r="AF853" t="b">
        <f>ISNUMBER(MATCH(G853,AUM!$G$6:$G$240,0))</f>
        <v>0</v>
      </c>
    </row>
    <row r="854" spans="1:3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ISNUMBER(MATCH(G854,AUM!$C$6:$C$1451,0))</f>
        <v>1</v>
      </c>
      <c r="AF854" t="b">
        <f>ISNUMBER(MATCH(G854,AUM!$G$6:$G$240,0))</f>
        <v>0</v>
      </c>
    </row>
    <row r="855" spans="1:3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ISNUMBER(MATCH(G855,AUM!$C$6:$C$1451,0))</f>
        <v>1</v>
      </c>
      <c r="AF855" t="b">
        <f>ISNUMBER(MATCH(G855,AUM!$G$6:$G$240,0))</f>
        <v>0</v>
      </c>
    </row>
    <row r="856" spans="1:3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ISNUMBER(MATCH(G856,AUM!$C$6:$C$1451,0))</f>
        <v>1</v>
      </c>
      <c r="AF856" t="b">
        <f>ISNUMBER(MATCH(G856,AUM!$G$6:$G$240,0))</f>
        <v>0</v>
      </c>
    </row>
    <row r="857" spans="1:3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ISNUMBER(MATCH(G857,AUM!$C$6:$C$1451,0))</f>
        <v>1</v>
      </c>
      <c r="AF857" t="b">
        <f>ISNUMBER(MATCH(G857,AUM!$G$6:$G$240,0))</f>
        <v>0</v>
      </c>
    </row>
    <row r="858" spans="1:3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ISNUMBER(MATCH(G858,AUM!$C$6:$C$1451,0))</f>
        <v>0</v>
      </c>
      <c r="AF858" t="b">
        <f>ISNUMBER(MATCH(G858,AUM!$G$6:$G$240,0))</f>
        <v>0</v>
      </c>
    </row>
    <row r="859" spans="1:3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ISNUMBER(MATCH(G859,AUM!$C$6:$C$1451,0))</f>
        <v>0</v>
      </c>
      <c r="AF859" t="b">
        <f>ISNUMBER(MATCH(G859,AUM!$G$6:$G$240,0))</f>
        <v>0</v>
      </c>
    </row>
    <row r="860" spans="1:3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ISNUMBER(MATCH(G860,AUM!$C$6:$C$1451,0))</f>
        <v>0</v>
      </c>
      <c r="AF860" t="b">
        <f>ISNUMBER(MATCH(G860,AUM!$G$6:$G$240,0))</f>
        <v>0</v>
      </c>
    </row>
    <row r="861" spans="1:3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ISNUMBER(MATCH(G861,AUM!$C$6:$C$1451,0))</f>
        <v>1</v>
      </c>
      <c r="AF861" t="b">
        <f>ISNUMBER(MATCH(G861,AUM!$G$6:$G$240,0))</f>
        <v>0</v>
      </c>
    </row>
    <row r="862" spans="1:3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ISNUMBER(MATCH(G862,AUM!$C$6:$C$1451,0))</f>
        <v>1</v>
      </c>
      <c r="AF862" t="b">
        <f>ISNUMBER(MATCH(G862,AUM!$G$6:$G$240,0))</f>
        <v>0</v>
      </c>
    </row>
    <row r="863" spans="1:3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ISNUMBER(MATCH(G863,AUM!$C$6:$C$1451,0))</f>
        <v>1</v>
      </c>
      <c r="AF863" t="b">
        <f>ISNUMBER(MATCH(G863,AUM!$G$6:$G$240,0))</f>
        <v>0</v>
      </c>
    </row>
    <row r="864" spans="1:3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ISNUMBER(MATCH(G864,AUM!$C$6:$C$1451,0))</f>
        <v>1</v>
      </c>
      <c r="AF864" t="b">
        <f>ISNUMBER(MATCH(G864,AUM!$G$6:$G$240,0))</f>
        <v>1</v>
      </c>
    </row>
    <row r="865" spans="1:3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ISNUMBER(MATCH(G865,AUM!$C$6:$C$1451,0))</f>
        <v>1</v>
      </c>
      <c r="AF865" t="b">
        <f>ISNUMBER(MATCH(G865,AUM!$G$6:$G$240,0))</f>
        <v>0</v>
      </c>
    </row>
    <row r="866" spans="1:3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ISNUMBER(MATCH(G866,AUM!$C$6:$C$1451,0))</f>
        <v>1</v>
      </c>
      <c r="AF866" t="b">
        <f>ISNUMBER(MATCH(G866,AUM!$G$6:$G$240,0))</f>
        <v>0</v>
      </c>
    </row>
    <row r="867" spans="1:3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ISNUMBER(MATCH(G867,AUM!$C$6:$C$1451,0))</f>
        <v>1</v>
      </c>
      <c r="AF867" t="b">
        <f>ISNUMBER(MATCH(G867,AUM!$G$6:$G$240,0))</f>
        <v>0</v>
      </c>
    </row>
    <row r="868" spans="1:3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ISNUMBER(MATCH(G868,AUM!$C$6:$C$1451,0))</f>
        <v>1</v>
      </c>
      <c r="AF868" t="b">
        <f>ISNUMBER(MATCH(G868,AUM!$G$6:$G$240,0))</f>
        <v>0</v>
      </c>
    </row>
    <row r="869" spans="1:3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ISNUMBER(MATCH(G869,AUM!$C$6:$C$1451,0))</f>
        <v>0</v>
      </c>
      <c r="AF869" t="b">
        <f>ISNUMBER(MATCH(G869,AUM!$G$6:$G$240,0))</f>
        <v>0</v>
      </c>
    </row>
    <row r="870" spans="1:3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ISNUMBER(MATCH(G870,AUM!$C$6:$C$1451,0))</f>
        <v>0</v>
      </c>
      <c r="AF870" t="b">
        <f>ISNUMBER(MATCH(G870,AUM!$G$6:$G$240,0))</f>
        <v>0</v>
      </c>
    </row>
    <row r="871" spans="1:3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ISNUMBER(MATCH(G871,AUM!$C$6:$C$1451,0))</f>
        <v>0</v>
      </c>
      <c r="AF871" t="b">
        <f>ISNUMBER(MATCH(G871,AUM!$G$6:$G$240,0))</f>
        <v>0</v>
      </c>
    </row>
    <row r="872" spans="1:3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ISNUMBER(MATCH(G872,AUM!$C$6:$C$1451,0))</f>
        <v>0</v>
      </c>
      <c r="AF872" t="b">
        <f>ISNUMBER(MATCH(G872,AUM!$G$6:$G$240,0))</f>
        <v>0</v>
      </c>
    </row>
    <row r="873" spans="1:3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ISNUMBER(MATCH(G873,AUM!$C$6:$C$1451,0))</f>
        <v>0</v>
      </c>
      <c r="AF873" t="b">
        <f>ISNUMBER(MATCH(G873,AUM!$G$6:$G$240,0))</f>
        <v>0</v>
      </c>
    </row>
    <row r="874" spans="1:3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ISNUMBER(MATCH(G874,AUM!$C$6:$C$1451,0))</f>
        <v>1</v>
      </c>
      <c r="AF874" t="b">
        <f>ISNUMBER(MATCH(G874,AUM!$G$6:$G$240,0))</f>
        <v>0</v>
      </c>
    </row>
    <row r="875" spans="1:3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ISNUMBER(MATCH(G875,AUM!$C$6:$C$1451,0))</f>
        <v>1</v>
      </c>
      <c r="AF875" t="b">
        <f>ISNUMBER(MATCH(G875,AUM!$G$6:$G$240,0))</f>
        <v>0</v>
      </c>
    </row>
    <row r="876" spans="1:3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ISNUMBER(MATCH(G876,AUM!$C$6:$C$1451,0))</f>
        <v>1</v>
      </c>
      <c r="AF876" t="b">
        <f>ISNUMBER(MATCH(G876,AUM!$G$6:$G$240,0))</f>
        <v>0</v>
      </c>
    </row>
    <row r="877" spans="1:3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ISNUMBER(MATCH(G877,AUM!$C$6:$C$1451,0))</f>
        <v>1</v>
      </c>
      <c r="AF877" t="b">
        <f>ISNUMBER(MATCH(G877,AUM!$G$6:$G$240,0))</f>
        <v>0</v>
      </c>
    </row>
    <row r="878" spans="1:3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ISNUMBER(MATCH(G878,AUM!$C$6:$C$1451,0))</f>
        <v>1</v>
      </c>
      <c r="AF878" t="b">
        <f>ISNUMBER(MATCH(G878,AUM!$G$6:$G$240,0))</f>
        <v>0</v>
      </c>
    </row>
    <row r="879" spans="1:3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ISNUMBER(MATCH(G879,AUM!$C$6:$C$1451,0))</f>
        <v>0</v>
      </c>
      <c r="AF879" t="b">
        <f>ISNUMBER(MATCH(G879,AUM!$G$6:$G$240,0))</f>
        <v>0</v>
      </c>
    </row>
    <row r="880" spans="1:3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ISNUMBER(MATCH(G880,AUM!$C$6:$C$1451,0))</f>
        <v>0</v>
      </c>
      <c r="AF880" t="b">
        <f>ISNUMBER(MATCH(G880,AUM!$G$6:$G$240,0))</f>
        <v>0</v>
      </c>
    </row>
    <row r="881" spans="1:3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ISNUMBER(MATCH(G881,AUM!$C$6:$C$1451,0))</f>
        <v>0</v>
      </c>
      <c r="AF881" t="b">
        <f>ISNUMBER(MATCH(G881,AUM!$G$6:$G$240,0))</f>
        <v>0</v>
      </c>
    </row>
    <row r="882" spans="1:3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ISNUMBER(MATCH(G882,AUM!$C$6:$C$1451,0))</f>
        <v>0</v>
      </c>
      <c r="AF882" t="b">
        <f>ISNUMBER(MATCH(G882,AUM!$G$6:$G$240,0))</f>
        <v>0</v>
      </c>
    </row>
    <row r="883" spans="1:3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ISNUMBER(MATCH(G883,AUM!$C$6:$C$1451,0))</f>
        <v>1</v>
      </c>
      <c r="AF883" t="b">
        <f>ISNUMBER(MATCH(G883,AUM!$G$6:$G$240,0))</f>
        <v>0</v>
      </c>
    </row>
    <row r="884" spans="1:3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ISNUMBER(MATCH(G884,AUM!$C$6:$C$1451,0))</f>
        <v>1</v>
      </c>
      <c r="AF884" t="b">
        <f>ISNUMBER(MATCH(G884,AUM!$G$6:$G$240,0))</f>
        <v>0</v>
      </c>
    </row>
    <row r="885" spans="1:3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ISNUMBER(MATCH(G885,AUM!$C$6:$C$1451,0))</f>
        <v>1</v>
      </c>
      <c r="AF885" t="b">
        <f>ISNUMBER(MATCH(G885,AUM!$G$6:$G$240,0))</f>
        <v>0</v>
      </c>
    </row>
    <row r="886" spans="1:3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ISNUMBER(MATCH(G886,AUM!$C$6:$C$1451,0))</f>
        <v>1</v>
      </c>
      <c r="AF886" t="b">
        <f>ISNUMBER(MATCH(G886,AUM!$G$6:$G$240,0))</f>
        <v>1</v>
      </c>
    </row>
    <row r="887" spans="1:3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ISNUMBER(MATCH(G887,AUM!$C$6:$C$1451,0))</f>
        <v>1</v>
      </c>
      <c r="AF887" t="b">
        <f>ISNUMBER(MATCH(G887,AUM!$G$6:$G$240,0))</f>
        <v>0</v>
      </c>
    </row>
    <row r="888" spans="1:3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ISNUMBER(MATCH(G888,AUM!$C$6:$C$1451,0))</f>
        <v>1</v>
      </c>
      <c r="AF888" t="b">
        <f>ISNUMBER(MATCH(G888,AUM!$G$6:$G$240,0))</f>
        <v>0</v>
      </c>
    </row>
    <row r="889" spans="1:3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ISNUMBER(MATCH(G889,AUM!$C$6:$C$1451,0))</f>
        <v>1</v>
      </c>
      <c r="AF889" t="b">
        <f>ISNUMBER(MATCH(G889,AUM!$G$6:$G$240,0))</f>
        <v>0</v>
      </c>
    </row>
    <row r="890" spans="1:3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ISNUMBER(MATCH(G890,AUM!$C$6:$C$1451,0))</f>
        <v>1</v>
      </c>
      <c r="AF890" t="b">
        <f>ISNUMBER(MATCH(G890,AUM!$G$6:$G$240,0))</f>
        <v>0</v>
      </c>
    </row>
    <row r="891" spans="1:3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ISNUMBER(MATCH(G891,AUM!$C$6:$C$1451,0))</f>
        <v>1</v>
      </c>
      <c r="AF891" t="b">
        <f>ISNUMBER(MATCH(G891,AUM!$G$6:$G$240,0))</f>
        <v>0</v>
      </c>
    </row>
    <row r="892" spans="1:3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ISNUMBER(MATCH(G892,AUM!$C$6:$C$1451,0))</f>
        <v>1</v>
      </c>
      <c r="AF892" t="b">
        <f>ISNUMBER(MATCH(G892,AUM!$G$6:$G$240,0))</f>
        <v>0</v>
      </c>
    </row>
    <row r="893" spans="1:3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ISNUMBER(MATCH(G893,AUM!$C$6:$C$1451,0))</f>
        <v>1</v>
      </c>
      <c r="AF893" t="b">
        <f>ISNUMBER(MATCH(G893,AUM!$G$6:$G$240,0))</f>
        <v>0</v>
      </c>
    </row>
    <row r="894" spans="1:3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ISNUMBER(MATCH(G894,AUM!$C$6:$C$1451,0))</f>
        <v>1</v>
      </c>
      <c r="AF894" t="b">
        <f>ISNUMBER(MATCH(G894,AUM!$G$6:$G$240,0))</f>
        <v>0</v>
      </c>
    </row>
    <row r="895" spans="1:3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ISNUMBER(MATCH(G895,AUM!$C$6:$C$1451,0))</f>
        <v>1</v>
      </c>
      <c r="AF895" t="b">
        <f>ISNUMBER(MATCH(G895,AUM!$G$6:$G$240,0))</f>
        <v>0</v>
      </c>
    </row>
    <row r="896" spans="1:3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ISNUMBER(MATCH(G896,AUM!$C$6:$C$1451,0))</f>
        <v>0</v>
      </c>
      <c r="AF896" t="b">
        <f>ISNUMBER(MATCH(G896,AUM!$G$6:$G$240,0))</f>
        <v>0</v>
      </c>
    </row>
    <row r="897" spans="1:3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ISNUMBER(MATCH(G897,AUM!$C$6:$C$1451,0))</f>
        <v>1</v>
      </c>
      <c r="AF897" t="b">
        <f>ISNUMBER(MATCH(G897,AUM!$G$6:$G$240,0))</f>
        <v>0</v>
      </c>
    </row>
    <row r="898" spans="1:3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ISNUMBER(MATCH(G898,AUM!$C$6:$C$1451,0))</f>
        <v>1</v>
      </c>
      <c r="AF898" t="b">
        <f>ISNUMBER(MATCH(G898,AUM!$G$6:$G$240,0))</f>
        <v>0</v>
      </c>
    </row>
    <row r="899" spans="1:3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ISNUMBER(MATCH(G899,AUM!$C$6:$C$1451,0))</f>
        <v>1</v>
      </c>
      <c r="AF899" t="b">
        <f>ISNUMBER(MATCH(G899,AUM!$G$6:$G$240,0))</f>
        <v>0</v>
      </c>
    </row>
    <row r="900" spans="1:3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ISNUMBER(MATCH(G900,AUM!$C$6:$C$1451,0))</f>
        <v>1</v>
      </c>
      <c r="AF900" t="b">
        <f>ISNUMBER(MATCH(G900,AUM!$G$6:$G$240,0))</f>
        <v>0</v>
      </c>
    </row>
    <row r="901" spans="1:3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ISNUMBER(MATCH(G901,AUM!$C$6:$C$1451,0))</f>
        <v>1</v>
      </c>
      <c r="AF901" t="b">
        <f>ISNUMBER(MATCH(G901,AUM!$G$6:$G$240,0))</f>
        <v>0</v>
      </c>
    </row>
    <row r="902" spans="1:3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ISNUMBER(MATCH(G902,AUM!$C$6:$C$1451,0))</f>
        <v>1</v>
      </c>
      <c r="AF902" t="b">
        <f>ISNUMBER(MATCH(G902,AUM!$G$6:$G$240,0))</f>
        <v>0</v>
      </c>
    </row>
    <row r="903" spans="1:3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ISNUMBER(MATCH(G903,AUM!$C$6:$C$1451,0))</f>
        <v>1</v>
      </c>
      <c r="AF903" t="b">
        <f>ISNUMBER(MATCH(G903,AUM!$G$6:$G$240,0))</f>
        <v>1</v>
      </c>
    </row>
    <row r="904" spans="1:3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ISNUMBER(MATCH(G904,AUM!$C$6:$C$1451,0))</f>
        <v>0</v>
      </c>
      <c r="AF904" t="b">
        <f>ISNUMBER(MATCH(G904,AUM!$G$6:$G$240,0))</f>
        <v>0</v>
      </c>
    </row>
    <row r="905" spans="1:3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ISNUMBER(MATCH(G905,AUM!$C$6:$C$1451,0))</f>
        <v>1</v>
      </c>
      <c r="AF905" t="b">
        <f>ISNUMBER(MATCH(G905,AUM!$G$6:$G$240,0))</f>
        <v>0</v>
      </c>
    </row>
    <row r="906" spans="1:3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ISNUMBER(MATCH(G906,AUM!$C$6:$C$1451,0))</f>
        <v>0</v>
      </c>
      <c r="AF906" t="b">
        <f>ISNUMBER(MATCH(G906,AUM!$G$6:$G$240,0))</f>
        <v>0</v>
      </c>
    </row>
    <row r="907" spans="1:3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ISNUMBER(MATCH(G907,AUM!$C$6:$C$1451,0))</f>
        <v>1</v>
      </c>
      <c r="AF907" t="b">
        <f>ISNUMBER(MATCH(G907,AUM!$G$6:$G$240,0))</f>
        <v>0</v>
      </c>
    </row>
    <row r="908" spans="1:3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ISNUMBER(MATCH(G908,AUM!$C$6:$C$1451,0))</f>
        <v>1</v>
      </c>
      <c r="AF908" t="b">
        <f>ISNUMBER(MATCH(G908,AUM!$G$6:$G$240,0))</f>
        <v>0</v>
      </c>
    </row>
    <row r="909" spans="1:3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ISNUMBER(MATCH(G909,AUM!$C$6:$C$1451,0))</f>
        <v>1</v>
      </c>
      <c r="AF909" t="b">
        <f>ISNUMBER(MATCH(G909,AUM!$G$6:$G$240,0))</f>
        <v>0</v>
      </c>
    </row>
    <row r="910" spans="1:3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ISNUMBER(MATCH(G910,AUM!$C$6:$C$1451,0))</f>
        <v>1</v>
      </c>
      <c r="AF910" t="b">
        <f>ISNUMBER(MATCH(G910,AUM!$G$6:$G$240,0))</f>
        <v>0</v>
      </c>
    </row>
    <row r="911" spans="1:3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ISNUMBER(MATCH(G911,AUM!$C$6:$C$1451,0))</f>
        <v>1</v>
      </c>
      <c r="AF911" t="b">
        <f>ISNUMBER(MATCH(G911,AUM!$G$6:$G$240,0))</f>
        <v>0</v>
      </c>
    </row>
    <row r="912" spans="1:3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ISNUMBER(MATCH(G912,AUM!$C$6:$C$1451,0))</f>
        <v>1</v>
      </c>
      <c r="AF912" t="b">
        <f>ISNUMBER(MATCH(G912,AUM!$G$6:$G$240,0))</f>
        <v>1</v>
      </c>
    </row>
    <row r="913" spans="1:3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ISNUMBER(MATCH(G913,AUM!$C$6:$C$1451,0))</f>
        <v>1</v>
      </c>
      <c r="AF913" t="b">
        <f>ISNUMBER(MATCH(G913,AUM!$G$6:$G$240,0))</f>
        <v>0</v>
      </c>
    </row>
    <row r="914" spans="1:3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ISNUMBER(MATCH(G914,AUM!$C$6:$C$1451,0))</f>
        <v>1</v>
      </c>
      <c r="AF914" t="b">
        <f>ISNUMBER(MATCH(G914,AUM!$G$6:$G$240,0))</f>
        <v>0</v>
      </c>
    </row>
    <row r="915" spans="1:3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ISNUMBER(MATCH(G915,AUM!$C$6:$C$1451,0))</f>
        <v>1</v>
      </c>
      <c r="AF915" t="b">
        <f>ISNUMBER(MATCH(G915,AUM!$G$6:$G$240,0))</f>
        <v>0</v>
      </c>
    </row>
    <row r="916" spans="1:3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ISNUMBER(MATCH(G916,AUM!$C$6:$C$1451,0))</f>
        <v>1</v>
      </c>
      <c r="AF916" t="b">
        <f>ISNUMBER(MATCH(G916,AUM!$G$6:$G$240,0))</f>
        <v>0</v>
      </c>
    </row>
    <row r="917" spans="1:3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ISNUMBER(MATCH(G917,AUM!$C$6:$C$1451,0))</f>
        <v>0</v>
      </c>
      <c r="AF917" t="b">
        <f>ISNUMBER(MATCH(G917,AUM!$G$6:$G$240,0))</f>
        <v>0</v>
      </c>
    </row>
    <row r="918" spans="1:3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ISNUMBER(MATCH(G918,AUM!$C$6:$C$1451,0))</f>
        <v>1</v>
      </c>
      <c r="AF918" t="b">
        <f>ISNUMBER(MATCH(G918,AUM!$G$6:$G$240,0))</f>
        <v>0</v>
      </c>
    </row>
    <row r="919" spans="1:3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ISNUMBER(MATCH(G919,AUM!$C$6:$C$1451,0))</f>
        <v>1</v>
      </c>
      <c r="AF919" t="b">
        <f>ISNUMBER(MATCH(G919,AUM!$G$6:$G$240,0))</f>
        <v>0</v>
      </c>
    </row>
    <row r="920" spans="1:3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ISNUMBER(MATCH(G920,AUM!$C$6:$C$1451,0))</f>
        <v>1</v>
      </c>
      <c r="AF920" t="b">
        <f>ISNUMBER(MATCH(G920,AUM!$G$6:$G$240,0))</f>
        <v>1</v>
      </c>
    </row>
    <row r="921" spans="1:3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ISNUMBER(MATCH(G921,AUM!$C$6:$C$1451,0))</f>
        <v>0</v>
      </c>
      <c r="AF921" t="b">
        <f>ISNUMBER(MATCH(G921,AUM!$G$6:$G$240,0))</f>
        <v>0</v>
      </c>
    </row>
    <row r="922" spans="1:3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ISNUMBER(MATCH(G922,AUM!$C$6:$C$1451,0))</f>
        <v>0</v>
      </c>
      <c r="AF922" t="b">
        <f>ISNUMBER(MATCH(G922,AUM!$G$6:$G$240,0))</f>
        <v>0</v>
      </c>
    </row>
    <row r="923" spans="1:3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ISNUMBER(MATCH(G923,AUM!$C$6:$C$1451,0))</f>
        <v>0</v>
      </c>
      <c r="AF923" t="b">
        <f>ISNUMBER(MATCH(G923,AUM!$G$6:$G$240,0))</f>
        <v>0</v>
      </c>
    </row>
    <row r="924" spans="1:3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ISNUMBER(MATCH(G924,AUM!$C$6:$C$1451,0))</f>
        <v>0</v>
      </c>
      <c r="AF924" t="b">
        <f>ISNUMBER(MATCH(G924,AUM!$G$6:$G$240,0))</f>
        <v>0</v>
      </c>
    </row>
    <row r="925" spans="1:3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ISNUMBER(MATCH(G925,AUM!$C$6:$C$1451,0))</f>
        <v>0</v>
      </c>
      <c r="AF925" t="b">
        <f>ISNUMBER(MATCH(G925,AUM!$G$6:$G$240,0))</f>
        <v>0</v>
      </c>
    </row>
    <row r="926" spans="1:3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ISNUMBER(MATCH(G926,AUM!$C$6:$C$1451,0))</f>
        <v>1</v>
      </c>
      <c r="AF926" t="b">
        <f>ISNUMBER(MATCH(G926,AUM!$G$6:$G$240,0))</f>
        <v>0</v>
      </c>
    </row>
    <row r="927" spans="1:3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ISNUMBER(MATCH(G927,AUM!$C$6:$C$1451,0))</f>
        <v>1</v>
      </c>
      <c r="AF927" t="b">
        <f>ISNUMBER(MATCH(G927,AUM!$G$6:$G$240,0))</f>
        <v>0</v>
      </c>
    </row>
    <row r="928" spans="1:3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ISNUMBER(MATCH(G928,AUM!$C$6:$C$1451,0))</f>
        <v>1</v>
      </c>
      <c r="AF928" t="b">
        <f>ISNUMBER(MATCH(G928,AUM!$G$6:$G$240,0))</f>
        <v>0</v>
      </c>
    </row>
    <row r="929" spans="1:3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ISNUMBER(MATCH(G929,AUM!$C$6:$C$1451,0))</f>
        <v>1</v>
      </c>
      <c r="AF929" t="b">
        <f>ISNUMBER(MATCH(G929,AUM!$G$6:$G$240,0))</f>
        <v>0</v>
      </c>
    </row>
    <row r="930" spans="1:3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ISNUMBER(MATCH(G930,AUM!$C$6:$C$1451,0))</f>
        <v>1</v>
      </c>
      <c r="AF930" t="b">
        <f>ISNUMBER(MATCH(G930,AUM!$G$6:$G$240,0))</f>
        <v>1</v>
      </c>
    </row>
    <row r="931" spans="1:3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ISNUMBER(MATCH(G931,AUM!$C$6:$C$1451,0))</f>
        <v>1</v>
      </c>
      <c r="AF931" t="b">
        <f>ISNUMBER(MATCH(G931,AUM!$G$6:$G$240,0))</f>
        <v>0</v>
      </c>
    </row>
    <row r="932" spans="1:3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ISNUMBER(MATCH(G932,AUM!$C$6:$C$1451,0))</f>
        <v>0</v>
      </c>
      <c r="AF932" t="b">
        <f>ISNUMBER(MATCH(G932,AUM!$G$6:$G$240,0))</f>
        <v>0</v>
      </c>
    </row>
    <row r="933" spans="1:3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ISNUMBER(MATCH(G933,AUM!$C$6:$C$1451,0))</f>
        <v>0</v>
      </c>
      <c r="AF933" t="b">
        <f>ISNUMBER(MATCH(G933,AUM!$G$6:$G$240,0))</f>
        <v>0</v>
      </c>
    </row>
    <row r="934" spans="1:3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ISNUMBER(MATCH(G934,AUM!$C$6:$C$1451,0))</f>
        <v>0</v>
      </c>
      <c r="AF934" t="b">
        <f>ISNUMBER(MATCH(G934,AUM!$G$6:$G$240,0))</f>
        <v>0</v>
      </c>
    </row>
    <row r="935" spans="1:3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ISNUMBER(MATCH(G935,AUM!$C$6:$C$1451,0))</f>
        <v>1</v>
      </c>
      <c r="AF935" t="b">
        <f>ISNUMBER(MATCH(G935,AUM!$G$6:$G$240,0))</f>
        <v>0</v>
      </c>
    </row>
    <row r="936" spans="1:3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ISNUMBER(MATCH(G936,AUM!$C$6:$C$1451,0))</f>
        <v>1</v>
      </c>
      <c r="AF936" t="b">
        <f>ISNUMBER(MATCH(G936,AUM!$G$6:$G$240,0))</f>
        <v>0</v>
      </c>
    </row>
    <row r="937" spans="1:3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ISNUMBER(MATCH(G937,AUM!$C$6:$C$1451,0))</f>
        <v>1</v>
      </c>
      <c r="AF937" t="b">
        <f>ISNUMBER(MATCH(G937,AUM!$G$6:$G$240,0))</f>
        <v>0</v>
      </c>
    </row>
    <row r="938" spans="1:3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ISNUMBER(MATCH(G938,AUM!$C$6:$C$1451,0))</f>
        <v>1</v>
      </c>
      <c r="AF938" t="b">
        <f>ISNUMBER(MATCH(G938,AUM!$G$6:$G$240,0))</f>
        <v>0</v>
      </c>
    </row>
    <row r="939" spans="1:3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ISNUMBER(MATCH(G939,AUM!$C$6:$C$1451,0))</f>
        <v>1</v>
      </c>
      <c r="AF939" t="b">
        <f>ISNUMBER(MATCH(G939,AUM!$G$6:$G$240,0))</f>
        <v>0</v>
      </c>
    </row>
    <row r="940" spans="1:3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ISNUMBER(MATCH(G940,AUM!$C$6:$C$1451,0))</f>
        <v>1</v>
      </c>
      <c r="AF940" t="b">
        <f>ISNUMBER(MATCH(G940,AUM!$G$6:$G$240,0))</f>
        <v>0</v>
      </c>
    </row>
    <row r="941" spans="1:3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ISNUMBER(MATCH(G941,AUM!$C$6:$C$1451,0))</f>
        <v>1</v>
      </c>
      <c r="AF941" t="b">
        <f>ISNUMBER(MATCH(G941,AUM!$G$6:$G$240,0))</f>
        <v>1</v>
      </c>
    </row>
    <row r="942" spans="1:3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ISNUMBER(MATCH(G942,AUM!$C$6:$C$1451,0))</f>
        <v>1</v>
      </c>
      <c r="AF942" t="b">
        <f>ISNUMBER(MATCH(G942,AUM!$G$6:$G$240,0))</f>
        <v>0</v>
      </c>
    </row>
    <row r="943" spans="1:3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ISNUMBER(MATCH(G943,AUM!$C$6:$C$1451,0))</f>
        <v>1</v>
      </c>
      <c r="AF943" t="b">
        <f>ISNUMBER(MATCH(G943,AUM!$G$6:$G$240,0))</f>
        <v>0</v>
      </c>
    </row>
    <row r="944" spans="1:3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ISNUMBER(MATCH(G944,AUM!$C$6:$C$1451,0))</f>
        <v>1</v>
      </c>
      <c r="AF944" t="b">
        <f>ISNUMBER(MATCH(G944,AUM!$G$6:$G$240,0))</f>
        <v>0</v>
      </c>
    </row>
    <row r="945" spans="1:3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ISNUMBER(MATCH(G945,AUM!$C$6:$C$1451,0))</f>
        <v>1</v>
      </c>
      <c r="AF945" t="b">
        <f>ISNUMBER(MATCH(G945,AUM!$G$6:$G$240,0))</f>
        <v>0</v>
      </c>
    </row>
    <row r="946" spans="1:3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ISNUMBER(MATCH(G946,AUM!$C$6:$C$1451,0))</f>
        <v>1</v>
      </c>
      <c r="AF946" t="b">
        <f>ISNUMBER(MATCH(G946,AUM!$G$6:$G$240,0))</f>
        <v>0</v>
      </c>
    </row>
    <row r="947" spans="1:3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ISNUMBER(MATCH(G947,AUM!$C$6:$C$1451,0))</f>
        <v>1</v>
      </c>
      <c r="AF947" t="b">
        <f>ISNUMBER(MATCH(G947,AUM!$G$6:$G$240,0))</f>
        <v>0</v>
      </c>
    </row>
    <row r="948" spans="1:3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ISNUMBER(MATCH(G948,AUM!$C$6:$C$1451,0))</f>
        <v>1</v>
      </c>
      <c r="AF948" t="b">
        <f>ISNUMBER(MATCH(G948,AUM!$G$6:$G$240,0))</f>
        <v>0</v>
      </c>
    </row>
    <row r="949" spans="1:3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ISNUMBER(MATCH(G949,AUM!$C$6:$C$1451,0))</f>
        <v>1</v>
      </c>
      <c r="AF949" t="b">
        <f>ISNUMBER(MATCH(G949,AUM!$G$6:$G$240,0))</f>
        <v>0</v>
      </c>
    </row>
    <row r="950" spans="1:3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ISNUMBER(MATCH(G950,AUM!$C$6:$C$1451,0))</f>
        <v>1</v>
      </c>
      <c r="AF950" t="b">
        <f>ISNUMBER(MATCH(G950,AUM!$G$6:$G$240,0))</f>
        <v>0</v>
      </c>
    </row>
    <row r="951" spans="1:3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ISNUMBER(MATCH(G951,AUM!$C$6:$C$1451,0))</f>
        <v>1</v>
      </c>
      <c r="AF951" t="b">
        <f>ISNUMBER(MATCH(G951,AUM!$G$6:$G$240,0))</f>
        <v>0</v>
      </c>
    </row>
    <row r="952" spans="1:3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ISNUMBER(MATCH(G952,AUM!$C$6:$C$1451,0))</f>
        <v>1</v>
      </c>
      <c r="AF952" t="b">
        <f>ISNUMBER(MATCH(G952,AUM!$G$6:$G$240,0))</f>
        <v>1</v>
      </c>
    </row>
    <row r="953" spans="1:3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ISNUMBER(MATCH(G953,AUM!$C$6:$C$1451,0))</f>
        <v>1</v>
      </c>
      <c r="AF953" t="b">
        <f>ISNUMBER(MATCH(G953,AUM!$G$6:$G$240,0))</f>
        <v>1</v>
      </c>
    </row>
    <row r="954" spans="1:3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ISNUMBER(MATCH(G954,AUM!$C$6:$C$1451,0))</f>
        <v>1</v>
      </c>
      <c r="AF954" t="b">
        <f>ISNUMBER(MATCH(G954,AUM!$G$6:$G$240,0))</f>
        <v>0</v>
      </c>
    </row>
    <row r="955" spans="1:3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ISNUMBER(MATCH(G955,AUM!$C$6:$C$1451,0))</f>
        <v>1</v>
      </c>
      <c r="AF955" t="b">
        <f>ISNUMBER(MATCH(G955,AUM!$G$6:$G$240,0))</f>
        <v>0</v>
      </c>
    </row>
    <row r="956" spans="1:3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ISNUMBER(MATCH(G956,AUM!$C$6:$C$1451,0))</f>
        <v>0</v>
      </c>
      <c r="AF956" t="b">
        <f>ISNUMBER(MATCH(G956,AUM!$G$6:$G$240,0))</f>
        <v>0</v>
      </c>
    </row>
    <row r="957" spans="1:3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ISNUMBER(MATCH(G957,AUM!$C$6:$C$1451,0))</f>
        <v>0</v>
      </c>
      <c r="AF957" t="b">
        <f>ISNUMBER(MATCH(G957,AUM!$G$6:$G$240,0))</f>
        <v>0</v>
      </c>
    </row>
    <row r="958" spans="1:3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ISNUMBER(MATCH(G958,AUM!$C$6:$C$1451,0))</f>
        <v>0</v>
      </c>
      <c r="AF958" t="b">
        <f>ISNUMBER(MATCH(G958,AUM!$G$6:$G$240,0))</f>
        <v>0</v>
      </c>
    </row>
    <row r="959" spans="1:3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ISNUMBER(MATCH(G959,AUM!$C$6:$C$1451,0))</f>
        <v>0</v>
      </c>
      <c r="AF959" t="b">
        <f>ISNUMBER(MATCH(G959,AUM!$G$6:$G$240,0))</f>
        <v>0</v>
      </c>
    </row>
    <row r="960" spans="1:3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ISNUMBER(MATCH(G960,AUM!$C$6:$C$1451,0))</f>
        <v>1</v>
      </c>
      <c r="AF960" t="b">
        <f>ISNUMBER(MATCH(G960,AUM!$G$6:$G$240,0))</f>
        <v>0</v>
      </c>
    </row>
    <row r="961" spans="1:3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ISNUMBER(MATCH(G961,AUM!$C$6:$C$1451,0))</f>
        <v>1</v>
      </c>
      <c r="AF961" t="b">
        <f>ISNUMBER(MATCH(G961,AUM!$G$6:$G$240,0))</f>
        <v>0</v>
      </c>
    </row>
    <row r="962" spans="1:3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ISNUMBER(MATCH(G962,AUM!$C$6:$C$1451,0))</f>
        <v>1</v>
      </c>
      <c r="AF962" t="b">
        <f>ISNUMBER(MATCH(G962,AUM!$G$6:$G$240,0))</f>
        <v>1</v>
      </c>
    </row>
    <row r="963" spans="1:3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ISNUMBER(MATCH(G963,AUM!$C$6:$C$1451,0))</f>
        <v>0</v>
      </c>
      <c r="AF963" t="b">
        <f>ISNUMBER(MATCH(G963,AUM!$G$6:$G$240,0))</f>
        <v>0</v>
      </c>
    </row>
    <row r="964" spans="1:3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ISNUMBER(MATCH(G964,AUM!$C$6:$C$1451,0))</f>
        <v>0</v>
      </c>
      <c r="AF964" t="b">
        <f>ISNUMBER(MATCH(G964,AUM!$G$6:$G$240,0))</f>
        <v>0</v>
      </c>
    </row>
    <row r="965" spans="1:3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ISNUMBER(MATCH(G965,AUM!$C$6:$C$1451,0))</f>
        <v>1</v>
      </c>
      <c r="AF965" t="b">
        <f>ISNUMBER(MATCH(G965,AUM!$G$6:$G$240,0))</f>
        <v>0</v>
      </c>
    </row>
    <row r="966" spans="1:3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ISNUMBER(MATCH(G966,AUM!$C$6:$C$1451,0))</f>
        <v>1</v>
      </c>
      <c r="AF966" t="b">
        <f>ISNUMBER(MATCH(G966,AUM!$G$6:$G$240,0))</f>
        <v>0</v>
      </c>
    </row>
    <row r="967" spans="1:3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ISNUMBER(MATCH(G967,AUM!$C$6:$C$1451,0))</f>
        <v>1</v>
      </c>
      <c r="AF967" t="b">
        <f>ISNUMBER(MATCH(G967,AUM!$G$6:$G$240,0))</f>
        <v>0</v>
      </c>
    </row>
    <row r="968" spans="1:3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ISNUMBER(MATCH(G968,AUM!$C$6:$C$1451,0))</f>
        <v>1</v>
      </c>
      <c r="AF968" t="b">
        <f>ISNUMBER(MATCH(G968,AUM!$G$6:$G$240,0))</f>
        <v>0</v>
      </c>
    </row>
    <row r="969" spans="1:3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ISNUMBER(MATCH(G969,AUM!$C$6:$C$1451,0))</f>
        <v>1</v>
      </c>
      <c r="AF969" t="b">
        <f>ISNUMBER(MATCH(G969,AUM!$G$6:$G$240,0))</f>
        <v>0</v>
      </c>
    </row>
    <row r="970" spans="1:3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ISNUMBER(MATCH(G970,AUM!$C$6:$C$1451,0))</f>
        <v>1</v>
      </c>
      <c r="AF970" t="b">
        <f>ISNUMBER(MATCH(G970,AUM!$G$6:$G$240,0))</f>
        <v>0</v>
      </c>
    </row>
    <row r="971" spans="1:3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ISNUMBER(MATCH(G971,AUM!$C$6:$C$1451,0))</f>
        <v>1</v>
      </c>
      <c r="AF971" t="b">
        <f>ISNUMBER(MATCH(G971,AUM!$G$6:$G$240,0))</f>
        <v>0</v>
      </c>
    </row>
    <row r="972" spans="1:3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ISNUMBER(MATCH(G972,AUM!$C$6:$C$1451,0))</f>
        <v>1</v>
      </c>
      <c r="AF972" t="b">
        <f>ISNUMBER(MATCH(G972,AUM!$G$6:$G$240,0))</f>
        <v>0</v>
      </c>
    </row>
    <row r="973" spans="1:3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ISNUMBER(MATCH(G973,AUM!$C$6:$C$1451,0))</f>
        <v>0</v>
      </c>
      <c r="AF973" t="b">
        <f>ISNUMBER(MATCH(G973,AUM!$G$6:$G$240,0))</f>
        <v>0</v>
      </c>
    </row>
    <row r="974" spans="1:3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ISNUMBER(MATCH(G974,AUM!$C$6:$C$1451,0))</f>
        <v>0</v>
      </c>
      <c r="AF974" t="b">
        <f>ISNUMBER(MATCH(G974,AUM!$G$6:$G$240,0))</f>
        <v>0</v>
      </c>
    </row>
    <row r="975" spans="1:3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ISNUMBER(MATCH(G975,AUM!$C$6:$C$1451,0))</f>
        <v>0</v>
      </c>
      <c r="AF975" t="b">
        <f>ISNUMBER(MATCH(G975,AUM!$G$6:$G$240,0))</f>
        <v>0</v>
      </c>
    </row>
    <row r="976" spans="1:3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ISNUMBER(MATCH(G976,AUM!$C$6:$C$1451,0))</f>
        <v>0</v>
      </c>
      <c r="AF976" t="b">
        <f>ISNUMBER(MATCH(G976,AUM!$G$6:$G$240,0))</f>
        <v>0</v>
      </c>
    </row>
    <row r="977" spans="1:3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ISNUMBER(MATCH(G977,AUM!$C$6:$C$1451,0))</f>
        <v>1</v>
      </c>
      <c r="AF977" t="b">
        <f>ISNUMBER(MATCH(G977,AUM!$G$6:$G$240,0))</f>
        <v>0</v>
      </c>
    </row>
    <row r="978" spans="1:3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ISNUMBER(MATCH(G978,AUM!$C$6:$C$1451,0))</f>
        <v>1</v>
      </c>
      <c r="AF978" t="b">
        <f>ISNUMBER(MATCH(G978,AUM!$G$6:$G$240,0))</f>
        <v>0</v>
      </c>
    </row>
    <row r="979" spans="1:3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ISNUMBER(MATCH(G979,AUM!$C$6:$C$1451,0))</f>
        <v>1</v>
      </c>
      <c r="AF979" t="b">
        <f>ISNUMBER(MATCH(G979,AUM!$G$6:$G$240,0))</f>
        <v>0</v>
      </c>
    </row>
    <row r="980" spans="1:3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ISNUMBER(MATCH(G980,AUM!$C$6:$C$1451,0))</f>
        <v>0</v>
      </c>
      <c r="AF980" t="b">
        <f>ISNUMBER(MATCH(G980,AUM!$G$6:$G$240,0))</f>
        <v>0</v>
      </c>
    </row>
    <row r="981" spans="1:3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ISNUMBER(MATCH(G981,AUM!$C$6:$C$1451,0))</f>
        <v>1</v>
      </c>
      <c r="AF981" t="b">
        <f>ISNUMBER(MATCH(G981,AUM!$G$6:$G$240,0))</f>
        <v>0</v>
      </c>
    </row>
    <row r="982" spans="1:3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ISNUMBER(MATCH(G982,AUM!$C$6:$C$1451,0))</f>
        <v>1</v>
      </c>
      <c r="AF982" t="b">
        <f>ISNUMBER(MATCH(G982,AUM!$G$6:$G$240,0))</f>
        <v>0</v>
      </c>
    </row>
    <row r="983" spans="1:3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ISNUMBER(MATCH(G983,AUM!$C$6:$C$1451,0))</f>
        <v>1</v>
      </c>
      <c r="AF983" t="b">
        <f>ISNUMBER(MATCH(G983,AUM!$G$6:$G$240,0))</f>
        <v>0</v>
      </c>
    </row>
    <row r="984" spans="1:3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ISNUMBER(MATCH(G984,AUM!$C$6:$C$1451,0))</f>
        <v>1</v>
      </c>
      <c r="AF984" t="b">
        <f>ISNUMBER(MATCH(G984,AUM!$G$6:$G$240,0))</f>
        <v>0</v>
      </c>
    </row>
    <row r="985" spans="1:3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ISNUMBER(MATCH(G985,AUM!$C$6:$C$1451,0))</f>
        <v>0</v>
      </c>
      <c r="AF985" t="b">
        <f>ISNUMBER(MATCH(G985,AUM!$G$6:$G$240,0))</f>
        <v>0</v>
      </c>
    </row>
    <row r="986" spans="1:3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ISNUMBER(MATCH(G986,AUM!$C$6:$C$1451,0))</f>
        <v>0</v>
      </c>
      <c r="AF986" t="b">
        <f>ISNUMBER(MATCH(G986,AUM!$G$6:$G$240,0))</f>
        <v>0</v>
      </c>
    </row>
    <row r="987" spans="1:3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ISNUMBER(MATCH(G987,AUM!$C$6:$C$1451,0))</f>
        <v>0</v>
      </c>
      <c r="AF987" t="b">
        <f>ISNUMBER(MATCH(G987,AUM!$G$6:$G$240,0))</f>
        <v>0</v>
      </c>
    </row>
    <row r="988" spans="1:3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ISNUMBER(MATCH(G988,AUM!$C$6:$C$1451,0))</f>
        <v>0</v>
      </c>
      <c r="AF988" t="b">
        <f>ISNUMBER(MATCH(G988,AUM!$G$6:$G$240,0))</f>
        <v>0</v>
      </c>
    </row>
    <row r="989" spans="1:3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ISNUMBER(MATCH(G989,AUM!$C$6:$C$1451,0))</f>
        <v>0</v>
      </c>
      <c r="AF989" t="b">
        <f>ISNUMBER(MATCH(G989,AUM!$G$6:$G$240,0))</f>
        <v>0</v>
      </c>
    </row>
    <row r="990" spans="1:3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ISNUMBER(MATCH(G990,AUM!$C$6:$C$1451,0))</f>
        <v>0</v>
      </c>
      <c r="AF990" t="b">
        <f>ISNUMBER(MATCH(G990,AUM!$G$6:$G$240,0))</f>
        <v>0</v>
      </c>
    </row>
    <row r="991" spans="1:3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ISNUMBER(MATCH(G991,AUM!$C$6:$C$1451,0))</f>
        <v>1</v>
      </c>
      <c r="AF991" t="b">
        <f>ISNUMBER(MATCH(G991,AUM!$G$6:$G$240,0))</f>
        <v>0</v>
      </c>
    </row>
    <row r="992" spans="1:3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ISNUMBER(MATCH(G992,AUM!$C$6:$C$1451,0))</f>
        <v>1</v>
      </c>
      <c r="AF992" t="b">
        <f>ISNUMBER(MATCH(G992,AUM!$G$6:$G$240,0))</f>
        <v>0</v>
      </c>
    </row>
    <row r="993" spans="1:3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ISNUMBER(MATCH(G993,AUM!$C$6:$C$1451,0))</f>
        <v>0</v>
      </c>
      <c r="AF993" t="b">
        <f>ISNUMBER(MATCH(G993,AUM!$G$6:$G$240,0))</f>
        <v>0</v>
      </c>
    </row>
    <row r="994" spans="1:3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ISNUMBER(MATCH(G994,AUM!$C$6:$C$1451,0))</f>
        <v>0</v>
      </c>
      <c r="AF994" t="b">
        <f>ISNUMBER(MATCH(G994,AUM!$G$6:$G$240,0))</f>
        <v>0</v>
      </c>
    </row>
    <row r="995" spans="1:3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ISNUMBER(MATCH(G995,AUM!$C$6:$C$1451,0))</f>
        <v>0</v>
      </c>
      <c r="AF995" t="b">
        <f>ISNUMBER(MATCH(G995,AUM!$G$6:$G$240,0))</f>
        <v>0</v>
      </c>
    </row>
    <row r="996" spans="1:3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ISNUMBER(MATCH(G996,AUM!$C$6:$C$1451,0))</f>
        <v>0</v>
      </c>
      <c r="AF996" t="b">
        <f>ISNUMBER(MATCH(G996,AUM!$G$6:$G$240,0))</f>
        <v>0</v>
      </c>
    </row>
    <row r="997" spans="1:3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ISNUMBER(MATCH(G997,AUM!$C$6:$C$1451,0))</f>
        <v>0</v>
      </c>
      <c r="AF997" t="b">
        <f>ISNUMBER(MATCH(G997,AUM!$G$6:$G$240,0))</f>
        <v>0</v>
      </c>
    </row>
    <row r="998" spans="1:3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ISNUMBER(MATCH(G998,AUM!$C$6:$C$1451,0))</f>
        <v>0</v>
      </c>
      <c r="AF998" t="b">
        <f>ISNUMBER(MATCH(G998,AUM!$G$6:$G$240,0))</f>
        <v>0</v>
      </c>
    </row>
    <row r="999" spans="1:3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ISNUMBER(MATCH(G999,AUM!$C$6:$C$1451,0))</f>
        <v>1</v>
      </c>
      <c r="AF999" t="b">
        <f>ISNUMBER(MATCH(G999,AUM!$G$6:$G$240,0))</f>
        <v>0</v>
      </c>
    </row>
    <row r="1000" spans="1:3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ISNUMBER(MATCH(G1000,AUM!$C$6:$C$1451,0))</f>
        <v>1</v>
      </c>
      <c r="AF1000" t="b">
        <f>ISNUMBER(MATCH(G1000,AUM!$G$6:$G$240,0))</f>
        <v>0</v>
      </c>
    </row>
    <row r="1001" spans="1:3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ISNUMBER(MATCH(G1001,AUM!$C$6:$C$1451,0))</f>
        <v>1</v>
      </c>
      <c r="AF1001" t="b">
        <f>ISNUMBER(MATCH(G1001,AUM!$G$6:$G$240,0))</f>
        <v>0</v>
      </c>
    </row>
    <row r="1002" spans="1:3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ISNUMBER(MATCH(G1002,AUM!$C$6:$C$1451,0))</f>
        <v>1</v>
      </c>
      <c r="AF1002" t="b">
        <f>ISNUMBER(MATCH(G1002,AUM!$G$6:$G$240,0))</f>
        <v>1</v>
      </c>
    </row>
    <row r="1003" spans="1:3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ISNUMBER(MATCH(G1003,AUM!$C$6:$C$1451,0))</f>
        <v>1</v>
      </c>
      <c r="AF1003" t="b">
        <f>ISNUMBER(MATCH(G1003,AUM!$G$6:$G$240,0))</f>
        <v>0</v>
      </c>
    </row>
    <row r="1004" spans="1:3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ISNUMBER(MATCH(G1004,AUM!$C$6:$C$1451,0))</f>
        <v>1</v>
      </c>
      <c r="AF1004" t="b">
        <f>ISNUMBER(MATCH(G1004,AUM!$G$6:$G$240,0))</f>
        <v>0</v>
      </c>
    </row>
    <row r="1005" spans="1:3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ISNUMBER(MATCH(G1005,AUM!$C$6:$C$1451,0))</f>
        <v>1</v>
      </c>
      <c r="AF1005" t="b">
        <f>ISNUMBER(MATCH(G1005,AUM!$G$6:$G$240,0))</f>
        <v>0</v>
      </c>
    </row>
    <row r="1006" spans="1:3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ISNUMBER(MATCH(G1006,AUM!$C$6:$C$1451,0))</f>
        <v>1</v>
      </c>
      <c r="AF1006" t="b">
        <f>ISNUMBER(MATCH(G1006,AUM!$G$6:$G$240,0))</f>
        <v>0</v>
      </c>
    </row>
    <row r="1007" spans="1:3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ISNUMBER(MATCH(G1007,AUM!$C$6:$C$1451,0))</f>
        <v>1</v>
      </c>
      <c r="AF1007" t="b">
        <f>ISNUMBER(MATCH(G1007,AUM!$G$6:$G$240,0))</f>
        <v>0</v>
      </c>
    </row>
    <row r="1008" spans="1:3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ISNUMBER(MATCH(G1008,AUM!$C$6:$C$1451,0))</f>
        <v>1</v>
      </c>
      <c r="AF1008" t="b">
        <f>ISNUMBER(MATCH(G1008,AUM!$G$6:$G$240,0))</f>
        <v>0</v>
      </c>
    </row>
    <row r="1009" spans="1:3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ISNUMBER(MATCH(G1009,AUM!$C$6:$C$1451,0))</f>
        <v>1</v>
      </c>
      <c r="AF1009" t="b">
        <f>ISNUMBER(MATCH(G1009,AUM!$G$6:$G$240,0))</f>
        <v>0</v>
      </c>
    </row>
    <row r="1010" spans="1:3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ISNUMBER(MATCH(G1010,AUM!$C$6:$C$1451,0))</f>
        <v>1</v>
      </c>
      <c r="AF1010" t="b">
        <f>ISNUMBER(MATCH(G1010,AUM!$G$6:$G$240,0))</f>
        <v>0</v>
      </c>
    </row>
    <row r="1011" spans="1:3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ISNUMBER(MATCH(G1011,AUM!$C$6:$C$1451,0))</f>
        <v>1</v>
      </c>
      <c r="AF1011" t="b">
        <f>ISNUMBER(MATCH(G1011,AUM!$G$6:$G$240,0))</f>
        <v>0</v>
      </c>
    </row>
    <row r="1012" spans="1:3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ISNUMBER(MATCH(G1012,AUM!$C$6:$C$1451,0))</f>
        <v>1</v>
      </c>
      <c r="AF1012" t="b">
        <f>ISNUMBER(MATCH(G1012,AUM!$G$6:$G$240,0))</f>
        <v>0</v>
      </c>
    </row>
    <row r="1013" spans="1:3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ISNUMBER(MATCH(G1013,AUM!$C$6:$C$1451,0))</f>
        <v>1</v>
      </c>
      <c r="AF1013" t="b">
        <f>ISNUMBER(MATCH(G1013,AUM!$G$6:$G$240,0))</f>
        <v>0</v>
      </c>
    </row>
    <row r="1014" spans="1:3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ISNUMBER(MATCH(G1014,AUM!$C$6:$C$1451,0))</f>
        <v>1</v>
      </c>
      <c r="AF1014" t="b">
        <f>ISNUMBER(MATCH(G1014,AUM!$G$6:$G$240,0))</f>
        <v>0</v>
      </c>
    </row>
    <row r="1015" spans="1:3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ISNUMBER(MATCH(G1015,AUM!$C$6:$C$1451,0))</f>
        <v>1</v>
      </c>
      <c r="AF1015" t="b">
        <f>ISNUMBER(MATCH(G1015,AUM!$G$6:$G$240,0))</f>
        <v>0</v>
      </c>
    </row>
    <row r="1016" spans="1:3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ISNUMBER(MATCH(G1016,AUM!$C$6:$C$1451,0))</f>
        <v>1</v>
      </c>
      <c r="AF1016" t="b">
        <f>ISNUMBER(MATCH(G1016,AUM!$G$6:$G$240,0))</f>
        <v>0</v>
      </c>
    </row>
    <row r="1017" spans="1:3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ISNUMBER(MATCH(G1017,AUM!$C$6:$C$1451,0))</f>
        <v>1</v>
      </c>
      <c r="AF1017" t="b">
        <f>ISNUMBER(MATCH(G1017,AUM!$G$6:$G$240,0))</f>
        <v>0</v>
      </c>
    </row>
    <row r="1018" spans="1:3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ISNUMBER(MATCH(G1018,AUM!$C$6:$C$1451,0))</f>
        <v>1</v>
      </c>
      <c r="AF1018" t="b">
        <f>ISNUMBER(MATCH(G1018,AUM!$G$6:$G$240,0))</f>
        <v>0</v>
      </c>
    </row>
    <row r="1019" spans="1:3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ISNUMBER(MATCH(G1019,AUM!$C$6:$C$1451,0))</f>
        <v>1</v>
      </c>
      <c r="AF1019" t="b">
        <f>ISNUMBER(MATCH(G1019,AUM!$G$6:$G$240,0))</f>
        <v>0</v>
      </c>
    </row>
    <row r="1020" spans="1:3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ISNUMBER(MATCH(G1020,AUM!$C$6:$C$1451,0))</f>
        <v>1</v>
      </c>
      <c r="AF1020" t="b">
        <f>ISNUMBER(MATCH(G1020,AUM!$G$6:$G$240,0))</f>
        <v>0</v>
      </c>
    </row>
    <row r="1021" spans="1:3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ISNUMBER(MATCH(G1021,AUM!$C$6:$C$1451,0))</f>
        <v>1</v>
      </c>
      <c r="AF1021" t="b">
        <f>ISNUMBER(MATCH(G1021,AUM!$G$6:$G$240,0))</f>
        <v>0</v>
      </c>
    </row>
    <row r="1022" spans="1:3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ISNUMBER(MATCH(G1022,AUM!$C$6:$C$1451,0))</f>
        <v>1</v>
      </c>
      <c r="AF1022" t="b">
        <f>ISNUMBER(MATCH(G1022,AUM!$G$6:$G$240,0))</f>
        <v>0</v>
      </c>
    </row>
    <row r="1023" spans="1:3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ISNUMBER(MATCH(G1023,AUM!$C$6:$C$1451,0))</f>
        <v>1</v>
      </c>
      <c r="AF1023" t="b">
        <f>ISNUMBER(MATCH(G1023,AUM!$G$6:$G$240,0))</f>
        <v>0</v>
      </c>
    </row>
    <row r="1024" spans="1:3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ISNUMBER(MATCH(G1024,AUM!$C$6:$C$1451,0))</f>
        <v>1</v>
      </c>
      <c r="AF1024" t="b">
        <f>ISNUMBER(MATCH(G1024,AUM!$G$6:$G$240,0))</f>
        <v>0</v>
      </c>
    </row>
    <row r="1025" spans="1:3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ISNUMBER(MATCH(G1025,AUM!$C$6:$C$1451,0))</f>
        <v>1</v>
      </c>
      <c r="AF1025" t="b">
        <f>ISNUMBER(MATCH(G1025,AUM!$G$6:$G$240,0))</f>
        <v>0</v>
      </c>
    </row>
    <row r="1026" spans="1:3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ISNUMBER(MATCH(G1026,AUM!$C$6:$C$1451,0))</f>
        <v>1</v>
      </c>
      <c r="AF1026" t="b">
        <f>ISNUMBER(MATCH(G1026,AUM!$G$6:$G$240,0))</f>
        <v>0</v>
      </c>
    </row>
    <row r="1027" spans="1:3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ISNUMBER(MATCH(G1027,AUM!$C$6:$C$1451,0))</f>
        <v>1</v>
      </c>
      <c r="AF1027" t="b">
        <f>ISNUMBER(MATCH(G1027,AUM!$G$6:$G$240,0))</f>
        <v>0</v>
      </c>
    </row>
    <row r="1028" spans="1:3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ISNUMBER(MATCH(G1028,AUM!$C$6:$C$1451,0))</f>
        <v>1</v>
      </c>
      <c r="AF1028" t="b">
        <f>ISNUMBER(MATCH(G1028,AUM!$G$6:$G$240,0))</f>
        <v>0</v>
      </c>
    </row>
    <row r="1029" spans="1:3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ISNUMBER(MATCH(G1029,AUM!$C$6:$C$1451,0))</f>
        <v>1</v>
      </c>
      <c r="AF1029" t="b">
        <f>ISNUMBER(MATCH(G1029,AUM!$G$6:$G$240,0))</f>
        <v>0</v>
      </c>
    </row>
    <row r="1030" spans="1:3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ISNUMBER(MATCH(G1030,AUM!$C$6:$C$1451,0))</f>
        <v>1</v>
      </c>
      <c r="AF1030" t="b">
        <f>ISNUMBER(MATCH(G1030,AUM!$G$6:$G$240,0))</f>
        <v>0</v>
      </c>
    </row>
    <row r="1031" spans="1:3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ISNUMBER(MATCH(G1031,AUM!$C$6:$C$1451,0))</f>
        <v>0</v>
      </c>
      <c r="AF1031" t="b">
        <f>ISNUMBER(MATCH(G1031,AUM!$G$6:$G$240,0))</f>
        <v>0</v>
      </c>
    </row>
    <row r="1032" spans="1:3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ISNUMBER(MATCH(G1032,AUM!$C$6:$C$1451,0))</f>
        <v>1</v>
      </c>
      <c r="AF1032" t="b">
        <f>ISNUMBER(MATCH(G1032,AUM!$G$6:$G$240,0))</f>
        <v>0</v>
      </c>
    </row>
    <row r="1033" spans="1:3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ISNUMBER(MATCH(G1033,AUM!$C$6:$C$1451,0))</f>
        <v>1</v>
      </c>
      <c r="AF1033" t="b">
        <f>ISNUMBER(MATCH(G1033,AUM!$G$6:$G$240,0))</f>
        <v>0</v>
      </c>
    </row>
    <row r="1034" spans="1:3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ISNUMBER(MATCH(G1034,AUM!$C$6:$C$1451,0))</f>
        <v>1</v>
      </c>
      <c r="AF1034" t="b">
        <f>ISNUMBER(MATCH(G1034,AUM!$G$6:$G$240,0))</f>
        <v>0</v>
      </c>
    </row>
    <row r="1035" spans="1:3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ISNUMBER(MATCH(G1035,AUM!$C$6:$C$1451,0))</f>
        <v>0</v>
      </c>
      <c r="AF1035" t="b">
        <f>ISNUMBER(MATCH(G1035,AUM!$G$6:$G$240,0))</f>
        <v>0</v>
      </c>
    </row>
    <row r="1036" spans="1:3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ISNUMBER(MATCH(G1036,AUM!$C$6:$C$1451,0))</f>
        <v>0</v>
      </c>
      <c r="AF1036" t="b">
        <f>ISNUMBER(MATCH(G1036,AUM!$G$6:$G$240,0))</f>
        <v>0</v>
      </c>
    </row>
    <row r="1037" spans="1:3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ISNUMBER(MATCH(G1037,AUM!$C$6:$C$1451,0))</f>
        <v>0</v>
      </c>
      <c r="AF1037" t="b">
        <f>ISNUMBER(MATCH(G1037,AUM!$G$6:$G$240,0))</f>
        <v>0</v>
      </c>
    </row>
    <row r="1038" spans="1:3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ISNUMBER(MATCH(G1038,AUM!$C$6:$C$1451,0))</f>
        <v>0</v>
      </c>
      <c r="AF1038" t="b">
        <f>ISNUMBER(MATCH(G1038,AUM!$G$6:$G$240,0))</f>
        <v>0</v>
      </c>
    </row>
    <row r="1039" spans="1:3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ISNUMBER(MATCH(G1039,AUM!$C$6:$C$1451,0))</f>
        <v>0</v>
      </c>
      <c r="AF1039" t="b">
        <f>ISNUMBER(MATCH(G1039,AUM!$G$6:$G$240,0))</f>
        <v>0</v>
      </c>
    </row>
    <row r="1040" spans="1:3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ISNUMBER(MATCH(G1040,AUM!$C$6:$C$1451,0))</f>
        <v>0</v>
      </c>
      <c r="AF1040" t="b">
        <f>ISNUMBER(MATCH(G1040,AUM!$G$6:$G$240,0))</f>
        <v>0</v>
      </c>
    </row>
    <row r="1041" spans="1:3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ISNUMBER(MATCH(G1041,AUM!$C$6:$C$1451,0))</f>
        <v>0</v>
      </c>
      <c r="AF1041" t="b">
        <f>ISNUMBER(MATCH(G1041,AUM!$G$6:$G$240,0))</f>
        <v>0</v>
      </c>
    </row>
    <row r="1042" spans="1:3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ISNUMBER(MATCH(G1042,AUM!$C$6:$C$1451,0))</f>
        <v>0</v>
      </c>
      <c r="AF1042" t="b">
        <f>ISNUMBER(MATCH(G1042,AUM!$G$6:$G$240,0))</f>
        <v>0</v>
      </c>
    </row>
    <row r="1043" spans="1:3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ISNUMBER(MATCH(G1043,AUM!$C$6:$C$1451,0))</f>
        <v>1</v>
      </c>
      <c r="AF1043" t="b">
        <f>ISNUMBER(MATCH(G1043,AUM!$G$6:$G$240,0))</f>
        <v>1</v>
      </c>
    </row>
    <row r="1044" spans="1:3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ISNUMBER(MATCH(G1044,AUM!$C$6:$C$1451,0))</f>
        <v>0</v>
      </c>
      <c r="AF1044" t="b">
        <f>ISNUMBER(MATCH(G1044,AUM!$G$6:$G$240,0))</f>
        <v>0</v>
      </c>
    </row>
    <row r="1045" spans="1:3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ISNUMBER(MATCH(G1045,AUM!$C$6:$C$1451,0))</f>
        <v>0</v>
      </c>
      <c r="AF1045" t="b">
        <f>ISNUMBER(MATCH(G1045,AUM!$G$6:$G$240,0))</f>
        <v>0</v>
      </c>
    </row>
    <row r="1046" spans="1:3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ISNUMBER(MATCH(G1046,AUM!$C$6:$C$1451,0))</f>
        <v>0</v>
      </c>
      <c r="AF1046" t="b">
        <f>ISNUMBER(MATCH(G1046,AUM!$G$6:$G$240,0))</f>
        <v>0</v>
      </c>
    </row>
    <row r="1047" spans="1:3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ISNUMBER(MATCH(G1047,AUM!$C$6:$C$1451,0))</f>
        <v>0</v>
      </c>
      <c r="AF1047" t="b">
        <f>ISNUMBER(MATCH(G1047,AUM!$G$6:$G$240,0))</f>
        <v>0</v>
      </c>
    </row>
    <row r="1048" spans="1:3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ISNUMBER(MATCH(G1048,AUM!$C$6:$C$1451,0))</f>
        <v>0</v>
      </c>
      <c r="AF1048" t="b">
        <f>ISNUMBER(MATCH(G1048,AUM!$G$6:$G$240,0))</f>
        <v>0</v>
      </c>
    </row>
    <row r="1049" spans="1:3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ISNUMBER(MATCH(G1049,AUM!$C$6:$C$1451,0))</f>
        <v>0</v>
      </c>
      <c r="AF1049" t="b">
        <f>ISNUMBER(MATCH(G1049,AUM!$G$6:$G$240,0))</f>
        <v>0</v>
      </c>
    </row>
    <row r="1050" spans="1:3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ISNUMBER(MATCH(G1050,AUM!$C$6:$C$1451,0))</f>
        <v>0</v>
      </c>
      <c r="AF1050" t="b">
        <f>ISNUMBER(MATCH(G1050,AUM!$G$6:$G$240,0))</f>
        <v>0</v>
      </c>
    </row>
    <row r="1051" spans="1:3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ISNUMBER(MATCH(G1051,AUM!$C$6:$C$1451,0))</f>
        <v>0</v>
      </c>
      <c r="AF1051" t="b">
        <f>ISNUMBER(MATCH(G1051,AUM!$G$6:$G$240,0))</f>
        <v>0</v>
      </c>
    </row>
    <row r="1052" spans="1:3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ISNUMBER(MATCH(G1052,AUM!$C$6:$C$1451,0))</f>
        <v>0</v>
      </c>
      <c r="AF1052" t="b">
        <f>ISNUMBER(MATCH(G1052,AUM!$G$6:$G$240,0))</f>
        <v>0</v>
      </c>
    </row>
    <row r="1053" spans="1:3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ISNUMBER(MATCH(G1053,AUM!$C$6:$C$1451,0))</f>
        <v>0</v>
      </c>
      <c r="AF1053" t="b">
        <f>ISNUMBER(MATCH(G1053,AUM!$G$6:$G$240,0))</f>
        <v>0</v>
      </c>
    </row>
    <row r="1054" spans="1:3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ISNUMBER(MATCH(G1054,AUM!$C$6:$C$1451,0))</f>
        <v>0</v>
      </c>
      <c r="AF1054" t="b">
        <f>ISNUMBER(MATCH(G1054,AUM!$G$6:$G$240,0))</f>
        <v>0</v>
      </c>
    </row>
    <row r="1055" spans="1:3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ISNUMBER(MATCH(G1055,AUM!$C$6:$C$1451,0))</f>
        <v>0</v>
      </c>
      <c r="AF1055" t="b">
        <f>ISNUMBER(MATCH(G1055,AUM!$G$6:$G$240,0))</f>
        <v>0</v>
      </c>
    </row>
    <row r="1056" spans="1:3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ISNUMBER(MATCH(G1056,AUM!$C$6:$C$1451,0))</f>
        <v>0</v>
      </c>
      <c r="AF1056" t="b">
        <f>ISNUMBER(MATCH(G1056,AUM!$G$6:$G$240,0))</f>
        <v>0</v>
      </c>
    </row>
    <row r="1057" spans="1:3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ISNUMBER(MATCH(G1057,AUM!$C$6:$C$1451,0))</f>
        <v>0</v>
      </c>
      <c r="AF1057" t="b">
        <f>ISNUMBER(MATCH(G1057,AUM!$G$6:$G$240,0))</f>
        <v>0</v>
      </c>
    </row>
    <row r="1058" spans="1:3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ISNUMBER(MATCH(G1058,AUM!$C$6:$C$1451,0))</f>
        <v>1</v>
      </c>
      <c r="AF1058" t="b">
        <f>ISNUMBER(MATCH(G1058,AUM!$G$6:$G$240,0))</f>
        <v>0</v>
      </c>
    </row>
    <row r="1059" spans="1:3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ISNUMBER(MATCH(G1059,AUM!$C$6:$C$1451,0))</f>
        <v>1</v>
      </c>
      <c r="AF1059" t="b">
        <f>ISNUMBER(MATCH(G1059,AUM!$G$6:$G$240,0))</f>
        <v>0</v>
      </c>
    </row>
    <row r="1060" spans="1:3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ISNUMBER(MATCH(G1060,AUM!$C$6:$C$1451,0))</f>
        <v>1</v>
      </c>
      <c r="AF1060" t="b">
        <f>ISNUMBER(MATCH(G1060,AUM!$G$6:$G$240,0))</f>
        <v>0</v>
      </c>
    </row>
    <row r="1061" spans="1:3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ISNUMBER(MATCH(G1061,AUM!$C$6:$C$1451,0))</f>
        <v>1</v>
      </c>
      <c r="AF1061" t="b">
        <f>ISNUMBER(MATCH(G1061,AUM!$G$6:$G$240,0))</f>
        <v>1</v>
      </c>
    </row>
    <row r="1062" spans="1:3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ISNUMBER(MATCH(G1062,AUM!$C$6:$C$1451,0))</f>
        <v>0</v>
      </c>
      <c r="AF1062" t="b">
        <f>ISNUMBER(MATCH(G1062,AUM!$G$6:$G$240,0))</f>
        <v>0</v>
      </c>
    </row>
    <row r="1063" spans="1:3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ISNUMBER(MATCH(G1063,AUM!$C$6:$C$1451,0))</f>
        <v>0</v>
      </c>
      <c r="AF1063" t="b">
        <f>ISNUMBER(MATCH(G1063,AUM!$G$6:$G$240,0))</f>
        <v>0</v>
      </c>
    </row>
    <row r="1064" spans="1:3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ISNUMBER(MATCH(G1064,AUM!$C$6:$C$1451,0))</f>
        <v>0</v>
      </c>
      <c r="AF1064" t="b">
        <f>ISNUMBER(MATCH(G1064,AUM!$G$6:$G$240,0))</f>
        <v>0</v>
      </c>
    </row>
    <row r="1065" spans="1:3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ISNUMBER(MATCH(G1065,AUM!$C$6:$C$1451,0))</f>
        <v>0</v>
      </c>
      <c r="AF1065" t="b">
        <f>ISNUMBER(MATCH(G1065,AUM!$G$6:$G$240,0))</f>
        <v>0</v>
      </c>
    </row>
    <row r="1066" spans="1:3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ISNUMBER(MATCH(G1066,AUM!$C$6:$C$1451,0))</f>
        <v>0</v>
      </c>
      <c r="AF1066" t="b">
        <f>ISNUMBER(MATCH(G1066,AUM!$G$6:$G$240,0))</f>
        <v>0</v>
      </c>
    </row>
    <row r="1067" spans="1:3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ISNUMBER(MATCH(G1067,AUM!$C$6:$C$1451,0))</f>
        <v>0</v>
      </c>
      <c r="AF1067" t="b">
        <f>ISNUMBER(MATCH(G1067,AUM!$G$6:$G$240,0))</f>
        <v>0</v>
      </c>
    </row>
    <row r="1068" spans="1:3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ISNUMBER(MATCH(G1068,AUM!$C$6:$C$1451,0))</f>
        <v>0</v>
      </c>
      <c r="AF1068" t="b">
        <f>ISNUMBER(MATCH(G1068,AUM!$G$6:$G$240,0))</f>
        <v>0</v>
      </c>
    </row>
    <row r="1069" spans="1:3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ISNUMBER(MATCH(G1069,AUM!$C$6:$C$1451,0))</f>
        <v>0</v>
      </c>
      <c r="AF1069" t="b">
        <f>ISNUMBER(MATCH(G1069,AUM!$G$6:$G$240,0))</f>
        <v>0</v>
      </c>
    </row>
    <row r="1070" spans="1:3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ISNUMBER(MATCH(G1070,AUM!$C$6:$C$1451,0))</f>
        <v>1</v>
      </c>
      <c r="AF1070" t="b">
        <f>ISNUMBER(MATCH(G1070,AUM!$G$6:$G$240,0))</f>
        <v>0</v>
      </c>
    </row>
    <row r="1071" spans="1:3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ISNUMBER(MATCH(G1071,AUM!$C$6:$C$1451,0))</f>
        <v>1</v>
      </c>
      <c r="AF1071" t="b">
        <f>ISNUMBER(MATCH(G1071,AUM!$G$6:$G$240,0))</f>
        <v>0</v>
      </c>
    </row>
    <row r="1072" spans="1:3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ISNUMBER(MATCH(G1072,AUM!$C$6:$C$1451,0))</f>
        <v>1</v>
      </c>
      <c r="AF1072" t="b">
        <f>ISNUMBER(MATCH(G1072,AUM!$G$6:$G$240,0))</f>
        <v>1</v>
      </c>
    </row>
    <row r="1073" spans="1:3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ISNUMBER(MATCH(G1073,AUM!$C$6:$C$1451,0))</f>
        <v>1</v>
      </c>
      <c r="AF1073" t="b">
        <f>ISNUMBER(MATCH(G1073,AUM!$G$6:$G$240,0))</f>
        <v>0</v>
      </c>
    </row>
    <row r="1074" spans="1:3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ISNUMBER(MATCH(G1074,AUM!$C$6:$C$1451,0))</f>
        <v>1</v>
      </c>
      <c r="AF1074" t="b">
        <f>ISNUMBER(MATCH(G1074,AUM!$G$6:$G$240,0))</f>
        <v>0</v>
      </c>
    </row>
    <row r="1075" spans="1:3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ISNUMBER(MATCH(G1075,AUM!$C$6:$C$1451,0))</f>
        <v>1</v>
      </c>
      <c r="AF1075" t="b">
        <f>ISNUMBER(MATCH(G1075,AUM!$G$6:$G$240,0))</f>
        <v>1</v>
      </c>
    </row>
    <row r="1076" spans="1:3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ISNUMBER(MATCH(G1076,AUM!$C$6:$C$1451,0))</f>
        <v>0</v>
      </c>
      <c r="AF1076" t="b">
        <f>ISNUMBER(MATCH(G1076,AUM!$G$6:$G$240,0))</f>
        <v>0</v>
      </c>
    </row>
    <row r="1077" spans="1:3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ISNUMBER(MATCH(G1077,AUM!$C$6:$C$1451,0))</f>
        <v>0</v>
      </c>
      <c r="AF1077" t="b">
        <f>ISNUMBER(MATCH(G1077,AUM!$G$6:$G$240,0))</f>
        <v>0</v>
      </c>
    </row>
    <row r="1078" spans="1:3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ISNUMBER(MATCH(G1078,AUM!$C$6:$C$1451,0))</f>
        <v>0</v>
      </c>
      <c r="AF1078" t="b">
        <f>ISNUMBER(MATCH(G1078,AUM!$G$6:$G$240,0))</f>
        <v>0</v>
      </c>
    </row>
    <row r="1079" spans="1:3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ISNUMBER(MATCH(G1079,AUM!$C$6:$C$1451,0))</f>
        <v>0</v>
      </c>
      <c r="AF1079" t="b">
        <f>ISNUMBER(MATCH(G1079,AUM!$G$6:$G$240,0))</f>
        <v>0</v>
      </c>
    </row>
    <row r="1080" spans="1:3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ISNUMBER(MATCH(G1080,AUM!$C$6:$C$1451,0))</f>
        <v>0</v>
      </c>
      <c r="AF1080" t="b">
        <f>ISNUMBER(MATCH(G1080,AUM!$G$6:$G$240,0))</f>
        <v>0</v>
      </c>
    </row>
    <row r="1081" spans="1:3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ISNUMBER(MATCH(G1081,AUM!$C$6:$C$1451,0))</f>
        <v>0</v>
      </c>
      <c r="AF1081" t="b">
        <f>ISNUMBER(MATCH(G1081,AUM!$G$6:$G$240,0))</f>
        <v>0</v>
      </c>
    </row>
    <row r="1082" spans="1:3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ISNUMBER(MATCH(G1082,AUM!$C$6:$C$1451,0))</f>
        <v>0</v>
      </c>
      <c r="AF1082" t="b">
        <f>ISNUMBER(MATCH(G1082,AUM!$G$6:$G$240,0))</f>
        <v>0</v>
      </c>
    </row>
    <row r="1083" spans="1:3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ISNUMBER(MATCH(G1083,AUM!$C$6:$C$1451,0))</f>
        <v>0</v>
      </c>
      <c r="AF1083" t="b">
        <f>ISNUMBER(MATCH(G1083,AUM!$G$6:$G$240,0))</f>
        <v>0</v>
      </c>
    </row>
    <row r="1084" spans="1:3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ISNUMBER(MATCH(G1084,AUM!$C$6:$C$1451,0))</f>
        <v>0</v>
      </c>
      <c r="AF1084" t="b">
        <f>ISNUMBER(MATCH(G1084,AUM!$G$6:$G$240,0))</f>
        <v>0</v>
      </c>
    </row>
    <row r="1085" spans="1:3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ISNUMBER(MATCH(G1085,AUM!$C$6:$C$1451,0))</f>
        <v>0</v>
      </c>
      <c r="AF1085" t="b">
        <f>ISNUMBER(MATCH(G1085,AUM!$G$6:$G$240,0))</f>
        <v>0</v>
      </c>
    </row>
    <row r="1086" spans="1:3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ISNUMBER(MATCH(G1086,AUM!$C$6:$C$1451,0))</f>
        <v>0</v>
      </c>
      <c r="AF1086" t="b">
        <f>ISNUMBER(MATCH(G1086,AUM!$G$6:$G$240,0))</f>
        <v>0</v>
      </c>
    </row>
    <row r="1087" spans="1:3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ISNUMBER(MATCH(G1087,AUM!$C$6:$C$1451,0))</f>
        <v>0</v>
      </c>
      <c r="AF1087" t="b">
        <f>ISNUMBER(MATCH(G1087,AUM!$G$6:$G$240,0))</f>
        <v>0</v>
      </c>
    </row>
    <row r="1088" spans="1:3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ISNUMBER(MATCH(G1088,AUM!$C$6:$C$1451,0))</f>
        <v>0</v>
      </c>
      <c r="AF1088" t="b">
        <f>ISNUMBER(MATCH(G1088,AUM!$G$6:$G$240,0))</f>
        <v>0</v>
      </c>
    </row>
    <row r="1089" spans="1:3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ISNUMBER(MATCH(G1089,AUM!$C$6:$C$1451,0))</f>
        <v>0</v>
      </c>
      <c r="AF1089" t="b">
        <f>ISNUMBER(MATCH(G1089,AUM!$G$6:$G$240,0))</f>
        <v>0</v>
      </c>
    </row>
    <row r="1090" spans="1:3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ISNUMBER(MATCH(G1090,AUM!$C$6:$C$1451,0))</f>
        <v>0</v>
      </c>
      <c r="AF1090" t="b">
        <f>ISNUMBER(MATCH(G1090,AUM!$G$6:$G$240,0))</f>
        <v>0</v>
      </c>
    </row>
    <row r="1091" spans="1:3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ISNUMBER(MATCH(G1091,AUM!$C$6:$C$1451,0))</f>
        <v>0</v>
      </c>
      <c r="AF1091" t="b">
        <f>ISNUMBER(MATCH(G1091,AUM!$G$6:$G$240,0))</f>
        <v>0</v>
      </c>
    </row>
    <row r="1092" spans="1:3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ISNUMBER(MATCH(G1092,AUM!$C$6:$C$1451,0))</f>
        <v>0</v>
      </c>
      <c r="AF1092" t="b">
        <f>ISNUMBER(MATCH(G1092,AUM!$G$6:$G$240,0))</f>
        <v>0</v>
      </c>
    </row>
    <row r="1093" spans="1:3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ISNUMBER(MATCH(G1093,AUM!$C$6:$C$1451,0))</f>
        <v>0</v>
      </c>
      <c r="AF1093" t="b">
        <f>ISNUMBER(MATCH(G1093,AUM!$G$6:$G$240,0))</f>
        <v>0</v>
      </c>
    </row>
    <row r="1094" spans="1:3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ISNUMBER(MATCH(G1094,AUM!$C$6:$C$1451,0))</f>
        <v>0</v>
      </c>
      <c r="AF1094" t="b">
        <f>ISNUMBER(MATCH(G1094,AUM!$G$6:$G$240,0))</f>
        <v>0</v>
      </c>
    </row>
    <row r="1095" spans="1:3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ISNUMBER(MATCH(G1095,AUM!$C$6:$C$1451,0))</f>
        <v>0</v>
      </c>
      <c r="AF1095" t="b">
        <f>ISNUMBER(MATCH(G1095,AUM!$G$6:$G$240,0))</f>
        <v>0</v>
      </c>
    </row>
    <row r="1096" spans="1:3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ISNUMBER(MATCH(G1096,AUM!$C$6:$C$1451,0))</f>
        <v>0</v>
      </c>
      <c r="AF1096" t="b">
        <f>ISNUMBER(MATCH(G1096,AUM!$G$6:$G$240,0))</f>
        <v>0</v>
      </c>
    </row>
    <row r="1097" spans="1:3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ISNUMBER(MATCH(G1097,AUM!$C$6:$C$1451,0))</f>
        <v>0</v>
      </c>
      <c r="AF1097" t="b">
        <f>ISNUMBER(MATCH(G1097,AUM!$G$6:$G$240,0))</f>
        <v>0</v>
      </c>
    </row>
    <row r="1098" spans="1:3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ISNUMBER(MATCH(G1098,AUM!$C$6:$C$1451,0))</f>
        <v>1</v>
      </c>
      <c r="AF1098" t="b">
        <f>ISNUMBER(MATCH(G1098,AUM!$G$6:$G$240,0))</f>
        <v>0</v>
      </c>
    </row>
    <row r="1099" spans="1:3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ISNUMBER(MATCH(G1099,AUM!$C$6:$C$1451,0))</f>
        <v>1</v>
      </c>
      <c r="AF1099" t="b">
        <f>ISNUMBER(MATCH(G1099,AUM!$G$6:$G$240,0))</f>
        <v>0</v>
      </c>
    </row>
    <row r="1100" spans="1:3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ISNUMBER(MATCH(G1100,AUM!$C$6:$C$1451,0))</f>
        <v>1</v>
      </c>
      <c r="AF1100" t="b">
        <f>ISNUMBER(MATCH(G1100,AUM!$G$6:$G$240,0))</f>
        <v>1</v>
      </c>
    </row>
    <row r="1101" spans="1:3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ISNUMBER(MATCH(G1101,AUM!$C$6:$C$1451,0))</f>
        <v>0</v>
      </c>
      <c r="AF1101" t="b">
        <f>ISNUMBER(MATCH(G1101,AUM!$G$6:$G$240,0))</f>
        <v>0</v>
      </c>
    </row>
    <row r="1102" spans="1:3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ISNUMBER(MATCH(G1102,AUM!$C$6:$C$1451,0))</f>
        <v>0</v>
      </c>
      <c r="AF1102" t="b">
        <f>ISNUMBER(MATCH(G1102,AUM!$G$6:$G$240,0))</f>
        <v>0</v>
      </c>
    </row>
    <row r="1103" spans="1:3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ISNUMBER(MATCH(G1103,AUM!$C$6:$C$1451,0))</f>
        <v>0</v>
      </c>
      <c r="AF1103" t="b">
        <f>ISNUMBER(MATCH(G1103,AUM!$G$6:$G$240,0))</f>
        <v>0</v>
      </c>
    </row>
    <row r="1104" spans="1:3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ISNUMBER(MATCH(G1104,AUM!$C$6:$C$1451,0))</f>
        <v>0</v>
      </c>
      <c r="AF1104" t="b">
        <f>ISNUMBER(MATCH(G1104,AUM!$G$6:$G$240,0))</f>
        <v>0</v>
      </c>
    </row>
    <row r="1105" spans="1:3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ISNUMBER(MATCH(G1105,AUM!$C$6:$C$1451,0))</f>
        <v>0</v>
      </c>
      <c r="AF1105" t="b">
        <f>ISNUMBER(MATCH(G1105,AUM!$G$6:$G$240,0))</f>
        <v>0</v>
      </c>
    </row>
    <row r="1106" spans="1:3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ISNUMBER(MATCH(G1106,AUM!$C$6:$C$1451,0))</f>
        <v>0</v>
      </c>
      <c r="AF1106" t="b">
        <f>ISNUMBER(MATCH(G1106,AUM!$G$6:$G$240,0))</f>
        <v>0</v>
      </c>
    </row>
    <row r="1107" spans="1:3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ISNUMBER(MATCH(G1107,AUM!$C$6:$C$1451,0))</f>
        <v>0</v>
      </c>
      <c r="AF1107" t="b">
        <f>ISNUMBER(MATCH(G1107,AUM!$G$6:$G$240,0))</f>
        <v>0</v>
      </c>
    </row>
    <row r="1108" spans="1:3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ISNUMBER(MATCH(G1108,AUM!$C$6:$C$1451,0))</f>
        <v>0</v>
      </c>
      <c r="AF1108" t="b">
        <f>ISNUMBER(MATCH(G1108,AUM!$G$6:$G$240,0))</f>
        <v>0</v>
      </c>
    </row>
    <row r="1109" spans="1:3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ISNUMBER(MATCH(G1109,AUM!$C$6:$C$1451,0))</f>
        <v>0</v>
      </c>
      <c r="AF1109" t="b">
        <f>ISNUMBER(MATCH(G1109,AUM!$G$6:$G$240,0))</f>
        <v>0</v>
      </c>
    </row>
    <row r="1110" spans="1:3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ISNUMBER(MATCH(G1110,AUM!$C$6:$C$1451,0))</f>
        <v>0</v>
      </c>
      <c r="AF1110" t="b">
        <f>ISNUMBER(MATCH(G1110,AUM!$G$6:$G$240,0))</f>
        <v>0</v>
      </c>
    </row>
    <row r="1111" spans="1:3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ISNUMBER(MATCH(G1111,AUM!$C$6:$C$1451,0))</f>
        <v>0</v>
      </c>
      <c r="AF1111" t="b">
        <f>ISNUMBER(MATCH(G1111,AUM!$G$6:$G$240,0))</f>
        <v>0</v>
      </c>
    </row>
    <row r="1112" spans="1:3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ISNUMBER(MATCH(G1112,AUM!$C$6:$C$1451,0))</f>
        <v>0</v>
      </c>
      <c r="AF1112" t="b">
        <f>ISNUMBER(MATCH(G1112,AUM!$G$6:$G$240,0))</f>
        <v>0</v>
      </c>
    </row>
    <row r="1113" spans="1:3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ISNUMBER(MATCH(G1113,AUM!$C$6:$C$1451,0))</f>
        <v>0</v>
      </c>
      <c r="AF1113" t="b">
        <f>ISNUMBER(MATCH(G1113,AUM!$G$6:$G$240,0))</f>
        <v>0</v>
      </c>
    </row>
    <row r="1114" spans="1:3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ISNUMBER(MATCH(G1114,AUM!$C$6:$C$1451,0))</f>
        <v>0</v>
      </c>
      <c r="AF1114" t="b">
        <f>ISNUMBER(MATCH(G1114,AUM!$G$6:$G$240,0))</f>
        <v>0</v>
      </c>
    </row>
    <row r="1115" spans="1:3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ISNUMBER(MATCH(G1115,AUM!$C$6:$C$1451,0))</f>
        <v>0</v>
      </c>
      <c r="AF1115" t="b">
        <f>ISNUMBER(MATCH(G1115,AUM!$G$6:$G$240,0))</f>
        <v>0</v>
      </c>
    </row>
    <row r="1116" spans="1:3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ISNUMBER(MATCH(G1116,AUM!$C$6:$C$1451,0))</f>
        <v>0</v>
      </c>
      <c r="AF1116" t="b">
        <f>ISNUMBER(MATCH(G1116,AUM!$G$6:$G$240,0))</f>
        <v>0</v>
      </c>
    </row>
    <row r="1117" spans="1:3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ISNUMBER(MATCH(G1117,AUM!$C$6:$C$1451,0))</f>
        <v>0</v>
      </c>
      <c r="AF1117" t="b">
        <f>ISNUMBER(MATCH(G1117,AUM!$G$6:$G$240,0))</f>
        <v>0</v>
      </c>
    </row>
    <row r="1118" spans="1:3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ISNUMBER(MATCH(G1118,AUM!$C$6:$C$1451,0))</f>
        <v>0</v>
      </c>
      <c r="AF1118" t="b">
        <f>ISNUMBER(MATCH(G1118,AUM!$G$6:$G$240,0))</f>
        <v>0</v>
      </c>
    </row>
    <row r="1119" spans="1:3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ISNUMBER(MATCH(G1119,AUM!$C$6:$C$1451,0))</f>
        <v>1</v>
      </c>
      <c r="AF1119" t="b">
        <f>ISNUMBER(MATCH(G1119,AUM!$G$6:$G$240,0))</f>
        <v>0</v>
      </c>
    </row>
    <row r="1120" spans="1:3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ISNUMBER(MATCH(G1120,AUM!$C$6:$C$1451,0))</f>
        <v>1</v>
      </c>
      <c r="AF1120" t="b">
        <f>ISNUMBER(MATCH(G1120,AUM!$G$6:$G$240,0))</f>
        <v>0</v>
      </c>
    </row>
    <row r="1121" spans="1:3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ISNUMBER(MATCH(G1121,AUM!$C$6:$C$1451,0))</f>
        <v>1</v>
      </c>
      <c r="AF1121" t="b">
        <f>ISNUMBER(MATCH(G1121,AUM!$G$6:$G$240,0))</f>
        <v>1</v>
      </c>
    </row>
    <row r="1122" spans="1:3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ISNUMBER(MATCH(G1122,AUM!$C$6:$C$1451,0))</f>
        <v>0</v>
      </c>
      <c r="AF1122" t="b">
        <f>ISNUMBER(MATCH(G1122,AUM!$G$6:$G$240,0))</f>
        <v>0</v>
      </c>
    </row>
    <row r="1123" spans="1:3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ISNUMBER(MATCH(G1123,AUM!$C$6:$C$1451,0))</f>
        <v>0</v>
      </c>
      <c r="AF1123" t="b">
        <f>ISNUMBER(MATCH(G1123,AUM!$G$6:$G$240,0))</f>
        <v>0</v>
      </c>
    </row>
    <row r="1124" spans="1:3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ISNUMBER(MATCH(G1124,AUM!$C$6:$C$1451,0))</f>
        <v>0</v>
      </c>
      <c r="AF1124" t="b">
        <f>ISNUMBER(MATCH(G1124,AUM!$G$6:$G$240,0))</f>
        <v>0</v>
      </c>
    </row>
    <row r="1125" spans="1:3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ISNUMBER(MATCH(G1125,AUM!$C$6:$C$1451,0))</f>
        <v>1</v>
      </c>
      <c r="AF1125" t="b">
        <f>ISNUMBER(MATCH(G1125,AUM!$G$6:$G$240,0))</f>
        <v>0</v>
      </c>
    </row>
    <row r="1126" spans="1:3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ISNUMBER(MATCH(G1126,AUM!$C$6:$C$1451,0))</f>
        <v>1</v>
      </c>
      <c r="AF1126" t="b">
        <f>ISNUMBER(MATCH(G1126,AUM!$G$6:$G$240,0))</f>
        <v>0</v>
      </c>
    </row>
    <row r="1127" spans="1:3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ISNUMBER(MATCH(G1127,AUM!$C$6:$C$1451,0))</f>
        <v>1</v>
      </c>
      <c r="AF1127" t="b">
        <f>ISNUMBER(MATCH(G1127,AUM!$G$6:$G$240,0))</f>
        <v>1</v>
      </c>
    </row>
    <row r="1128" spans="1:3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ISNUMBER(MATCH(G1128,AUM!$C$6:$C$1451,0))</f>
        <v>1</v>
      </c>
      <c r="AF1128" t="b">
        <f>ISNUMBER(MATCH(G1128,AUM!$G$6:$G$240,0))</f>
        <v>0</v>
      </c>
    </row>
    <row r="1129" spans="1:3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ISNUMBER(MATCH(G1129,AUM!$C$6:$C$1451,0))</f>
        <v>1</v>
      </c>
      <c r="AF1129" t="b">
        <f>ISNUMBER(MATCH(G1129,AUM!$G$6:$G$240,0))</f>
        <v>0</v>
      </c>
    </row>
    <row r="1130" spans="1:3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ISNUMBER(MATCH(G1130,AUM!$C$6:$C$1451,0))</f>
        <v>1</v>
      </c>
      <c r="AF1130" t="b">
        <f>ISNUMBER(MATCH(G1130,AUM!$G$6:$G$240,0))</f>
        <v>1</v>
      </c>
    </row>
    <row r="1131" spans="1:3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ISNUMBER(MATCH(G1131,AUM!$C$6:$C$1451,0))</f>
        <v>0</v>
      </c>
      <c r="AF1131" t="b">
        <f>ISNUMBER(MATCH(G1131,AUM!$G$6:$G$240,0))</f>
        <v>0</v>
      </c>
    </row>
    <row r="1132" spans="1:3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ISNUMBER(MATCH(G1132,AUM!$C$6:$C$1451,0))</f>
        <v>0</v>
      </c>
      <c r="AF1132" t="b">
        <f>ISNUMBER(MATCH(G1132,AUM!$G$6:$G$240,0))</f>
        <v>0</v>
      </c>
    </row>
    <row r="1133" spans="1:3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ISNUMBER(MATCH(G1133,AUM!$C$6:$C$1451,0))</f>
        <v>1</v>
      </c>
      <c r="AF1133" t="b">
        <f>ISNUMBER(MATCH(G1133,AUM!$G$6:$G$240,0))</f>
        <v>1</v>
      </c>
    </row>
    <row r="1134" spans="1:3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ISNUMBER(MATCH(G1134,AUM!$C$6:$C$1451,0))</f>
        <v>1</v>
      </c>
      <c r="AF1134" t="b">
        <f>ISNUMBER(MATCH(G1134,AUM!$G$6:$G$240,0))</f>
        <v>0</v>
      </c>
    </row>
    <row r="1135" spans="1:3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ISNUMBER(MATCH(G1135,AUM!$C$6:$C$1451,0))</f>
        <v>1</v>
      </c>
      <c r="AF1135" t="b">
        <f>ISNUMBER(MATCH(G1135,AUM!$G$6:$G$240,0))</f>
        <v>0</v>
      </c>
    </row>
    <row r="1136" spans="1:3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ISNUMBER(MATCH(G1136,AUM!$C$6:$C$1451,0))</f>
        <v>1</v>
      </c>
      <c r="AF1136" t="b">
        <f>ISNUMBER(MATCH(G1136,AUM!$G$6:$G$240,0))</f>
        <v>1</v>
      </c>
    </row>
    <row r="1137" spans="1:3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ISNUMBER(MATCH(G1137,AUM!$C$6:$C$1451,0))</f>
        <v>1</v>
      </c>
      <c r="AF1137" t="b">
        <f>ISNUMBER(MATCH(G1137,AUM!$G$6:$G$240,0))</f>
        <v>0</v>
      </c>
    </row>
    <row r="1138" spans="1:3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ISNUMBER(MATCH(G1138,AUM!$C$6:$C$1451,0))</f>
        <v>1</v>
      </c>
      <c r="AF1138" t="b">
        <f>ISNUMBER(MATCH(G1138,AUM!$G$6:$G$240,0))</f>
        <v>0</v>
      </c>
    </row>
    <row r="1139" spans="1:3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ISNUMBER(MATCH(G1139,AUM!$C$6:$C$1451,0))</f>
        <v>1</v>
      </c>
      <c r="AF1139" t="b">
        <f>ISNUMBER(MATCH(G1139,AUM!$G$6:$G$240,0))</f>
        <v>0</v>
      </c>
    </row>
    <row r="1140" spans="1:3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ISNUMBER(MATCH(G1140,AUM!$C$6:$C$1451,0))</f>
        <v>1</v>
      </c>
      <c r="AF1140" t="b">
        <f>ISNUMBER(MATCH(G1140,AUM!$G$6:$G$240,0))</f>
        <v>0</v>
      </c>
    </row>
    <row r="1141" spans="1:3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ISNUMBER(MATCH(G1141,AUM!$C$6:$C$1451,0))</f>
        <v>1</v>
      </c>
      <c r="AF1141" t="b">
        <f>ISNUMBER(MATCH(G1141,AUM!$G$6:$G$240,0))</f>
        <v>1</v>
      </c>
    </row>
    <row r="1142" spans="1:3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ISNUMBER(MATCH(G1142,AUM!$C$6:$C$1451,0))</f>
        <v>1</v>
      </c>
      <c r="AF1142" t="b">
        <f>ISNUMBER(MATCH(G1142,AUM!$G$6:$G$240,0))</f>
        <v>0</v>
      </c>
    </row>
    <row r="1143" spans="1:3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ISNUMBER(MATCH(G1143,AUM!$C$6:$C$1451,0))</f>
        <v>1</v>
      </c>
      <c r="AF1143" t="b">
        <f>ISNUMBER(MATCH(G1143,AUM!$G$6:$G$240,0))</f>
        <v>0</v>
      </c>
    </row>
    <row r="1144" spans="1:3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ISNUMBER(MATCH(G1144,AUM!$C$6:$C$1451,0))</f>
        <v>1</v>
      </c>
      <c r="AF1144" t="b">
        <f>ISNUMBER(MATCH(G1144,AUM!$G$6:$G$240,0))</f>
        <v>0</v>
      </c>
    </row>
    <row r="1145" spans="1:3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ISNUMBER(MATCH(G1145,AUM!$C$6:$C$1451,0))</f>
        <v>1</v>
      </c>
      <c r="AF1145" t="b">
        <f>ISNUMBER(MATCH(G1145,AUM!$G$6:$G$240,0))</f>
        <v>0</v>
      </c>
    </row>
    <row r="1146" spans="1:3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ISNUMBER(MATCH(G1146,AUM!$C$6:$C$1451,0))</f>
        <v>1</v>
      </c>
      <c r="AF1146" t="b">
        <f>ISNUMBER(MATCH(G1146,AUM!$G$6:$G$240,0))</f>
        <v>1</v>
      </c>
    </row>
    <row r="1147" spans="1:3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ISNUMBER(MATCH(G1147,AUM!$C$6:$C$1451,0))</f>
        <v>1</v>
      </c>
      <c r="AF1147" t="b">
        <f>ISNUMBER(MATCH(G1147,AUM!$G$6:$G$240,0))</f>
        <v>0</v>
      </c>
    </row>
    <row r="1148" spans="1:3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ISNUMBER(MATCH(G1148,AUM!$C$6:$C$1451,0))</f>
        <v>1</v>
      </c>
      <c r="AF1148" t="b">
        <f>ISNUMBER(MATCH(G1148,AUM!$G$6:$G$240,0))</f>
        <v>0</v>
      </c>
    </row>
    <row r="1149" spans="1:3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ISNUMBER(MATCH(G1149,AUM!$C$6:$C$1451,0))</f>
        <v>1</v>
      </c>
      <c r="AF1149" t="b">
        <f>ISNUMBER(MATCH(G1149,AUM!$G$6:$G$240,0))</f>
        <v>0</v>
      </c>
    </row>
    <row r="1150" spans="1:3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ISNUMBER(MATCH(G1150,AUM!$C$6:$C$1451,0))</f>
        <v>1</v>
      </c>
      <c r="AF1150" t="b">
        <f>ISNUMBER(MATCH(G1150,AUM!$G$6:$G$240,0))</f>
        <v>0</v>
      </c>
    </row>
    <row r="1151" spans="1:3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ISNUMBER(MATCH(G1151,AUM!$C$6:$C$1451,0))</f>
        <v>1</v>
      </c>
      <c r="AF1151" t="b">
        <f>ISNUMBER(MATCH(G1151,AUM!$G$6:$G$240,0))</f>
        <v>1</v>
      </c>
    </row>
    <row r="1152" spans="1:3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ISNUMBER(MATCH(G1152,AUM!$C$6:$C$1451,0))</f>
        <v>0</v>
      </c>
      <c r="AF1152" t="b">
        <f>ISNUMBER(MATCH(G1152,AUM!$G$6:$G$240,0))</f>
        <v>0</v>
      </c>
    </row>
    <row r="1153" spans="1:3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ISNUMBER(MATCH(G1153,AUM!$C$6:$C$1451,0))</f>
        <v>1</v>
      </c>
      <c r="AF1153" t="b">
        <f>ISNUMBER(MATCH(G1153,AUM!$G$6:$G$240,0))</f>
        <v>0</v>
      </c>
    </row>
    <row r="1154" spans="1:3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ISNUMBER(MATCH(G1154,AUM!$C$6:$C$1451,0))</f>
        <v>1</v>
      </c>
      <c r="AF1154" t="b">
        <f>ISNUMBER(MATCH(G1154,AUM!$G$6:$G$240,0))</f>
        <v>0</v>
      </c>
    </row>
    <row r="1155" spans="1:3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ISNUMBER(MATCH(G1155,AUM!$C$6:$C$1451,0))</f>
        <v>1</v>
      </c>
      <c r="AF1155" t="b">
        <f>ISNUMBER(MATCH(G1155,AUM!$G$6:$G$240,0))</f>
        <v>1</v>
      </c>
    </row>
    <row r="1156" spans="1:3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ISNUMBER(MATCH(G1156,AUM!$C$6:$C$1451,0))</f>
        <v>0</v>
      </c>
      <c r="AF1156" t="b">
        <f>ISNUMBER(MATCH(G1156,AUM!$G$6:$G$240,0))</f>
        <v>0</v>
      </c>
    </row>
    <row r="1157" spans="1:3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ISNUMBER(MATCH(G1157,AUM!$C$6:$C$1451,0))</f>
        <v>0</v>
      </c>
      <c r="AF1157" t="b">
        <f>ISNUMBER(MATCH(G1157,AUM!$G$6:$G$240,0))</f>
        <v>0</v>
      </c>
    </row>
    <row r="1158" spans="1:3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ISNUMBER(MATCH(G1158,AUM!$C$6:$C$1451,0))</f>
        <v>0</v>
      </c>
      <c r="AF1158" t="b">
        <f>ISNUMBER(MATCH(G1158,AUM!$G$6:$G$240,0))</f>
        <v>0</v>
      </c>
    </row>
    <row r="1159" spans="1:3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ISNUMBER(MATCH(G1159,AUM!$C$6:$C$1451,0))</f>
        <v>0</v>
      </c>
      <c r="AF1159" t="b">
        <f>ISNUMBER(MATCH(G1159,AUM!$G$6:$G$240,0))</f>
        <v>0</v>
      </c>
    </row>
    <row r="1160" spans="1:3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ISNUMBER(MATCH(G1160,AUM!$C$6:$C$1451,0))</f>
        <v>0</v>
      </c>
      <c r="AF1160" t="b">
        <f>ISNUMBER(MATCH(G1160,AUM!$G$6:$G$240,0))</f>
        <v>0</v>
      </c>
    </row>
    <row r="1161" spans="1:3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ISNUMBER(MATCH(G1161,AUM!$C$6:$C$1451,0))</f>
        <v>1</v>
      </c>
      <c r="AF1161" t="b">
        <f>ISNUMBER(MATCH(G1161,AUM!$G$6:$G$240,0))</f>
        <v>0</v>
      </c>
    </row>
    <row r="1162" spans="1:3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ISNUMBER(MATCH(G1162,AUM!$C$6:$C$1451,0))</f>
        <v>1</v>
      </c>
      <c r="AF1162" t="b">
        <f>ISNUMBER(MATCH(G1162,AUM!$G$6:$G$240,0))</f>
        <v>0</v>
      </c>
    </row>
    <row r="1163" spans="1:3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ISNUMBER(MATCH(G1163,AUM!$C$6:$C$1451,0))</f>
        <v>1</v>
      </c>
      <c r="AF1163" t="b">
        <f>ISNUMBER(MATCH(G1163,AUM!$G$6:$G$240,0))</f>
        <v>1</v>
      </c>
    </row>
    <row r="1164" spans="1:3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ISNUMBER(MATCH(G1164,AUM!$C$6:$C$1451,0))</f>
        <v>0</v>
      </c>
      <c r="AF1164" t="b">
        <f>ISNUMBER(MATCH(G1164,AUM!$G$6:$G$240,0))</f>
        <v>0</v>
      </c>
    </row>
    <row r="1165" spans="1:3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ISNUMBER(MATCH(G1165,AUM!$C$6:$C$1451,0))</f>
        <v>1</v>
      </c>
      <c r="AF1165" t="b">
        <f>ISNUMBER(MATCH(G1165,AUM!$G$6:$G$240,0))</f>
        <v>1</v>
      </c>
    </row>
    <row r="1166" spans="1:3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ISNUMBER(MATCH(G1166,AUM!$C$6:$C$1451,0))</f>
        <v>0</v>
      </c>
      <c r="AF1166" t="b">
        <f>ISNUMBER(MATCH(G1166,AUM!$G$6:$G$240,0))</f>
        <v>0</v>
      </c>
    </row>
    <row r="1167" spans="1:3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ISNUMBER(MATCH(G1167,AUM!$C$6:$C$1451,0))</f>
        <v>0</v>
      </c>
      <c r="AF1167" t="b">
        <f>ISNUMBER(MATCH(G1167,AUM!$G$6:$G$240,0))</f>
        <v>0</v>
      </c>
    </row>
    <row r="1168" spans="1:3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ISNUMBER(MATCH(G1168,AUM!$C$6:$C$1451,0))</f>
        <v>0</v>
      </c>
      <c r="AF1168" t="b">
        <f>ISNUMBER(MATCH(G1168,AUM!$G$6:$G$240,0))</f>
        <v>0</v>
      </c>
    </row>
    <row r="1169" spans="1:3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ISNUMBER(MATCH(G1169,AUM!$C$6:$C$1451,0))</f>
        <v>0</v>
      </c>
      <c r="AF1169" t="b">
        <f>ISNUMBER(MATCH(G1169,AUM!$G$6:$G$240,0))</f>
        <v>0</v>
      </c>
    </row>
    <row r="1170" spans="1:3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ISNUMBER(MATCH(G1170,AUM!$C$6:$C$1451,0))</f>
        <v>0</v>
      </c>
      <c r="AF1170" t="b">
        <f>ISNUMBER(MATCH(G1170,AUM!$G$6:$G$240,0))</f>
        <v>0</v>
      </c>
    </row>
    <row r="1171" spans="1:3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ISNUMBER(MATCH(G1171,AUM!$C$6:$C$1451,0))</f>
        <v>0</v>
      </c>
      <c r="AF1171" t="b">
        <f>ISNUMBER(MATCH(G1171,AUM!$G$6:$G$240,0))</f>
        <v>0</v>
      </c>
    </row>
    <row r="1172" spans="1:3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ISNUMBER(MATCH(G1172,AUM!$C$6:$C$1451,0))</f>
        <v>0</v>
      </c>
      <c r="AF1172" t="b">
        <f>ISNUMBER(MATCH(G1172,AUM!$G$6:$G$240,0))</f>
        <v>0</v>
      </c>
    </row>
    <row r="1173" spans="1:3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ISNUMBER(MATCH(G1173,AUM!$C$6:$C$1451,0))</f>
        <v>0</v>
      </c>
      <c r="AF1173" t="b">
        <f>ISNUMBER(MATCH(G1173,AUM!$G$6:$G$240,0))</f>
        <v>0</v>
      </c>
    </row>
    <row r="1174" spans="1:3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ISNUMBER(MATCH(G1174,AUM!$C$6:$C$1451,0))</f>
        <v>0</v>
      </c>
      <c r="AF1174" t="b">
        <f>ISNUMBER(MATCH(G1174,AUM!$G$6:$G$240,0))</f>
        <v>0</v>
      </c>
    </row>
    <row r="1175" spans="1:3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ISNUMBER(MATCH(G1175,AUM!$C$6:$C$1451,0))</f>
        <v>0</v>
      </c>
      <c r="AF1175" t="b">
        <f>ISNUMBER(MATCH(G1175,AUM!$G$6:$G$240,0))</f>
        <v>0</v>
      </c>
    </row>
    <row r="1176" spans="1:3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ISNUMBER(MATCH(G1176,AUM!$C$6:$C$1451,0))</f>
        <v>0</v>
      </c>
      <c r="AF1176" t="b">
        <f>ISNUMBER(MATCH(G1176,AUM!$G$6:$G$240,0))</f>
        <v>0</v>
      </c>
    </row>
    <row r="1177" spans="1:3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ISNUMBER(MATCH(G1177,AUM!$C$6:$C$1451,0))</f>
        <v>0</v>
      </c>
      <c r="AF1177" t="b">
        <f>ISNUMBER(MATCH(G1177,AUM!$G$6:$G$240,0))</f>
        <v>0</v>
      </c>
    </row>
    <row r="1178" spans="1:3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ISNUMBER(MATCH(G1178,AUM!$C$6:$C$1451,0))</f>
        <v>0</v>
      </c>
      <c r="AF1178" t="b">
        <f>ISNUMBER(MATCH(G1178,AUM!$G$6:$G$240,0))</f>
        <v>0</v>
      </c>
    </row>
    <row r="1179" spans="1:3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ISNUMBER(MATCH(G1179,AUM!$C$6:$C$1451,0))</f>
        <v>0</v>
      </c>
      <c r="AF1179" t="b">
        <f>ISNUMBER(MATCH(G1179,AUM!$G$6:$G$240,0))</f>
        <v>0</v>
      </c>
    </row>
    <row r="1180" spans="1:3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ISNUMBER(MATCH(G1180,AUM!$C$6:$C$1451,0))</f>
        <v>0</v>
      </c>
      <c r="AF1180" t="b">
        <f>ISNUMBER(MATCH(G1180,AUM!$G$6:$G$240,0))</f>
        <v>0</v>
      </c>
    </row>
    <row r="1181" spans="1:3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ISNUMBER(MATCH(G1181,AUM!$C$6:$C$1451,0))</f>
        <v>0</v>
      </c>
      <c r="AF1181" t="b">
        <f>ISNUMBER(MATCH(G1181,AUM!$G$6:$G$240,0))</f>
        <v>0</v>
      </c>
    </row>
    <row r="1182" spans="1:3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ISNUMBER(MATCH(G1182,AUM!$C$6:$C$1451,0))</f>
        <v>0</v>
      </c>
      <c r="AF1182" t="b">
        <f>ISNUMBER(MATCH(G1182,AUM!$G$6:$G$240,0))</f>
        <v>0</v>
      </c>
    </row>
    <row r="1183" spans="1:3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ISNUMBER(MATCH(G1183,AUM!$C$6:$C$1451,0))</f>
        <v>0</v>
      </c>
      <c r="AF1183" t="b">
        <f>ISNUMBER(MATCH(G1183,AUM!$G$6:$G$240,0))</f>
        <v>0</v>
      </c>
    </row>
    <row r="1184" spans="1:3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ISNUMBER(MATCH(G1184,AUM!$C$6:$C$1451,0))</f>
        <v>0</v>
      </c>
      <c r="AF1184" t="b">
        <f>ISNUMBER(MATCH(G1184,AUM!$G$6:$G$240,0))</f>
        <v>0</v>
      </c>
    </row>
    <row r="1185" spans="1:3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ISNUMBER(MATCH(G1185,AUM!$C$6:$C$1451,0))</f>
        <v>0</v>
      </c>
      <c r="AF1185" t="b">
        <f>ISNUMBER(MATCH(G1185,AUM!$G$6:$G$240,0))</f>
        <v>0</v>
      </c>
    </row>
    <row r="1186" spans="1:3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ISNUMBER(MATCH(G1186,AUM!$C$6:$C$1451,0))</f>
        <v>0</v>
      </c>
      <c r="AF1186" t="b">
        <f>ISNUMBER(MATCH(G1186,AUM!$G$6:$G$240,0))</f>
        <v>0</v>
      </c>
    </row>
    <row r="1187" spans="1:3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ISNUMBER(MATCH(G1187,AUM!$C$6:$C$1451,0))</f>
        <v>0</v>
      </c>
      <c r="AF1187" t="b">
        <f>ISNUMBER(MATCH(G1187,AUM!$G$6:$G$240,0))</f>
        <v>0</v>
      </c>
    </row>
    <row r="1188" spans="1:3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ISNUMBER(MATCH(G1188,AUM!$C$6:$C$1451,0))</f>
        <v>0</v>
      </c>
      <c r="AF1188" t="b">
        <f>ISNUMBER(MATCH(G1188,AUM!$G$6:$G$240,0))</f>
        <v>0</v>
      </c>
    </row>
    <row r="1189" spans="1:3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ISNUMBER(MATCH(G1189,AUM!$C$6:$C$1451,0))</f>
        <v>0</v>
      </c>
      <c r="AF1189" t="b">
        <f>ISNUMBER(MATCH(G1189,AUM!$G$6:$G$240,0))</f>
        <v>0</v>
      </c>
    </row>
    <row r="1190" spans="1:3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ISNUMBER(MATCH(G1190,AUM!$C$6:$C$1451,0))</f>
        <v>0</v>
      </c>
      <c r="AF1190" t="b">
        <f>ISNUMBER(MATCH(G1190,AUM!$G$6:$G$240,0))</f>
        <v>0</v>
      </c>
    </row>
    <row r="1191" spans="1:3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ISNUMBER(MATCH(G1191,AUM!$C$6:$C$1451,0))</f>
        <v>0</v>
      </c>
      <c r="AF1191" t="b">
        <f>ISNUMBER(MATCH(G1191,AUM!$G$6:$G$240,0))</f>
        <v>0</v>
      </c>
    </row>
    <row r="1192" spans="1:3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ISNUMBER(MATCH(G1192,AUM!$C$6:$C$1451,0))</f>
        <v>0</v>
      </c>
      <c r="AF1192" t="b">
        <f>ISNUMBER(MATCH(G1192,AUM!$G$6:$G$240,0))</f>
        <v>0</v>
      </c>
    </row>
    <row r="1193" spans="1:3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ISNUMBER(MATCH(G1193,AUM!$C$6:$C$1451,0))</f>
        <v>0</v>
      </c>
      <c r="AF1193" t="b">
        <f>ISNUMBER(MATCH(G1193,AUM!$G$6:$G$240,0))</f>
        <v>0</v>
      </c>
    </row>
    <row r="1194" spans="1:3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ISNUMBER(MATCH(G1194,AUM!$C$6:$C$1451,0))</f>
        <v>1</v>
      </c>
      <c r="AF1194" t="b">
        <f>ISNUMBER(MATCH(G1194,AUM!$G$6:$G$240,0))</f>
        <v>0</v>
      </c>
    </row>
    <row r="1195" spans="1:3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ISNUMBER(MATCH(G1195,AUM!$C$6:$C$1451,0))</f>
        <v>1</v>
      </c>
      <c r="AF1195" t="b">
        <f>ISNUMBER(MATCH(G1195,AUM!$G$6:$G$240,0))</f>
        <v>0</v>
      </c>
    </row>
    <row r="1196" spans="1:3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ISNUMBER(MATCH(G1196,AUM!$C$6:$C$1451,0))</f>
        <v>1</v>
      </c>
      <c r="AF1196" t="b">
        <f>ISNUMBER(MATCH(G1196,AUM!$G$6:$G$240,0))</f>
        <v>0</v>
      </c>
    </row>
    <row r="1197" spans="1:3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ISNUMBER(MATCH(G1197,AUM!$C$6:$C$1451,0))</f>
        <v>1</v>
      </c>
      <c r="AF1197" t="b">
        <f>ISNUMBER(MATCH(G1197,AUM!$G$6:$G$240,0))</f>
        <v>1</v>
      </c>
    </row>
    <row r="1198" spans="1:3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ISNUMBER(MATCH(G1198,AUM!$C$6:$C$1451,0))</f>
        <v>0</v>
      </c>
      <c r="AF1198" t="b">
        <f>ISNUMBER(MATCH(G1198,AUM!$G$6:$G$240,0))</f>
        <v>0</v>
      </c>
    </row>
    <row r="1199" spans="1:3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ISNUMBER(MATCH(G1199,AUM!$C$6:$C$1451,0))</f>
        <v>0</v>
      </c>
      <c r="AF1199" t="b">
        <f>ISNUMBER(MATCH(G1199,AUM!$G$6:$G$240,0))</f>
        <v>0</v>
      </c>
    </row>
    <row r="1200" spans="1:3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ISNUMBER(MATCH(G1200,AUM!$C$6:$C$1451,0))</f>
        <v>1</v>
      </c>
      <c r="AF1200" t="b">
        <f>ISNUMBER(MATCH(G1200,AUM!$G$6:$G$240,0))</f>
        <v>0</v>
      </c>
    </row>
    <row r="1201" spans="1:3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ISNUMBER(MATCH(G1201,AUM!$C$6:$C$1451,0))</f>
        <v>1</v>
      </c>
      <c r="AF1201" t="b">
        <f>ISNUMBER(MATCH(G1201,AUM!$G$6:$G$240,0))</f>
        <v>0</v>
      </c>
    </row>
    <row r="1202" spans="1:3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ISNUMBER(MATCH(G1202,AUM!$C$6:$C$1451,0))</f>
        <v>1</v>
      </c>
      <c r="AF1202" t="b">
        <f>ISNUMBER(MATCH(G1202,AUM!$G$6:$G$240,0))</f>
        <v>1</v>
      </c>
    </row>
    <row r="1203" spans="1:3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ISNUMBER(MATCH(G1203,AUM!$C$6:$C$1451,0))</f>
        <v>0</v>
      </c>
      <c r="AF1203" t="b">
        <f>ISNUMBER(MATCH(G1203,AUM!$G$6:$G$240,0))</f>
        <v>0</v>
      </c>
    </row>
    <row r="1204" spans="1:3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ISNUMBER(MATCH(G1204,AUM!$C$6:$C$1451,0))</f>
        <v>0</v>
      </c>
      <c r="AF1204" t="b">
        <f>ISNUMBER(MATCH(G1204,AUM!$G$6:$G$240,0))</f>
        <v>0</v>
      </c>
    </row>
    <row r="1205" spans="1:3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ISNUMBER(MATCH(G1205,AUM!$C$6:$C$1451,0))</f>
        <v>1</v>
      </c>
      <c r="AF1205" t="b">
        <f>ISNUMBER(MATCH(G1205,AUM!$G$6:$G$240,0))</f>
        <v>0</v>
      </c>
    </row>
    <row r="1206" spans="1:3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ISNUMBER(MATCH(G1206,AUM!$C$6:$C$1451,0))</f>
        <v>1</v>
      </c>
      <c r="AF1206" t="b">
        <f>ISNUMBER(MATCH(G1206,AUM!$G$6:$G$240,0))</f>
        <v>0</v>
      </c>
    </row>
    <row r="1207" spans="1:3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ISNUMBER(MATCH(G1207,AUM!$C$6:$C$1451,0))</f>
        <v>1</v>
      </c>
      <c r="AF1207" t="b">
        <f>ISNUMBER(MATCH(G1207,AUM!$G$6:$G$240,0))</f>
        <v>1</v>
      </c>
    </row>
    <row r="1208" spans="1:3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ISNUMBER(MATCH(G1208,AUM!$C$6:$C$1451,0))</f>
        <v>1</v>
      </c>
      <c r="AF1208" t="b">
        <f>ISNUMBER(MATCH(G1208,AUM!$G$6:$G$240,0))</f>
        <v>0</v>
      </c>
    </row>
    <row r="1209" spans="1:3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ISNUMBER(MATCH(G1209,AUM!$C$6:$C$1451,0))</f>
        <v>1</v>
      </c>
      <c r="AF1209" t="b">
        <f>ISNUMBER(MATCH(G1209,AUM!$G$6:$G$240,0))</f>
        <v>0</v>
      </c>
    </row>
    <row r="1210" spans="1:3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ISNUMBER(MATCH(G1210,AUM!$C$6:$C$1451,0))</f>
        <v>1</v>
      </c>
      <c r="AF1210" t="b">
        <f>ISNUMBER(MATCH(G1210,AUM!$G$6:$G$240,0))</f>
        <v>1</v>
      </c>
    </row>
    <row r="1211" spans="1:3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ISNUMBER(MATCH(G1211,AUM!$C$6:$C$1451,0))</f>
        <v>0</v>
      </c>
      <c r="AF1211" t="b">
        <f>ISNUMBER(MATCH(G1211,AUM!$G$6:$G$240,0))</f>
        <v>0</v>
      </c>
    </row>
    <row r="1212" spans="1:3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ISNUMBER(MATCH(G1212,AUM!$C$6:$C$1451,0))</f>
        <v>0</v>
      </c>
      <c r="AF1212" t="b">
        <f>ISNUMBER(MATCH(G1212,AUM!$G$6:$G$240,0))</f>
        <v>0</v>
      </c>
    </row>
    <row r="1213" spans="1:3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ISNUMBER(MATCH(G1213,AUM!$C$6:$C$1451,0))</f>
        <v>1</v>
      </c>
      <c r="AF1213" t="b">
        <f>ISNUMBER(MATCH(G1213,AUM!$G$6:$G$240,0))</f>
        <v>0</v>
      </c>
    </row>
    <row r="1214" spans="1:3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ISNUMBER(MATCH(G1214,AUM!$C$6:$C$1451,0))</f>
        <v>1</v>
      </c>
      <c r="AF1214" t="b">
        <f>ISNUMBER(MATCH(G1214,AUM!$G$6:$G$240,0))</f>
        <v>0</v>
      </c>
    </row>
    <row r="1215" spans="1:3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ISNUMBER(MATCH(G1215,AUM!$C$6:$C$1451,0))</f>
        <v>1</v>
      </c>
      <c r="AF1215" t="b">
        <f>ISNUMBER(MATCH(G1215,AUM!$G$6:$G$240,0))</f>
        <v>0</v>
      </c>
    </row>
    <row r="1216" spans="1:3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ISNUMBER(MATCH(G1216,AUM!$C$6:$C$1451,0))</f>
        <v>1</v>
      </c>
      <c r="AF1216" t="b">
        <f>ISNUMBER(MATCH(G1216,AUM!$G$6:$G$240,0))</f>
        <v>1</v>
      </c>
    </row>
    <row r="1217" spans="1:3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ISNUMBER(MATCH(G1217,AUM!$C$6:$C$1451,0))</f>
        <v>0</v>
      </c>
      <c r="AF1217" t="b">
        <f>ISNUMBER(MATCH(G1217,AUM!$G$6:$G$240,0))</f>
        <v>0</v>
      </c>
    </row>
    <row r="1218" spans="1:3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ISNUMBER(MATCH(G1218,AUM!$C$6:$C$1451,0))</f>
        <v>0</v>
      </c>
      <c r="AF1218" t="b">
        <f>ISNUMBER(MATCH(G1218,AUM!$G$6:$G$240,0))</f>
        <v>0</v>
      </c>
    </row>
    <row r="1219" spans="1:3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ISNUMBER(MATCH(G1219,AUM!$C$6:$C$1451,0))</f>
        <v>0</v>
      </c>
      <c r="AF1219" t="b">
        <f>ISNUMBER(MATCH(G1219,AUM!$G$6:$G$240,0))</f>
        <v>0</v>
      </c>
    </row>
    <row r="1220" spans="1:3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ISNUMBER(MATCH(G1220,AUM!$C$6:$C$1451,0))</f>
        <v>0</v>
      </c>
      <c r="AF1220" t="b">
        <f>ISNUMBER(MATCH(G1220,AUM!$G$6:$G$240,0))</f>
        <v>0</v>
      </c>
    </row>
    <row r="1221" spans="1:3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ISNUMBER(MATCH(G1221,AUM!$C$6:$C$1451,0))</f>
        <v>0</v>
      </c>
      <c r="AF1221" t="b">
        <f>ISNUMBER(MATCH(G1221,AUM!$G$6:$G$240,0))</f>
        <v>0</v>
      </c>
    </row>
    <row r="1222" spans="1:3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ISNUMBER(MATCH(G1222,AUM!$C$6:$C$1451,0))</f>
        <v>0</v>
      </c>
      <c r="AF1222" t="b">
        <f>ISNUMBER(MATCH(G1222,AUM!$G$6:$G$240,0))</f>
        <v>0</v>
      </c>
    </row>
    <row r="1223" spans="1:3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ISNUMBER(MATCH(G1223,AUM!$C$6:$C$1451,0))</f>
        <v>0</v>
      </c>
      <c r="AF1223" t="b">
        <f>ISNUMBER(MATCH(G1223,AUM!$G$6:$G$240,0))</f>
        <v>0</v>
      </c>
    </row>
    <row r="1224" spans="1:3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ISNUMBER(MATCH(G1224,AUM!$C$6:$C$1451,0))</f>
        <v>0</v>
      </c>
      <c r="AF1224" t="b">
        <f>ISNUMBER(MATCH(G1224,AUM!$G$6:$G$240,0))</f>
        <v>0</v>
      </c>
    </row>
    <row r="1225" spans="1:3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ISNUMBER(MATCH(G1225,AUM!$C$6:$C$1451,0))</f>
        <v>0</v>
      </c>
      <c r="AF1225" t="b">
        <f>ISNUMBER(MATCH(G1225,AUM!$G$6:$G$240,0))</f>
        <v>0</v>
      </c>
    </row>
    <row r="1226" spans="1:3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ISNUMBER(MATCH(G1226,AUM!$C$6:$C$1451,0))</f>
        <v>0</v>
      </c>
      <c r="AF1226" t="b">
        <f>ISNUMBER(MATCH(G1226,AUM!$G$6:$G$240,0))</f>
        <v>0</v>
      </c>
    </row>
    <row r="1227" spans="1:3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ISNUMBER(MATCH(G1227,AUM!$C$6:$C$1451,0))</f>
        <v>0</v>
      </c>
      <c r="AF1227" t="b">
        <f>ISNUMBER(MATCH(G1227,AUM!$G$6:$G$240,0))</f>
        <v>0</v>
      </c>
    </row>
    <row r="1228" spans="1:3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ISNUMBER(MATCH(G1228,AUM!$C$6:$C$1451,0))</f>
        <v>1</v>
      </c>
      <c r="AF1228" t="b">
        <f>ISNUMBER(MATCH(G1228,AUM!$G$6:$G$240,0))</f>
        <v>0</v>
      </c>
    </row>
    <row r="1229" spans="1:3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ISNUMBER(MATCH(G1229,AUM!$C$6:$C$1451,0))</f>
        <v>1</v>
      </c>
      <c r="AF1229" t="b">
        <f>ISNUMBER(MATCH(G1229,AUM!$G$6:$G$240,0))</f>
        <v>0</v>
      </c>
    </row>
    <row r="1230" spans="1:3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ISNUMBER(MATCH(G1230,AUM!$C$6:$C$1451,0))</f>
        <v>1</v>
      </c>
      <c r="AF1230" t="b">
        <f>ISNUMBER(MATCH(G1230,AUM!$G$6:$G$240,0))</f>
        <v>0</v>
      </c>
    </row>
    <row r="1231" spans="1:3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ISNUMBER(MATCH(G1231,AUM!$C$6:$C$1451,0))</f>
        <v>1</v>
      </c>
      <c r="AF1231" t="b">
        <f>ISNUMBER(MATCH(G1231,AUM!$G$6:$G$240,0))</f>
        <v>0</v>
      </c>
    </row>
    <row r="1232" spans="1:3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ISNUMBER(MATCH(G1232,AUM!$C$6:$C$1451,0))</f>
        <v>1</v>
      </c>
      <c r="AF1232" t="b">
        <f>ISNUMBER(MATCH(G1232,AUM!$G$6:$G$240,0))</f>
        <v>0</v>
      </c>
    </row>
    <row r="1233" spans="1:3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ISNUMBER(MATCH(G1233,AUM!$C$6:$C$1451,0))</f>
        <v>1</v>
      </c>
      <c r="AF1233" t="b">
        <f>ISNUMBER(MATCH(G1233,AUM!$G$6:$G$240,0))</f>
        <v>0</v>
      </c>
    </row>
    <row r="1234" spans="1:3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ISNUMBER(MATCH(G1234,AUM!$C$6:$C$1451,0))</f>
        <v>1</v>
      </c>
      <c r="AF1234" t="b">
        <f>ISNUMBER(MATCH(G1234,AUM!$G$6:$G$240,0))</f>
        <v>0</v>
      </c>
    </row>
    <row r="1235" spans="1:3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ISNUMBER(MATCH(G1235,AUM!$C$6:$C$1451,0))</f>
        <v>1</v>
      </c>
      <c r="AF1235" t="b">
        <f>ISNUMBER(MATCH(G1235,AUM!$G$6:$G$240,0))</f>
        <v>0</v>
      </c>
    </row>
    <row r="1236" spans="1:3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ISNUMBER(MATCH(G1236,AUM!$C$6:$C$1451,0))</f>
        <v>1</v>
      </c>
      <c r="AF1236" t="b">
        <f>ISNUMBER(MATCH(G1236,AUM!$G$6:$G$240,0))</f>
        <v>0</v>
      </c>
    </row>
    <row r="1237" spans="1:3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ISNUMBER(MATCH(G1237,AUM!$C$6:$C$1451,0))</f>
        <v>1</v>
      </c>
      <c r="AF1237" t="b">
        <f>ISNUMBER(MATCH(G1237,AUM!$G$6:$G$240,0))</f>
        <v>0</v>
      </c>
    </row>
    <row r="1238" spans="1:3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ISNUMBER(MATCH(G1238,AUM!$C$6:$C$1451,0))</f>
        <v>0</v>
      </c>
      <c r="AF1238" t="b">
        <f>ISNUMBER(MATCH(G1238,AUM!$G$6:$G$240,0))</f>
        <v>0</v>
      </c>
    </row>
    <row r="1239" spans="1:3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ISNUMBER(MATCH(G1239,AUM!$C$6:$C$1451,0))</f>
        <v>0</v>
      </c>
      <c r="AF1239" t="b">
        <f>ISNUMBER(MATCH(G1239,AUM!$G$6:$G$240,0))</f>
        <v>0</v>
      </c>
    </row>
    <row r="1240" spans="1:3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ISNUMBER(MATCH(G1240,AUM!$C$6:$C$1451,0))</f>
        <v>0</v>
      </c>
      <c r="AF1240" t="b">
        <f>ISNUMBER(MATCH(G1240,AUM!$G$6:$G$240,0))</f>
        <v>0</v>
      </c>
    </row>
    <row r="1241" spans="1:3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ISNUMBER(MATCH(G1241,AUM!$C$6:$C$1451,0))</f>
        <v>0</v>
      </c>
      <c r="AF1241" t="b">
        <f>ISNUMBER(MATCH(G1241,AUM!$G$6:$G$240,0))</f>
        <v>0</v>
      </c>
    </row>
    <row r="1242" spans="1:3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ISNUMBER(MATCH(G1242,AUM!$C$6:$C$1451,0))</f>
        <v>0</v>
      </c>
      <c r="AF1242" t="b">
        <f>ISNUMBER(MATCH(G1242,AUM!$G$6:$G$240,0))</f>
        <v>0</v>
      </c>
    </row>
    <row r="1243" spans="1:3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ISNUMBER(MATCH(G1243,AUM!$C$6:$C$1451,0))</f>
        <v>0</v>
      </c>
      <c r="AF1243" t="b">
        <f>ISNUMBER(MATCH(G1243,AUM!$G$6:$G$240,0))</f>
        <v>0</v>
      </c>
    </row>
    <row r="1244" spans="1:3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ISNUMBER(MATCH(G1244,AUM!$C$6:$C$1451,0))</f>
        <v>1</v>
      </c>
      <c r="AF1244" t="b">
        <f>ISNUMBER(MATCH(G1244,AUM!$G$6:$G$240,0))</f>
        <v>0</v>
      </c>
    </row>
    <row r="1245" spans="1:3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ISNUMBER(MATCH(G1245,AUM!$C$6:$C$1451,0))</f>
        <v>1</v>
      </c>
      <c r="AF1245" t="b">
        <f>ISNUMBER(MATCH(G1245,AUM!$G$6:$G$240,0))</f>
        <v>0</v>
      </c>
    </row>
    <row r="1246" spans="1:3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ISNUMBER(MATCH(G1246,AUM!$C$6:$C$1451,0))</f>
        <v>1</v>
      </c>
      <c r="AF1246" t="b">
        <f>ISNUMBER(MATCH(G1246,AUM!$G$6:$G$240,0))</f>
        <v>1</v>
      </c>
    </row>
    <row r="1247" spans="1:3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ISNUMBER(MATCH(G1247,AUM!$C$6:$C$1451,0))</f>
        <v>1</v>
      </c>
      <c r="AF1247" t="b">
        <f>ISNUMBER(MATCH(G1247,AUM!$G$6:$G$240,0))</f>
        <v>0</v>
      </c>
    </row>
    <row r="1248" spans="1:3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ISNUMBER(MATCH(G1248,AUM!$C$6:$C$1451,0))</f>
        <v>1</v>
      </c>
      <c r="AF1248" t="b">
        <f>ISNUMBER(MATCH(G1248,AUM!$G$6:$G$240,0))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sheetPr codeName="Sheet1"/>
  <dimension ref="A1:J305"/>
  <sheetViews>
    <sheetView workbookViewId="0">
      <selection activeCell="A284" sqref="A284"/>
    </sheetView>
  </sheetViews>
  <sheetFormatPr defaultRowHeight="12.75"/>
  <cols>
    <col min="1" max="1" width="46.375" bestFit="1" customWidth="1"/>
    <col min="2" max="2" width="9.75" bestFit="1" customWidth="1"/>
    <col min="3" max="3" width="7.5" bestFit="1" customWidth="1"/>
    <col min="4" max="4" width="10.75" bestFit="1" customWidth="1"/>
    <col min="5" max="5" width="15.625" bestFit="1" customWidth="1"/>
    <col min="6" max="6" width="13.625" bestFit="1" customWidth="1"/>
    <col min="7" max="7" width="9.5" customWidth="1"/>
  </cols>
  <sheetData>
    <row r="1" spans="1:10">
      <c r="A1" s="33" t="s">
        <v>4716</v>
      </c>
      <c r="B1" s="33" t="s">
        <v>5</v>
      </c>
      <c r="C1" s="33" t="s">
        <v>4721</v>
      </c>
      <c r="D1" s="33" t="s">
        <v>4725</v>
      </c>
      <c r="E1" s="33" t="s">
        <v>4726</v>
      </c>
      <c r="F1" s="33" t="s">
        <v>4715</v>
      </c>
      <c r="H1" s="33" t="s">
        <v>4757</v>
      </c>
      <c r="I1" s="33" t="s">
        <v>4758</v>
      </c>
      <c r="J1" s="36"/>
    </row>
    <row r="2" spans="1:10">
      <c r="A2" t="str">
        <f>_xlfn.XLOOKUP(B2,'Index 14-01'!$F$2:$F$1248,'Index 14-01'!$G$2:$G$1248)</f>
        <v>EN FR 40 Responsible Investment</v>
      </c>
      <c r="B2" t="s">
        <v>2616</v>
      </c>
      <c r="C2" t="s">
        <v>4720</v>
      </c>
      <c r="D2" t="b">
        <f t="shared" ref="D2:D65" si="0">ISNUMBER(MATCH(B2,$J$1:$J$52,0))</f>
        <v>0</v>
      </c>
      <c r="E2" s="34">
        <v>1</v>
      </c>
      <c r="F2" s="34" t="s">
        <v>4749</v>
      </c>
      <c r="J2" s="36" t="s">
        <v>2361</v>
      </c>
    </row>
    <row r="3" spans="1:10">
      <c r="A3" s="35" t="str">
        <f>_xlfn.XLOOKUP(B3,'Index 14-01'!$F$2:$F$1248,'Index 14-01'!$G$2:$G$1248)</f>
        <v>EN Sovereign Economy Selection EZ50</v>
      </c>
      <c r="B3" s="35" t="s">
        <v>887</v>
      </c>
      <c r="C3" s="35" t="s">
        <v>4720</v>
      </c>
      <c r="D3" t="b">
        <f t="shared" si="0"/>
        <v>0</v>
      </c>
      <c r="E3" s="34">
        <v>1</v>
      </c>
      <c r="F3" s="34" t="s">
        <v>4749</v>
      </c>
      <c r="J3" s="36" t="s">
        <v>2694</v>
      </c>
    </row>
    <row r="4" spans="1:10">
      <c r="A4" s="35" t="str">
        <f>_xlfn.XLOOKUP(B4,'Index 14-01'!$F$2:$F$1248,'Index 14-01'!$G$2:$G$1248)</f>
        <v>Euronext France Developpement 40</v>
      </c>
      <c r="B4" s="35" t="s">
        <v>2843</v>
      </c>
      <c r="C4" s="35" t="s">
        <v>4720</v>
      </c>
      <c r="D4" t="b">
        <f t="shared" si="0"/>
        <v>0</v>
      </c>
      <c r="E4" s="34">
        <v>1</v>
      </c>
      <c r="F4" s="39" t="s">
        <v>4749</v>
      </c>
      <c r="J4" s="36" t="s">
        <v>1067</v>
      </c>
    </row>
    <row r="5" spans="1:10">
      <c r="A5" s="35" t="str">
        <f>_xlfn.XLOOKUP(B5,'Index 14-01'!$F$2:$F$1248,'Index 14-01'!$G$2:$G$1248)</f>
        <v>Euronext France Investissement 40</v>
      </c>
      <c r="B5" s="35" t="s">
        <v>2792</v>
      </c>
      <c r="C5" s="35" t="s">
        <v>4720</v>
      </c>
      <c r="D5" s="37" t="b">
        <f t="shared" si="0"/>
        <v>0</v>
      </c>
      <c r="E5" s="34">
        <v>1</v>
      </c>
      <c r="F5" s="39" t="s">
        <v>4749</v>
      </c>
      <c r="J5" s="36" t="s">
        <v>962</v>
      </c>
    </row>
    <row r="6" spans="1:10">
      <c r="A6" t="s">
        <v>4750</v>
      </c>
      <c r="B6" s="38" t="s">
        <v>4739</v>
      </c>
      <c r="C6" t="s">
        <v>4720</v>
      </c>
      <c r="D6" s="37" t="b">
        <f t="shared" si="0"/>
        <v>0</v>
      </c>
      <c r="E6" s="34">
        <v>1</v>
      </c>
      <c r="F6" t="s">
        <v>4749</v>
      </c>
      <c r="J6" s="36" t="s">
        <v>948</v>
      </c>
    </row>
    <row r="7" spans="1:10">
      <c r="A7" t="str">
        <f>_xlfn.XLOOKUP(B7,'Index 14-01'!$F$2:$F$1248,'Index 14-01'!$G$2:$G$1248)</f>
        <v>AEX All-Share Index</v>
      </c>
      <c r="B7" t="s">
        <v>1348</v>
      </c>
      <c r="C7" t="s">
        <v>1356</v>
      </c>
      <c r="D7" t="b">
        <f t="shared" si="0"/>
        <v>0</v>
      </c>
      <c r="E7" s="34">
        <v>0</v>
      </c>
      <c r="F7" s="34"/>
      <c r="J7" s="36" t="s">
        <v>2589</v>
      </c>
    </row>
    <row r="8" spans="1:10">
      <c r="A8" t="str">
        <f>_xlfn.XLOOKUP(B8,'Index 14-01'!$F$2:$F$1248,'Index 14-01'!$G$2:$G$1248)</f>
        <v>AEX All-Tradable</v>
      </c>
      <c r="B8" t="s">
        <v>1342</v>
      </c>
      <c r="C8" t="s">
        <v>1356</v>
      </c>
      <c r="D8" t="b">
        <f t="shared" si="0"/>
        <v>0</v>
      </c>
      <c r="E8" s="34">
        <v>0</v>
      </c>
      <c r="F8" s="34"/>
      <c r="J8" s="36" t="s">
        <v>3490</v>
      </c>
    </row>
    <row r="9" spans="1:10">
      <c r="A9" t="str">
        <f>_xlfn.XLOOKUP(B9,'Index 14-01'!$F$2:$F$1248,'Index 14-01'!$G$2:$G$1248)</f>
        <v>AEX All-Tradable Alternative Weighting</v>
      </c>
      <c r="B9" t="s">
        <v>1333</v>
      </c>
      <c r="C9" t="s">
        <v>1356</v>
      </c>
      <c r="D9" t="b">
        <f t="shared" si="0"/>
        <v>0</v>
      </c>
      <c r="E9" s="34">
        <v>0</v>
      </c>
      <c r="F9" s="34"/>
      <c r="J9" s="36" t="s">
        <v>2493</v>
      </c>
    </row>
    <row r="10" spans="1:10">
      <c r="A10" t="str">
        <f>_xlfn.XLOOKUP(B10,'Index 14-01'!$F$2:$F$1248,'Index 14-01'!$G$2:$G$1248)</f>
        <v>AEX Basic Materials</v>
      </c>
      <c r="B10" t="s">
        <v>516</v>
      </c>
      <c r="C10" t="s">
        <v>1356</v>
      </c>
      <c r="D10" t="b">
        <f t="shared" si="0"/>
        <v>0</v>
      </c>
      <c r="E10" s="34">
        <v>0</v>
      </c>
      <c r="F10" s="34"/>
      <c r="J10" s="36" t="s">
        <v>2310</v>
      </c>
    </row>
    <row r="11" spans="1:10">
      <c r="A11" t="str">
        <f>_xlfn.XLOOKUP(B11,'Index 14-01'!$F$2:$F$1248,'Index 14-01'!$G$2:$G$1248)</f>
        <v>AEX Consumer Discretionary</v>
      </c>
      <c r="B11" t="s">
        <v>508</v>
      </c>
      <c r="C11" t="s">
        <v>1356</v>
      </c>
      <c r="D11" t="b">
        <f t="shared" si="0"/>
        <v>0</v>
      </c>
      <c r="E11" s="34">
        <v>0</v>
      </c>
      <c r="F11" s="34"/>
      <c r="J11" s="36" t="s">
        <v>439</v>
      </c>
    </row>
    <row r="12" spans="1:10">
      <c r="A12" t="str">
        <f>_xlfn.XLOOKUP(B12,'Index 14-01'!$F$2:$F$1248,'Index 14-01'!$G$2:$G$1248)</f>
        <v>AEX Consumer Staples</v>
      </c>
      <c r="B12" t="s">
        <v>504</v>
      </c>
      <c r="C12" t="s">
        <v>1356</v>
      </c>
      <c r="D12" t="b">
        <f t="shared" si="0"/>
        <v>0</v>
      </c>
      <c r="E12" s="34">
        <v>0</v>
      </c>
      <c r="F12" s="34"/>
      <c r="J12" s="36" t="s">
        <v>2520</v>
      </c>
    </row>
    <row r="13" spans="1:10">
      <c r="A13" t="str">
        <f>_xlfn.XLOOKUP(B13,'Index 14-01'!$F$2:$F$1248,'Index 14-01'!$G$2:$G$1248)</f>
        <v>AEX Dividend Index</v>
      </c>
      <c r="B13" t="s">
        <v>425</v>
      </c>
      <c r="C13" t="s">
        <v>1356</v>
      </c>
      <c r="D13" t="b">
        <f t="shared" si="0"/>
        <v>0</v>
      </c>
      <c r="E13" s="34">
        <v>0</v>
      </c>
      <c r="F13" s="34"/>
      <c r="J13" s="36" t="s">
        <v>2529</v>
      </c>
    </row>
    <row r="14" spans="1:10">
      <c r="A14" t="str">
        <f>_xlfn.XLOOKUP(B14,'Index 14-01'!$F$2:$F$1248,'Index 14-01'!$G$2:$G$1248)</f>
        <v>AEX Energy</v>
      </c>
      <c r="B14" t="s">
        <v>518</v>
      </c>
      <c r="C14" t="s">
        <v>1356</v>
      </c>
      <c r="D14" t="b">
        <f t="shared" si="0"/>
        <v>0</v>
      </c>
      <c r="E14" s="34">
        <v>0</v>
      </c>
      <c r="F14" s="34"/>
      <c r="J14" s="36" t="s">
        <v>846</v>
      </c>
    </row>
    <row r="15" spans="1:10">
      <c r="A15" t="str">
        <f>_xlfn.XLOOKUP(B15,'Index 14-01'!$F$2:$F$1248,'Index 14-01'!$G$2:$G$1248)</f>
        <v>AEX Equal Weight</v>
      </c>
      <c r="B15" t="s">
        <v>422</v>
      </c>
      <c r="C15" t="s">
        <v>1356</v>
      </c>
      <c r="D15" t="b">
        <f t="shared" si="0"/>
        <v>0</v>
      </c>
      <c r="E15" s="34">
        <v>0</v>
      </c>
      <c r="F15" s="34"/>
      <c r="J15" s="36" t="s">
        <v>2571</v>
      </c>
    </row>
    <row r="16" spans="1:10">
      <c r="A16" t="str">
        <f>_xlfn.XLOOKUP(B16,'Index 14-01'!$F$2:$F$1248,'Index 14-01'!$G$2:$G$1248)</f>
        <v>AEX ESG</v>
      </c>
      <c r="B16" t="s">
        <v>2201</v>
      </c>
      <c r="C16" t="s">
        <v>1356</v>
      </c>
      <c r="D16" t="b">
        <f t="shared" si="0"/>
        <v>0</v>
      </c>
      <c r="E16" s="34">
        <v>0</v>
      </c>
      <c r="F16" s="34"/>
      <c r="J16" s="36" t="s">
        <v>3626</v>
      </c>
    </row>
    <row r="17" spans="1:10">
      <c r="A17" t="str">
        <f>_xlfn.XLOOKUP(B17,'Index 14-01'!$F$2:$F$1248,'Index 14-01'!$G$2:$G$1248)</f>
        <v>AEX Financials</v>
      </c>
      <c r="B17" t="s">
        <v>500</v>
      </c>
      <c r="C17" t="s">
        <v>1356</v>
      </c>
      <c r="D17" t="b">
        <f t="shared" si="0"/>
        <v>0</v>
      </c>
      <c r="E17" s="34">
        <v>0</v>
      </c>
      <c r="F17" s="34"/>
      <c r="J17" s="36" t="s">
        <v>2403</v>
      </c>
    </row>
    <row r="18" spans="1:10">
      <c r="A18" t="str">
        <f>_xlfn.XLOOKUP(B18,'Index 14-01'!$F$2:$F$1248,'Index 14-01'!$G$2:$G$1248)</f>
        <v>AEX Health Care</v>
      </c>
      <c r="B18" t="s">
        <v>506</v>
      </c>
      <c r="C18" t="s">
        <v>1356</v>
      </c>
      <c r="D18" t="b">
        <f t="shared" si="0"/>
        <v>0</v>
      </c>
      <c r="E18" s="34">
        <v>0</v>
      </c>
      <c r="F18" s="34"/>
      <c r="J18" s="36" t="s">
        <v>892</v>
      </c>
    </row>
    <row r="19" spans="1:10">
      <c r="A19" t="str">
        <f>_xlfn.XLOOKUP(B19,'Index 14-01'!$F$2:$F$1248,'Index 14-01'!$G$2:$G$1248)</f>
        <v>AEX Industrials</v>
      </c>
      <c r="B19" t="s">
        <v>514</v>
      </c>
      <c r="C19" t="s">
        <v>1356</v>
      </c>
      <c r="D19" t="b">
        <f t="shared" si="0"/>
        <v>0</v>
      </c>
      <c r="E19" s="34">
        <v>0</v>
      </c>
      <c r="F19" s="34"/>
      <c r="J19" s="36" t="s">
        <v>2388</v>
      </c>
    </row>
    <row r="20" spans="1:10">
      <c r="A20" t="str">
        <f>_xlfn.XLOOKUP(B20,'Index 14-01'!$F$2:$F$1248,'Index 14-01'!$G$2:$G$1248)</f>
        <v>AEX Real Estate</v>
      </c>
      <c r="B20" t="s">
        <v>944</v>
      </c>
      <c r="C20" t="s">
        <v>1356</v>
      </c>
      <c r="D20" t="b">
        <f t="shared" si="0"/>
        <v>0</v>
      </c>
      <c r="E20" s="34">
        <v>0</v>
      </c>
      <c r="F20" s="34"/>
      <c r="J20" s="36" t="s">
        <v>2553</v>
      </c>
    </row>
    <row r="21" spans="1:10">
      <c r="A21" t="str">
        <f>_xlfn.XLOOKUP(B21,'Index 14-01'!$F$2:$F$1248,'Index 14-01'!$G$2:$G$1248)</f>
        <v>AEX Technology</v>
      </c>
      <c r="B21" t="s">
        <v>498</v>
      </c>
      <c r="C21" t="s">
        <v>1356</v>
      </c>
      <c r="D21" t="b">
        <f t="shared" si="0"/>
        <v>0</v>
      </c>
      <c r="E21" s="34">
        <v>0</v>
      </c>
      <c r="F21" s="34"/>
      <c r="J21" s="36" t="s">
        <v>2511</v>
      </c>
    </row>
    <row r="22" spans="1:10">
      <c r="A22" t="str">
        <f>_xlfn.XLOOKUP(B22,'Index 14-01'!$F$2:$F$1248,'Index 14-01'!$G$2:$G$1248)</f>
        <v>AEX Telecommunications</v>
      </c>
      <c r="B22" t="s">
        <v>502</v>
      </c>
      <c r="C22" t="s">
        <v>1356</v>
      </c>
      <c r="D22" t="b">
        <f t="shared" si="0"/>
        <v>0</v>
      </c>
      <c r="E22" s="34">
        <v>0</v>
      </c>
      <c r="F22" s="34"/>
      <c r="J22" s="36" t="s">
        <v>2679</v>
      </c>
    </row>
    <row r="23" spans="1:10">
      <c r="A23" t="str">
        <f>_xlfn.XLOOKUP(B23,'Index 14-01'!$F$2:$F$1248,'Index 14-01'!$G$2:$G$1248)</f>
        <v>AEX Utilities</v>
      </c>
      <c r="B23" t="s">
        <v>842</v>
      </c>
      <c r="C23" t="s">
        <v>1356</v>
      </c>
      <c r="D23" t="b">
        <f t="shared" si="0"/>
        <v>0</v>
      </c>
      <c r="E23" s="34">
        <v>0</v>
      </c>
      <c r="F23" s="34"/>
      <c r="J23" s="36" t="s">
        <v>2667</v>
      </c>
    </row>
    <row r="24" spans="1:10">
      <c r="A24" t="str">
        <f>_xlfn.XLOOKUP(B24,'Index 14-01'!$F$2:$F$1248,'Index 14-01'!$G$2:$G$1248)</f>
        <v>AEX-Index</v>
      </c>
      <c r="B24" t="s">
        <v>1356</v>
      </c>
      <c r="C24" t="s">
        <v>1356</v>
      </c>
      <c r="D24" t="b">
        <f t="shared" si="0"/>
        <v>0</v>
      </c>
      <c r="E24" s="34">
        <v>0</v>
      </c>
      <c r="F24" s="34"/>
      <c r="J24" s="36" t="s">
        <v>1166</v>
      </c>
    </row>
    <row r="25" spans="1:10">
      <c r="A25" t="str">
        <f>_xlfn.XLOOKUP(B25,'Index 14-01'!$F$2:$F$1248,'Index 14-01'!$G$2:$G$1248)</f>
        <v>AMX-Index</v>
      </c>
      <c r="B25" t="s">
        <v>1344</v>
      </c>
      <c r="C25" t="s">
        <v>1356</v>
      </c>
      <c r="D25" t="b">
        <f t="shared" si="0"/>
        <v>0</v>
      </c>
      <c r="E25" s="34">
        <v>0</v>
      </c>
      <c r="F25" s="34"/>
      <c r="J25" s="36" t="s">
        <v>970</v>
      </c>
    </row>
    <row r="26" spans="1:10">
      <c r="A26" t="str">
        <f>_xlfn.XLOOKUP(B26,'Index 14-01'!$F$2:$F$1248,'Index 14-01'!$G$2:$G$1248)</f>
        <v>AScX-Index</v>
      </c>
      <c r="B26" t="s">
        <v>1346</v>
      </c>
      <c r="C26" t="s">
        <v>1356</v>
      </c>
      <c r="D26" t="b">
        <f t="shared" si="0"/>
        <v>0</v>
      </c>
      <c r="E26" s="34">
        <v>0</v>
      </c>
      <c r="F26" s="34"/>
      <c r="J26" s="36" t="s">
        <v>2448</v>
      </c>
    </row>
    <row r="27" spans="1:10">
      <c r="A27" t="str">
        <f>_xlfn.XLOOKUP(B27,'Index 14-01'!$F$2:$F$1248,'Index 14-01'!$G$2:$G$1248)</f>
        <v>BEL 20</v>
      </c>
      <c r="B27" t="s">
        <v>3836</v>
      </c>
      <c r="C27" t="s">
        <v>3909</v>
      </c>
      <c r="D27" t="b">
        <f t="shared" si="0"/>
        <v>0</v>
      </c>
      <c r="E27" s="34">
        <v>0</v>
      </c>
      <c r="F27" s="34"/>
      <c r="J27" s="36" t="s">
        <v>1154</v>
      </c>
    </row>
    <row r="28" spans="1:10">
      <c r="A28" t="str">
        <f>_xlfn.XLOOKUP(B28,'Index 14-01'!$F$2:$F$1248,'Index 14-01'!$G$2:$G$1248)</f>
        <v>BEL All-Share Index</v>
      </c>
      <c r="B28" t="s">
        <v>3844</v>
      </c>
      <c r="C28" t="s">
        <v>3909</v>
      </c>
      <c r="D28" t="b">
        <f t="shared" si="0"/>
        <v>0</v>
      </c>
      <c r="E28" s="34">
        <v>0</v>
      </c>
      <c r="F28" s="34"/>
      <c r="J28" s="36" t="s">
        <v>1058</v>
      </c>
    </row>
    <row r="29" spans="1:10">
      <c r="A29" t="str">
        <f>_xlfn.XLOOKUP(B29,'Index 14-01'!$F$2:$F$1248,'Index 14-01'!$G$2:$G$1248)</f>
        <v>BEL Basic Materials</v>
      </c>
      <c r="B29" t="s">
        <v>248</v>
      </c>
      <c r="C29" t="s">
        <v>3909</v>
      </c>
      <c r="D29" t="b">
        <f t="shared" si="0"/>
        <v>0</v>
      </c>
      <c r="E29" s="34">
        <v>0</v>
      </c>
      <c r="F29" s="34"/>
      <c r="J29" s="36" t="s">
        <v>2394</v>
      </c>
    </row>
    <row r="30" spans="1:10">
      <c r="A30" t="str">
        <f>_xlfn.XLOOKUP(B30,'Index 14-01'!$F$2:$F$1248,'Index 14-01'!$G$2:$G$1248)</f>
        <v>BEL Consumer Discretionary</v>
      </c>
      <c r="B30" t="s">
        <v>172</v>
      </c>
      <c r="C30" t="s">
        <v>3909</v>
      </c>
      <c r="D30" t="b">
        <f t="shared" si="0"/>
        <v>0</v>
      </c>
      <c r="E30" s="34">
        <v>0</v>
      </c>
      <c r="F30" s="34"/>
      <c r="J30" s="36" t="s">
        <v>2562</v>
      </c>
    </row>
    <row r="31" spans="1:10">
      <c r="A31" t="str">
        <f>_xlfn.XLOOKUP(B31,'Index 14-01'!$F$2:$F$1248,'Index 14-01'!$G$2:$G$1248)</f>
        <v>BEL Consumer Staples</v>
      </c>
      <c r="B31" t="s">
        <v>200</v>
      </c>
      <c r="C31" t="s">
        <v>3909</v>
      </c>
      <c r="D31" t="b">
        <f t="shared" si="0"/>
        <v>0</v>
      </c>
      <c r="E31" s="34">
        <v>0</v>
      </c>
      <c r="F31" s="34"/>
      <c r="J31" s="36" t="s">
        <v>917</v>
      </c>
    </row>
    <row r="32" spans="1:10">
      <c r="A32" t="str">
        <f>_xlfn.XLOOKUP(B32,'Index 14-01'!$F$2:$F$1248,'Index 14-01'!$G$2:$G$1248)</f>
        <v>BEL Continuous Stocks Index</v>
      </c>
      <c r="B32" t="s">
        <v>168</v>
      </c>
      <c r="C32" t="s">
        <v>3909</v>
      </c>
      <c r="D32" t="b">
        <f t="shared" si="0"/>
        <v>0</v>
      </c>
      <c r="E32" s="34">
        <v>0</v>
      </c>
      <c r="F32" s="34"/>
      <c r="J32" s="36" t="s">
        <v>941</v>
      </c>
    </row>
    <row r="33" spans="1:10">
      <c r="A33" t="str">
        <f>_xlfn.XLOOKUP(B33,'Index 14-01'!$F$2:$F$1248,'Index 14-01'!$G$2:$G$1248)</f>
        <v>BEL Energy</v>
      </c>
      <c r="B33" t="s">
        <v>141</v>
      </c>
      <c r="C33" t="s">
        <v>3909</v>
      </c>
      <c r="D33" t="b">
        <f t="shared" si="0"/>
        <v>0</v>
      </c>
      <c r="E33" s="34">
        <v>0</v>
      </c>
      <c r="F33" s="34"/>
      <c r="J33" s="36" t="s">
        <v>2580</v>
      </c>
    </row>
    <row r="34" spans="1:10">
      <c r="A34" t="str">
        <f>_xlfn.XLOOKUP(B34,'Index 14-01'!$F$2:$F$1248,'Index 14-01'!$G$2:$G$1248)</f>
        <v>BEL ESG</v>
      </c>
      <c r="B34" t="s">
        <v>3874</v>
      </c>
      <c r="C34" t="s">
        <v>3909</v>
      </c>
      <c r="D34" t="b">
        <f t="shared" si="0"/>
        <v>0</v>
      </c>
      <c r="E34" s="34">
        <v>0</v>
      </c>
      <c r="F34" s="34"/>
      <c r="J34" s="36" t="s">
        <v>3728</v>
      </c>
    </row>
    <row r="35" spans="1:10">
      <c r="A35" t="str">
        <f>_xlfn.XLOOKUP(B35,'Index 14-01'!$F$2:$F$1248,'Index 14-01'!$G$2:$G$1248)</f>
        <v>BEL Financials</v>
      </c>
      <c r="B35" t="s">
        <v>188</v>
      </c>
      <c r="C35" t="s">
        <v>3909</v>
      </c>
      <c r="D35" t="b">
        <f t="shared" si="0"/>
        <v>0</v>
      </c>
      <c r="E35" s="34">
        <v>0</v>
      </c>
      <c r="F35" s="34"/>
      <c r="J35" s="36" t="s">
        <v>2544</v>
      </c>
    </row>
    <row r="36" spans="1:10">
      <c r="A36" t="str">
        <f>_xlfn.XLOOKUP(B36,'Index 14-01'!$F$2:$F$1248,'Index 14-01'!$G$2:$G$1248)</f>
        <v>BEL Health Care</v>
      </c>
      <c r="B36" t="s">
        <v>180</v>
      </c>
      <c r="C36" t="s">
        <v>3909</v>
      </c>
      <c r="D36" t="b">
        <f t="shared" si="0"/>
        <v>0</v>
      </c>
      <c r="E36" s="34">
        <v>0</v>
      </c>
      <c r="F36" s="34"/>
      <c r="J36" s="36" t="s">
        <v>1040</v>
      </c>
    </row>
    <row r="37" spans="1:10">
      <c r="A37" t="str">
        <f>_xlfn.XLOOKUP(B37,'Index 14-01'!$F$2:$F$1248,'Index 14-01'!$G$2:$G$1248)</f>
        <v>BEL Industrials</v>
      </c>
      <c r="B37" t="s">
        <v>176</v>
      </c>
      <c r="C37" t="s">
        <v>3909</v>
      </c>
      <c r="D37" t="b">
        <f t="shared" si="0"/>
        <v>0</v>
      </c>
      <c r="E37" s="34">
        <v>0</v>
      </c>
      <c r="F37" s="34"/>
      <c r="J37" s="36" t="s">
        <v>1017</v>
      </c>
    </row>
    <row r="38" spans="1:10">
      <c r="A38" t="str">
        <f>_xlfn.XLOOKUP(B38,'Index 14-01'!$F$2:$F$1248,'Index 14-01'!$G$2:$G$1248)</f>
        <v>BEL Mid</v>
      </c>
      <c r="B38" t="s">
        <v>3822</v>
      </c>
      <c r="C38" t="s">
        <v>3909</v>
      </c>
      <c r="D38" t="b">
        <f t="shared" si="0"/>
        <v>0</v>
      </c>
      <c r="E38" s="34">
        <v>0</v>
      </c>
      <c r="F38" s="34"/>
      <c r="J38" s="36" t="s">
        <v>2469</v>
      </c>
    </row>
    <row r="39" spans="1:10">
      <c r="A39" t="str">
        <f>_xlfn.XLOOKUP(B39,'Index 14-01'!$F$2:$F$1248,'Index 14-01'!$G$2:$G$1248)</f>
        <v>BEL Real Estate</v>
      </c>
      <c r="B39" t="s">
        <v>3880</v>
      </c>
      <c r="C39" t="s">
        <v>3909</v>
      </c>
      <c r="D39" t="b">
        <f t="shared" si="0"/>
        <v>0</v>
      </c>
      <c r="E39" s="34">
        <v>0</v>
      </c>
      <c r="F39" s="34"/>
      <c r="J39" s="36" t="s">
        <v>2625</v>
      </c>
    </row>
    <row r="40" spans="1:10">
      <c r="A40" t="str">
        <f>_xlfn.XLOOKUP(B40,'Index 14-01'!$F$2:$F$1248,'Index 14-01'!$G$2:$G$1248)</f>
        <v>BEL Small</v>
      </c>
      <c r="B40" t="s">
        <v>3819</v>
      </c>
      <c r="C40" t="s">
        <v>3909</v>
      </c>
      <c r="D40" t="b">
        <f t="shared" si="0"/>
        <v>0</v>
      </c>
      <c r="E40" s="34">
        <v>0</v>
      </c>
      <c r="F40" s="34"/>
      <c r="J40" s="36" t="s">
        <v>1250</v>
      </c>
    </row>
    <row r="41" spans="1:10">
      <c r="A41" t="str">
        <f>_xlfn.XLOOKUP(B41,'Index 14-01'!$F$2:$F$1248,'Index 14-01'!$G$2:$G$1248)</f>
        <v>BEL Technology</v>
      </c>
      <c r="B41" t="s">
        <v>192</v>
      </c>
      <c r="C41" t="s">
        <v>3909</v>
      </c>
      <c r="D41" t="b">
        <f t="shared" si="0"/>
        <v>0</v>
      </c>
      <c r="E41" s="34">
        <v>0</v>
      </c>
      <c r="F41" s="34"/>
      <c r="J41" s="36" t="s">
        <v>1142</v>
      </c>
    </row>
    <row r="42" spans="1:10">
      <c r="A42" t="str">
        <f>_xlfn.XLOOKUP(B42,'Index 14-01'!$F$2:$F$1248,'Index 14-01'!$G$2:$G$1248)</f>
        <v>BEL Telecommunications</v>
      </c>
      <c r="B42" t="s">
        <v>184</v>
      </c>
      <c r="C42" t="s">
        <v>3909</v>
      </c>
      <c r="D42" t="b">
        <f t="shared" si="0"/>
        <v>0</v>
      </c>
      <c r="E42" s="34">
        <v>0</v>
      </c>
      <c r="F42" s="34"/>
      <c r="J42" s="36" t="s">
        <v>2421</v>
      </c>
    </row>
    <row r="43" spans="1:10">
      <c r="A43" t="str">
        <f>_xlfn.XLOOKUP(B43,'Index 14-01'!$F$2:$F$1248,'Index 14-01'!$G$2:$G$1248)</f>
        <v>BEL Utilities</v>
      </c>
      <c r="B43" t="s">
        <v>196</v>
      </c>
      <c r="C43" t="s">
        <v>3909</v>
      </c>
      <c r="D43" t="b">
        <f t="shared" si="0"/>
        <v>0</v>
      </c>
      <c r="E43" s="34">
        <v>0</v>
      </c>
      <c r="F43" s="34"/>
      <c r="J43" s="36" t="s">
        <v>2442</v>
      </c>
    </row>
    <row r="44" spans="1:10">
      <c r="A44" t="str">
        <f>_xlfn.XLOOKUP(B44,'Index 14-01'!$F$2:$F$1248,'Index 14-01'!$G$2:$G$1248)</f>
        <v>CAC 40</v>
      </c>
      <c r="B44" t="s">
        <v>2768</v>
      </c>
      <c r="C44" t="s">
        <v>3892</v>
      </c>
      <c r="D44" t="b">
        <f t="shared" si="0"/>
        <v>0</v>
      </c>
      <c r="E44" s="34">
        <v>0</v>
      </c>
      <c r="F44" s="34"/>
      <c r="J44" s="36" t="s">
        <v>2432</v>
      </c>
    </row>
    <row r="45" spans="1:10">
      <c r="A45" t="str">
        <f>_xlfn.XLOOKUP(B45,'Index 14-01'!$F$2:$F$1248,'Index 14-01'!$G$2:$G$1248)</f>
        <v>CAC 40 Dividend Index</v>
      </c>
      <c r="B45" t="s">
        <v>429</v>
      </c>
      <c r="C45" t="s">
        <v>3892</v>
      </c>
      <c r="D45" t="b">
        <f t="shared" si="0"/>
        <v>0</v>
      </c>
      <c r="E45" s="34">
        <v>0</v>
      </c>
      <c r="F45" s="34"/>
      <c r="J45" s="36" t="s">
        <v>3796</v>
      </c>
    </row>
    <row r="46" spans="1:10">
      <c r="A46" t="str">
        <f>_xlfn.XLOOKUP(B46,'Index 14-01'!$F$2:$F$1248,'Index 14-01'!$G$2:$G$1248)</f>
        <v>CAC 40 Equal Weight</v>
      </c>
      <c r="B46" t="s">
        <v>420</v>
      </c>
      <c r="C46" t="s">
        <v>3892</v>
      </c>
      <c r="D46" t="b">
        <f t="shared" si="0"/>
        <v>0</v>
      </c>
      <c r="E46" s="34">
        <v>0</v>
      </c>
      <c r="F46" s="34"/>
      <c r="J46" s="36" t="s">
        <v>73</v>
      </c>
    </row>
    <row r="47" spans="1:10">
      <c r="A47" t="str">
        <f>_xlfn.XLOOKUP(B47,'Index 14-01'!$F$2:$F$1248,'Index 14-01'!$G$2:$G$1248)</f>
        <v>CAC 40 ESG</v>
      </c>
      <c r="B47" t="s">
        <v>2493</v>
      </c>
      <c r="C47" t="s">
        <v>3892</v>
      </c>
      <c r="D47" t="b">
        <f t="shared" si="0"/>
        <v>1</v>
      </c>
      <c r="E47" s="34">
        <v>0</v>
      </c>
      <c r="F47" s="34"/>
      <c r="J47" s="36" t="s">
        <v>83</v>
      </c>
    </row>
    <row r="48" spans="1:10">
      <c r="A48" t="str">
        <f>_xlfn.XLOOKUP(B48,'Index 14-01'!$F$2:$F$1248,'Index 14-01'!$G$2:$G$1248)</f>
        <v>CAC 40 Governance</v>
      </c>
      <c r="B48" t="s">
        <v>2694</v>
      </c>
      <c r="C48" t="s">
        <v>3892</v>
      </c>
      <c r="D48" t="b">
        <f t="shared" si="0"/>
        <v>1</v>
      </c>
      <c r="E48" s="34">
        <v>0</v>
      </c>
      <c r="F48" s="34"/>
      <c r="J48" s="36" t="s">
        <v>118</v>
      </c>
    </row>
    <row r="49" spans="1:10">
      <c r="A49" t="str">
        <f>_xlfn.XLOOKUP(B49,'Index 14-01'!$F$2:$F$1248,'Index 14-01'!$G$2:$G$1248)</f>
        <v>CAC 40 Inflation Adjusted</v>
      </c>
      <c r="B49" t="s">
        <v>3140</v>
      </c>
      <c r="C49" t="s">
        <v>3892</v>
      </c>
      <c r="D49" t="b">
        <f t="shared" si="0"/>
        <v>0</v>
      </c>
      <c r="E49" s="34">
        <v>0</v>
      </c>
      <c r="F49" s="34"/>
      <c r="J49" s="36" t="s">
        <v>109</v>
      </c>
    </row>
    <row r="50" spans="1:10">
      <c r="A50" t="str">
        <f>_xlfn.XLOOKUP(B50,'Index 14-01'!$F$2:$F$1248,'Index 14-01'!$G$2:$G$1248)</f>
        <v>CAC 40 NR Inflation Adjusted</v>
      </c>
      <c r="B50" t="s">
        <v>3137</v>
      </c>
      <c r="C50" t="s">
        <v>3892</v>
      </c>
      <c r="D50" t="b">
        <f t="shared" si="0"/>
        <v>0</v>
      </c>
      <c r="E50" s="34">
        <v>0</v>
      </c>
      <c r="F50" s="34"/>
      <c r="J50" s="36" t="s">
        <v>99</v>
      </c>
    </row>
    <row r="51" spans="1:10">
      <c r="A51" t="str">
        <f>_xlfn.XLOOKUP(B51,'Index 14-01'!$F$2:$F$1248,'Index 14-01'!$G$2:$G$1248)</f>
        <v>CAC 40 TRF Adjusted</v>
      </c>
      <c r="B51" t="s">
        <v>2993</v>
      </c>
      <c r="C51" t="s">
        <v>3892</v>
      </c>
      <c r="D51" t="b">
        <f t="shared" si="0"/>
        <v>0</v>
      </c>
      <c r="E51" s="34">
        <v>0</v>
      </c>
      <c r="F51" s="34"/>
      <c r="J51" s="36" t="s">
        <v>86</v>
      </c>
    </row>
    <row r="52" spans="1:10">
      <c r="A52" t="str">
        <f>_xlfn.XLOOKUP(B52,'Index 14-01'!$F$2:$F$1248,'Index 14-01'!$G$2:$G$1248)</f>
        <v>CAC All-Share Index</v>
      </c>
      <c r="B52" t="s">
        <v>520</v>
      </c>
      <c r="C52" t="s">
        <v>3892</v>
      </c>
      <c r="D52" t="b">
        <f t="shared" si="0"/>
        <v>0</v>
      </c>
      <c r="E52" s="34">
        <v>0</v>
      </c>
      <c r="F52" s="34"/>
      <c r="J52" s="36" t="s">
        <v>121</v>
      </c>
    </row>
    <row r="53" spans="1:10">
      <c r="A53" t="str">
        <f>_xlfn.XLOOKUP(B53,'Index 14-01'!$F$2:$F$1248,'Index 14-01'!$G$2:$G$1248)</f>
        <v>CAC All-Tradable</v>
      </c>
      <c r="B53" t="s">
        <v>2755</v>
      </c>
      <c r="C53" t="s">
        <v>3892</v>
      </c>
      <c r="D53" t="b">
        <f t="shared" si="0"/>
        <v>0</v>
      </c>
      <c r="E53" s="34">
        <v>0</v>
      </c>
      <c r="F53" s="34"/>
    </row>
    <row r="54" spans="1:10">
      <c r="A54" t="str">
        <f>_xlfn.XLOOKUP(B54,'Index 14-01'!$F$2:$F$1248,'Index 14-01'!$G$2:$G$1248)</f>
        <v>CAC Basic Materials</v>
      </c>
      <c r="B54" t="s">
        <v>474</v>
      </c>
      <c r="C54" t="s">
        <v>3892</v>
      </c>
      <c r="D54" t="b">
        <f t="shared" si="0"/>
        <v>0</v>
      </c>
      <c r="E54" s="34">
        <v>0</v>
      </c>
      <c r="F54" s="34"/>
    </row>
    <row r="55" spans="1:10">
      <c r="A55" t="str">
        <f>_xlfn.XLOOKUP(B55,'Index 14-01'!$F$2:$F$1248,'Index 14-01'!$G$2:$G$1248)</f>
        <v>CAC Consumer Discretionary</v>
      </c>
      <c r="B55" t="s">
        <v>470</v>
      </c>
      <c r="C55" t="s">
        <v>3892</v>
      </c>
      <c r="D55" t="b">
        <f t="shared" si="0"/>
        <v>0</v>
      </c>
      <c r="E55" s="34">
        <v>0</v>
      </c>
      <c r="F55" s="34"/>
    </row>
    <row r="56" spans="1:10">
      <c r="A56" t="str">
        <f>_xlfn.XLOOKUP(B56,'Index 14-01'!$F$2:$F$1248,'Index 14-01'!$G$2:$G$1248)</f>
        <v>CAC Consumer Staples</v>
      </c>
      <c r="B56" t="s">
        <v>466</v>
      </c>
      <c r="C56" t="s">
        <v>3892</v>
      </c>
      <c r="D56" t="b">
        <f t="shared" si="0"/>
        <v>0</v>
      </c>
      <c r="E56" s="34">
        <v>0</v>
      </c>
      <c r="F56" s="34"/>
    </row>
    <row r="57" spans="1:10">
      <c r="A57" t="str">
        <f>_xlfn.XLOOKUP(B57,'Index 14-01'!$F$2:$F$1248,'Index 14-01'!$G$2:$G$1248)</f>
        <v>CAC Energy</v>
      </c>
      <c r="B57" t="s">
        <v>476</v>
      </c>
      <c r="C57" t="s">
        <v>3892</v>
      </c>
      <c r="D57" t="b">
        <f t="shared" si="0"/>
        <v>0</v>
      </c>
      <c r="E57" s="34">
        <v>0</v>
      </c>
      <c r="F57" s="34"/>
    </row>
    <row r="58" spans="1:10">
      <c r="A58" t="str">
        <f>_xlfn.XLOOKUP(B58,'Index 14-01'!$F$2:$F$1248,'Index 14-01'!$G$2:$G$1248)</f>
        <v>CAC Financials</v>
      </c>
      <c r="B58" t="s">
        <v>460</v>
      </c>
      <c r="C58" t="s">
        <v>3892</v>
      </c>
      <c r="D58" t="b">
        <f t="shared" si="0"/>
        <v>0</v>
      </c>
      <c r="E58" s="34">
        <v>0</v>
      </c>
      <c r="F58" s="34"/>
    </row>
    <row r="59" spans="1:10">
      <c r="A59" t="str">
        <f>_xlfn.XLOOKUP(B59,'Index 14-01'!$F$2:$F$1248,'Index 14-01'!$G$2:$G$1248)</f>
        <v>CAC Health Care</v>
      </c>
      <c r="B59" t="s">
        <v>468</v>
      </c>
      <c r="C59" t="s">
        <v>3892</v>
      </c>
      <c r="D59" t="b">
        <f t="shared" si="0"/>
        <v>0</v>
      </c>
      <c r="E59" s="34">
        <v>0</v>
      </c>
      <c r="F59" s="34"/>
    </row>
    <row r="60" spans="1:10">
      <c r="A60" t="str">
        <f>_xlfn.XLOOKUP(B60,'Index 14-01'!$F$2:$F$1248,'Index 14-01'!$G$2:$G$1248)</f>
        <v>CAC Industrials</v>
      </c>
      <c r="B60" t="s">
        <v>472</v>
      </c>
      <c r="C60" t="s">
        <v>3892</v>
      </c>
      <c r="D60" t="b">
        <f t="shared" si="0"/>
        <v>0</v>
      </c>
      <c r="E60" s="34">
        <v>0</v>
      </c>
      <c r="F60" s="34"/>
    </row>
    <row r="61" spans="1:10">
      <c r="A61" t="str">
        <f>_xlfn.XLOOKUP(B61,'Index 14-01'!$F$2:$F$1248,'Index 14-01'!$G$2:$G$1248)</f>
        <v>CAC Large 60</v>
      </c>
      <c r="B61" t="s">
        <v>351</v>
      </c>
      <c r="C61" t="s">
        <v>3892</v>
      </c>
      <c r="D61" t="b">
        <f t="shared" si="0"/>
        <v>0</v>
      </c>
      <c r="E61" s="34">
        <v>0</v>
      </c>
      <c r="F61" s="34"/>
    </row>
    <row r="62" spans="1:10">
      <c r="A62" t="str">
        <f>_xlfn.XLOOKUP(B62,'Index 14-01'!$F$2:$F$1248,'Index 14-01'!$G$2:$G$1248)</f>
        <v>CAC Large 60 Equal Weight</v>
      </c>
      <c r="B62" t="s">
        <v>2734</v>
      </c>
      <c r="C62" t="s">
        <v>3892</v>
      </c>
      <c r="D62" t="b">
        <f t="shared" si="0"/>
        <v>0</v>
      </c>
      <c r="E62" s="34">
        <v>0</v>
      </c>
      <c r="F62" s="34"/>
    </row>
    <row r="63" spans="1:10">
      <c r="A63" t="str">
        <f>_xlfn.XLOOKUP(B63,'Index 14-01'!$F$2:$F$1248,'Index 14-01'!$G$2:$G$1248)</f>
        <v>CAC LARGE 60 EW ER</v>
      </c>
      <c r="B63" t="s">
        <v>2725</v>
      </c>
      <c r="C63" t="s">
        <v>3892</v>
      </c>
      <c r="D63" t="b">
        <f t="shared" si="0"/>
        <v>0</v>
      </c>
      <c r="E63" s="34">
        <v>0</v>
      </c>
      <c r="F63" s="34"/>
    </row>
    <row r="64" spans="1:10">
      <c r="A64" t="str">
        <f>_xlfn.XLOOKUP(B64,'Index 14-01'!$F$2:$F$1248,'Index 14-01'!$G$2:$G$1248)</f>
        <v>CAC Large 60 EW NR JPY</v>
      </c>
      <c r="B64" t="s">
        <v>2697</v>
      </c>
      <c r="C64" t="s">
        <v>3892</v>
      </c>
      <c r="D64" t="b">
        <f t="shared" si="0"/>
        <v>0</v>
      </c>
      <c r="E64" s="34">
        <v>0</v>
      </c>
      <c r="F64" s="34"/>
    </row>
    <row r="65" spans="1:6">
      <c r="A65" t="str">
        <f>_xlfn.XLOOKUP(B65,'Index 14-01'!$F$2:$F$1248,'Index 14-01'!$G$2:$G$1248)</f>
        <v>CAC Large 60 EW NR JPY Hedged</v>
      </c>
      <c r="B65" t="s">
        <v>2701</v>
      </c>
      <c r="C65" t="s">
        <v>3892</v>
      </c>
      <c r="D65" t="b">
        <f t="shared" si="0"/>
        <v>0</v>
      </c>
      <c r="E65" s="34">
        <v>0</v>
      </c>
      <c r="F65" s="34"/>
    </row>
    <row r="66" spans="1:6">
      <c r="A66" t="str">
        <f>_xlfn.XLOOKUP(B66,'Index 14-01'!$F$2:$F$1248,'Index 14-01'!$G$2:$G$1248)</f>
        <v>CAC Large 60 RI SW</v>
      </c>
      <c r="B66" t="s">
        <v>2607</v>
      </c>
      <c r="C66" t="s">
        <v>3892</v>
      </c>
      <c r="D66" t="b">
        <f t="shared" ref="D66:D129" si="1">ISNUMBER(MATCH(B66,$J$1:$J$52,0))</f>
        <v>0</v>
      </c>
      <c r="E66" s="34">
        <v>0</v>
      </c>
      <c r="F66" s="34"/>
    </row>
    <row r="67" spans="1:6">
      <c r="A67" t="str">
        <f>_xlfn.XLOOKUP(B67,'Index 14-01'!$F$2:$F$1248,'Index 14-01'!$G$2:$G$1248)</f>
        <v>CAC Mid &amp; Small</v>
      </c>
      <c r="B67" t="s">
        <v>522</v>
      </c>
      <c r="C67" t="s">
        <v>3892</v>
      </c>
      <c r="D67" t="b">
        <f t="shared" si="1"/>
        <v>0</v>
      </c>
      <c r="E67" s="34">
        <v>0</v>
      </c>
      <c r="F67" s="34"/>
    </row>
    <row r="68" spans="1:6">
      <c r="A68" t="str">
        <f>_xlfn.XLOOKUP(B68,'Index 14-01'!$F$2:$F$1248,'Index 14-01'!$G$2:$G$1248)</f>
        <v>CAC Mid 60</v>
      </c>
      <c r="B68" t="s">
        <v>527</v>
      </c>
      <c r="C68" t="s">
        <v>3892</v>
      </c>
      <c r="D68" t="b">
        <f t="shared" si="1"/>
        <v>0</v>
      </c>
      <c r="E68" s="34">
        <v>0</v>
      </c>
      <c r="F68" s="34"/>
    </row>
    <row r="69" spans="1:6">
      <c r="A69" t="str">
        <f>_xlfn.XLOOKUP(B69,'Index 14-01'!$F$2:$F$1248,'Index 14-01'!$G$2:$G$1248)</f>
        <v>CAC Next 20</v>
      </c>
      <c r="B69" t="s">
        <v>531</v>
      </c>
      <c r="C69" t="s">
        <v>3892</v>
      </c>
      <c r="D69" t="b">
        <f t="shared" si="1"/>
        <v>0</v>
      </c>
      <c r="E69" s="34">
        <v>0</v>
      </c>
      <c r="F69" s="34"/>
    </row>
    <row r="70" spans="1:6">
      <c r="A70" t="str">
        <f>_xlfn.XLOOKUP(B70,'Index 14-01'!$F$2:$F$1248,'Index 14-01'!$G$2:$G$1248)</f>
        <v>CAC Real Estate</v>
      </c>
      <c r="B70" t="s">
        <v>2535</v>
      </c>
      <c r="C70" t="s">
        <v>3892</v>
      </c>
      <c r="D70" t="b">
        <f t="shared" si="1"/>
        <v>0</v>
      </c>
      <c r="E70" s="34">
        <v>0</v>
      </c>
      <c r="F70" s="34"/>
    </row>
    <row r="71" spans="1:6">
      <c r="A71" t="str">
        <f>_xlfn.XLOOKUP(B71,'Index 14-01'!$F$2:$F$1248,'Index 14-01'!$G$2:$G$1248)</f>
        <v>CAC Small</v>
      </c>
      <c r="B71" t="s">
        <v>524</v>
      </c>
      <c r="C71" t="s">
        <v>3892</v>
      </c>
      <c r="D71" t="b">
        <f t="shared" si="1"/>
        <v>0</v>
      </c>
      <c r="E71" s="34">
        <v>0</v>
      </c>
      <c r="F71" s="34"/>
    </row>
    <row r="72" spans="1:6">
      <c r="A72" t="str">
        <f>_xlfn.XLOOKUP(B72,'Index 14-01'!$F$2:$F$1248,'Index 14-01'!$G$2:$G$1248)</f>
        <v>CAC Technology</v>
      </c>
      <c r="B72" t="s">
        <v>458</v>
      </c>
      <c r="C72" t="s">
        <v>3892</v>
      </c>
      <c r="D72" t="b">
        <f t="shared" si="1"/>
        <v>0</v>
      </c>
      <c r="E72" s="34">
        <v>0</v>
      </c>
      <c r="F72" s="34"/>
    </row>
    <row r="73" spans="1:6">
      <c r="A73" t="str">
        <f>_xlfn.XLOOKUP(B73,'Index 14-01'!$F$2:$F$1248,'Index 14-01'!$G$2:$G$1248)</f>
        <v>CAC Telecommunications</v>
      </c>
      <c r="B73" t="s">
        <v>464</v>
      </c>
      <c r="C73" t="s">
        <v>3892</v>
      </c>
      <c r="D73" t="b">
        <f t="shared" si="1"/>
        <v>0</v>
      </c>
      <c r="E73" s="34">
        <v>0</v>
      </c>
      <c r="F73" s="34"/>
    </row>
    <row r="74" spans="1:6">
      <c r="A74" t="str">
        <f>_xlfn.XLOOKUP(B74,'Index 14-01'!$F$2:$F$1248,'Index 14-01'!$G$2:$G$1248)</f>
        <v>CAC Utilities</v>
      </c>
      <c r="B74" t="s">
        <v>462</v>
      </c>
      <c r="C74" t="s">
        <v>3892</v>
      </c>
      <c r="D74" t="b">
        <f t="shared" si="1"/>
        <v>0</v>
      </c>
      <c r="E74" s="34">
        <v>0</v>
      </c>
      <c r="F74" s="34"/>
    </row>
    <row r="75" spans="1:6">
      <c r="A75" t="str">
        <f>_xlfn.XLOOKUP(B75,'Index 14-01'!$F$2:$F$1248,'Index 14-01'!$G$2:$G$1248)</f>
        <v>EN CDP ENV FR Ex Oil &amp; Gas EW</v>
      </c>
      <c r="B75" t="s">
        <v>1031</v>
      </c>
      <c r="C75" t="s">
        <v>4717</v>
      </c>
      <c r="D75" t="b">
        <f t="shared" si="1"/>
        <v>0</v>
      </c>
      <c r="E75" s="34">
        <v>0</v>
      </c>
      <c r="F75" s="34"/>
    </row>
    <row r="76" spans="1:6">
      <c r="A76" t="str">
        <f>_xlfn.XLOOKUP(B76,'Index 14-01'!$F$2:$F$1248,'Index 14-01'!$G$2:$G$1248)</f>
        <v>EN CDP Environment ESG Eurozone EW</v>
      </c>
      <c r="B76" t="s">
        <v>948</v>
      </c>
      <c r="C76" t="s">
        <v>4717</v>
      </c>
      <c r="D76" t="b">
        <f t="shared" si="1"/>
        <v>1</v>
      </c>
      <c r="E76" s="34">
        <v>0</v>
      </c>
      <c r="F76" s="34"/>
    </row>
    <row r="77" spans="1:6">
      <c r="A77" t="str">
        <f>_xlfn.XLOOKUP(B77,'Index 14-01'!$F$2:$F$1248,'Index 14-01'!$G$2:$G$1248)</f>
        <v>EN CDP Environment France EW</v>
      </c>
      <c r="B77" t="s">
        <v>1085</v>
      </c>
      <c r="C77" t="s">
        <v>4717</v>
      </c>
      <c r="D77" t="b">
        <f t="shared" si="1"/>
        <v>0</v>
      </c>
      <c r="E77" s="34">
        <v>0</v>
      </c>
      <c r="F77" s="34"/>
    </row>
    <row r="78" spans="1:6">
      <c r="A78" t="str">
        <f>_xlfn.XLOOKUP(B78,'Index 14-01'!$F$2:$F$1248,'Index 14-01'!$G$2:$G$1248)</f>
        <v>EN Climate Objective 50 Euro EW</v>
      </c>
      <c r="B78" t="s">
        <v>1076</v>
      </c>
      <c r="C78" t="s">
        <v>4717</v>
      </c>
      <c r="D78" t="b">
        <f t="shared" si="1"/>
        <v>0</v>
      </c>
      <c r="E78" s="34">
        <v>0</v>
      </c>
      <c r="F78" s="34"/>
    </row>
    <row r="79" spans="1:6">
      <c r="A79" t="str">
        <f>_xlfn.XLOOKUP(B79,'Index 14-01'!$F$2:$F$1248,'Index 14-01'!$G$2:$G$1248)</f>
        <v>EN Climate Orientation Priority 50 EW</v>
      </c>
      <c r="B79" t="s">
        <v>1306</v>
      </c>
      <c r="C79" t="s">
        <v>4717</v>
      </c>
      <c r="D79" t="b">
        <f t="shared" si="1"/>
        <v>0</v>
      </c>
      <c r="E79" s="34">
        <v>0</v>
      </c>
      <c r="F79" s="34"/>
    </row>
    <row r="80" spans="1:6">
      <c r="A80" t="str">
        <f>_xlfn.XLOOKUP(B80,'Index 14-01'!$F$2:$F$1248,'Index 14-01'!$G$2:$G$1248)</f>
        <v>EN Core Europe 30 ESG EW</v>
      </c>
      <c r="B80" t="s">
        <v>1040</v>
      </c>
      <c r="C80" t="s">
        <v>4717</v>
      </c>
      <c r="D80" t="b">
        <f t="shared" si="1"/>
        <v>1</v>
      </c>
      <c r="E80" s="34">
        <v>0</v>
      </c>
      <c r="F80" s="34"/>
    </row>
    <row r="81" spans="1:6">
      <c r="A81" t="str">
        <f>_xlfn.XLOOKUP(B81,'Index 14-01'!$F$2:$F$1248,'Index 14-01'!$G$2:$G$1248)</f>
        <v>EN Europe Sustainable 100 EW</v>
      </c>
      <c r="B81" t="s">
        <v>1142</v>
      </c>
      <c r="C81" t="s">
        <v>4717</v>
      </c>
      <c r="D81" t="b">
        <f t="shared" si="1"/>
        <v>1</v>
      </c>
      <c r="E81" s="34">
        <v>0</v>
      </c>
      <c r="F81" s="34"/>
    </row>
    <row r="82" spans="1:6">
      <c r="A82" t="str">
        <f>_xlfn.XLOOKUP(B82,'Index 14-01'!$F$2:$F$1248,'Index 14-01'!$G$2:$G$1248)</f>
        <v>EN Eurozone Mid and Large 60 EW</v>
      </c>
      <c r="B82" t="s">
        <v>1049</v>
      </c>
      <c r="C82" t="s">
        <v>4717</v>
      </c>
      <c r="D82" t="b">
        <f t="shared" si="1"/>
        <v>0</v>
      </c>
      <c r="E82" s="34">
        <v>0</v>
      </c>
      <c r="F82" s="34"/>
    </row>
    <row r="83" spans="1:6">
      <c r="A83" t="str">
        <f>_xlfn.XLOOKUP(B83,'Index 14-01'!$F$2:$F$1248,'Index 14-01'!$G$2:$G$1248)</f>
        <v>EN Eurozone Next 100 EW</v>
      </c>
      <c r="B83" t="s">
        <v>1094</v>
      </c>
      <c r="C83" t="s">
        <v>4717</v>
      </c>
      <c r="D83" t="b">
        <f t="shared" si="1"/>
        <v>0</v>
      </c>
      <c r="E83" s="34">
        <v>0</v>
      </c>
      <c r="F83" s="34"/>
    </row>
    <row r="84" spans="1:6">
      <c r="A84" t="str">
        <f>_xlfn.XLOOKUP(B84,'Index 14-01'!$F$2:$F$1248,'Index 14-01'!$G$2:$G$1248)</f>
        <v>EN France 20-40 Challengers EW</v>
      </c>
      <c r="B84" t="s">
        <v>2652</v>
      </c>
      <c r="C84" t="s">
        <v>4717</v>
      </c>
      <c r="D84" t="b">
        <f t="shared" si="1"/>
        <v>0</v>
      </c>
      <c r="E84" s="34">
        <v>0</v>
      </c>
      <c r="F84" s="34"/>
    </row>
    <row r="85" spans="1:6">
      <c r="A85" t="str">
        <f>_xlfn.XLOOKUP(B85,'Index 14-01'!$F$2:$F$1248,'Index 14-01'!$G$2:$G$1248)</f>
        <v>EN France Next 40 EW</v>
      </c>
      <c r="B85" t="s">
        <v>2643</v>
      </c>
      <c r="C85" t="s">
        <v>4717</v>
      </c>
      <c r="D85" t="b">
        <f t="shared" si="1"/>
        <v>0</v>
      </c>
      <c r="E85" s="34">
        <v>0</v>
      </c>
      <c r="F85" s="34"/>
    </row>
    <row r="86" spans="1:6">
      <c r="A86" t="str">
        <f>_xlfn.XLOOKUP(B86,'Index 14-01'!$F$2:$F$1248,'Index 14-01'!$G$2:$G$1248)</f>
        <v>EN Reitsmarket Global Conviction</v>
      </c>
      <c r="B86" t="s">
        <v>1229</v>
      </c>
      <c r="C86" t="s">
        <v>4719</v>
      </c>
      <c r="D86" t="b">
        <f t="shared" si="1"/>
        <v>0</v>
      </c>
      <c r="E86" s="34">
        <v>0</v>
      </c>
      <c r="F86" s="34"/>
    </row>
    <row r="87" spans="1:6">
      <c r="A87" t="str">
        <f>_xlfn.XLOOKUP(B87,'Index 14-01'!$F$2:$F$1248,'Index 14-01'!$G$2:$G$1248)</f>
        <v>EN Responsible Investment Euro 50 EW</v>
      </c>
      <c r="B87" t="s">
        <v>1007</v>
      </c>
      <c r="C87" t="s">
        <v>4717</v>
      </c>
      <c r="D87" t="b">
        <f t="shared" si="1"/>
        <v>0</v>
      </c>
      <c r="E87" s="34">
        <v>0</v>
      </c>
      <c r="F87" s="34"/>
    </row>
    <row r="88" spans="1:6">
      <c r="A88" t="str">
        <f>_xlfn.XLOOKUP(B88,'Index 14-01'!$F$2:$F$1248,'Index 14-01'!$G$2:$G$1248)</f>
        <v>EN Transatlantic 50 EW</v>
      </c>
      <c r="B88" t="s">
        <v>1012</v>
      </c>
      <c r="C88" t="s">
        <v>4717</v>
      </c>
      <c r="D88" t="b">
        <f t="shared" si="1"/>
        <v>0</v>
      </c>
      <c r="E88" s="34">
        <v>0</v>
      </c>
      <c r="F88" s="34"/>
    </row>
    <row r="89" spans="1:6">
      <c r="A89" s="35" t="str">
        <f>_xlfn.XLOOKUP(B89,'Index 14-01'!$F$2:$F$1248,'Index 14-01'!$G$2:$G$1248)</f>
        <v>Euronext BeNeLux ESG Leaders 20</v>
      </c>
      <c r="B89" s="35" t="s">
        <v>1058</v>
      </c>
      <c r="C89" s="35" t="s">
        <v>4720</v>
      </c>
      <c r="D89" t="b">
        <f t="shared" si="1"/>
        <v>1</v>
      </c>
      <c r="E89" s="34">
        <v>0</v>
      </c>
      <c r="F89" s="34"/>
    </row>
    <row r="90" spans="1:6">
      <c r="A90" t="str">
        <f>_xlfn.XLOOKUP(B90,'Index 14-01'!$F$2:$F$1248,'Index 14-01'!$G$2:$G$1248)</f>
        <v>Euronext CDP Environment Eurozone EW</v>
      </c>
      <c r="B90" t="s">
        <v>984</v>
      </c>
      <c r="C90" t="s">
        <v>4717</v>
      </c>
      <c r="D90" t="b">
        <f t="shared" si="1"/>
        <v>0</v>
      </c>
      <c r="E90" s="34">
        <v>0</v>
      </c>
      <c r="F90" s="34"/>
    </row>
    <row r="91" spans="1:6">
      <c r="A91" t="str">
        <f>_xlfn.XLOOKUP(B91,'Index 14-01'!$F$2:$F$1248,'Index 14-01'!$G$2:$G$1248)</f>
        <v>Euronext CDP Environment World EW</v>
      </c>
      <c r="B91" t="s">
        <v>979</v>
      </c>
      <c r="C91" t="s">
        <v>4717</v>
      </c>
      <c r="D91" t="b">
        <f t="shared" si="1"/>
        <v>0</v>
      </c>
      <c r="E91" s="34">
        <v>0</v>
      </c>
      <c r="F91" s="34"/>
    </row>
    <row r="92" spans="1:6">
      <c r="A92" t="str">
        <f>_xlfn.XLOOKUP(B92,'Index 14-01'!$F$2:$F$1248,'Index 14-01'!$G$2:$G$1248)</f>
        <v>Euronext CDP Water Eurozone EW</v>
      </c>
      <c r="B92" t="s">
        <v>846</v>
      </c>
      <c r="C92" t="s">
        <v>4717</v>
      </c>
      <c r="D92" t="b">
        <f t="shared" si="1"/>
        <v>1</v>
      </c>
      <c r="E92" s="34">
        <v>0</v>
      </c>
      <c r="F92" s="34"/>
    </row>
    <row r="93" spans="1:6">
      <c r="A93" t="str">
        <f>_xlfn.XLOOKUP(B93,'Index 14-01'!$F$2:$F$1248,'Index 14-01'!$G$2:$G$1248)</f>
        <v>Euronext Climate Objective 50 EW</v>
      </c>
      <c r="B93" t="s">
        <v>1272</v>
      </c>
      <c r="C93" t="s">
        <v>4717</v>
      </c>
      <c r="D93" t="b">
        <f t="shared" si="1"/>
        <v>0</v>
      </c>
      <c r="E93" s="34">
        <v>0</v>
      </c>
      <c r="F93" s="34"/>
    </row>
    <row r="94" spans="1:6">
      <c r="A94" t="str">
        <f>_xlfn.XLOOKUP(B94,'Index 14-01'!$F$2:$F$1248,'Index 14-01'!$G$2:$G$1248)</f>
        <v>Euronext Core Europe 100 ESG EW</v>
      </c>
      <c r="B94" t="s">
        <v>1017</v>
      </c>
      <c r="C94" t="s">
        <v>4717</v>
      </c>
      <c r="D94" t="b">
        <f t="shared" si="1"/>
        <v>1</v>
      </c>
      <c r="E94" s="34">
        <v>0</v>
      </c>
      <c r="F94" s="34"/>
    </row>
    <row r="95" spans="1:6">
      <c r="A95" t="str">
        <f>_xlfn.XLOOKUP(B95,'Index 14-01'!$F$2:$F$1248,'Index 14-01'!$G$2:$G$1248)</f>
        <v>Euronext Core Europe 100 EW</v>
      </c>
      <c r="B95" t="s">
        <v>1292</v>
      </c>
      <c r="C95" t="s">
        <v>4717</v>
      </c>
      <c r="D95" t="b">
        <f t="shared" si="1"/>
        <v>0</v>
      </c>
      <c r="E95" s="34">
        <v>0</v>
      </c>
      <c r="F95" s="34"/>
    </row>
    <row r="96" spans="1:6">
      <c r="A96" t="str">
        <f>_xlfn.XLOOKUP(B96,'Index 14-01'!$F$2:$F$1248,'Index 14-01'!$G$2:$G$1248)</f>
        <v>Euronext Core Europe 30 EW</v>
      </c>
      <c r="B96" t="s">
        <v>1238</v>
      </c>
      <c r="C96" t="s">
        <v>4717</v>
      </c>
      <c r="D96" t="b">
        <f t="shared" si="1"/>
        <v>0</v>
      </c>
      <c r="E96" s="34">
        <v>0</v>
      </c>
      <c r="F96" s="34"/>
    </row>
    <row r="97" spans="1:6">
      <c r="A97" s="35" t="str">
        <f>_xlfn.XLOOKUP(B97,'Index 14-01'!$F$2:$F$1248,'Index 14-01'!$G$2:$G$1248)</f>
        <v>Euronext Core Europe PAB 50</v>
      </c>
      <c r="B97" s="35" t="s">
        <v>2432</v>
      </c>
      <c r="C97" s="35" t="s">
        <v>4720</v>
      </c>
      <c r="D97" t="b">
        <f t="shared" si="1"/>
        <v>1</v>
      </c>
      <c r="E97" s="34">
        <v>0</v>
      </c>
      <c r="F97" s="34"/>
    </row>
    <row r="98" spans="1:6">
      <c r="A98" s="35" t="str">
        <f>_xlfn.XLOOKUP(B98,'Index 14-01'!$F$2:$F$1248,'Index 14-01'!$G$2:$G$1248)</f>
        <v>Euronext ESG Eurozone Biodiversity Leaders PAB</v>
      </c>
      <c r="B98" s="35" t="s">
        <v>3626</v>
      </c>
      <c r="C98" s="35" t="s">
        <v>4720</v>
      </c>
      <c r="D98" t="b">
        <f t="shared" si="1"/>
        <v>1</v>
      </c>
      <c r="E98" s="34">
        <v>0</v>
      </c>
      <c r="F98" s="34"/>
    </row>
    <row r="99" spans="1:6">
      <c r="A99" t="str">
        <f>_xlfn.XLOOKUP(B99,'Index 14-01'!$F$2:$F$1248,'Index 14-01'!$G$2:$G$1248)</f>
        <v>Euronext Euro 50 ESG EW</v>
      </c>
      <c r="B99" t="s">
        <v>1250</v>
      </c>
      <c r="C99" t="s">
        <v>4717</v>
      </c>
      <c r="D99" t="b">
        <f t="shared" si="1"/>
        <v>1</v>
      </c>
      <c r="E99" s="34">
        <v>0</v>
      </c>
      <c r="F99" s="34"/>
    </row>
    <row r="100" spans="1:6">
      <c r="A100" s="35" t="str">
        <f>_xlfn.XLOOKUP(B100,'Index 14-01'!$F$2:$F$1248,'Index 14-01'!$G$2:$G$1248)</f>
        <v>Euronext Eurozone 100 ESG</v>
      </c>
      <c r="B100" s="35" t="s">
        <v>1067</v>
      </c>
      <c r="C100" s="35" t="s">
        <v>4720</v>
      </c>
      <c r="D100" t="b">
        <f t="shared" si="1"/>
        <v>1</v>
      </c>
      <c r="E100" s="34">
        <v>0</v>
      </c>
      <c r="F100" s="34"/>
    </row>
    <row r="101" spans="1:6">
      <c r="A101" t="str">
        <f>_xlfn.XLOOKUP(B101,'Index 14-01'!$F$2:$F$1248,'Index 14-01'!$G$2:$G$1248)</f>
        <v>Euronext Eurozone 150 EW</v>
      </c>
      <c r="B101" t="s">
        <v>1103</v>
      </c>
      <c r="C101" t="s">
        <v>4717</v>
      </c>
      <c r="D101" t="b">
        <f t="shared" si="1"/>
        <v>0</v>
      </c>
      <c r="E101" s="34">
        <v>0</v>
      </c>
      <c r="F101" s="34"/>
    </row>
    <row r="102" spans="1:6">
      <c r="A102" t="str">
        <f>_xlfn.XLOOKUP(B102,'Index 14-01'!$F$2:$F$1248,'Index 14-01'!$G$2:$G$1248)</f>
        <v>Euronext Eurozone 40 EW</v>
      </c>
      <c r="B102" t="s">
        <v>1178</v>
      </c>
      <c r="C102" t="s">
        <v>4717</v>
      </c>
      <c r="D102" t="b">
        <f t="shared" si="1"/>
        <v>0</v>
      </c>
      <c r="E102" s="34">
        <v>0</v>
      </c>
      <c r="F102" s="34"/>
    </row>
    <row r="103" spans="1:6">
      <c r="A103" t="str">
        <f>_xlfn.XLOOKUP(B103,'Index 14-01'!$F$2:$F$1248,'Index 14-01'!$G$2:$G$1248)</f>
        <v>Euronext Eurozone 60 EW</v>
      </c>
      <c r="B103" t="s">
        <v>1128</v>
      </c>
      <c r="C103" t="s">
        <v>4717</v>
      </c>
      <c r="D103" t="b">
        <f t="shared" si="1"/>
        <v>0</v>
      </c>
      <c r="E103" s="34">
        <v>0</v>
      </c>
      <c r="F103" s="34"/>
    </row>
    <row r="104" spans="1:6">
      <c r="A104" t="str">
        <f>_xlfn.XLOOKUP(B104,'Index 14-01'!$F$2:$F$1248,'Index 14-01'!$G$2:$G$1248)</f>
        <v>Euronext Eurozone Banks Dividend</v>
      </c>
      <c r="B104" t="s">
        <v>3263</v>
      </c>
      <c r="C104" t="s">
        <v>4722</v>
      </c>
      <c r="D104" t="b">
        <f t="shared" si="1"/>
        <v>0</v>
      </c>
      <c r="E104" s="34">
        <v>0</v>
      </c>
      <c r="F104" s="34"/>
    </row>
    <row r="105" spans="1:6">
      <c r="A105" s="35" t="str">
        <f>_xlfn.XLOOKUP(B105,'Index 14-01'!$F$2:$F$1248,'Index 14-01'!$G$2:$G$1248)</f>
        <v>Euronext Eurozone ESG Large 80</v>
      </c>
      <c r="B105" s="35" t="s">
        <v>2571</v>
      </c>
      <c r="C105" s="35" t="s">
        <v>4720</v>
      </c>
      <c r="D105" t="b">
        <f t="shared" si="1"/>
        <v>1</v>
      </c>
      <c r="E105" s="34">
        <v>0</v>
      </c>
      <c r="F105" s="34"/>
    </row>
    <row r="106" spans="1:6">
      <c r="A106" t="str">
        <f>_xlfn.XLOOKUP(B106,'Index 14-01'!$F$2:$F$1248,'Index 14-01'!$G$2:$G$1248)</f>
        <v>Euronext Eurozone ESG Leaders 40 EW</v>
      </c>
      <c r="B106" t="s">
        <v>1166</v>
      </c>
      <c r="C106" t="s">
        <v>4717</v>
      </c>
      <c r="D106" t="b">
        <f t="shared" si="1"/>
        <v>1</v>
      </c>
      <c r="E106" s="34">
        <v>0</v>
      </c>
      <c r="F106" s="34"/>
    </row>
    <row r="107" spans="1:6">
      <c r="A107" s="35" t="str">
        <f>_xlfn.XLOOKUP(B107,'Index 14-01'!$F$2:$F$1248,'Index 14-01'!$G$2:$G$1248)</f>
        <v>Euronext Eurozone PAB 50</v>
      </c>
      <c r="B107" s="35" t="s">
        <v>2442</v>
      </c>
      <c r="C107" s="35" t="s">
        <v>4720</v>
      </c>
      <c r="D107" t="b">
        <f t="shared" si="1"/>
        <v>1</v>
      </c>
      <c r="E107" s="34">
        <v>0</v>
      </c>
      <c r="F107" s="34"/>
    </row>
    <row r="108" spans="1:6">
      <c r="A108" t="str">
        <f>_xlfn.XLOOKUP(B108,'Index 14-01'!$F$2:$F$1248,'Index 14-01'!$G$2:$G$1248)</f>
        <v>Euronext EZ ESGL 40 EW</v>
      </c>
      <c r="B108" t="s">
        <v>941</v>
      </c>
      <c r="C108" t="s">
        <v>4717</v>
      </c>
      <c r="D108" t="b">
        <f t="shared" si="1"/>
        <v>1</v>
      </c>
      <c r="E108" s="34">
        <v>0</v>
      </c>
      <c r="F108" s="34"/>
    </row>
    <row r="109" spans="1:6">
      <c r="A109" t="str">
        <f>_xlfn.XLOOKUP(B109,'Index 14-01'!$F$2:$F$1248,'Index 14-01'!$G$2:$G$1248)</f>
        <v>Euronext France 20 EW</v>
      </c>
      <c r="B109" t="s">
        <v>2634</v>
      </c>
      <c r="C109" t="s">
        <v>4717</v>
      </c>
      <c r="D109" t="b">
        <f t="shared" si="1"/>
        <v>0</v>
      </c>
      <c r="E109" s="34">
        <v>0</v>
      </c>
      <c r="F109" s="34"/>
    </row>
    <row r="110" spans="1:6">
      <c r="A110" t="str">
        <f>_xlfn.XLOOKUP(B110,'Index 14-01'!$F$2:$F$1248,'Index 14-01'!$G$2:$G$1248)</f>
        <v>Euronext France ESG Leaders 40 EW</v>
      </c>
      <c r="B110" t="s">
        <v>2679</v>
      </c>
      <c r="C110" t="s">
        <v>4717</v>
      </c>
      <c r="D110" t="b">
        <f t="shared" si="1"/>
        <v>1</v>
      </c>
      <c r="E110" s="34">
        <v>0</v>
      </c>
      <c r="F110" s="34"/>
    </row>
    <row r="111" spans="1:6">
      <c r="A111" t="str">
        <f>_xlfn.XLOOKUP(B111,'Index 14-01'!$F$2:$F$1248,'Index 14-01'!$G$2:$G$1248)</f>
        <v>Euronext France Eurozone 60 EW</v>
      </c>
      <c r="B111" t="s">
        <v>1119</v>
      </c>
      <c r="C111" t="s">
        <v>4717</v>
      </c>
      <c r="D111" t="b">
        <f t="shared" si="1"/>
        <v>0</v>
      </c>
      <c r="E111" s="34">
        <v>0</v>
      </c>
      <c r="F111" s="34"/>
    </row>
    <row r="112" spans="1:6">
      <c r="A112" s="35" t="str">
        <f>_xlfn.XLOOKUP(B112,'Index 14-01'!$F$2:$F$1248,'Index 14-01'!$G$2:$G$1248)</f>
        <v>Euronext France PAB 50</v>
      </c>
      <c r="B112" s="35" t="s">
        <v>2421</v>
      </c>
      <c r="C112" s="35" t="s">
        <v>4720</v>
      </c>
      <c r="D112" s="37" t="b">
        <f t="shared" si="1"/>
        <v>1</v>
      </c>
      <c r="E112" s="34">
        <v>0</v>
      </c>
      <c r="F112" s="34"/>
    </row>
    <row r="113" spans="1:6">
      <c r="A113" s="35" t="str">
        <f>_xlfn.XLOOKUP(B113,'Index 14-01'!$F$2:$F$1248,'Index 14-01'!$G$2:$G$1248)</f>
        <v>Euronext France Social</v>
      </c>
      <c r="B113" s="35" t="s">
        <v>2361</v>
      </c>
      <c r="C113" s="35" t="s">
        <v>4720</v>
      </c>
      <c r="D113" s="37" t="b">
        <f t="shared" si="1"/>
        <v>1</v>
      </c>
      <c r="E113" s="34">
        <v>0</v>
      </c>
      <c r="F113" s="34"/>
    </row>
    <row r="114" spans="1:6">
      <c r="A114" t="str">
        <f>_xlfn.XLOOKUP(B114,'Index 14-01'!$F$2:$F$1248,'Index 14-01'!$G$2:$G$1248)</f>
        <v>Euronext French Employment 40 EW</v>
      </c>
      <c r="B114" t="s">
        <v>3603</v>
      </c>
      <c r="C114" t="s">
        <v>4717</v>
      </c>
      <c r="D114" s="37" t="b">
        <f t="shared" si="1"/>
        <v>0</v>
      </c>
      <c r="E114" s="34">
        <v>0</v>
      </c>
      <c r="F114" s="34"/>
    </row>
    <row r="115" spans="1:6">
      <c r="A115" t="str">
        <f>_xlfn.XLOOKUP(B115,'Index 14-01'!$F$2:$F$1248,'Index 14-01'!$G$2:$G$1248)</f>
        <v>Euronext Global Health Care 50 EW ESG</v>
      </c>
      <c r="B115" t="s">
        <v>3728</v>
      </c>
      <c r="C115" t="s">
        <v>4717</v>
      </c>
      <c r="D115" s="37" t="b">
        <f t="shared" si="1"/>
        <v>1</v>
      </c>
      <c r="E115" s="34">
        <v>0</v>
      </c>
      <c r="F115" s="34"/>
    </row>
    <row r="116" spans="1:6">
      <c r="A116" s="35" t="str">
        <f>_xlfn.XLOOKUP(B116,'Index 14-01'!$F$2:$F$1248,'Index 14-01'!$G$2:$G$1248)</f>
        <v>Euronext Green Planet E</v>
      </c>
      <c r="B116" s="35" t="s">
        <v>2580</v>
      </c>
      <c r="C116" s="35" t="s">
        <v>4720</v>
      </c>
      <c r="D116" s="37" t="b">
        <f t="shared" si="1"/>
        <v>1</v>
      </c>
      <c r="E116" s="34">
        <v>0</v>
      </c>
      <c r="F116" s="34"/>
    </row>
    <row r="117" spans="1:6">
      <c r="A117" s="35" t="str">
        <f>_xlfn.XLOOKUP(B117,'Index 14-01'!$F$2:$F$1248,'Index 14-01'!$G$2:$G$1248)</f>
        <v>Euronext Green Planet France</v>
      </c>
      <c r="B117" s="35" t="s">
        <v>2544</v>
      </c>
      <c r="C117" s="35" t="s">
        <v>4720</v>
      </c>
      <c r="D117" s="37" t="b">
        <f t="shared" si="1"/>
        <v>1</v>
      </c>
      <c r="E117" s="34">
        <v>0</v>
      </c>
      <c r="F117" s="34"/>
    </row>
    <row r="118" spans="1:6">
      <c r="A118" t="str">
        <f>_xlfn.XLOOKUP(B118,'Index 14-01'!$F$2:$F$1248,'Index 14-01'!$G$2:$G$1248)</f>
        <v>Euronext Growth All-Share Index</v>
      </c>
      <c r="B118" t="s">
        <v>454</v>
      </c>
      <c r="C118" t="s">
        <v>4723</v>
      </c>
      <c r="D118" s="37" t="b">
        <f t="shared" si="1"/>
        <v>0</v>
      </c>
      <c r="E118" s="34">
        <v>0</v>
      </c>
      <c r="F118" s="34"/>
    </row>
    <row r="119" spans="1:6">
      <c r="A119" t="str">
        <f>_xlfn.XLOOKUP(B119,'Index 14-01'!$F$2:$F$1248,'Index 14-01'!$G$2:$G$1248)</f>
        <v>Euronext IEIF REIT Europe Index</v>
      </c>
      <c r="B119" t="s">
        <v>452</v>
      </c>
      <c r="C119" t="s">
        <v>4719</v>
      </c>
      <c r="D119" s="37" t="b">
        <f t="shared" si="1"/>
        <v>0</v>
      </c>
      <c r="E119" s="34">
        <v>0</v>
      </c>
      <c r="F119" s="34"/>
    </row>
    <row r="120" spans="1:6">
      <c r="A120" s="35" t="str">
        <f>_xlfn.XLOOKUP(B120,'Index 14-01'!$F$2:$F$1248,'Index 14-01'!$G$2:$G$1248)</f>
        <v>Euronext Low Carbon 100 Eurozone PAB</v>
      </c>
      <c r="B120" s="35" t="s">
        <v>2529</v>
      </c>
      <c r="C120" s="35" t="s">
        <v>4720</v>
      </c>
      <c r="D120" s="37" t="b">
        <f t="shared" si="1"/>
        <v>1</v>
      </c>
      <c r="E120" s="34">
        <v>0</v>
      </c>
      <c r="F120" s="34"/>
    </row>
    <row r="121" spans="1:6">
      <c r="A121" s="35" t="str">
        <f>_xlfn.XLOOKUP(B121,'Index 14-01'!$F$2:$F$1248,'Index 14-01'!$G$2:$G$1248)</f>
        <v>Euronext Low Carbon 300 World PAB</v>
      </c>
      <c r="B121" s="35" t="s">
        <v>2520</v>
      </c>
      <c r="C121" s="35" t="s">
        <v>4720</v>
      </c>
      <c r="D121" s="37" t="b">
        <f t="shared" si="1"/>
        <v>1</v>
      </c>
      <c r="E121" s="34">
        <v>0</v>
      </c>
      <c r="F121" s="34"/>
    </row>
    <row r="122" spans="1:6">
      <c r="A122" t="str">
        <f>_xlfn.XLOOKUP(B122,'Index 14-01'!$F$2:$F$1248,'Index 14-01'!$G$2:$G$1248)</f>
        <v>Euronext US ESGL 20 EW</v>
      </c>
      <c r="B122" t="s">
        <v>917</v>
      </c>
      <c r="C122" t="s">
        <v>4717</v>
      </c>
      <c r="D122" s="37" t="b">
        <f t="shared" si="1"/>
        <v>1</v>
      </c>
      <c r="E122" s="34">
        <v>0</v>
      </c>
      <c r="F122" s="34"/>
    </row>
    <row r="123" spans="1:6">
      <c r="A123" t="str">
        <f>_xlfn.XLOOKUP(B123,'Index 14-01'!$F$2:$F$1248,'Index 14-01'!$G$2:$G$1248)</f>
        <v>ISEQ 20</v>
      </c>
      <c r="B123" t="s">
        <v>2239</v>
      </c>
      <c r="C123" t="s">
        <v>2211</v>
      </c>
      <c r="D123" s="37" t="b">
        <f t="shared" si="1"/>
        <v>0</v>
      </c>
      <c r="E123" s="34">
        <v>0</v>
      </c>
      <c r="F123" s="34"/>
    </row>
    <row r="124" spans="1:6">
      <c r="A124" t="str">
        <f>_xlfn.XLOOKUP(B124,'Index 14-01'!$F$2:$F$1248,'Index 14-01'!$G$2:$G$1248)</f>
        <v>ISEQ 20 Capped</v>
      </c>
      <c r="B124" t="s">
        <v>2233</v>
      </c>
      <c r="C124" t="s">
        <v>2211</v>
      </c>
      <c r="D124" s="37" t="b">
        <f t="shared" si="1"/>
        <v>0</v>
      </c>
      <c r="E124" s="34">
        <v>0</v>
      </c>
      <c r="F124" s="34"/>
    </row>
    <row r="125" spans="1:6">
      <c r="A125" t="str">
        <f>_xlfn.XLOOKUP(B125,'Index 14-01'!$F$2:$F$1248,'Index 14-01'!$G$2:$G$1248)</f>
        <v>ISEQ All Share</v>
      </c>
      <c r="B125" t="s">
        <v>2211</v>
      </c>
      <c r="C125" t="s">
        <v>2211</v>
      </c>
      <c r="D125" s="37" t="b">
        <f t="shared" si="1"/>
        <v>0</v>
      </c>
      <c r="E125" s="34">
        <v>0</v>
      </c>
      <c r="F125" s="34"/>
    </row>
    <row r="126" spans="1:6">
      <c r="A126" t="str">
        <f>_xlfn.XLOOKUP(B126,'Index 14-01'!$F$2:$F$1248,'Index 14-01'!$G$2:$G$1248)</f>
        <v>ISEQ Basic Materials</v>
      </c>
      <c r="B126" t="s">
        <v>2284</v>
      </c>
      <c r="C126" t="s">
        <v>2211</v>
      </c>
      <c r="D126" s="37" t="b">
        <f t="shared" si="1"/>
        <v>0</v>
      </c>
      <c r="E126" s="34">
        <v>0</v>
      </c>
      <c r="F126" s="34"/>
    </row>
    <row r="127" spans="1:6">
      <c r="A127" t="str">
        <f>_xlfn.XLOOKUP(B127,'Index 14-01'!$F$2:$F$1248,'Index 14-01'!$G$2:$G$1248)</f>
        <v>ISEQ Consumer Discretionary</v>
      </c>
      <c r="B127" t="s">
        <v>2278</v>
      </c>
      <c r="C127" t="s">
        <v>2211</v>
      </c>
      <c r="D127" s="37" t="b">
        <f t="shared" si="1"/>
        <v>0</v>
      </c>
      <c r="E127" s="34">
        <v>0</v>
      </c>
      <c r="F127" s="34"/>
    </row>
    <row r="128" spans="1:6">
      <c r="A128" t="str">
        <f>_xlfn.XLOOKUP(B128,'Index 14-01'!$F$2:$F$1248,'Index 14-01'!$G$2:$G$1248)</f>
        <v>ISEQ Consumer Staples</v>
      </c>
      <c r="B128" t="s">
        <v>2272</v>
      </c>
      <c r="C128" t="s">
        <v>2211</v>
      </c>
      <c r="D128" s="37" t="b">
        <f t="shared" si="1"/>
        <v>0</v>
      </c>
      <c r="E128" s="34">
        <v>0</v>
      </c>
      <c r="F128" s="34"/>
    </row>
    <row r="129" spans="1:6">
      <c r="A129" t="str">
        <f>_xlfn.XLOOKUP(B129,'Index 14-01'!$F$2:$F$1248,'Index 14-01'!$G$2:$G$1248)</f>
        <v>ISEQ Energy</v>
      </c>
      <c r="B129" t="s">
        <v>2296</v>
      </c>
      <c r="C129" t="s">
        <v>2211</v>
      </c>
      <c r="D129" s="37" t="b">
        <f t="shared" si="1"/>
        <v>0</v>
      </c>
      <c r="E129" s="34">
        <v>0</v>
      </c>
      <c r="F129" s="34"/>
    </row>
    <row r="130" spans="1:6">
      <c r="A130" t="str">
        <f>_xlfn.XLOOKUP(B130,'Index 14-01'!$F$2:$F$1248,'Index 14-01'!$G$2:$G$1248)</f>
        <v>ISEQ Financial</v>
      </c>
      <c r="B130" t="s">
        <v>2216</v>
      </c>
      <c r="C130" t="s">
        <v>2211</v>
      </c>
      <c r="D130" s="37" t="b">
        <f t="shared" ref="D130:D193" si="2">ISNUMBER(MATCH(B130,$J$1:$J$52,0))</f>
        <v>0</v>
      </c>
      <c r="E130" s="34">
        <v>0</v>
      </c>
      <c r="F130" s="34"/>
    </row>
    <row r="131" spans="1:6">
      <c r="A131" t="str">
        <f>_xlfn.XLOOKUP(B131,'Index 14-01'!$F$2:$F$1248,'Index 14-01'!$G$2:$G$1248)</f>
        <v>ISEQ Health Care</v>
      </c>
      <c r="B131" t="s">
        <v>2265</v>
      </c>
      <c r="C131" t="s">
        <v>2211</v>
      </c>
      <c r="D131" s="37" t="b">
        <f t="shared" si="2"/>
        <v>0</v>
      </c>
      <c r="E131" s="34">
        <v>0</v>
      </c>
      <c r="F131" s="34"/>
    </row>
    <row r="132" spans="1:6">
      <c r="A132" t="str">
        <f>_xlfn.XLOOKUP(B132,'Index 14-01'!$F$2:$F$1248,'Index 14-01'!$G$2:$G$1248)</f>
        <v>ISEQ Industrials</v>
      </c>
      <c r="B132" t="s">
        <v>2302</v>
      </c>
      <c r="C132" t="s">
        <v>2211</v>
      </c>
      <c r="D132" s="37" t="b">
        <f t="shared" si="2"/>
        <v>0</v>
      </c>
      <c r="E132" s="34">
        <v>0</v>
      </c>
      <c r="F132" s="34"/>
    </row>
    <row r="133" spans="1:6">
      <c r="A133" t="str">
        <f>_xlfn.XLOOKUP(B133,'Index 14-01'!$F$2:$F$1248,'Index 14-01'!$G$2:$G$1248)</f>
        <v>ISEQ Real Estate</v>
      </c>
      <c r="B133" t="s">
        <v>2256</v>
      </c>
      <c r="C133" t="s">
        <v>2211</v>
      </c>
      <c r="D133" s="37" t="b">
        <f t="shared" si="2"/>
        <v>0</v>
      </c>
      <c r="E133" s="34">
        <v>0</v>
      </c>
      <c r="F133" s="34"/>
    </row>
    <row r="134" spans="1:6">
      <c r="A134" t="str">
        <f>_xlfn.XLOOKUP(B134,'Index 14-01'!$F$2:$F$1248,'Index 14-01'!$G$2:$G$1248)</f>
        <v>ISEQ Small</v>
      </c>
      <c r="B134" t="s">
        <v>2227</v>
      </c>
      <c r="C134" t="s">
        <v>2211</v>
      </c>
      <c r="D134" s="37" t="b">
        <f t="shared" si="2"/>
        <v>0</v>
      </c>
      <c r="E134" s="34">
        <v>0</v>
      </c>
      <c r="F134" s="34"/>
    </row>
    <row r="135" spans="1:6">
      <c r="A135" t="str">
        <f>_xlfn.XLOOKUP(B135,'Index 14-01'!$F$2:$F$1248,'Index 14-01'!$G$2:$G$1248)</f>
        <v>ISEQ Technology</v>
      </c>
      <c r="B135" t="s">
        <v>2290</v>
      </c>
      <c r="C135" t="s">
        <v>2211</v>
      </c>
      <c r="D135" s="37" t="b">
        <f t="shared" si="2"/>
        <v>0</v>
      </c>
      <c r="E135" s="34">
        <v>0</v>
      </c>
      <c r="F135" s="34"/>
    </row>
    <row r="136" spans="1:6">
      <c r="A136" t="str">
        <f>_xlfn.XLOOKUP(B136,'Index 14-01'!$F$2:$F$1248,'Index 14-01'!$G$2:$G$1248)</f>
        <v>ISEQ Utilities</v>
      </c>
      <c r="B136" t="s">
        <v>2262</v>
      </c>
      <c r="C136" t="s">
        <v>2211</v>
      </c>
      <c r="D136" s="37" t="b">
        <f t="shared" si="2"/>
        <v>0</v>
      </c>
      <c r="E136" s="34">
        <v>0</v>
      </c>
      <c r="F136" s="34"/>
    </row>
    <row r="137" spans="1:6">
      <c r="A137" s="35" t="str">
        <f>_xlfn.XLOOKUP(B137,'Index 14-01'!$F$2:$F$1248,'Index 14-01'!$G$2:$G$1248)</f>
        <v>Low Carbon 100 Europe PAB Index</v>
      </c>
      <c r="B137" s="35" t="s">
        <v>439</v>
      </c>
      <c r="C137" s="35" t="s">
        <v>4720</v>
      </c>
      <c r="D137" s="37" t="b">
        <f t="shared" si="2"/>
        <v>1</v>
      </c>
      <c r="E137" s="34">
        <v>0</v>
      </c>
      <c r="F137" s="34"/>
    </row>
    <row r="138" spans="1:6">
      <c r="A138" s="35" t="str">
        <f>_xlfn.XLOOKUP(B138,'Index 14-01'!$F$2:$F$1248,'Index 14-01'!$G$2:$G$1248)</f>
        <v>MIB ESG</v>
      </c>
      <c r="B138" s="35" t="s">
        <v>2310</v>
      </c>
      <c r="C138" s="35" t="s">
        <v>4720</v>
      </c>
      <c r="D138" s="37" t="b">
        <f t="shared" si="2"/>
        <v>1</v>
      </c>
      <c r="E138" s="34">
        <v>0</v>
      </c>
      <c r="F138" s="34"/>
    </row>
    <row r="139" spans="1:6">
      <c r="A139" t="str">
        <f>_xlfn.XLOOKUP(B139,'Index 14-01'!$F$2:$F$1248,'Index 14-01'!$G$2:$G$1248)</f>
        <v>OBOSX Oil Service PR</v>
      </c>
      <c r="B139" t="s">
        <v>635</v>
      </c>
      <c r="C139" t="s">
        <v>4718</v>
      </c>
      <c r="D139" s="37" t="b">
        <f t="shared" si="2"/>
        <v>0</v>
      </c>
      <c r="E139" s="34">
        <v>0</v>
      </c>
      <c r="F139" s="34"/>
    </row>
    <row r="140" spans="1:6">
      <c r="A140" t="str">
        <f>_xlfn.XLOOKUP(B140,'Index 14-01'!$F$2:$F$1248,'Index 14-01'!$G$2:$G$1248)</f>
        <v>OBSFX Seafood_PR</v>
      </c>
      <c r="B140" t="s">
        <v>787</v>
      </c>
      <c r="C140" t="s">
        <v>4718</v>
      </c>
      <c r="D140" s="37" t="b">
        <f t="shared" si="2"/>
        <v>0</v>
      </c>
      <c r="E140" s="34">
        <v>0</v>
      </c>
      <c r="F140" s="34"/>
    </row>
    <row r="141" spans="1:6">
      <c r="A141" t="str">
        <f>_xlfn.XLOOKUP(B141,'Index 14-01'!$F$2:$F$1248,'Index 14-01'!$G$2:$G$1248)</f>
        <v>OBSHX Shipping_PR</v>
      </c>
      <c r="B141" t="s">
        <v>782</v>
      </c>
      <c r="C141" t="s">
        <v>4718</v>
      </c>
      <c r="D141" s="37" t="b">
        <f t="shared" si="2"/>
        <v>0</v>
      </c>
      <c r="E141" s="34">
        <v>0</v>
      </c>
      <c r="F141" s="34"/>
    </row>
    <row r="142" spans="1:6">
      <c r="A142" t="str">
        <f>_xlfn.XLOOKUP(B142,'Index 14-01'!$F$2:$F$1248,'Index 14-01'!$G$2:$G$1248)</f>
        <v>OBX Basic Materials PR</v>
      </c>
      <c r="B142" t="s">
        <v>657</v>
      </c>
      <c r="C142" t="s">
        <v>4718</v>
      </c>
      <c r="D142" s="37" t="b">
        <f t="shared" si="2"/>
        <v>0</v>
      </c>
      <c r="E142" s="34">
        <v>0</v>
      </c>
      <c r="F142" s="34"/>
    </row>
    <row r="143" spans="1:6">
      <c r="A143" t="str">
        <f>_xlfn.XLOOKUP(B143,'Index 14-01'!$F$2:$F$1248,'Index 14-01'!$G$2:$G$1248)</f>
        <v>OBX Consumer Discretionary PR</v>
      </c>
      <c r="B143" t="s">
        <v>684</v>
      </c>
      <c r="C143" t="s">
        <v>4718</v>
      </c>
      <c r="D143" s="37" t="b">
        <f t="shared" si="2"/>
        <v>0</v>
      </c>
      <c r="E143" s="34">
        <v>0</v>
      </c>
      <c r="F143" s="34"/>
    </row>
    <row r="144" spans="1:6">
      <c r="A144" t="str">
        <f>_xlfn.XLOOKUP(B144,'Index 14-01'!$F$2:$F$1248,'Index 14-01'!$G$2:$G$1248)</f>
        <v>OBX Energy PR</v>
      </c>
      <c r="B144" t="s">
        <v>648</v>
      </c>
      <c r="C144" t="s">
        <v>4718</v>
      </c>
      <c r="D144" s="37" t="b">
        <f t="shared" si="2"/>
        <v>0</v>
      </c>
      <c r="E144" s="34">
        <v>0</v>
      </c>
      <c r="F144" s="34"/>
    </row>
    <row r="145" spans="1:6">
      <c r="A145" t="str">
        <f>_xlfn.XLOOKUP(B145,'Index 14-01'!$F$2:$F$1248,'Index 14-01'!$G$2:$G$1248)</f>
        <v>OBX ESG</v>
      </c>
      <c r="B145" t="s">
        <v>600</v>
      </c>
      <c r="C145" t="s">
        <v>4718</v>
      </c>
      <c r="D145" s="37" t="b">
        <f t="shared" si="2"/>
        <v>0</v>
      </c>
      <c r="E145" s="34">
        <v>0</v>
      </c>
      <c r="F145" s="34"/>
    </row>
    <row r="146" spans="1:6">
      <c r="A146" t="str">
        <f>_xlfn.XLOOKUP(B146,'Index 14-01'!$F$2:$F$1248,'Index 14-01'!$G$2:$G$1248)</f>
        <v>OBX ESG ex Oil and Gas</v>
      </c>
      <c r="B146" t="s">
        <v>591</v>
      </c>
      <c r="C146" t="s">
        <v>4718</v>
      </c>
      <c r="D146" s="37" t="b">
        <f t="shared" si="2"/>
        <v>0</v>
      </c>
      <c r="E146" s="34">
        <v>0</v>
      </c>
      <c r="F146" s="34"/>
    </row>
    <row r="147" spans="1:6">
      <c r="A147" t="str">
        <f>_xlfn.XLOOKUP(B147,'Index 14-01'!$F$2:$F$1248,'Index 14-01'!$G$2:$G$1248)</f>
        <v>OBX ESG ex Oil and Gas PR</v>
      </c>
      <c r="B147" t="s">
        <v>587</v>
      </c>
      <c r="C147" t="s">
        <v>4718</v>
      </c>
      <c r="D147" s="37" t="b">
        <f t="shared" si="2"/>
        <v>0</v>
      </c>
      <c r="E147" s="34">
        <v>0</v>
      </c>
      <c r="F147" s="34"/>
    </row>
    <row r="148" spans="1:6">
      <c r="A148" t="str">
        <f>_xlfn.XLOOKUP(B148,'Index 14-01'!$F$2:$F$1248,'Index 14-01'!$G$2:$G$1248)</f>
        <v>OBX ESG PR</v>
      </c>
      <c r="B148" t="s">
        <v>597</v>
      </c>
      <c r="C148" t="s">
        <v>4718</v>
      </c>
      <c r="D148" s="37" t="b">
        <f t="shared" si="2"/>
        <v>0</v>
      </c>
      <c r="E148" s="34">
        <v>0</v>
      </c>
      <c r="F148" s="34"/>
    </row>
    <row r="149" spans="1:6">
      <c r="A149" t="str">
        <f>_xlfn.XLOOKUP(B149,'Index 14-01'!$F$2:$F$1248,'Index 14-01'!$G$2:$G$1248)</f>
        <v>OBX Financials PR</v>
      </c>
      <c r="B149" t="s">
        <v>702</v>
      </c>
      <c r="C149" t="s">
        <v>4718</v>
      </c>
      <c r="D149" s="37" t="b">
        <f t="shared" si="2"/>
        <v>0</v>
      </c>
      <c r="E149" s="34">
        <v>0</v>
      </c>
      <c r="F149" s="34"/>
    </row>
    <row r="150" spans="1:6">
      <c r="A150" t="str">
        <f>_xlfn.XLOOKUP(B150,'Index 14-01'!$F$2:$F$1248,'Index 14-01'!$G$2:$G$1248)</f>
        <v>OBX Industrials PR</v>
      </c>
      <c r="B150" t="s">
        <v>666</v>
      </c>
      <c r="C150" t="s">
        <v>4718</v>
      </c>
      <c r="D150" s="37" t="b">
        <f t="shared" si="2"/>
        <v>0</v>
      </c>
      <c r="E150" s="34">
        <v>0</v>
      </c>
      <c r="F150" s="34"/>
    </row>
    <row r="151" spans="1:6">
      <c r="A151" t="str">
        <f>_xlfn.XLOOKUP(B151,'Index 14-01'!$F$2:$F$1248,'Index 14-01'!$G$2:$G$1248)</f>
        <v>OBX Price Index</v>
      </c>
      <c r="B151" t="s">
        <v>804</v>
      </c>
      <c r="C151" t="s">
        <v>4718</v>
      </c>
      <c r="D151" s="37" t="b">
        <f t="shared" si="2"/>
        <v>0</v>
      </c>
      <c r="E151" s="34">
        <v>0</v>
      </c>
      <c r="F151" s="34"/>
    </row>
    <row r="152" spans="1:6">
      <c r="A152" t="str">
        <f>_xlfn.XLOOKUP(B152,'Index 14-01'!$F$2:$F$1248,'Index 14-01'!$G$2:$G$1248)</f>
        <v>OBX Real Estate PR</v>
      </c>
      <c r="B152" t="s">
        <v>693</v>
      </c>
      <c r="C152" t="s">
        <v>4718</v>
      </c>
      <c r="D152" s="37" t="b">
        <f t="shared" si="2"/>
        <v>0</v>
      </c>
      <c r="E152" s="34">
        <v>0</v>
      </c>
      <c r="F152" s="34"/>
    </row>
    <row r="153" spans="1:6">
      <c r="A153" t="str">
        <f>_xlfn.XLOOKUP(B153,'Index 14-01'!$F$2:$F$1248,'Index 14-01'!$G$2:$G$1248)</f>
        <v>OBX Technology PR</v>
      </c>
      <c r="B153" t="s">
        <v>729</v>
      </c>
      <c r="C153" t="s">
        <v>4718</v>
      </c>
      <c r="D153" s="37" t="b">
        <f t="shared" si="2"/>
        <v>0</v>
      </c>
      <c r="E153" s="34">
        <v>0</v>
      </c>
      <c r="F153" s="34"/>
    </row>
    <row r="154" spans="1:6">
      <c r="A154" t="str">
        <f>_xlfn.XLOOKUP(B154,'Index 14-01'!$F$2:$F$1248,'Index 14-01'!$G$2:$G$1248)</f>
        <v>OBX Telecommunications PR</v>
      </c>
      <c r="B154" t="s">
        <v>720</v>
      </c>
      <c r="C154" t="s">
        <v>4718</v>
      </c>
      <c r="D154" s="37" t="b">
        <f t="shared" si="2"/>
        <v>0</v>
      </c>
      <c r="E154" s="34">
        <v>0</v>
      </c>
      <c r="F154" s="34"/>
    </row>
    <row r="155" spans="1:6">
      <c r="A155" t="str">
        <f>_xlfn.XLOOKUP(B155,'Index 14-01'!$F$2:$F$1248,'Index 14-01'!$G$2:$G$1248)</f>
        <v>OBX Total Return Index</v>
      </c>
      <c r="B155" t="s">
        <v>821</v>
      </c>
      <c r="C155" t="s">
        <v>4718</v>
      </c>
      <c r="D155" s="37" t="b">
        <f t="shared" si="2"/>
        <v>0</v>
      </c>
      <c r="E155" s="34">
        <v>0</v>
      </c>
      <c r="F155" s="34"/>
    </row>
    <row r="156" spans="1:6">
      <c r="A156" t="str">
        <f>_xlfn.XLOOKUP(B156,'Index 14-01'!$F$2:$F$1248,'Index 14-01'!$G$2:$G$1248)</f>
        <v>OBX Uncapped Price Return Index</v>
      </c>
      <c r="B156" t="s">
        <v>627</v>
      </c>
      <c r="C156" t="s">
        <v>4718</v>
      </c>
      <c r="D156" s="37" t="b">
        <f t="shared" si="2"/>
        <v>0</v>
      </c>
      <c r="E156" s="34">
        <v>0</v>
      </c>
      <c r="F156" s="34"/>
    </row>
    <row r="157" spans="1:6">
      <c r="A157" t="str">
        <f>_xlfn.XLOOKUP(B157,'Index 14-01'!$F$2:$F$1248,'Index 14-01'!$G$2:$G$1248)</f>
        <v>OBX Uncapped Total Return Index</v>
      </c>
      <c r="B157" t="s">
        <v>791</v>
      </c>
      <c r="C157" t="s">
        <v>4718</v>
      </c>
      <c r="D157" s="37" t="b">
        <f t="shared" si="2"/>
        <v>0</v>
      </c>
      <c r="E157" s="34">
        <v>0</v>
      </c>
      <c r="F157" s="34"/>
    </row>
    <row r="158" spans="1:6">
      <c r="A158" t="str">
        <f>_xlfn.XLOOKUP(B158,'Index 14-01'!$F$2:$F$1248,'Index 14-01'!$G$2:$G$1248)</f>
        <v>OBX Utilities PR</v>
      </c>
      <c r="B158" t="s">
        <v>639</v>
      </c>
      <c r="C158" t="s">
        <v>4718</v>
      </c>
      <c r="D158" s="37" t="b">
        <f t="shared" si="2"/>
        <v>0</v>
      </c>
      <c r="E158" s="34">
        <v>0</v>
      </c>
      <c r="F158" s="34"/>
    </row>
    <row r="159" spans="1:6">
      <c r="A159" t="str">
        <f>_xlfn.XLOOKUP(B159,'Index 14-01'!$F$2:$F$1248,'Index 14-01'!$G$2:$G$1248)</f>
        <v>OSE All share_PR</v>
      </c>
      <c r="B159" t="s">
        <v>775</v>
      </c>
      <c r="C159" t="s">
        <v>4718</v>
      </c>
      <c r="D159" s="37" t="b">
        <f t="shared" si="2"/>
        <v>0</v>
      </c>
      <c r="E159" s="34">
        <v>0</v>
      </c>
      <c r="F159" s="34"/>
    </row>
    <row r="160" spans="1:6">
      <c r="A160" t="str">
        <f>_xlfn.XLOOKUP(B160,'Index 14-01'!$F$2:$F$1248,'Index 14-01'!$G$2:$G$1248)</f>
        <v>OSEBX Benchmark_PR</v>
      </c>
      <c r="B160" t="s">
        <v>770</v>
      </c>
      <c r="C160" t="s">
        <v>4718</v>
      </c>
      <c r="D160" s="37" t="b">
        <f t="shared" si="2"/>
        <v>0</v>
      </c>
      <c r="E160" s="34">
        <v>0</v>
      </c>
      <c r="F160" s="34"/>
    </row>
    <row r="161" spans="1:6">
      <c r="A161" t="str">
        <f>_xlfn.XLOOKUP(B161,'Index 14-01'!$F$2:$F$1248,'Index 14-01'!$G$2:$G$1248)</f>
        <v>OSEBX_STB Index</v>
      </c>
      <c r="B161" t="s">
        <v>741</v>
      </c>
      <c r="C161" t="s">
        <v>4718</v>
      </c>
      <c r="D161" s="37" t="b">
        <f t="shared" si="2"/>
        <v>0</v>
      </c>
      <c r="E161" s="34">
        <v>0</v>
      </c>
      <c r="F161" s="34"/>
    </row>
    <row r="162" spans="1:6">
      <c r="A162" t="str">
        <f>_xlfn.XLOOKUP(B162,'Index 14-01'!$F$2:$F$1248,'Index 14-01'!$G$2:$G$1248)</f>
        <v>OSEBX_STB Index PR</v>
      </c>
      <c r="B162" t="s">
        <v>603</v>
      </c>
      <c r="C162" t="s">
        <v>4718</v>
      </c>
      <c r="D162" s="37" t="b">
        <f t="shared" si="2"/>
        <v>0</v>
      </c>
      <c r="E162" s="34">
        <v>0</v>
      </c>
      <c r="F162" s="34"/>
    </row>
    <row r="163" spans="1:6">
      <c r="A163" t="str">
        <f>_xlfn.XLOOKUP(B163,'Index 14-01'!$F$2:$F$1248,'Index 14-01'!$G$2:$G$1248)</f>
        <v>OSEBXG Index</v>
      </c>
      <c r="B163" t="s">
        <v>739</v>
      </c>
      <c r="C163" t="s">
        <v>4718</v>
      </c>
      <c r="D163" s="37" t="b">
        <f t="shared" si="2"/>
        <v>0</v>
      </c>
      <c r="E163" s="34">
        <v>0</v>
      </c>
      <c r="F163" s="34"/>
    </row>
    <row r="164" spans="1:6">
      <c r="A164" t="str">
        <f>_xlfn.XLOOKUP(B164,'Index 14-01'!$F$2:$F$1248,'Index 14-01'!$G$2:$G$1248)</f>
        <v>OSEBXG Index PR</v>
      </c>
      <c r="B164" t="s">
        <v>611</v>
      </c>
      <c r="C164" t="s">
        <v>4718</v>
      </c>
      <c r="D164" s="37" t="b">
        <f t="shared" si="2"/>
        <v>0</v>
      </c>
      <c r="E164" s="34">
        <v>0</v>
      </c>
      <c r="F164" s="34"/>
    </row>
    <row r="165" spans="1:6">
      <c r="A165" t="str">
        <f>_xlfn.XLOOKUP(B165,'Index 14-01'!$F$2:$F$1248,'Index 14-01'!$G$2:$G$1248)</f>
        <v>OSEEXR Index</v>
      </c>
      <c r="B165" t="s">
        <v>737</v>
      </c>
      <c r="C165" t="s">
        <v>4718</v>
      </c>
      <c r="D165" s="37" t="b">
        <f t="shared" si="2"/>
        <v>0</v>
      </c>
      <c r="E165" s="34">
        <v>0</v>
      </c>
      <c r="F165" s="34"/>
    </row>
    <row r="166" spans="1:6">
      <c r="A166" t="str">
        <f>_xlfn.XLOOKUP(B166,'Index 14-01'!$F$2:$F$1248,'Index 14-01'!$G$2:$G$1248)</f>
        <v>OSEEXR Index PR</v>
      </c>
      <c r="B166" t="s">
        <v>607</v>
      </c>
      <c r="C166" t="s">
        <v>4718</v>
      </c>
      <c r="D166" s="37" t="b">
        <f t="shared" si="2"/>
        <v>0</v>
      </c>
      <c r="E166" s="34">
        <v>0</v>
      </c>
      <c r="F166" s="34"/>
    </row>
    <row r="167" spans="1:6">
      <c r="A167" t="str">
        <f>_xlfn.XLOOKUP(B167,'Index 14-01'!$F$2:$F$1248,'Index 14-01'!$G$2:$G$1248)</f>
        <v>OSEFX Mutual Fund_PR</v>
      </c>
      <c r="B167" t="s">
        <v>765</v>
      </c>
      <c r="C167" t="s">
        <v>4718</v>
      </c>
      <c r="D167" s="37" t="b">
        <f t="shared" si="2"/>
        <v>0</v>
      </c>
      <c r="E167" s="34">
        <v>0</v>
      </c>
      <c r="F167" s="34"/>
    </row>
    <row r="168" spans="1:6">
      <c r="A168" t="str">
        <f>_xlfn.XLOOKUP(B168,'Index 14-01'!$F$2:$F$1248,'Index 14-01'!$G$2:$G$1248)</f>
        <v>OSEMX Mid Cap_PR</v>
      </c>
      <c r="B168" t="s">
        <v>758</v>
      </c>
      <c r="C168" t="s">
        <v>4718</v>
      </c>
      <c r="D168" s="37" t="b">
        <f t="shared" si="2"/>
        <v>0</v>
      </c>
      <c r="E168" s="34">
        <v>0</v>
      </c>
      <c r="F168" s="34"/>
    </row>
    <row r="169" spans="1:6">
      <c r="A169" t="str">
        <f>_xlfn.XLOOKUP(B169,'Index 14-01'!$F$2:$F$1248,'Index 14-01'!$G$2:$G$1248)</f>
        <v>OSESX Small Cap_PR</v>
      </c>
      <c r="B169" t="s">
        <v>751</v>
      </c>
      <c r="C169" t="s">
        <v>4718</v>
      </c>
      <c r="D169" s="37" t="b">
        <f t="shared" si="2"/>
        <v>0</v>
      </c>
      <c r="E169" s="34">
        <v>0</v>
      </c>
      <c r="F169" s="34"/>
    </row>
    <row r="170" spans="1:6">
      <c r="A170" t="str">
        <f>_xlfn.XLOOKUP(B170,'Index 14-01'!$F$2:$F$1248,'Index 14-01'!$G$2:$G$1248)</f>
        <v>Oslo Børs All-share Index_GI</v>
      </c>
      <c r="B170" t="s">
        <v>809</v>
      </c>
      <c r="C170" t="s">
        <v>4718</v>
      </c>
      <c r="D170" s="37" t="b">
        <f t="shared" si="2"/>
        <v>0</v>
      </c>
      <c r="E170" s="34">
        <v>0</v>
      </c>
      <c r="F170" s="34"/>
    </row>
    <row r="171" spans="1:6">
      <c r="A171" t="str">
        <f>_xlfn.XLOOKUP(B171,'Index 14-01'!$F$2:$F$1248,'Index 14-01'!$G$2:$G$1248)</f>
        <v>Oslo Børs Equity Certificate Index</v>
      </c>
      <c r="B171" t="s">
        <v>819</v>
      </c>
      <c r="C171" t="s">
        <v>4718</v>
      </c>
      <c r="D171" s="37" t="b">
        <f t="shared" si="2"/>
        <v>0</v>
      </c>
      <c r="E171" s="34">
        <v>0</v>
      </c>
      <c r="F171" s="34"/>
    </row>
    <row r="172" spans="1:6">
      <c r="A172" t="str">
        <f>_xlfn.XLOOKUP(B172,'Index 14-01'!$F$2:$F$1248,'Index 14-01'!$G$2:$G$1248)</f>
        <v>Oslo Børs Equity Certificate Index  PR</v>
      </c>
      <c r="B172" t="s">
        <v>631</v>
      </c>
      <c r="C172" t="s">
        <v>4718</v>
      </c>
      <c r="D172" s="37" t="b">
        <f t="shared" si="2"/>
        <v>0</v>
      </c>
      <c r="E172" s="34">
        <v>0</v>
      </c>
      <c r="F172" s="34"/>
    </row>
    <row r="173" spans="1:6">
      <c r="A173" t="str">
        <f>_xlfn.XLOOKUP(B173,'Index 14-01'!$F$2:$F$1248,'Index 14-01'!$G$2:$G$1248)</f>
        <v>Oslo Børs Mid Cap Index</v>
      </c>
      <c r="B173" t="s">
        <v>793</v>
      </c>
      <c r="C173" t="s">
        <v>4718</v>
      </c>
      <c r="D173" s="37" t="b">
        <f t="shared" si="2"/>
        <v>0</v>
      </c>
      <c r="E173" s="34">
        <v>0</v>
      </c>
      <c r="F173" s="34"/>
    </row>
    <row r="174" spans="1:6">
      <c r="A174" t="str">
        <f>_xlfn.XLOOKUP(B174,'Index 14-01'!$F$2:$F$1248,'Index 14-01'!$G$2:$G$1248)</f>
        <v>Oslo Børs Small Cap Index_GI</v>
      </c>
      <c r="B174" t="s">
        <v>807</v>
      </c>
      <c r="C174" t="s">
        <v>4718</v>
      </c>
      <c r="D174" s="37" t="b">
        <f t="shared" si="2"/>
        <v>0</v>
      </c>
      <c r="E174" s="34">
        <v>0</v>
      </c>
      <c r="F174" s="34"/>
    </row>
    <row r="175" spans="1:6">
      <c r="A175" t="str">
        <f>_xlfn.XLOOKUP(B175,'Index 14-01'!$F$2:$F$1248,'Index 14-01'!$G$2:$G$1248)</f>
        <v>OSLO Energy Index</v>
      </c>
      <c r="B175" t="s">
        <v>799</v>
      </c>
      <c r="C175" t="s">
        <v>4718</v>
      </c>
      <c r="D175" s="37" t="b">
        <f t="shared" si="2"/>
        <v>0</v>
      </c>
      <c r="E175" s="34">
        <v>0</v>
      </c>
      <c r="F175" s="34"/>
    </row>
    <row r="176" spans="1:6">
      <c r="A176" t="str">
        <f>_xlfn.XLOOKUP(B176,'Index 14-01'!$F$2:$F$1248,'Index 14-01'!$G$2:$G$1248)</f>
        <v>OSLO Energy Index PR</v>
      </c>
      <c r="B176" t="s">
        <v>623</v>
      </c>
      <c r="C176" t="s">
        <v>4718</v>
      </c>
      <c r="D176" s="37" t="b">
        <f t="shared" si="2"/>
        <v>0</v>
      </c>
      <c r="E176" s="34">
        <v>0</v>
      </c>
      <c r="F176" s="34"/>
    </row>
    <row r="177" spans="1:6">
      <c r="A177" t="str">
        <f>_xlfn.XLOOKUP(B177,'Index 14-01'!$F$2:$F$1248,'Index 14-01'!$G$2:$G$1248)</f>
        <v>OSLO Seafood Index</v>
      </c>
      <c r="B177" t="s">
        <v>797</v>
      </c>
      <c r="C177" t="s">
        <v>4718</v>
      </c>
      <c r="D177" s="37" t="b">
        <f t="shared" si="2"/>
        <v>0</v>
      </c>
      <c r="E177" s="34">
        <v>0</v>
      </c>
      <c r="F177" s="34"/>
    </row>
    <row r="178" spans="1:6">
      <c r="A178" t="str">
        <f>_xlfn.XLOOKUP(B178,'Index 14-01'!$F$2:$F$1248,'Index 14-01'!$G$2:$G$1248)</f>
        <v>OSLO Seafood Index PR</v>
      </c>
      <c r="B178" t="s">
        <v>619</v>
      </c>
      <c r="C178" t="s">
        <v>4718</v>
      </c>
      <c r="D178" s="37" t="b">
        <f t="shared" si="2"/>
        <v>0</v>
      </c>
      <c r="E178" s="34">
        <v>0</v>
      </c>
      <c r="F178" s="34"/>
    </row>
    <row r="179" spans="1:6">
      <c r="A179" t="str">
        <f>_xlfn.XLOOKUP(B179,'Index 14-01'!$F$2:$F$1248,'Index 14-01'!$G$2:$G$1248)</f>
        <v>OSLO Shipping Index</v>
      </c>
      <c r="B179" t="s">
        <v>795</v>
      </c>
      <c r="C179" t="s">
        <v>4718</v>
      </c>
      <c r="D179" s="37" t="b">
        <f t="shared" si="2"/>
        <v>0</v>
      </c>
      <c r="E179" s="34">
        <v>0</v>
      </c>
      <c r="F179" s="34"/>
    </row>
    <row r="180" spans="1:6">
      <c r="A180" t="str">
        <f>_xlfn.XLOOKUP(B180,'Index 14-01'!$F$2:$F$1248,'Index 14-01'!$G$2:$G$1248)</f>
        <v>OSLO Shipping Index PR</v>
      </c>
      <c r="B180" t="s">
        <v>615</v>
      </c>
      <c r="C180" t="s">
        <v>4718</v>
      </c>
      <c r="D180" s="37" t="b">
        <f t="shared" si="2"/>
        <v>0</v>
      </c>
      <c r="E180" s="34">
        <v>0</v>
      </c>
      <c r="F180" s="34"/>
    </row>
    <row r="181" spans="1:6">
      <c r="A181" t="str">
        <f>_xlfn.XLOOKUP(B181,'Index 14-01'!$F$2:$F$1248,'Index 14-01'!$G$2:$G$1248)</f>
        <v>PSI</v>
      </c>
      <c r="B181" t="s">
        <v>566</v>
      </c>
      <c r="C181" t="s">
        <v>567</v>
      </c>
      <c r="D181" s="37" t="b">
        <f t="shared" si="2"/>
        <v>0</v>
      </c>
      <c r="E181" s="34">
        <v>0</v>
      </c>
      <c r="F181" s="34"/>
    </row>
    <row r="182" spans="1:6">
      <c r="A182" t="str">
        <f>_xlfn.XLOOKUP(B182,'Index 14-01'!$F$2:$F$1248,'Index 14-01'!$G$2:$G$1248)</f>
        <v>PSI All-Share Index</v>
      </c>
      <c r="B182" t="s">
        <v>280</v>
      </c>
      <c r="C182" t="s">
        <v>567</v>
      </c>
      <c r="D182" s="37" t="b">
        <f t="shared" si="2"/>
        <v>0</v>
      </c>
      <c r="E182" s="34">
        <v>0</v>
      </c>
      <c r="F182" s="34"/>
    </row>
    <row r="183" spans="1:6">
      <c r="A183" t="str">
        <f>_xlfn.XLOOKUP(B183,'Index 14-01'!$F$2:$F$1248,'Index 14-01'!$G$2:$G$1248)</f>
        <v>PSI Basic Materials</v>
      </c>
      <c r="B183" t="s">
        <v>232</v>
      </c>
      <c r="C183" t="s">
        <v>567</v>
      </c>
      <c r="D183" s="37" t="b">
        <f t="shared" si="2"/>
        <v>0</v>
      </c>
      <c r="E183" s="34">
        <v>0</v>
      </c>
      <c r="F183" s="34"/>
    </row>
    <row r="184" spans="1:6">
      <c r="A184" t="str">
        <f>_xlfn.XLOOKUP(B184,'Index 14-01'!$F$2:$F$1248,'Index 14-01'!$G$2:$G$1248)</f>
        <v>PSI Consumer Discretionary</v>
      </c>
      <c r="B184" t="s">
        <v>224</v>
      </c>
      <c r="C184" t="s">
        <v>567</v>
      </c>
      <c r="D184" s="37" t="b">
        <f t="shared" si="2"/>
        <v>0</v>
      </c>
      <c r="E184" s="34">
        <v>0</v>
      </c>
      <c r="F184" s="34"/>
    </row>
    <row r="185" spans="1:6">
      <c r="A185" t="str">
        <f>_xlfn.XLOOKUP(B185,'Index 14-01'!$F$2:$F$1248,'Index 14-01'!$G$2:$G$1248)</f>
        <v>PSI Consumer Staples</v>
      </c>
      <c r="B185" t="s">
        <v>220</v>
      </c>
      <c r="C185" t="s">
        <v>567</v>
      </c>
      <c r="D185" s="37" t="b">
        <f t="shared" si="2"/>
        <v>0</v>
      </c>
      <c r="E185" s="34">
        <v>0</v>
      </c>
      <c r="F185" s="34"/>
    </row>
    <row r="186" spans="1:6">
      <c r="A186" t="str">
        <f>_xlfn.XLOOKUP(B186,'Index 14-01'!$F$2:$F$1248,'Index 14-01'!$G$2:$G$1248)</f>
        <v>PSI Energy</v>
      </c>
      <c r="B186" t="s">
        <v>127</v>
      </c>
      <c r="C186" t="s">
        <v>567</v>
      </c>
      <c r="D186" s="37" t="b">
        <f t="shared" si="2"/>
        <v>0</v>
      </c>
      <c r="E186" s="34">
        <v>0</v>
      </c>
      <c r="F186" s="34"/>
    </row>
    <row r="187" spans="1:6">
      <c r="A187" t="str">
        <f>_xlfn.XLOOKUP(B187,'Index 14-01'!$F$2:$F$1248,'Index 14-01'!$G$2:$G$1248)</f>
        <v>PSI ex Banks</v>
      </c>
      <c r="B187" t="s">
        <v>557</v>
      </c>
      <c r="C187" t="s">
        <v>567</v>
      </c>
      <c r="D187" s="37" t="b">
        <f t="shared" si="2"/>
        <v>0</v>
      </c>
      <c r="E187" s="34">
        <v>0</v>
      </c>
      <c r="F187" s="34"/>
    </row>
    <row r="188" spans="1:6">
      <c r="A188" t="str">
        <f>_xlfn.XLOOKUP(B188,'Index 14-01'!$F$2:$F$1248,'Index 14-01'!$G$2:$G$1248)</f>
        <v>PSI Financials</v>
      </c>
      <c r="B188" t="s">
        <v>208</v>
      </c>
      <c r="C188" t="s">
        <v>567</v>
      </c>
      <c r="D188" s="37" t="b">
        <f t="shared" si="2"/>
        <v>0</v>
      </c>
      <c r="E188" s="34">
        <v>0</v>
      </c>
      <c r="F188" s="34"/>
    </row>
    <row r="189" spans="1:6">
      <c r="A189" t="str">
        <f>_xlfn.XLOOKUP(B189,'Index 14-01'!$F$2:$F$1248,'Index 14-01'!$G$2:$G$1248)</f>
        <v>PSI Industrials</v>
      </c>
      <c r="B189" t="s">
        <v>228</v>
      </c>
      <c r="C189" t="s">
        <v>567</v>
      </c>
      <c r="D189" s="37" t="b">
        <f t="shared" si="2"/>
        <v>0</v>
      </c>
      <c r="E189" s="34">
        <v>0</v>
      </c>
      <c r="F189" s="34"/>
    </row>
    <row r="190" spans="1:6">
      <c r="A190" t="str">
        <f>_xlfn.XLOOKUP(B190,'Index 14-01'!$F$2:$F$1248,'Index 14-01'!$G$2:$G$1248)</f>
        <v>PSI Technology</v>
      </c>
      <c r="B190" t="s">
        <v>204</v>
      </c>
      <c r="C190" t="s">
        <v>567</v>
      </c>
      <c r="D190" s="37" t="b">
        <f t="shared" si="2"/>
        <v>0</v>
      </c>
      <c r="E190" s="34">
        <v>0</v>
      </c>
      <c r="F190" s="34"/>
    </row>
    <row r="191" spans="1:6">
      <c r="A191" t="str">
        <f>_xlfn.XLOOKUP(B191,'Index 14-01'!$F$2:$F$1248,'Index 14-01'!$G$2:$G$1248)</f>
        <v>PSI Telecommunications</v>
      </c>
      <c r="B191" t="s">
        <v>216</v>
      </c>
      <c r="C191" t="s">
        <v>567</v>
      </c>
      <c r="D191" s="37" t="b">
        <f t="shared" si="2"/>
        <v>0</v>
      </c>
      <c r="E191" s="34">
        <v>0</v>
      </c>
      <c r="F191" s="34"/>
    </row>
    <row r="192" spans="1:6">
      <c r="A192" t="str">
        <f>_xlfn.XLOOKUP(B192,'Index 14-01'!$F$2:$F$1248,'Index 14-01'!$G$2:$G$1248)</f>
        <v>PSI Utilities</v>
      </c>
      <c r="B192" t="s">
        <v>212</v>
      </c>
      <c r="C192" t="s">
        <v>567</v>
      </c>
      <c r="D192" s="37" t="b">
        <f t="shared" si="2"/>
        <v>0</v>
      </c>
      <c r="E192" s="34">
        <v>0</v>
      </c>
      <c r="F192" s="34"/>
    </row>
    <row r="193" spans="1:6">
      <c r="A193" s="35" t="str">
        <f>_xlfn.XLOOKUP(B193,'Index 14-01'!$F$2:$F$1248,'Index 14-01'!$G$2:$G$1248)</f>
        <v>SBF 120</v>
      </c>
      <c r="B193" s="35" t="s">
        <v>2760</v>
      </c>
      <c r="C193" s="35" t="s">
        <v>4720</v>
      </c>
      <c r="D193" s="37" t="b">
        <f t="shared" si="2"/>
        <v>0</v>
      </c>
      <c r="E193" s="34">
        <v>0</v>
      </c>
      <c r="F193" s="34"/>
    </row>
    <row r="194" spans="1:6">
      <c r="A194" t="str">
        <f>_xlfn.XLOOKUP(B194,'Index 14-01'!$F$2:$F$1248,'Index 14-01'!$G$2:$G$1248)</f>
        <v>SBF Top 50 ESG EW</v>
      </c>
      <c r="B194" t="s">
        <v>2625</v>
      </c>
      <c r="C194" t="s">
        <v>4717</v>
      </c>
      <c r="D194" s="37" t="b">
        <f t="shared" ref="D194:D257" si="3">ISNUMBER(MATCH(B194,$J$1:$J$52,0))</f>
        <v>1</v>
      </c>
      <c r="E194" s="34">
        <v>0</v>
      </c>
      <c r="F194" s="34"/>
    </row>
    <row r="195" spans="1:6">
      <c r="A195" t="str">
        <f>_xlfn.XLOOKUP(B195,'Index 14-01'!$F$2:$F$1248,'Index 14-01'!$G$2:$G$1248)</f>
        <v>SBF Top 80 EW</v>
      </c>
      <c r="B195" t="s">
        <v>2722</v>
      </c>
      <c r="C195" t="s">
        <v>4717</v>
      </c>
      <c r="D195" s="37" t="b">
        <f t="shared" si="3"/>
        <v>0</v>
      </c>
      <c r="E195" s="34">
        <v>0</v>
      </c>
      <c r="F195" s="34"/>
    </row>
    <row r="196" spans="1:6">
      <c r="A196" s="35" t="str">
        <f>_xlfn.XLOOKUP(B196,'Index 14-01'!$F$2:$F$1248,'Index 14-01'!$G$2:$G$1248)</f>
        <v>Euronext 100 Index</v>
      </c>
      <c r="B196" s="35" t="s">
        <v>2766</v>
      </c>
      <c r="C196" s="35" t="s">
        <v>4720</v>
      </c>
      <c r="D196" t="b">
        <f t="shared" si="3"/>
        <v>0</v>
      </c>
      <c r="E196" s="34">
        <v>0</v>
      </c>
      <c r="F196" s="34"/>
    </row>
    <row r="197" spans="1:6">
      <c r="A197" s="35" t="str">
        <f>_xlfn.XLOOKUP(B197,'Index 14-01'!$F$2:$F$1248,'Index 14-01'!$G$2:$G$1248)</f>
        <v>Euronext Aerospace and Defense PR</v>
      </c>
      <c r="B197" s="35" t="s">
        <v>1673</v>
      </c>
      <c r="C197" s="35" t="s">
        <v>4720</v>
      </c>
      <c r="D197" t="b">
        <f t="shared" si="3"/>
        <v>0</v>
      </c>
      <c r="E197" s="34">
        <v>1</v>
      </c>
      <c r="F197" s="34" t="s">
        <v>4749</v>
      </c>
    </row>
    <row r="198" spans="1:6">
      <c r="A198" s="35" t="str">
        <f>_xlfn.XLOOKUP(B198,'Index 14-01'!$F$2:$F$1248,'Index 14-01'!$G$2:$G$1248)</f>
        <v>Euronext AI World</v>
      </c>
      <c r="B198" s="35" t="s">
        <v>3020</v>
      </c>
      <c r="C198" s="35" t="s">
        <v>4720</v>
      </c>
      <c r="D198" t="b">
        <f t="shared" si="3"/>
        <v>0</v>
      </c>
      <c r="E198" s="34">
        <v>0</v>
      </c>
      <c r="F198" s="34" t="s">
        <v>4751</v>
      </c>
    </row>
    <row r="199" spans="1:6">
      <c r="A199" s="35" t="str">
        <f>_xlfn.XLOOKUP(B199,'Index 14-01'!$F$2:$F$1248,'Index 14-01'!$G$2:$G$1248)</f>
        <v>Euronext Asia Pacific 500</v>
      </c>
      <c r="B199" s="35" t="s">
        <v>827</v>
      </c>
      <c r="C199" s="35" t="s">
        <v>4720</v>
      </c>
      <c r="D199" t="b">
        <f t="shared" si="3"/>
        <v>0</v>
      </c>
      <c r="E199" s="34">
        <v>0</v>
      </c>
      <c r="F199" s="34" t="s">
        <v>4752</v>
      </c>
    </row>
    <row r="200" spans="1:6">
      <c r="A200" s="35" t="str">
        <f>_xlfn.XLOOKUP(B200,'Index 14-01'!$F$2:$F$1248,'Index 14-01'!$G$2:$G$1248)</f>
        <v>Euronext BeNe 40 Equal Weight</v>
      </c>
      <c r="B200" s="35" t="s">
        <v>1324</v>
      </c>
      <c r="C200" s="35" t="s">
        <v>4720</v>
      </c>
      <c r="D200" t="b">
        <f t="shared" si="3"/>
        <v>0</v>
      </c>
      <c r="E200" s="34">
        <v>1</v>
      </c>
      <c r="F200" s="34" t="s">
        <v>4749</v>
      </c>
    </row>
    <row r="201" spans="1:6">
      <c r="A201" s="35" t="str">
        <f>_xlfn.XLOOKUP(B201,'Index 14-01'!$F$2:$F$1248,'Index 14-01'!$G$2:$G$1248)</f>
        <v>Euronext BeNeLux Low Risk 20</v>
      </c>
      <c r="B201" s="35" t="s">
        <v>1284</v>
      </c>
      <c r="C201" s="35" t="s">
        <v>4720</v>
      </c>
      <c r="D201" t="b">
        <f t="shared" si="3"/>
        <v>0</v>
      </c>
      <c r="E201" s="34">
        <v>0</v>
      </c>
      <c r="F201" s="34" t="s">
        <v>4753</v>
      </c>
    </row>
    <row r="202" spans="1:6">
      <c r="A202" s="35" t="str">
        <f>_xlfn.XLOOKUP(B202,'Index 14-01'!$F$2:$F$1248,'Index 14-01'!$G$2:$G$1248)</f>
        <v>Euronext Biodiversity Enablers World</v>
      </c>
      <c r="B202" s="35" t="s">
        <v>3359</v>
      </c>
      <c r="C202" s="35" t="s">
        <v>4720</v>
      </c>
      <c r="D202" t="b">
        <f t="shared" si="3"/>
        <v>0</v>
      </c>
      <c r="E202" s="34">
        <v>0</v>
      </c>
      <c r="F202" s="34" t="s">
        <v>4754</v>
      </c>
    </row>
    <row r="203" spans="1:6">
      <c r="A203" s="35" t="str">
        <f>_xlfn.XLOOKUP(B203,'Index 14-01'!$F$2:$F$1248,'Index 14-01'!$G$2:$G$1248)</f>
        <v>Euronext Biodiversity Screened World</v>
      </c>
      <c r="B203" s="35" t="s">
        <v>3350</v>
      </c>
      <c r="C203" s="35" t="s">
        <v>4720</v>
      </c>
      <c r="D203" t="b">
        <f t="shared" si="3"/>
        <v>0</v>
      </c>
      <c r="E203" s="34">
        <v>0</v>
      </c>
      <c r="F203" s="34" t="s">
        <v>4755</v>
      </c>
    </row>
    <row r="204" spans="1:6">
      <c r="A204" s="35" t="str">
        <f>_xlfn.XLOOKUP(B204,'Index 14-01'!$F$2:$F$1248,'Index 14-01'!$G$2:$G$1248)</f>
        <v>Euronext Canada</v>
      </c>
      <c r="B204" s="35" t="s">
        <v>1838</v>
      </c>
      <c r="C204" s="35" t="s">
        <v>4720</v>
      </c>
      <c r="D204" t="b">
        <f t="shared" si="3"/>
        <v>0</v>
      </c>
      <c r="E204" s="34">
        <v>1</v>
      </c>
      <c r="F204" s="40" t="s">
        <v>4749</v>
      </c>
    </row>
    <row r="205" spans="1:6">
      <c r="A205" s="35" t="str">
        <f>_xlfn.XLOOKUP(B205,'Index 14-01'!$F$2:$F$1248,'Index 14-01'!$G$2:$G$1248)</f>
        <v>Euronext Developed Asia</v>
      </c>
      <c r="B205" s="35" t="s">
        <v>1879</v>
      </c>
      <c r="C205" s="35" t="s">
        <v>4720</v>
      </c>
      <c r="D205" t="b">
        <f t="shared" si="3"/>
        <v>0</v>
      </c>
      <c r="E205" s="34">
        <v>1</v>
      </c>
      <c r="F205" s="34" t="s">
        <v>4749</v>
      </c>
    </row>
    <row r="206" spans="1:6">
      <c r="A206" s="35" t="str">
        <f>_xlfn.XLOOKUP(B206,'Index 14-01'!$F$2:$F$1248,'Index 14-01'!$G$2:$G$1248)</f>
        <v>Euronext Developed Asia Pacific</v>
      </c>
      <c r="B206" s="35" t="s">
        <v>1888</v>
      </c>
      <c r="C206" s="35" t="s">
        <v>4720</v>
      </c>
      <c r="D206" t="b">
        <f t="shared" si="3"/>
        <v>0</v>
      </c>
      <c r="E206" s="34">
        <v>1</v>
      </c>
      <c r="F206" s="34" t="s">
        <v>4749</v>
      </c>
    </row>
    <row r="207" spans="1:6">
      <c r="A207" s="35" t="str">
        <f>_xlfn.XLOOKUP(B207,'Index 14-01'!$F$2:$F$1248,'Index 14-01'!$G$2:$G$1248)</f>
        <v>Euronext Developed Europe</v>
      </c>
      <c r="B207" s="35" t="s">
        <v>1916</v>
      </c>
      <c r="C207" s="35" t="s">
        <v>4720</v>
      </c>
      <c r="D207" t="b">
        <f t="shared" si="3"/>
        <v>0</v>
      </c>
      <c r="E207" s="34">
        <v>1</v>
      </c>
      <c r="F207" s="34" t="s">
        <v>4749</v>
      </c>
    </row>
    <row r="208" spans="1:6">
      <c r="A208" s="35" t="str">
        <f>_xlfn.XLOOKUP(B208,'Index 14-01'!$F$2:$F$1248,'Index 14-01'!$G$2:$G$1248)</f>
        <v>Euronext Developed Eurozone</v>
      </c>
      <c r="B208" s="35" t="s">
        <v>1907</v>
      </c>
      <c r="C208" s="35" t="s">
        <v>4720</v>
      </c>
      <c r="D208" t="b">
        <f t="shared" si="3"/>
        <v>0</v>
      </c>
      <c r="E208" s="34">
        <v>1</v>
      </c>
      <c r="F208" s="34" t="s">
        <v>4749</v>
      </c>
    </row>
    <row r="209" spans="1:7">
      <c r="A209" s="35" t="str">
        <f>_xlfn.XLOOKUP(B209,'Index 14-01'!$F$2:$F$1248,'Index 14-01'!$G$2:$G$1248)</f>
        <v>Euronext Developed North America</v>
      </c>
      <c r="B209" s="35" t="s">
        <v>1898</v>
      </c>
      <c r="C209" s="35" t="s">
        <v>4720</v>
      </c>
      <c r="D209" t="b">
        <f t="shared" si="3"/>
        <v>0</v>
      </c>
      <c r="E209" s="34">
        <v>1</v>
      </c>
      <c r="F209" s="34" t="s">
        <v>4749</v>
      </c>
    </row>
    <row r="210" spans="1:7">
      <c r="A210" s="35" t="str">
        <f>_xlfn.XLOOKUP(B210,'Index 14-01'!$F$2:$F$1248,'Index 14-01'!$G$2:$G$1248)</f>
        <v>Euronext Developed Pacific</v>
      </c>
      <c r="B210" s="35" t="s">
        <v>1870</v>
      </c>
      <c r="C210" s="35" t="s">
        <v>4720</v>
      </c>
      <c r="D210" t="b">
        <f t="shared" si="3"/>
        <v>0</v>
      </c>
      <c r="E210" s="34">
        <v>1</v>
      </c>
      <c r="F210" s="34" t="s">
        <v>4749</v>
      </c>
    </row>
    <row r="211" spans="1:7">
      <c r="A211" s="35" t="str">
        <f>_xlfn.XLOOKUP(B211,'Index 14-01'!$F$2:$F$1248,'Index 14-01'!$G$2:$G$1248)</f>
        <v>Euronext Developed World</v>
      </c>
      <c r="B211" s="35" t="s">
        <v>1925</v>
      </c>
      <c r="C211" s="35" t="s">
        <v>4720</v>
      </c>
      <c r="D211" t="b">
        <f t="shared" si="3"/>
        <v>0</v>
      </c>
      <c r="E211" s="34">
        <v>1</v>
      </c>
      <c r="F211" s="34" t="s">
        <v>4749</v>
      </c>
    </row>
    <row r="212" spans="1:7">
      <c r="A212" s="35" t="str">
        <f>_xlfn.XLOOKUP(B212,'Index 14-01'!$F$2:$F$1248,'Index 14-01'!$G$2:$G$1248)</f>
        <v>Euronext Japan</v>
      </c>
      <c r="B212" s="35" t="s">
        <v>1856</v>
      </c>
      <c r="C212" s="35" t="s">
        <v>4720</v>
      </c>
      <c r="D212" s="37" t="b">
        <f t="shared" si="3"/>
        <v>0</v>
      </c>
      <c r="E212" s="34">
        <v>1</v>
      </c>
      <c r="F212" s="34" t="s">
        <v>4749</v>
      </c>
    </row>
    <row r="213" spans="1:7">
      <c r="A213" s="35" t="str">
        <f>_xlfn.XLOOKUP(B213,'Index 14-01'!$F$2:$F$1248,'Index 14-01'!$G$2:$G$1248)</f>
        <v>Euronext Switzerland</v>
      </c>
      <c r="B213" s="35" t="s">
        <v>1847</v>
      </c>
      <c r="C213" s="35" t="s">
        <v>4720</v>
      </c>
      <c r="D213" s="37" t="b">
        <f t="shared" si="3"/>
        <v>0</v>
      </c>
      <c r="E213" s="34">
        <v>1</v>
      </c>
      <c r="F213" s="34" t="s">
        <v>4749</v>
      </c>
    </row>
    <row r="214" spans="1:7">
      <c r="A214" s="35" t="str">
        <f>_xlfn.XLOOKUP(B214,'Index 14-01'!$F$2:$F$1248,'Index 14-01'!$G$2:$G$1248)</f>
        <v>Euronext UK</v>
      </c>
      <c r="B214" s="35" t="s">
        <v>1829</v>
      </c>
      <c r="C214" s="35" t="s">
        <v>4720</v>
      </c>
      <c r="D214" s="37" t="b">
        <f t="shared" si="3"/>
        <v>0</v>
      </c>
      <c r="E214" s="34">
        <v>1</v>
      </c>
      <c r="F214" s="34" t="s">
        <v>4749</v>
      </c>
    </row>
    <row r="215" spans="1:7">
      <c r="A215" s="35" t="str">
        <f>_xlfn.XLOOKUP(B215,'Index 14-01'!$F$2:$F$1248,'Index 14-01'!$G$2:$G$1248)</f>
        <v>Euronext USA</v>
      </c>
      <c r="B215" s="35" t="s">
        <v>1859</v>
      </c>
      <c r="C215" s="35" t="s">
        <v>4720</v>
      </c>
      <c r="D215" s="37" t="b">
        <f t="shared" si="3"/>
        <v>0</v>
      </c>
      <c r="E215" s="34">
        <v>1</v>
      </c>
      <c r="F215" s="34" t="s">
        <v>4749</v>
      </c>
    </row>
    <row r="216" spans="1:7">
      <c r="A216" s="35" t="str">
        <f>_xlfn.XLOOKUP(B216,'Index 14-01'!$F$2:$F$1248,'Index 14-01'!$G$2:$G$1248)</f>
        <v>Euronext World</v>
      </c>
      <c r="B216" s="35" t="s">
        <v>864</v>
      </c>
      <c r="C216" s="35" t="s">
        <v>4720</v>
      </c>
      <c r="D216" s="37" t="b">
        <f t="shared" si="3"/>
        <v>0</v>
      </c>
      <c r="E216" s="34">
        <v>1</v>
      </c>
      <c r="F216" s="34" t="s">
        <v>4749</v>
      </c>
    </row>
    <row r="217" spans="1:7">
      <c r="A217" t="s">
        <v>1821</v>
      </c>
      <c r="B217" s="38" t="s">
        <v>1820</v>
      </c>
      <c r="C217" t="s">
        <v>4720</v>
      </c>
      <c r="D217" s="37" t="b">
        <f t="shared" si="3"/>
        <v>0</v>
      </c>
      <c r="E217" s="34">
        <v>1</v>
      </c>
      <c r="F217" s="37" t="s">
        <v>4749</v>
      </c>
      <c r="G217" s="41" t="s">
        <v>4756</v>
      </c>
    </row>
    <row r="218" spans="1:7">
      <c r="A218" t="s">
        <v>1811</v>
      </c>
      <c r="B218" s="38" t="s">
        <v>1810</v>
      </c>
      <c r="C218" t="s">
        <v>4720</v>
      </c>
      <c r="D218" s="37" t="b">
        <f t="shared" si="3"/>
        <v>0</v>
      </c>
      <c r="E218" s="34">
        <v>1</v>
      </c>
      <c r="F218" s="37" t="s">
        <v>4749</v>
      </c>
      <c r="G218" s="41" t="s">
        <v>4756</v>
      </c>
    </row>
    <row r="219" spans="1:7">
      <c r="A219" t="s">
        <v>1802</v>
      </c>
      <c r="B219" s="38" t="s">
        <v>1801</v>
      </c>
      <c r="C219" t="s">
        <v>4720</v>
      </c>
      <c r="D219" s="37" t="b">
        <f t="shared" si="3"/>
        <v>0</v>
      </c>
      <c r="E219" s="34">
        <v>1</v>
      </c>
      <c r="F219" s="37" t="s">
        <v>4749</v>
      </c>
      <c r="G219" s="41" t="s">
        <v>4756</v>
      </c>
    </row>
    <row r="220" spans="1:7">
      <c r="A220" t="s">
        <v>1783</v>
      </c>
      <c r="B220" s="38" t="s">
        <v>1782</v>
      </c>
      <c r="C220" t="s">
        <v>4720</v>
      </c>
      <c r="D220" s="37" t="b">
        <f t="shared" si="3"/>
        <v>0</v>
      </c>
      <c r="E220" s="34">
        <v>1</v>
      </c>
      <c r="F220" s="37" t="s">
        <v>4749</v>
      </c>
      <c r="G220" s="41" t="s">
        <v>4756</v>
      </c>
    </row>
    <row r="221" spans="1:7">
      <c r="A221" t="s">
        <v>1792</v>
      </c>
      <c r="B221" s="38" t="s">
        <v>1791</v>
      </c>
      <c r="C221" t="s">
        <v>4720</v>
      </c>
      <c r="D221" s="37" t="b">
        <f t="shared" si="3"/>
        <v>0</v>
      </c>
      <c r="E221" s="34">
        <v>1</v>
      </c>
      <c r="F221" s="37" t="s">
        <v>4749</v>
      </c>
      <c r="G221" s="41" t="s">
        <v>4756</v>
      </c>
    </row>
    <row r="222" spans="1:7">
      <c r="A222" t="s">
        <v>1774</v>
      </c>
      <c r="B222" s="38" t="s">
        <v>1773</v>
      </c>
      <c r="C222" t="s">
        <v>4720</v>
      </c>
      <c r="D222" s="37" t="b">
        <f t="shared" si="3"/>
        <v>0</v>
      </c>
      <c r="E222" s="34">
        <v>1</v>
      </c>
      <c r="F222" s="37" t="s">
        <v>4749</v>
      </c>
      <c r="G222" s="41" t="s">
        <v>4756</v>
      </c>
    </row>
    <row r="223" spans="1:7">
      <c r="A223" t="s">
        <v>1765</v>
      </c>
      <c r="B223" s="38" t="s">
        <v>1764</v>
      </c>
      <c r="C223" t="s">
        <v>4720</v>
      </c>
      <c r="D223" s="37" t="b">
        <f t="shared" si="3"/>
        <v>0</v>
      </c>
      <c r="E223" s="34">
        <v>1</v>
      </c>
      <c r="F223" s="37" t="s">
        <v>4749</v>
      </c>
      <c r="G223" s="41" t="s">
        <v>4756</v>
      </c>
    </row>
    <row r="224" spans="1:7">
      <c r="A224" t="s">
        <v>1737</v>
      </c>
      <c r="B224" s="38" t="s">
        <v>1736</v>
      </c>
      <c r="C224" t="s">
        <v>4720</v>
      </c>
      <c r="D224" s="37" t="b">
        <f t="shared" si="3"/>
        <v>0</v>
      </c>
      <c r="E224" s="34">
        <v>1</v>
      </c>
      <c r="F224" s="37" t="s">
        <v>4749</v>
      </c>
      <c r="G224" s="41" t="s">
        <v>4756</v>
      </c>
    </row>
    <row r="225" spans="1:7">
      <c r="A225" t="s">
        <v>1746</v>
      </c>
      <c r="B225" s="38" t="s">
        <v>1745</v>
      </c>
      <c r="C225" t="s">
        <v>4720</v>
      </c>
      <c r="D225" s="37" t="b">
        <f t="shared" si="3"/>
        <v>0</v>
      </c>
      <c r="E225" s="34">
        <v>1</v>
      </c>
      <c r="F225" s="37" t="s">
        <v>4749</v>
      </c>
      <c r="G225" s="41" t="s">
        <v>4756</v>
      </c>
    </row>
    <row r="226" spans="1:7">
      <c r="A226" t="s">
        <v>1756</v>
      </c>
      <c r="B226" s="38" t="s">
        <v>1755</v>
      </c>
      <c r="C226" t="s">
        <v>4720</v>
      </c>
      <c r="D226" s="37" t="b">
        <f t="shared" si="3"/>
        <v>0</v>
      </c>
      <c r="E226" s="34">
        <v>1</v>
      </c>
      <c r="F226" s="37" t="s">
        <v>4749</v>
      </c>
      <c r="G226" s="41" t="s">
        <v>4756</v>
      </c>
    </row>
    <row r="227" spans="1:7">
      <c r="A227" t="s">
        <v>1719</v>
      </c>
      <c r="B227" s="38" t="s">
        <v>1718</v>
      </c>
      <c r="C227" t="s">
        <v>4720</v>
      </c>
      <c r="D227" s="37" t="b">
        <f t="shared" si="3"/>
        <v>0</v>
      </c>
      <c r="E227" s="34">
        <v>1</v>
      </c>
      <c r="F227" s="37" t="s">
        <v>4749</v>
      </c>
      <c r="G227" s="41" t="s">
        <v>4756</v>
      </c>
    </row>
    <row r="228" spans="1:7">
      <c r="A228" t="s">
        <v>1728</v>
      </c>
      <c r="B228" s="38" t="s">
        <v>1727</v>
      </c>
      <c r="C228" t="s">
        <v>4720</v>
      </c>
      <c r="D228" s="37" t="b">
        <f t="shared" si="3"/>
        <v>0</v>
      </c>
      <c r="E228" s="34">
        <v>1</v>
      </c>
      <c r="F228" s="37" t="s">
        <v>4749</v>
      </c>
      <c r="G228" s="41" t="s">
        <v>4756</v>
      </c>
    </row>
    <row r="229" spans="1:7">
      <c r="A229" s="35" t="str">
        <f>_xlfn.XLOOKUP(B229,'Index 14-01'!$F$2:$F$1248,'Index 14-01'!$G$2:$G$1248)</f>
        <v>Euronext Climate Europe</v>
      </c>
      <c r="B229" s="35" t="s">
        <v>1315</v>
      </c>
      <c r="C229" s="35" t="s">
        <v>4720</v>
      </c>
      <c r="D229" t="b">
        <f t="shared" si="3"/>
        <v>0</v>
      </c>
      <c r="E229" s="34">
        <v>0</v>
      </c>
      <c r="F229" s="34" t="s">
        <v>4754</v>
      </c>
    </row>
    <row r="230" spans="1:7">
      <c r="A230" s="35" t="str">
        <f>_xlfn.XLOOKUP(B230,'Index 14-01'!$F$2:$F$1248,'Index 14-01'!$G$2:$G$1248)</f>
        <v>Euronext Cybersecurity World</v>
      </c>
      <c r="B230" s="35" t="s">
        <v>2990</v>
      </c>
      <c r="C230" s="35" t="s">
        <v>4720</v>
      </c>
      <c r="D230" t="b">
        <f t="shared" si="3"/>
        <v>0</v>
      </c>
      <c r="E230" s="34">
        <v>1</v>
      </c>
      <c r="F230" s="34"/>
    </row>
    <row r="231" spans="1:7">
      <c r="A231" s="35" t="str">
        <f>_xlfn.XLOOKUP(B231,'Index 14-01'!$F$2:$F$1248,'Index 14-01'!$G$2:$G$1248)</f>
        <v>Euronext Developed Market</v>
      </c>
      <c r="B231" s="35" t="s">
        <v>856</v>
      </c>
      <c r="C231" s="35" t="s">
        <v>4720</v>
      </c>
      <c r="D231" t="b">
        <f t="shared" si="3"/>
        <v>0</v>
      </c>
      <c r="E231" s="34">
        <v>1</v>
      </c>
      <c r="F231" s="34"/>
    </row>
    <row r="232" spans="1:7">
      <c r="A232" s="35" t="str">
        <f>_xlfn.XLOOKUP(B232,'Index 14-01'!$F$2:$F$1248,'Index 14-01'!$G$2:$G$1248)</f>
        <v>Euronext Developed Market USD</v>
      </c>
      <c r="B232" s="35" t="s">
        <v>2183</v>
      </c>
      <c r="C232" s="35" t="s">
        <v>4720</v>
      </c>
      <c r="D232" t="b">
        <f t="shared" si="3"/>
        <v>0</v>
      </c>
      <c r="E232" s="34">
        <v>1</v>
      </c>
      <c r="F232" s="34"/>
    </row>
    <row r="233" spans="1:7">
      <c r="A233" s="35" t="str">
        <f>_xlfn.XLOOKUP(B233,'Index 14-01'!$F$2:$F$1248,'Index 14-01'!$G$2:$G$1248)</f>
        <v>Euronext Developed World ESG Screened</v>
      </c>
      <c r="B233" s="35" t="s">
        <v>2192</v>
      </c>
      <c r="C233" s="35" t="s">
        <v>4720</v>
      </c>
      <c r="D233" t="b">
        <f t="shared" si="3"/>
        <v>0</v>
      </c>
      <c r="E233" s="34">
        <v>1</v>
      </c>
      <c r="F233" s="34"/>
    </row>
    <row r="234" spans="1:7">
      <c r="A234" s="35" t="str">
        <f>_xlfn.XLOOKUP(B234,'Index 14-01'!$F$2:$F$1248,'Index 14-01'!$G$2:$G$1248)</f>
        <v>Euronext Earth Focus 40</v>
      </c>
      <c r="B234" s="35" t="s">
        <v>3318</v>
      </c>
      <c r="C234" s="35" t="s">
        <v>4720</v>
      </c>
      <c r="D234" t="b">
        <f t="shared" si="3"/>
        <v>0</v>
      </c>
      <c r="E234" s="34">
        <v>1</v>
      </c>
      <c r="F234" s="34"/>
    </row>
    <row r="235" spans="1:7">
      <c r="A235" s="35" t="str">
        <f>_xlfn.XLOOKUP(B235,'Index 14-01'!$F$2:$F$1248,'Index 14-01'!$G$2:$G$1248)</f>
        <v>Euronext Environmental Goods and Services Eurozone</v>
      </c>
      <c r="B235" s="35" t="s">
        <v>3535</v>
      </c>
      <c r="C235" s="35" t="s">
        <v>4720</v>
      </c>
      <c r="D235" t="b">
        <f t="shared" si="3"/>
        <v>0</v>
      </c>
      <c r="E235" s="34">
        <v>1</v>
      </c>
      <c r="F235" s="34"/>
    </row>
    <row r="236" spans="1:7">
      <c r="A236" s="35" t="str">
        <f>_xlfn.XLOOKUP(B236,'Index 14-01'!$F$2:$F$1248,'Index 14-01'!$G$2:$G$1248)</f>
        <v>Euronext Environmental Goods and Services World</v>
      </c>
      <c r="B236" s="35" t="s">
        <v>3544</v>
      </c>
      <c r="C236" s="35" t="s">
        <v>4720</v>
      </c>
      <c r="D236" t="b">
        <f t="shared" si="3"/>
        <v>0</v>
      </c>
      <c r="E236" s="34">
        <v>1</v>
      </c>
      <c r="F236" s="34"/>
    </row>
    <row r="237" spans="1:7">
      <c r="A237" s="35" t="str">
        <f>_xlfn.XLOOKUP(B237,'Index 14-01'!$F$2:$F$1248,'Index 14-01'!$G$2:$G$1248)</f>
        <v>Euronext Europe 500</v>
      </c>
      <c r="B237" s="35" t="s">
        <v>1004</v>
      </c>
      <c r="C237" s="35" t="s">
        <v>4720</v>
      </c>
      <c r="D237" t="b">
        <f t="shared" si="3"/>
        <v>0</v>
      </c>
      <c r="E237" s="34">
        <v>1</v>
      </c>
      <c r="F237" s="34"/>
    </row>
    <row r="238" spans="1:7">
      <c r="A238" s="35" t="str">
        <f>_xlfn.XLOOKUP(B238,'Index 14-01'!$F$2:$F$1248,'Index 14-01'!$G$2:$G$1248)</f>
        <v>Euronext Europe Luxury</v>
      </c>
      <c r="B238" s="35" t="s">
        <v>1706</v>
      </c>
      <c r="C238" s="35" t="s">
        <v>4720</v>
      </c>
      <c r="D238" t="b">
        <f t="shared" si="3"/>
        <v>0</v>
      </c>
      <c r="E238" s="34">
        <v>1</v>
      </c>
      <c r="F238" s="34"/>
    </row>
    <row r="239" spans="1:7">
      <c r="A239" s="35" t="str">
        <f>_xlfn.XLOOKUP(B239,'Index 14-01'!$F$2:$F$1248,'Index 14-01'!$G$2:$G$1248)</f>
        <v>Euronext Eurozone 300</v>
      </c>
      <c r="B239" s="35" t="s">
        <v>995</v>
      </c>
      <c r="C239" s="35" t="s">
        <v>4720</v>
      </c>
      <c r="D239" t="b">
        <f t="shared" si="3"/>
        <v>0</v>
      </c>
      <c r="E239" s="34">
        <v>1</v>
      </c>
      <c r="F239" s="34"/>
    </row>
    <row r="240" spans="1:7">
      <c r="A240" s="35" t="str">
        <f>_xlfn.XLOOKUP(B240,'Index 14-01'!$F$2:$F$1248,'Index 14-01'!$G$2:$G$1248)</f>
        <v>Euronext Eurozone 50</v>
      </c>
      <c r="B240" s="35" t="s">
        <v>1709</v>
      </c>
      <c r="C240" s="35" t="s">
        <v>4720</v>
      </c>
      <c r="D240" t="b">
        <f t="shared" si="3"/>
        <v>0</v>
      </c>
      <c r="E240" s="34">
        <v>1</v>
      </c>
      <c r="F240" s="34"/>
    </row>
    <row r="241" spans="1:6">
      <c r="A241" s="35" t="str">
        <f>_xlfn.XLOOKUP(B241,'Index 14-01'!$F$2:$F$1248,'Index 14-01'!$G$2:$G$1248)</f>
        <v>Euronext Eurozone 60 PAB</v>
      </c>
      <c r="B241" s="35" t="s">
        <v>3590</v>
      </c>
      <c r="C241" s="35" t="s">
        <v>4720</v>
      </c>
      <c r="D241" t="b">
        <f t="shared" si="3"/>
        <v>0</v>
      </c>
      <c r="E241" s="34">
        <v>1</v>
      </c>
      <c r="F241" s="34"/>
    </row>
    <row r="242" spans="1:6">
      <c r="A242" s="35" t="str">
        <f>_xlfn.XLOOKUP(B242,'Index 14-01'!$F$2:$F$1248,'Index 14-01'!$G$2:$G$1248)</f>
        <v>Euronext Eurozone Banks</v>
      </c>
      <c r="B242" s="35" t="s">
        <v>929</v>
      </c>
      <c r="C242" s="35" t="s">
        <v>4720</v>
      </c>
      <c r="D242" t="b">
        <f t="shared" si="3"/>
        <v>0</v>
      </c>
      <c r="E242" s="34">
        <v>1</v>
      </c>
      <c r="F242" s="34"/>
    </row>
    <row r="243" spans="1:6">
      <c r="A243" s="35" t="str">
        <f>_xlfn.XLOOKUP(B243,'Index 14-01'!$F$2:$F$1248,'Index 14-01'!$G$2:$G$1248)</f>
        <v>Euronext Eurozone Basic Materials PR</v>
      </c>
      <c r="B243" s="35" t="s">
        <v>1658</v>
      </c>
      <c r="C243" s="35" t="s">
        <v>4720</v>
      </c>
      <c r="D243" t="b">
        <f t="shared" si="3"/>
        <v>0</v>
      </c>
      <c r="E243" s="34">
        <v>1</v>
      </c>
      <c r="F243" s="34"/>
    </row>
    <row r="244" spans="1:6">
      <c r="A244" s="35" t="str">
        <f>_xlfn.XLOOKUP(B244,'Index 14-01'!$F$2:$F$1248,'Index 14-01'!$G$2:$G$1248)</f>
        <v>Euronext Eurozone ESG Transition</v>
      </c>
      <c r="B244" s="35" t="s">
        <v>3436</v>
      </c>
      <c r="C244" s="35" t="s">
        <v>4720</v>
      </c>
      <c r="D244" t="b">
        <f t="shared" si="3"/>
        <v>0</v>
      </c>
      <c r="E244" s="34">
        <v>1</v>
      </c>
      <c r="F244" s="34"/>
    </row>
    <row r="245" spans="1:6">
      <c r="A245" s="35" t="str">
        <f>_xlfn.XLOOKUP(B245,'Index 14-01'!$F$2:$F$1248,'Index 14-01'!$G$2:$G$1248)</f>
        <v>Euronext Eurozone Focus 40 PAB</v>
      </c>
      <c r="B245" s="35" t="s">
        <v>3575</v>
      </c>
      <c r="C245" s="35" t="s">
        <v>4720</v>
      </c>
      <c r="D245" t="b">
        <f t="shared" si="3"/>
        <v>0</v>
      </c>
      <c r="E245" s="34">
        <v>1</v>
      </c>
      <c r="F245" s="34"/>
    </row>
    <row r="246" spans="1:6">
      <c r="A246" s="35" t="str">
        <f>_xlfn.XLOOKUP(B246,'Index 14-01'!$F$2:$F$1248,'Index 14-01'!$G$2:$G$1248)</f>
        <v>Euronext Eurozone Small Cap</v>
      </c>
      <c r="B246" s="35" t="s">
        <v>1568</v>
      </c>
      <c r="C246" s="35" t="s">
        <v>4720</v>
      </c>
      <c r="D246" t="b">
        <f t="shared" si="3"/>
        <v>0</v>
      </c>
      <c r="E246" s="34">
        <v>1</v>
      </c>
      <c r="F246" s="34"/>
    </row>
    <row r="247" spans="1:6">
      <c r="A247" s="35" t="str">
        <f>_xlfn.XLOOKUP(B247,'Index 14-01'!$F$2:$F$1248,'Index 14-01'!$G$2:$G$1248)</f>
        <v>Euronext Expand All-Share Index</v>
      </c>
      <c r="B247" s="35" t="s">
        <v>744</v>
      </c>
      <c r="C247" s="35" t="s">
        <v>4720</v>
      </c>
      <c r="D247" t="b">
        <f t="shared" si="3"/>
        <v>0</v>
      </c>
      <c r="E247" s="34">
        <v>1</v>
      </c>
      <c r="F247" s="34"/>
    </row>
    <row r="248" spans="1:6">
      <c r="A248" s="35" t="str">
        <f>_xlfn.XLOOKUP(B248,'Index 14-01'!$F$2:$F$1248,'Index 14-01'!$G$2:$G$1248)</f>
        <v>Euronext EZ Transatlantic</v>
      </c>
      <c r="B248" s="35" t="s">
        <v>2090</v>
      </c>
      <c r="C248" s="35" t="s">
        <v>4720</v>
      </c>
      <c r="D248" t="b">
        <f t="shared" si="3"/>
        <v>0</v>
      </c>
      <c r="E248" s="34">
        <v>1</v>
      </c>
      <c r="F248" s="34"/>
    </row>
    <row r="249" spans="1:6">
      <c r="A249" s="35" t="str">
        <f>_xlfn.XLOOKUP(B249,'Index 14-01'!$F$2:$F$1248,'Index 14-01'!$G$2:$G$1248)</f>
        <v>Euronext FAS IAS</v>
      </c>
      <c r="B249" s="35" t="s">
        <v>2957</v>
      </c>
      <c r="C249" s="35" t="s">
        <v>4720</v>
      </c>
      <c r="D249" t="b">
        <f t="shared" si="3"/>
        <v>0</v>
      </c>
      <c r="E249" s="34">
        <v>1</v>
      </c>
      <c r="F249" s="34"/>
    </row>
    <row r="250" spans="1:6">
      <c r="A250" s="35" t="str">
        <f>_xlfn.XLOOKUP(B250,'Index 14-01'!$F$2:$F$1248,'Index 14-01'!$G$2:$G$1248)</f>
        <v>Euronext France Germany Leaders 50</v>
      </c>
      <c r="B250" s="35" t="s">
        <v>1211</v>
      </c>
      <c r="C250" s="35" t="s">
        <v>4720</v>
      </c>
      <c r="D250" t="b">
        <f t="shared" si="3"/>
        <v>0</v>
      </c>
      <c r="E250" s="34">
        <v>1</v>
      </c>
      <c r="F250" s="34"/>
    </row>
    <row r="251" spans="1:6">
      <c r="A251" s="35" t="str">
        <f>_xlfn.XLOOKUP(B251,'Index 14-01'!$F$2:$F$1248,'Index 14-01'!$G$2:$G$1248)</f>
        <v>Euronext Invest In France</v>
      </c>
      <c r="B251" s="35" t="s">
        <v>2924</v>
      </c>
      <c r="C251" s="35" t="s">
        <v>4720</v>
      </c>
      <c r="D251" s="37" t="b">
        <f t="shared" si="3"/>
        <v>0</v>
      </c>
      <c r="E251" s="34">
        <v>1</v>
      </c>
      <c r="F251" s="34"/>
    </row>
    <row r="252" spans="1:6">
      <c r="A252" s="35" t="str">
        <f>_xlfn.XLOOKUP(B252,'Index 14-01'!$F$2:$F$1248,'Index 14-01'!$G$2:$G$1248)</f>
        <v>Euronext Invest In France 40</v>
      </c>
      <c r="B252" s="35" t="s">
        <v>2870</v>
      </c>
      <c r="C252" s="35" t="s">
        <v>4720</v>
      </c>
      <c r="D252" s="37" t="b">
        <f t="shared" si="3"/>
        <v>0</v>
      </c>
      <c r="E252" s="34">
        <v>1</v>
      </c>
      <c r="F252" s="34"/>
    </row>
    <row r="253" spans="1:6">
      <c r="A253" s="35" t="str">
        <f>_xlfn.XLOOKUP(B253,'Index 14-01'!$F$2:$F$1248,'Index 14-01'!$G$2:$G$1248)</f>
        <v>Euronext North America 500</v>
      </c>
      <c r="B253" s="35" t="s">
        <v>839</v>
      </c>
      <c r="C253" s="35" t="s">
        <v>4720</v>
      </c>
      <c r="D253" s="37" t="b">
        <f t="shared" si="3"/>
        <v>0</v>
      </c>
      <c r="E253" s="34">
        <v>1</v>
      </c>
      <c r="F253" s="34"/>
    </row>
    <row r="254" spans="1:6">
      <c r="A254" s="35" t="str">
        <f>_xlfn.XLOOKUP(B254,'Index 14-01'!$F$2:$F$1248,'Index 14-01'!$G$2:$G$1248)</f>
        <v>Euronext PAB North America 50</v>
      </c>
      <c r="B254" s="35" t="s">
        <v>3784</v>
      </c>
      <c r="C254" s="35" t="s">
        <v>4720</v>
      </c>
      <c r="D254" s="37" t="b">
        <f t="shared" si="3"/>
        <v>0</v>
      </c>
      <c r="E254" s="34">
        <v>1</v>
      </c>
      <c r="F254" s="34"/>
    </row>
    <row r="255" spans="1:6">
      <c r="A255" s="35" t="str">
        <f>_xlfn.XLOOKUP(B255,'Index 14-01'!$F$2:$F$1248,'Index 14-01'!$G$2:$G$1248)</f>
        <v>Euronext PAB Transatlantic 40</v>
      </c>
      <c r="B255" s="35" t="s">
        <v>3743</v>
      </c>
      <c r="C255" s="35" t="s">
        <v>4720</v>
      </c>
      <c r="D255" s="37" t="b">
        <f t="shared" si="3"/>
        <v>0</v>
      </c>
      <c r="E255" s="34">
        <v>1</v>
      </c>
      <c r="F255" s="34"/>
    </row>
    <row r="256" spans="1:6">
      <c r="A256" s="35" t="str">
        <f>_xlfn.XLOOKUP(B256,'Index 14-01'!$F$2:$F$1248,'Index 14-01'!$G$2:$G$1248)</f>
        <v>Euronext PAB Transatlantic 50</v>
      </c>
      <c r="B256" s="35" t="s">
        <v>3767</v>
      </c>
      <c r="C256" s="35" t="s">
        <v>4720</v>
      </c>
      <c r="D256" s="37" t="b">
        <f t="shared" si="3"/>
        <v>0</v>
      </c>
      <c r="E256" s="34">
        <v>1</v>
      </c>
      <c r="F256" s="34"/>
    </row>
    <row r="257" spans="1:7">
      <c r="A257" s="35" t="str">
        <f>_xlfn.XLOOKUP(B257,'Index 14-01'!$F$2:$F$1248,'Index 14-01'!$G$2:$G$1248)</f>
        <v>Euronext PAB Transatlantic 60</v>
      </c>
      <c r="B257" s="35" t="s">
        <v>3758</v>
      </c>
      <c r="C257" s="35" t="s">
        <v>4720</v>
      </c>
      <c r="D257" s="37" t="b">
        <f t="shared" si="3"/>
        <v>0</v>
      </c>
      <c r="E257" s="34">
        <v>1</v>
      </c>
      <c r="F257" s="34"/>
    </row>
    <row r="258" spans="1:7">
      <c r="A258" s="35" t="str">
        <f>_xlfn.XLOOKUP(B258,'Index 14-01'!$F$2:$F$1248,'Index 14-01'!$G$2:$G$1248)</f>
        <v>Euronext Positive Impact Water World</v>
      </c>
      <c r="B258" s="35" t="s">
        <v>3499</v>
      </c>
      <c r="C258" s="35" t="s">
        <v>4720</v>
      </c>
      <c r="D258" s="37" t="b">
        <f t="shared" ref="D258:D305" si="4">ISNUMBER(MATCH(B258,$J$1:$J$52,0))</f>
        <v>0</v>
      </c>
      <c r="E258" s="34">
        <v>1</v>
      </c>
      <c r="F258" s="34"/>
    </row>
    <row r="259" spans="1:7">
      <c r="A259" s="35" t="str">
        <f>_xlfn.XLOOKUP(B259,'Index 14-01'!$F$2:$F$1248,'Index 14-01'!$G$2:$G$1248)</f>
        <v>Euronext Reitsmarket Global Balanced</v>
      </c>
      <c r="B259" s="35" t="s">
        <v>1220</v>
      </c>
      <c r="C259" s="35" t="s">
        <v>4720</v>
      </c>
      <c r="D259" s="37" t="b">
        <f t="shared" si="4"/>
        <v>0</v>
      </c>
      <c r="E259" s="34">
        <v>1</v>
      </c>
      <c r="F259" s="34"/>
    </row>
    <row r="260" spans="1:7">
      <c r="A260" s="35" t="str">
        <f>_xlfn.XLOOKUP(B260,'Index 14-01'!$F$2:$F$1248,'Index 14-01'!$G$2:$G$1248)</f>
        <v>Euronext Social Goods and Services Eurozone</v>
      </c>
      <c r="B260" s="35" t="s">
        <v>3517</v>
      </c>
      <c r="C260" s="35" t="s">
        <v>4720</v>
      </c>
      <c r="D260" s="37" t="b">
        <f t="shared" si="4"/>
        <v>0</v>
      </c>
      <c r="E260" s="34">
        <v>1</v>
      </c>
      <c r="F260" s="34"/>
    </row>
    <row r="261" spans="1:7">
      <c r="A261" s="35" t="str">
        <f>_xlfn.XLOOKUP(B261,'Index 14-01'!$F$2:$F$1248,'Index 14-01'!$G$2:$G$1248)</f>
        <v>Euronext Social Goods and Services World</v>
      </c>
      <c r="B261" s="35" t="s">
        <v>3526</v>
      </c>
      <c r="C261" s="35" t="s">
        <v>4720</v>
      </c>
      <c r="D261" s="37" t="b">
        <f t="shared" si="4"/>
        <v>0</v>
      </c>
      <c r="E261" s="34">
        <v>1</v>
      </c>
      <c r="F261" s="34"/>
    </row>
    <row r="262" spans="1:7">
      <c r="A262" s="35" t="str">
        <f>_xlfn.XLOOKUP(B262,'Index 14-01'!$F$2:$F$1248,'Index 14-01'!$G$2:$G$1248)</f>
        <v>Euronext Switzerland 20 PAB</v>
      </c>
      <c r="B262" s="35" t="s">
        <v>3559</v>
      </c>
      <c r="C262" s="35" t="s">
        <v>4720</v>
      </c>
      <c r="D262" s="37" t="b">
        <f t="shared" si="4"/>
        <v>0</v>
      </c>
      <c r="E262" s="34">
        <v>1</v>
      </c>
      <c r="F262" s="34"/>
    </row>
    <row r="263" spans="1:7">
      <c r="A263" s="35" t="str">
        <f>_xlfn.XLOOKUP(B263,'Index 14-01'!$F$2:$F$1248,'Index 14-01'!$G$2:$G$1248)</f>
        <v>Euronext Tech Croissance</v>
      </c>
      <c r="B263" s="35" t="s">
        <v>2598</v>
      </c>
      <c r="C263" s="35" t="s">
        <v>4720</v>
      </c>
      <c r="D263" s="37" t="b">
        <f t="shared" si="4"/>
        <v>0</v>
      </c>
      <c r="E263" s="34">
        <v>1</v>
      </c>
      <c r="F263" s="34"/>
    </row>
    <row r="264" spans="1:7">
      <c r="A264" s="35" t="str">
        <f>_xlfn.XLOOKUP(B264,'Index 14-01'!$F$2:$F$1248,'Index 14-01'!$G$2:$G$1248)</f>
        <v>Euronext Tech Leaders</v>
      </c>
      <c r="B264" s="35" t="s">
        <v>2126</v>
      </c>
      <c r="C264" s="35" t="s">
        <v>4720</v>
      </c>
      <c r="D264" s="37" t="b">
        <f t="shared" si="4"/>
        <v>0</v>
      </c>
      <c r="E264" s="34">
        <v>1</v>
      </c>
      <c r="F264" s="34"/>
    </row>
    <row r="265" spans="1:7">
      <c r="A265" s="35" t="str">
        <f>_xlfn.XLOOKUP(B265,'Index 14-01'!$F$2:$F$1248,'Index 14-01'!$G$2:$G$1248)</f>
        <v>Euronext US Consumer Tech Energy</v>
      </c>
      <c r="B265" s="35" t="s">
        <v>1688</v>
      </c>
      <c r="C265" s="35" t="s">
        <v>4720</v>
      </c>
      <c r="D265" s="37" t="b">
        <f t="shared" si="4"/>
        <v>0</v>
      </c>
      <c r="E265" s="34">
        <v>1</v>
      </c>
      <c r="F265" s="34"/>
    </row>
    <row r="266" spans="1:7">
      <c r="A266" s="35" t="str">
        <f>_xlfn.XLOOKUP(B266,'Index 14-01'!$F$2:$F$1248,'Index 14-01'!$G$2:$G$1248)</f>
        <v>Euronext World Country selection</v>
      </c>
      <c r="B266" s="35" t="s">
        <v>870</v>
      </c>
      <c r="C266" s="35" t="s">
        <v>4720</v>
      </c>
      <c r="D266" s="37" t="b">
        <f t="shared" si="4"/>
        <v>0</v>
      </c>
      <c r="E266" s="34">
        <v>1</v>
      </c>
      <c r="F266" s="34"/>
    </row>
    <row r="267" spans="1:7">
      <c r="A267" s="35" t="str">
        <f>_xlfn.XLOOKUP(B267,'Index 14-01'!$F$2:$F$1248,'Index 14-01'!$G$2:$G$1248)</f>
        <v>Euronext World Invest In France 40</v>
      </c>
      <c r="B267" s="35" t="s">
        <v>2894</v>
      </c>
      <c r="C267" s="35" t="s">
        <v>4720</v>
      </c>
      <c r="D267" s="37" t="b">
        <f t="shared" si="4"/>
        <v>0</v>
      </c>
      <c r="E267" s="34">
        <v>1</v>
      </c>
      <c r="F267" s="34"/>
    </row>
    <row r="268" spans="1:7">
      <c r="A268" s="35" t="str">
        <f>_xlfn.XLOOKUP(B268,'Index 14-01'!$F$2:$F$1248,'Index 14-01'!$G$2:$G$1248)</f>
        <v>Euronext World Sustainability and Climate Screened</v>
      </c>
      <c r="B268" s="35" t="s">
        <v>3632</v>
      </c>
      <c r="C268" s="35" t="s">
        <v>4720</v>
      </c>
      <c r="D268" s="37" t="b">
        <f t="shared" si="4"/>
        <v>0</v>
      </c>
      <c r="E268" s="34">
        <v>1</v>
      </c>
      <c r="F268" s="34"/>
    </row>
    <row r="269" spans="1:7">
      <c r="A269" s="35" t="str">
        <f>_xlfn.XLOOKUP(B269,'Index 14-01'!$F$2:$F$1248,'Index 14-01'!$G$2:$G$1248)</f>
        <v>Next 150 Index</v>
      </c>
      <c r="B269" s="35" t="s">
        <v>2764</v>
      </c>
      <c r="C269" s="35" t="s">
        <v>4720</v>
      </c>
      <c r="D269" s="37" t="b">
        <f t="shared" si="4"/>
        <v>0</v>
      </c>
      <c r="E269" s="34">
        <v>1</v>
      </c>
      <c r="F269" s="34"/>
    </row>
    <row r="270" spans="1:7">
      <c r="A270" s="35" t="str">
        <f>_xlfn.XLOOKUP(B270,'Index 14-01'!$F$2:$F$1248,'Index 14-01'!$G$2:$G$1248)</f>
        <v>Next Biotech</v>
      </c>
      <c r="B270" s="35" t="s">
        <v>450</v>
      </c>
      <c r="C270" s="35" t="s">
        <v>4720</v>
      </c>
      <c r="D270" s="37" t="b">
        <f t="shared" si="4"/>
        <v>0</v>
      </c>
      <c r="E270" s="34">
        <v>1</v>
      </c>
      <c r="F270" s="34"/>
    </row>
    <row r="271" spans="1:7">
      <c r="A271" t="str">
        <f>_xlfn.XLOOKUP(B271,'Index 14-01'!$F$2:$F$1248,'Index 14-01'!$G$2:$G$1248)</f>
        <v>Euronext Transatlantic</v>
      </c>
      <c r="B271" t="s">
        <v>2117</v>
      </c>
      <c r="C271" t="s">
        <v>4724</v>
      </c>
      <c r="D271" s="37" t="b">
        <f t="shared" si="4"/>
        <v>0</v>
      </c>
      <c r="E271" s="34">
        <v>1</v>
      </c>
      <c r="F271" s="34"/>
      <c r="G271" t="s">
        <v>4738</v>
      </c>
    </row>
    <row r="272" spans="1:7">
      <c r="A272" t="s">
        <v>1647</v>
      </c>
      <c r="B272" s="38" t="s">
        <v>1646</v>
      </c>
      <c r="C272" t="s">
        <v>4720</v>
      </c>
      <c r="D272" s="37" t="b">
        <f t="shared" si="4"/>
        <v>0</v>
      </c>
      <c r="E272" s="34">
        <v>1</v>
      </c>
      <c r="F272" s="34"/>
      <c r="G272" t="s">
        <v>4740</v>
      </c>
    </row>
    <row r="273" spans="1:7">
      <c r="A273" t="s">
        <v>1651</v>
      </c>
      <c r="B273" s="38" t="s">
        <v>1650</v>
      </c>
      <c r="C273" t="s">
        <v>4720</v>
      </c>
      <c r="D273" s="37" t="b">
        <f t="shared" si="4"/>
        <v>0</v>
      </c>
      <c r="E273" s="34">
        <v>1</v>
      </c>
      <c r="F273" s="34"/>
      <c r="G273" t="s">
        <v>4740</v>
      </c>
    </row>
    <row r="274" spans="1:7">
      <c r="A274" t="s">
        <v>1649</v>
      </c>
      <c r="B274" s="38" t="s">
        <v>1648</v>
      </c>
      <c r="C274" t="s">
        <v>4720</v>
      </c>
      <c r="D274" s="37" t="b">
        <f t="shared" si="4"/>
        <v>0</v>
      </c>
      <c r="E274" s="34">
        <v>1</v>
      </c>
      <c r="G274" t="s">
        <v>4740</v>
      </c>
    </row>
    <row r="275" spans="1:7">
      <c r="A275" t="s">
        <v>1641</v>
      </c>
      <c r="B275" s="38" t="s">
        <v>1640</v>
      </c>
      <c r="C275" t="s">
        <v>4720</v>
      </c>
      <c r="D275" s="37" t="b">
        <f t="shared" si="4"/>
        <v>0</v>
      </c>
      <c r="E275" s="34">
        <v>1</v>
      </c>
      <c r="G275" t="s">
        <v>4740</v>
      </c>
    </row>
    <row r="276" spans="1:7">
      <c r="A276" t="s">
        <v>1643</v>
      </c>
      <c r="B276" s="38" t="s">
        <v>1642</v>
      </c>
      <c r="C276" t="s">
        <v>4720</v>
      </c>
      <c r="D276" s="37" t="b">
        <f t="shared" si="4"/>
        <v>0</v>
      </c>
      <c r="E276" s="34">
        <v>1</v>
      </c>
      <c r="G276" t="s">
        <v>4740</v>
      </c>
    </row>
    <row r="277" spans="1:7">
      <c r="A277" t="s">
        <v>1645</v>
      </c>
      <c r="B277" s="38" t="s">
        <v>1644</v>
      </c>
      <c r="C277" t="s">
        <v>4720</v>
      </c>
      <c r="D277" s="37" t="b">
        <f t="shared" si="4"/>
        <v>0</v>
      </c>
      <c r="E277" s="34">
        <v>1</v>
      </c>
      <c r="G277" t="s">
        <v>4740</v>
      </c>
    </row>
    <row r="278" spans="1:7">
      <c r="A278" t="s">
        <v>1659</v>
      </c>
      <c r="B278" s="38" t="s">
        <v>1658</v>
      </c>
      <c r="C278" t="s">
        <v>4720</v>
      </c>
      <c r="D278" s="37" t="b">
        <f t="shared" si="4"/>
        <v>0</v>
      </c>
      <c r="E278" s="34">
        <v>1</v>
      </c>
      <c r="G278" t="s">
        <v>4740</v>
      </c>
    </row>
    <row r="279" spans="1:7">
      <c r="A279" t="s">
        <v>1653</v>
      </c>
      <c r="B279" s="38" t="s">
        <v>1652</v>
      </c>
      <c r="C279" t="s">
        <v>4720</v>
      </c>
      <c r="D279" s="37" t="b">
        <f t="shared" si="4"/>
        <v>0</v>
      </c>
      <c r="E279" s="34">
        <v>1</v>
      </c>
      <c r="G279" t="s">
        <v>4740</v>
      </c>
    </row>
    <row r="280" spans="1:7">
      <c r="A280" t="s">
        <v>1655</v>
      </c>
      <c r="B280" s="38" t="s">
        <v>1654</v>
      </c>
      <c r="C280" t="s">
        <v>4720</v>
      </c>
      <c r="D280" s="37" t="b">
        <f t="shared" si="4"/>
        <v>0</v>
      </c>
      <c r="E280" s="34">
        <v>1</v>
      </c>
      <c r="G280" t="s">
        <v>4740</v>
      </c>
    </row>
    <row r="281" spans="1:7">
      <c r="A281" t="s">
        <v>1657</v>
      </c>
      <c r="B281" s="38" t="s">
        <v>1656</v>
      </c>
      <c r="C281" t="s">
        <v>4720</v>
      </c>
      <c r="D281" s="37" t="b">
        <f t="shared" si="4"/>
        <v>0</v>
      </c>
      <c r="E281" s="34">
        <v>1</v>
      </c>
      <c r="G281" t="s">
        <v>4740</v>
      </c>
    </row>
    <row r="282" spans="1:7">
      <c r="A282" t="s">
        <v>1460</v>
      </c>
      <c r="B282" s="38" t="s">
        <v>1459</v>
      </c>
      <c r="C282" t="s">
        <v>4720</v>
      </c>
      <c r="D282" s="37" t="b">
        <f t="shared" si="4"/>
        <v>0</v>
      </c>
      <c r="E282" s="34">
        <v>1</v>
      </c>
      <c r="G282" t="s">
        <v>4737</v>
      </c>
    </row>
    <row r="283" spans="1:7">
      <c r="A283" t="s">
        <v>1442</v>
      </c>
      <c r="B283" s="38" t="s">
        <v>1441</v>
      </c>
      <c r="C283" t="s">
        <v>4720</v>
      </c>
      <c r="D283" s="37" t="b">
        <f t="shared" si="4"/>
        <v>0</v>
      </c>
      <c r="E283" s="34">
        <v>1</v>
      </c>
      <c r="G283" t="s">
        <v>4737</v>
      </c>
    </row>
    <row r="284" spans="1:7">
      <c r="A284" t="s">
        <v>1451</v>
      </c>
      <c r="B284" s="38" t="s">
        <v>1450</v>
      </c>
      <c r="C284" t="s">
        <v>4720</v>
      </c>
      <c r="D284" s="37" t="b">
        <f t="shared" si="4"/>
        <v>0</v>
      </c>
      <c r="E284" s="34">
        <v>1</v>
      </c>
      <c r="G284" t="s">
        <v>4737</v>
      </c>
    </row>
    <row r="285" spans="1:7">
      <c r="A285" t="s">
        <v>1469</v>
      </c>
      <c r="B285" s="38" t="s">
        <v>1468</v>
      </c>
      <c r="C285" t="s">
        <v>4720</v>
      </c>
      <c r="D285" s="37" t="b">
        <f t="shared" si="4"/>
        <v>0</v>
      </c>
      <c r="E285" s="34">
        <v>1</v>
      </c>
      <c r="G285" t="s">
        <v>4737</v>
      </c>
    </row>
    <row r="286" spans="1:7">
      <c r="A286" t="s">
        <v>1487</v>
      </c>
      <c r="B286" s="38" t="s">
        <v>1486</v>
      </c>
      <c r="C286" t="s">
        <v>4720</v>
      </c>
      <c r="D286" s="37" t="b">
        <f t="shared" si="4"/>
        <v>0</v>
      </c>
      <c r="E286" s="34">
        <v>1</v>
      </c>
      <c r="G286" t="s">
        <v>4738</v>
      </c>
    </row>
    <row r="287" spans="1:7">
      <c r="A287" t="s">
        <v>1532</v>
      </c>
      <c r="B287" s="38" t="s">
        <v>1531</v>
      </c>
      <c r="C287" t="s">
        <v>4720</v>
      </c>
      <c r="D287" s="37" t="b">
        <f t="shared" si="4"/>
        <v>0</v>
      </c>
      <c r="E287" s="34">
        <v>1</v>
      </c>
      <c r="G287" t="s">
        <v>4738</v>
      </c>
    </row>
    <row r="288" spans="1:7">
      <c r="A288" t="s">
        <v>1541</v>
      </c>
      <c r="B288" s="38" t="s">
        <v>1540</v>
      </c>
      <c r="C288" t="s">
        <v>4720</v>
      </c>
      <c r="D288" s="37" t="b">
        <f t="shared" si="4"/>
        <v>0</v>
      </c>
      <c r="E288" s="34">
        <v>1</v>
      </c>
      <c r="G288" t="s">
        <v>4738</v>
      </c>
    </row>
    <row r="289" spans="1:7">
      <c r="A289" t="s">
        <v>1550</v>
      </c>
      <c r="B289" s="38" t="s">
        <v>1549</v>
      </c>
      <c r="C289" t="s">
        <v>4720</v>
      </c>
      <c r="D289" s="37" t="b">
        <f t="shared" si="4"/>
        <v>0</v>
      </c>
      <c r="E289" s="34">
        <v>1</v>
      </c>
      <c r="G289" t="s">
        <v>4738</v>
      </c>
    </row>
    <row r="290" spans="1:7">
      <c r="A290" t="s">
        <v>1514</v>
      </c>
      <c r="B290" s="38" t="s">
        <v>1513</v>
      </c>
      <c r="C290" t="s">
        <v>4720</v>
      </c>
      <c r="D290" s="37" t="b">
        <f t="shared" si="4"/>
        <v>0</v>
      </c>
      <c r="E290" s="34">
        <v>1</v>
      </c>
      <c r="G290" t="s">
        <v>4738</v>
      </c>
    </row>
    <row r="291" spans="1:7">
      <c r="A291" t="s">
        <v>1559</v>
      </c>
      <c r="B291" s="38" t="s">
        <v>1558</v>
      </c>
      <c r="C291" t="s">
        <v>4720</v>
      </c>
      <c r="D291" s="37" t="b">
        <f t="shared" si="4"/>
        <v>0</v>
      </c>
      <c r="E291" s="34">
        <v>1</v>
      </c>
      <c r="G291" t="s">
        <v>4738</v>
      </c>
    </row>
    <row r="292" spans="1:7">
      <c r="A292" t="s">
        <v>1505</v>
      </c>
      <c r="B292" s="38" t="s">
        <v>1504</v>
      </c>
      <c r="C292" t="s">
        <v>4720</v>
      </c>
      <c r="D292" s="37" t="b">
        <f t="shared" si="4"/>
        <v>0</v>
      </c>
      <c r="E292" s="34">
        <v>1</v>
      </c>
      <c r="G292" t="s">
        <v>4738</v>
      </c>
    </row>
    <row r="293" spans="1:7">
      <c r="A293" t="s">
        <v>1478</v>
      </c>
      <c r="B293" s="38" t="s">
        <v>1477</v>
      </c>
      <c r="C293" t="s">
        <v>4720</v>
      </c>
      <c r="D293" s="37" t="b">
        <f t="shared" si="4"/>
        <v>0</v>
      </c>
      <c r="E293" s="34">
        <v>1</v>
      </c>
      <c r="G293" t="s">
        <v>4738</v>
      </c>
    </row>
    <row r="294" spans="1:7">
      <c r="A294" t="s">
        <v>1523</v>
      </c>
      <c r="B294" s="38" t="s">
        <v>1522</v>
      </c>
      <c r="C294" t="s">
        <v>4720</v>
      </c>
      <c r="D294" s="37" t="b">
        <f t="shared" si="4"/>
        <v>0</v>
      </c>
      <c r="E294" s="34">
        <v>1</v>
      </c>
      <c r="G294" t="s">
        <v>4738</v>
      </c>
    </row>
    <row r="295" spans="1:7">
      <c r="A295" t="s">
        <v>1496</v>
      </c>
      <c r="B295" s="38" t="s">
        <v>1495</v>
      </c>
      <c r="C295" t="s">
        <v>4720</v>
      </c>
      <c r="D295" s="37" t="b">
        <f t="shared" si="4"/>
        <v>0</v>
      </c>
      <c r="E295" s="34">
        <v>1</v>
      </c>
      <c r="G295" t="s">
        <v>4738</v>
      </c>
    </row>
    <row r="296" spans="1:7">
      <c r="A296" s="38" t="s">
        <v>4727</v>
      </c>
      <c r="B296" s="38" t="s">
        <v>4728</v>
      </c>
      <c r="C296" t="s">
        <v>4720</v>
      </c>
      <c r="D296" s="37" t="b">
        <f t="shared" si="4"/>
        <v>0</v>
      </c>
      <c r="E296" s="34">
        <v>1</v>
      </c>
      <c r="G296" t="s">
        <v>4736</v>
      </c>
    </row>
    <row r="297" spans="1:7">
      <c r="A297" s="38" t="s">
        <v>4729</v>
      </c>
      <c r="B297" s="38" t="s">
        <v>4730</v>
      </c>
      <c r="C297" t="s">
        <v>4720</v>
      </c>
      <c r="D297" s="37" t="b">
        <f t="shared" si="4"/>
        <v>0</v>
      </c>
      <c r="E297" s="34">
        <v>1</v>
      </c>
      <c r="G297" t="s">
        <v>4736</v>
      </c>
    </row>
    <row r="298" spans="1:7">
      <c r="A298" s="38" t="s">
        <v>4731</v>
      </c>
      <c r="B298" s="38" t="s">
        <v>4732</v>
      </c>
      <c r="C298" t="s">
        <v>4720</v>
      </c>
      <c r="D298" s="37" t="b">
        <f t="shared" si="4"/>
        <v>0</v>
      </c>
      <c r="E298" s="34">
        <v>1</v>
      </c>
      <c r="G298" t="s">
        <v>4736</v>
      </c>
    </row>
    <row r="299" spans="1:7">
      <c r="A299" s="38" t="s">
        <v>4733</v>
      </c>
      <c r="B299" s="38" t="s">
        <v>4734</v>
      </c>
      <c r="C299" t="s">
        <v>4720</v>
      </c>
      <c r="D299" s="37" t="b">
        <f t="shared" si="4"/>
        <v>0</v>
      </c>
      <c r="E299" s="34">
        <v>1</v>
      </c>
      <c r="G299" t="s">
        <v>4736</v>
      </c>
    </row>
    <row r="300" spans="1:7">
      <c r="A300" s="38" t="s">
        <v>1397</v>
      </c>
      <c r="B300" s="38" t="s">
        <v>1396</v>
      </c>
      <c r="C300" t="s">
        <v>4720</v>
      </c>
      <c r="D300" s="37" t="b">
        <f t="shared" si="4"/>
        <v>0</v>
      </c>
      <c r="E300" s="34">
        <v>1</v>
      </c>
      <c r="G300" t="s">
        <v>4736</v>
      </c>
    </row>
    <row r="301" spans="1:7">
      <c r="A301" s="38" t="s">
        <v>1406</v>
      </c>
      <c r="B301" s="38" t="s">
        <v>1405</v>
      </c>
      <c r="C301" t="s">
        <v>4720</v>
      </c>
      <c r="D301" s="37" t="b">
        <f t="shared" si="4"/>
        <v>0</v>
      </c>
      <c r="E301" s="34">
        <v>1</v>
      </c>
      <c r="G301" t="s">
        <v>4736</v>
      </c>
    </row>
    <row r="302" spans="1:7">
      <c r="A302" s="38" t="s">
        <v>1433</v>
      </c>
      <c r="B302" s="38" t="s">
        <v>1432</v>
      </c>
      <c r="C302" t="s">
        <v>4720</v>
      </c>
      <c r="D302" s="37" t="b">
        <f t="shared" si="4"/>
        <v>0</v>
      </c>
      <c r="E302" s="34">
        <v>1</v>
      </c>
      <c r="G302" t="s">
        <v>4736</v>
      </c>
    </row>
    <row r="303" spans="1:7">
      <c r="A303" s="38" t="s">
        <v>1424</v>
      </c>
      <c r="B303" s="38" t="s">
        <v>1423</v>
      </c>
      <c r="C303" t="s">
        <v>4720</v>
      </c>
      <c r="D303" s="37" t="b">
        <f t="shared" si="4"/>
        <v>0</v>
      </c>
      <c r="E303" s="34">
        <v>1</v>
      </c>
      <c r="G303" t="s">
        <v>4736</v>
      </c>
    </row>
    <row r="304" spans="1:7">
      <c r="A304" s="38" t="s">
        <v>1415</v>
      </c>
      <c r="B304" s="38" t="s">
        <v>1414</v>
      </c>
      <c r="C304" t="s">
        <v>4720</v>
      </c>
      <c r="D304" s="37" t="b">
        <f t="shared" si="4"/>
        <v>0</v>
      </c>
      <c r="E304" s="34">
        <v>1</v>
      </c>
      <c r="G304" t="s">
        <v>4736</v>
      </c>
    </row>
    <row r="305" spans="1:7">
      <c r="A305" s="38" t="s">
        <v>4735</v>
      </c>
      <c r="B305" s="38" t="s">
        <v>1387</v>
      </c>
      <c r="C305" t="s">
        <v>4720</v>
      </c>
      <c r="D305" s="37" t="b">
        <f t="shared" si="4"/>
        <v>0</v>
      </c>
      <c r="E305" s="34">
        <v>1</v>
      </c>
      <c r="G305" t="s">
        <v>4736</v>
      </c>
    </row>
  </sheetData>
  <pageMargins left="0.7" right="0.7" top="0.75" bottom="0.75" header="0.3" footer="0.3"/>
  <pageSetup paperSize="9" orientation="portrait" r:id="rId1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To automate</vt:lpstr>
      <vt:lpstr>Full sheet Francesco</vt:lpstr>
      <vt:lpstr>AUM</vt:lpstr>
      <vt:lpstr>Index 14-01</vt:lpstr>
      <vt:lpstr>Old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2025-07-24T11:56:22Z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