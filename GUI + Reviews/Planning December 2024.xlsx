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Planning\"/>
    </mc:Choice>
  </mc:AlternateContent>
  <xr:revisionPtr revIDLastSave="0" documentId="13_ncr:1_{47198231-C3CB-426E-82EE-01BE4DAC30ED}" xr6:coauthVersionLast="47" xr6:coauthVersionMax="47" xr10:uidLastSave="{00000000-0000-0000-0000-000000000000}"/>
  <bookViews>
    <workbookView xWindow="29235" yWindow="-17970" windowWidth="29040" windowHeight="17640" firstSheet="1" activeTab="1" xr2:uid="{5E1D7EDC-B32D-4BD5-8B04-6BEA3A2560ED}"/>
  </bookViews>
  <sheets>
    <sheet name="Sheet1" sheetId="1" state="hidden" r:id="rId1"/>
    <sheet name="Planning" sheetId="3" r:id="rId2"/>
  </sheets>
  <definedNames>
    <definedName name="_xlnm._FilterDatabase" localSheetId="1" hidden="1">Planning!$A$1:$U$134</definedName>
    <definedName name="_xlnm._FilterDatabase" localSheetId="0" hidden="1">Sheet1!$A$16:$J$80</definedName>
    <definedName name="_xlnm.Print_Area" localSheetId="0">Sheet1!$A$1:$J$76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1" i="3" l="1" a="1"/>
  <c r="B131" i="3" s="1"/>
  <c r="F134" i="3" l="1"/>
  <c r="K134" i="3"/>
  <c r="E134" i="3"/>
  <c r="H134" i="3"/>
  <c r="M134" i="3"/>
  <c r="D134" i="3"/>
  <c r="G134" i="3"/>
  <c r="J134" i="3"/>
  <c r="L134" i="3"/>
  <c r="B134" i="3"/>
  <c r="I134" i="3"/>
  <c r="C134" i="3"/>
  <c r="B87" i="1"/>
  <c r="F90" i="1"/>
  <c r="F92" i="1" s="1"/>
  <c r="F91" i="1"/>
  <c r="B91" i="1" l="1"/>
  <c r="B90" i="1"/>
  <c r="C91" i="1"/>
  <c r="C90" i="1"/>
  <c r="D91" i="1"/>
  <c r="D90" i="1"/>
  <c r="E91" i="1"/>
  <c r="H91" i="1"/>
  <c r="G91" i="1"/>
  <c r="G90" i="1"/>
  <c r="H90" i="1"/>
  <c r="E90" i="1"/>
  <c r="B92" i="1" l="1"/>
  <c r="H92" i="1"/>
  <c r="E92" i="1"/>
  <c r="D92" i="1"/>
  <c r="G92" i="1"/>
  <c r="C9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<sst xmlns="http://schemas.openxmlformats.org/spreadsheetml/2006/main" count="1874" uniqueCount="450">
  <si>
    <t/>
  </si>
  <si>
    <t>Review</t>
  </si>
  <si>
    <t>C20EX</t>
  </si>
  <si>
    <t>CAC Top 20 Export</t>
  </si>
  <si>
    <t>Only rebalance on March, June and December. Review in September</t>
  </si>
  <si>
    <t>AETAW</t>
  </si>
  <si>
    <t>AEX Alternative Weighting</t>
  </si>
  <si>
    <t>AEX All Tradeable</t>
  </si>
  <si>
    <t>Free float &amp; shares changed in March, quarterly if free change &gt;10% or number shares change &gt;20%</t>
  </si>
  <si>
    <t>BEL Family</t>
  </si>
  <si>
    <t>CAGOV</t>
  </si>
  <si>
    <t>Cac 40 Governance</t>
  </si>
  <si>
    <t>Query rates from Vigeo Eiris rates on cut-off date</t>
  </si>
  <si>
    <t>CAPW</t>
  </si>
  <si>
    <t>CAC Performance weighted</t>
  </si>
  <si>
    <t>Rebalancing every month, review composition Mar, Jun, Sept and Dec. Composition can be done on Thursday before effective day</t>
  </si>
  <si>
    <t>CAC/AEX Equal Weight</t>
  </si>
  <si>
    <t>CAC Family</t>
  </si>
  <si>
    <t>ESG50</t>
  </si>
  <si>
    <t>Euronext ESG Euro 50</t>
  </si>
  <si>
    <t>Underlying universe is mother index Eurozone 300, Vigeo Eiris is providing the ESG scores</t>
  </si>
  <si>
    <t>BNEW</t>
  </si>
  <si>
    <t>Bene40 Equal Weight</t>
  </si>
  <si>
    <t>Core Europe</t>
  </si>
  <si>
    <t>ESF5P</t>
  </si>
  <si>
    <t>SBF Top 50 ESG</t>
  </si>
  <si>
    <t>Underlying is the SBF120</t>
  </si>
  <si>
    <t>FRECP</t>
  </si>
  <si>
    <t>Euronext France 20-40 Challengers</t>
  </si>
  <si>
    <t>France German Leaders 50</t>
  </si>
  <si>
    <t>Mother index Eurozone 300 can be used as underlying (not in rulebook)</t>
  </si>
  <si>
    <t>SBF80</t>
  </si>
  <si>
    <t>SBF 80</t>
  </si>
  <si>
    <t>EFMEP</t>
  </si>
  <si>
    <t>Founding Members</t>
  </si>
  <si>
    <t>EZ40P</t>
  </si>
  <si>
    <t>Underlying universe is mother index Eurozone 300</t>
  </si>
  <si>
    <t>ESE4P</t>
  </si>
  <si>
    <t>Eurozone ESG Leaders 40</t>
  </si>
  <si>
    <t>CLF4P</t>
  </si>
  <si>
    <t>France Energy Transition Leaders 40</t>
  </si>
  <si>
    <t>ES1EP</t>
  </si>
  <si>
    <t>Europe Sustainable 100</t>
  </si>
  <si>
    <t>Underlying is mother index Europe 500</t>
  </si>
  <si>
    <t>ESF4P</t>
  </si>
  <si>
    <t>France ESG Leaders 40</t>
  </si>
  <si>
    <t>CLE5P</t>
  </si>
  <si>
    <t>Eurozone Energy Transition Leaders 50</t>
  </si>
  <si>
    <t>EZ60P</t>
  </si>
  <si>
    <t>Eurozone 60</t>
  </si>
  <si>
    <t>FEZ6P</t>
  </si>
  <si>
    <t xml:space="preserve">France Eurozone 60 </t>
  </si>
  <si>
    <t>EZ70P</t>
  </si>
  <si>
    <t>Eurozone 70</t>
  </si>
  <si>
    <t>EZ15P</t>
  </si>
  <si>
    <t>Eurozone 150</t>
  </si>
  <si>
    <t>EZN1P</t>
  </si>
  <si>
    <t>Eurozone Next 100</t>
  </si>
  <si>
    <t>ESG1P</t>
  </si>
  <si>
    <t>Eurozone 100 ESG</t>
  </si>
  <si>
    <t>Underlying universe is mother index Eurozone 300, ESG scores provided</t>
  </si>
  <si>
    <t>EZ80P</t>
  </si>
  <si>
    <t>Eurozone 80</t>
  </si>
  <si>
    <t>BESGP</t>
  </si>
  <si>
    <t>Benelux ESG Leaders 20</t>
  </si>
  <si>
    <t>EZMLP</t>
  </si>
  <si>
    <t xml:space="preserve">Eurozone Mid and Large 60 </t>
  </si>
  <si>
    <t>FRN4P</t>
  </si>
  <si>
    <t>France Next 40</t>
  </si>
  <si>
    <t>Selection out of SBF120</t>
  </si>
  <si>
    <t>FR20P</t>
  </si>
  <si>
    <t>France 20</t>
  </si>
  <si>
    <t>Selection out of CAC40</t>
  </si>
  <si>
    <t>FRENP</t>
  </si>
  <si>
    <t>CDP Environment France</t>
  </si>
  <si>
    <t>F4RIP</t>
  </si>
  <si>
    <t>Responsible Investment Euronext France 40</t>
  </si>
  <si>
    <t>Underlying is CAC40 and Large 60</t>
  </si>
  <si>
    <t>C6RIP</t>
  </si>
  <si>
    <t>Responsible Investment CAC Large 60</t>
  </si>
  <si>
    <t>ERI5P</t>
  </si>
  <si>
    <t>Responsible Investment Euro 50</t>
  </si>
  <si>
    <t>Mother index; Prelim. Selection send to index design, they decide on potential inclusions</t>
  </si>
  <si>
    <t>ISE20</t>
  </si>
  <si>
    <t>ISEQ Family</t>
  </si>
  <si>
    <t>EZENP</t>
  </si>
  <si>
    <t>CDP Environment Eurozone</t>
  </si>
  <si>
    <t>WLENP</t>
  </si>
  <si>
    <t>CDP Environment World</t>
  </si>
  <si>
    <t>SG50P</t>
  </si>
  <si>
    <t>Euro 50 Social Governance</t>
  </si>
  <si>
    <t>Underlying is Mother Index Eurozone 300</t>
  </si>
  <si>
    <t>EUS5P</t>
  </si>
  <si>
    <t>Transatlantic Leaders 50 EW</t>
  </si>
  <si>
    <t>Underlying universe is mother index Eurozone 300 + 50 largest FF Mcap US; Composition to be announced on Wednesday on base of Tuesday close</t>
  </si>
  <si>
    <t>Date</t>
  </si>
  <si>
    <t>Effective-Date Review</t>
  </si>
  <si>
    <t>FF</t>
  </si>
  <si>
    <t>Mnemo(s)</t>
  </si>
  <si>
    <t>Event</t>
  </si>
  <si>
    <t>Name Group</t>
  </si>
  <si>
    <t>Person 1: Old sheet</t>
  </si>
  <si>
    <t>Comments</t>
  </si>
  <si>
    <t>With new sheets</t>
  </si>
  <si>
    <t>Person 2: New sheet</t>
  </si>
  <si>
    <t>Person 2: Old sheet</t>
  </si>
  <si>
    <t>Roland</t>
  </si>
  <si>
    <t>Silvo</t>
  </si>
  <si>
    <t>Martijn</t>
  </si>
  <si>
    <t>Edwin</t>
  </si>
  <si>
    <t>Lennart</t>
  </si>
  <si>
    <t>Count</t>
  </si>
  <si>
    <t>Total Reviews:</t>
  </si>
  <si>
    <t>Old sheets:</t>
  </si>
  <si>
    <t>New sheets:</t>
  </si>
  <si>
    <t>Kelly</t>
  </si>
  <si>
    <t>With old sheets</t>
  </si>
  <si>
    <t>Eurozone 40 EW</t>
  </si>
  <si>
    <t>ESGTP</t>
  </si>
  <si>
    <t xml:space="preserve">Euronext Transatlantic ESG Leaders 60 </t>
  </si>
  <si>
    <t>WESGP</t>
  </si>
  <si>
    <t>Euronext CDP Environment ESG World</t>
  </si>
  <si>
    <t>EESGP</t>
  </si>
  <si>
    <t>Euronext CDP Environment ESG Eurozone EW</t>
  </si>
  <si>
    <t>FESGP</t>
  </si>
  <si>
    <t>Euronext CDP Environment ESG France</t>
  </si>
  <si>
    <t>GRE5P</t>
  </si>
  <si>
    <t>Euronext Green Planet</t>
  </si>
  <si>
    <t>EBLRE</t>
  </si>
  <si>
    <t>ENPME</t>
  </si>
  <si>
    <t>Enternext 150</t>
  </si>
  <si>
    <t>CAPME</t>
  </si>
  <si>
    <t>CAC PME</t>
  </si>
  <si>
    <t>Mother index Eurozone 300 can be used as underlying universe (not in rulebook)</t>
  </si>
  <si>
    <t>CDP provides CDP score; annual review in March</t>
  </si>
  <si>
    <t>Underlying Universe in Mother index Eurozone 300; CDP provides CDP score; annual review in March</t>
  </si>
  <si>
    <t>CDP provides CDP score; annual review in March. US index, review composition sent out +1 (Thursday morning instead of Wednesday night)</t>
  </si>
  <si>
    <t>Review 5 parts (effectuate first 5 trading dates). Announce new divisor last trading day.</t>
  </si>
  <si>
    <t xml:space="preserve">Silvo </t>
  </si>
  <si>
    <t xml:space="preserve">Edwin </t>
  </si>
  <si>
    <t>CDP provides CDP score; annual review in March. US index, review composition sent out +1 (Thursday morning instead of Wednesday night). Only Review Announcement at Annual.</t>
  </si>
  <si>
    <t>GRF5P</t>
  </si>
  <si>
    <t>Euronext Green Planet France</t>
  </si>
  <si>
    <t>CLAEP</t>
  </si>
  <si>
    <t>Euronext Climate Ambition Eurozone 50</t>
  </si>
  <si>
    <t>EPEGP</t>
  </si>
  <si>
    <t>Euronext Europe Pioneers 50 ESG EW</t>
  </si>
  <si>
    <t>ESGEP</t>
  </si>
  <si>
    <t>Euronext Eurozone ESG Leaders Select 40</t>
  </si>
  <si>
    <t>ESGFP</t>
  </si>
  <si>
    <t>Euronext France ESG Leaders Select 30</t>
  </si>
  <si>
    <t>Benelux Low Risk 20</t>
  </si>
  <si>
    <t>CACEW CAEWC CLEW CLEWE AEXEW</t>
  </si>
  <si>
    <t>BEL20 BELM BELS</t>
  </si>
  <si>
    <t>PX1 CACT CACLG CACMS CACMD CN20 CACS PX4</t>
  </si>
  <si>
    <t>EC1EW COR3P CEE3P CEE1P</t>
  </si>
  <si>
    <t>EFGP EFGEW</t>
  </si>
  <si>
    <t>ENESG</t>
  </si>
  <si>
    <t>Euronext Eurozone ESG Large 80</t>
  </si>
  <si>
    <t>Francesco</t>
  </si>
  <si>
    <t>New Index</t>
  </si>
  <si>
    <t>AEX Family *</t>
  </si>
  <si>
    <t>PSI 20 *</t>
  </si>
  <si>
    <t>PSI 20 ex Banks *</t>
  </si>
  <si>
    <t>Europe 500 *</t>
  </si>
  <si>
    <t>Eurozone 300 *</t>
  </si>
  <si>
    <t>FGINP *</t>
  </si>
  <si>
    <t xml:space="preserve">FREEP * </t>
  </si>
  <si>
    <t xml:space="preserve">Roland </t>
  </si>
  <si>
    <t>AETAW AEXAT</t>
  </si>
  <si>
    <t>AEX AMX ASCX</t>
  </si>
  <si>
    <t>PSI20</t>
  </si>
  <si>
    <t>Top 30 France German Industrials</t>
  </si>
  <si>
    <t>CDP Environ. France ex Oil &amp; Gas</t>
  </si>
  <si>
    <t>EU500</t>
  </si>
  <si>
    <t>EZ300</t>
  </si>
  <si>
    <t>PTEB</t>
  </si>
  <si>
    <t>FRTPR</t>
  </si>
  <si>
    <t>Euronext Tech Croissance</t>
  </si>
  <si>
    <t>NA500</t>
  </si>
  <si>
    <t>Euronext North America 500</t>
  </si>
  <si>
    <t>Underlying universe is mother index Eurozone 300. REVIEW DONE IN 2 STEPS</t>
  </si>
  <si>
    <t>Mother index Eurozone 300 can be used as underlying (not in rulebook). REVIEW DONE IN 2 STEPS</t>
  </si>
  <si>
    <t>New ICB table</t>
  </si>
  <si>
    <t>WATPR</t>
  </si>
  <si>
    <t>Euronext Water and Ocean Europe 40 EW</t>
  </si>
  <si>
    <t>Underlying universe is mother index Eurozone 300. EFFECTIVE DATE DIFFERENT</t>
  </si>
  <si>
    <t>CIMIE</t>
  </si>
  <si>
    <t>CCIE</t>
  </si>
  <si>
    <t>CQLE</t>
  </si>
  <si>
    <t>CADE</t>
  </si>
  <si>
    <t>Effective Date</t>
  </si>
  <si>
    <t>ECC5P</t>
  </si>
  <si>
    <t>Euronext Core Euro &amp; Global Climate Change</t>
  </si>
  <si>
    <t>CNI Europe Intelligent Manufacturing Industry</t>
  </si>
  <si>
    <t>CNI Europe Creative Industry</t>
  </si>
  <si>
    <t>CNI Europe Quality Life</t>
  </si>
  <si>
    <t xml:space="preserve">CNI Europe Aero and Defense </t>
  </si>
  <si>
    <t>Update of Universe</t>
  </si>
  <si>
    <t>Underlying universe is mother index Eurozone 300. Update of Universe</t>
  </si>
  <si>
    <t>AEXAT</t>
  </si>
  <si>
    <t>AEX Family</t>
  </si>
  <si>
    <t>FGINP</t>
  </si>
  <si>
    <t>FREEP</t>
  </si>
  <si>
    <t>Europe 500</t>
  </si>
  <si>
    <t>AS500</t>
  </si>
  <si>
    <t>Asia 500</t>
  </si>
  <si>
    <t>Eurozone 300</t>
  </si>
  <si>
    <t>EZWTP</t>
  </si>
  <si>
    <t>Euronext CDP Water Eurozone</t>
  </si>
  <si>
    <t>Effective Date Review</t>
  </si>
  <si>
    <t>Person 1</t>
  </si>
  <si>
    <t>Person 2</t>
  </si>
  <si>
    <t>Method 1</t>
  </si>
  <si>
    <t>Method 2</t>
  </si>
  <si>
    <t>Review Announcement date</t>
  </si>
  <si>
    <t>Review composition date</t>
  </si>
  <si>
    <t>CESGP</t>
  </si>
  <si>
    <t>EUEPR</t>
  </si>
  <si>
    <t>EEEPR</t>
  </si>
  <si>
    <t>BANK</t>
  </si>
  <si>
    <t>CAC 40 ESG</t>
  </si>
  <si>
    <t>US ESGL 20</t>
  </si>
  <si>
    <t>Eurozone ESGL 40</t>
  </si>
  <si>
    <t>Eurozone Banks</t>
  </si>
  <si>
    <t>Benelux Low Risk</t>
  </si>
  <si>
    <t>TCEPR</t>
  </si>
  <si>
    <t>ETE5P</t>
  </si>
  <si>
    <t>Amanda</t>
  </si>
  <si>
    <t>GOVEP</t>
  </si>
  <si>
    <t>SES5P</t>
  </si>
  <si>
    <t>EWCSP</t>
  </si>
  <si>
    <t>EZSFP</t>
  </si>
  <si>
    <t>CLAMP</t>
  </si>
  <si>
    <t>ENWP</t>
  </si>
  <si>
    <t>Euronext World</t>
  </si>
  <si>
    <t>Euronext Developed Market</t>
  </si>
  <si>
    <t>TESGP</t>
  </si>
  <si>
    <t>EZCLA</t>
  </si>
  <si>
    <t>EN EZ Screened Climate Ambition 35 EW</t>
  </si>
  <si>
    <t>MESGP</t>
  </si>
  <si>
    <t>MIB ESG</t>
  </si>
  <si>
    <t>GHCPR</t>
  </si>
  <si>
    <t>Euronext® Global Health Care 50 EW ESG</t>
  </si>
  <si>
    <t>CA's</t>
  </si>
  <si>
    <t>Alice</t>
  </si>
  <si>
    <t>Euronext ESG Biodiversity Screened World</t>
  </si>
  <si>
    <t>EBSEP</t>
  </si>
  <si>
    <t>Effective Date Review 2</t>
  </si>
  <si>
    <t>Effective Date Review 3</t>
  </si>
  <si>
    <t>TCAMP</t>
  </si>
  <si>
    <t>Effective Date Review 4</t>
  </si>
  <si>
    <t>Effective Date Review 5</t>
  </si>
  <si>
    <t>USCLA</t>
  </si>
  <si>
    <t>USCLE</t>
  </si>
  <si>
    <t>JPCLE</t>
  </si>
  <si>
    <t>EN JPN Screened Climate Amb 30 EW EUR</t>
  </si>
  <si>
    <t>JPCLA</t>
  </si>
  <si>
    <t>EN JPN Screened Climate Ambition 30 EW</t>
  </si>
  <si>
    <t>UC3PE</t>
  </si>
  <si>
    <t>EN US Screened Climate Amb 35 EW EUR</t>
  </si>
  <si>
    <t>USC3P</t>
  </si>
  <si>
    <t>EN US Screened Climate Ambition 35 EW</t>
  </si>
  <si>
    <t>BIOEP</t>
  </si>
  <si>
    <t>WCAMP</t>
  </si>
  <si>
    <t>Euronext World Sustainability and Climate Screened</t>
  </si>
  <si>
    <t>EBSTP</t>
  </si>
  <si>
    <t>AESGP</t>
  </si>
  <si>
    <t>AEX ESG</t>
  </si>
  <si>
    <t>Ken</t>
  </si>
  <si>
    <t>TECLP</t>
  </si>
  <si>
    <t>Weight based on</t>
  </si>
  <si>
    <t>ENFRP</t>
  </si>
  <si>
    <t>GSCSP</t>
  </si>
  <si>
    <t>EN Glob Sustain and Cl Screened</t>
  </si>
  <si>
    <t>Cut off date</t>
  </si>
  <si>
    <t>BEL ESG</t>
  </si>
  <si>
    <t>ENTP</t>
  </si>
  <si>
    <t>ENZTP</t>
  </si>
  <si>
    <t>CSBTP</t>
  </si>
  <si>
    <t>HSPAP</t>
  </si>
  <si>
    <t>HSPCP</t>
  </si>
  <si>
    <t>ESGBP</t>
  </si>
  <si>
    <t>Packages</t>
  </si>
  <si>
    <t>NXTG</t>
  </si>
  <si>
    <t>ESBTP</t>
  </si>
  <si>
    <t>ZSBTP</t>
  </si>
  <si>
    <t>Euronext Eurozone SBT 1.5</t>
  </si>
  <si>
    <t>HELIOS</t>
  </si>
  <si>
    <t>CUSTOM</t>
  </si>
  <si>
    <t>AMS</t>
  </si>
  <si>
    <t>BRU</t>
  </si>
  <si>
    <t>DUB</t>
  </si>
  <si>
    <t>LIS</t>
  </si>
  <si>
    <t>PAR</t>
  </si>
  <si>
    <t>ENDM</t>
  </si>
  <si>
    <t>ENXG</t>
  </si>
  <si>
    <t>Data Provider</t>
  </si>
  <si>
    <t>ISS ESG</t>
  </si>
  <si>
    <t>Sustainalytics</t>
  </si>
  <si>
    <t>Moody's</t>
  </si>
  <si>
    <t>European Space Agency</t>
  </si>
  <si>
    <t>ERGBP ERGCP</t>
  </si>
  <si>
    <t>Reits/REGO</t>
  </si>
  <si>
    <t>Email REGO for data after cut-off, effective day 3 days after cut off</t>
  </si>
  <si>
    <t>Annual Review in March</t>
  </si>
  <si>
    <t>Underlying are the BEL 20 or BEL Mid Index</t>
  </si>
  <si>
    <t>Follows CAC 40. Annual in September, Quarterly in other months</t>
  </si>
  <si>
    <t>CAC SBT 1 5</t>
  </si>
  <si>
    <t>CDP;Sustainalytics</t>
  </si>
  <si>
    <t>Underlying is SBF120</t>
  </si>
  <si>
    <t>CDP;Moody's</t>
  </si>
  <si>
    <t>CDP provides CDP score; annual review in March. Only Review Announcement at Annual.</t>
  </si>
  <si>
    <t>Underlying Universe in Mother index Eurozone 300; CDP provides CDP score; annual review in March. Only Review Announcement at Annual.</t>
  </si>
  <si>
    <t>EC1EW COR3P CEE1P CEE3P</t>
  </si>
  <si>
    <t>EN CDP Environment Transatlantic EW</t>
  </si>
  <si>
    <t>CDP</t>
  </si>
  <si>
    <t>EN ESG Biodiversity Screened Transatlantic 80</t>
  </si>
  <si>
    <t>Iceberg;Sustainalytics</t>
  </si>
  <si>
    <t>Underlying is Euronext World Index, Sustainalytics &amp; Iceberg data needed</t>
  </si>
  <si>
    <t>EN Euro Large Cap Biodiversity 
Leaders 30</t>
  </si>
  <si>
    <t>Carbon4 Finance;Sustainalytics</t>
  </si>
  <si>
    <t>Underlying EZ300, Sustainanalytics data used</t>
  </si>
  <si>
    <t>Underlying is EZ300</t>
  </si>
  <si>
    <t>EN EZ Transatlantic</t>
  </si>
  <si>
    <t xml:space="preserve">Underlying are  Euronext® Eurozone 300, North America 500  </t>
  </si>
  <si>
    <t>Based on 3 underlying indices</t>
  </si>
  <si>
    <t>Underlying AS500, ISS-ESG Oekom Trust Carbon data used</t>
  </si>
  <si>
    <t>EN Sovereign Economy Selection EZ50</t>
  </si>
  <si>
    <t>EN Transatl Sustain and Cl Scr 60</t>
  </si>
  <si>
    <t>Aggregated index of USCEG &amp; EZCLG</t>
  </si>
  <si>
    <t>EN TRANSATLANTIC</t>
  </si>
  <si>
    <t>Underlying universe is mother index Europe 500 and North America 500</t>
  </si>
  <si>
    <t>EN Transatlantic Environment 50</t>
  </si>
  <si>
    <t>Underlying is the EZ300 and NA500</t>
  </si>
  <si>
    <t>EN US Screened Climate Amb 25 EW EUR</t>
  </si>
  <si>
    <t>Underlying is NA500, EUR version</t>
  </si>
  <si>
    <t>Underlying NA500, ISS-ESG Oekom Trust Carbon data used</t>
  </si>
  <si>
    <t>EN US Screened Climate Ambition 25 EW USD</t>
  </si>
  <si>
    <t>Underlying is NA500, USD version</t>
  </si>
  <si>
    <t>Underlying is EU500</t>
  </si>
  <si>
    <t>Universe Europe 500, Asia 500 and North America 500</t>
  </si>
  <si>
    <t>Benchmark index / Mother index.</t>
  </si>
  <si>
    <t>Euronext ESG Biodiversity Screened Eurozone 50</t>
  </si>
  <si>
    <t>Sustainalytics data used, underlying Euronext EZ300</t>
  </si>
  <si>
    <t>Sustainalytics data used, underlying Euronext World</t>
  </si>
  <si>
    <t>Euronext Eurozone Diversity &amp; Governance 40 EW</t>
  </si>
  <si>
    <t>Annual in March; underlying universe is mother index Eurozone 300</t>
  </si>
  <si>
    <t>Euronext EZ Scr Clim Amb 40 EW</t>
  </si>
  <si>
    <t>Euronext Helios Space</t>
  </si>
  <si>
    <t>Selected by the European Space Agency</t>
  </si>
  <si>
    <t>Euronext Helios Space All-Share</t>
  </si>
  <si>
    <t>Euronext Tech Leaders</t>
  </si>
  <si>
    <t>All companies in Tech Leaders Segment</t>
  </si>
  <si>
    <t>Euronext Transatlantic Circular Economy 50 EW</t>
  </si>
  <si>
    <t>Underlying is the NA500 and EU500</t>
  </si>
  <si>
    <t>3 day upload!</t>
  </si>
  <si>
    <t>Euronext V E Eurozone Social Focus</t>
  </si>
  <si>
    <t>Euronext World Country selection</t>
  </si>
  <si>
    <t>Underlying is EU500 NA500, AS500 + main listings USA, CAN, UK, CH, JP, AUS</t>
  </si>
  <si>
    <t>Underlying are three underlying indices</t>
  </si>
  <si>
    <t>Underlying Euronext Developed Market</t>
  </si>
  <si>
    <t>Underlying universe is mother index Eurozone 300. Review spread over 2 days.</t>
  </si>
  <si>
    <t>Underlying is the Transatlantic ESG Leaders 60 EW</t>
  </si>
  <si>
    <t>Mother index Eurozone 300 can be used as underlying (not in rulebook). Review spread over 2 days.</t>
  </si>
  <si>
    <t>ISE20 ISECA ISESM</t>
  </si>
  <si>
    <t>Annual in June, Quarterly in other months</t>
  </si>
  <si>
    <t>PSI 20</t>
  </si>
  <si>
    <t>Transatlantic 50 EW</t>
  </si>
  <si>
    <t>EN CDP France Environnement</t>
  </si>
  <si>
    <t>CDP;Moody's;Sustainalytics</t>
  </si>
  <si>
    <t>Rebalancing only in Jan, April and July. Composition Review in Oct. Announce result only to Enternext internally.</t>
  </si>
  <si>
    <t>REITSMARKET</t>
  </si>
  <si>
    <t>FCLSP</t>
  </si>
  <si>
    <t>France Climate Screened</t>
  </si>
  <si>
    <t>EU SBT 1.5 </t>
  </si>
  <si>
    <t>Ginevra</t>
  </si>
  <si>
    <t>EDWEP</t>
  </si>
  <si>
    <t>Euronext Developed World ESG Screened</t>
  </si>
  <si>
    <t>ENEZ5</t>
  </si>
  <si>
    <t>Euronext Eurozone 50</t>
  </si>
  <si>
    <t>PSI20 PTEB</t>
  </si>
  <si>
    <t>ENDMP EDMPU</t>
  </si>
  <si>
    <t>AEXEW CACEW CLEW</t>
  </si>
  <si>
    <t>Eurozone</t>
  </si>
  <si>
    <t>EZ40P EZ60P</t>
  </si>
  <si>
    <t>Eurozone 2</t>
  </si>
  <si>
    <t>EBSWP EBSPW</t>
  </si>
  <si>
    <t>EFGEW</t>
  </si>
  <si>
    <t>France German Leaders 50 EW</t>
  </si>
  <si>
    <t>EFGP</t>
  </si>
  <si>
    <t>Automatic</t>
  </si>
  <si>
    <t>Coen</t>
  </si>
  <si>
    <t>Anna</t>
  </si>
  <si>
    <t>Euronext Invest In France Low Vol</t>
  </si>
  <si>
    <t>FILVP</t>
  </si>
  <si>
    <t>CPABP</t>
  </si>
  <si>
    <t>Euronext Core Europe PAB 50</t>
  </si>
  <si>
    <t>Annual review in March, no quarterly</t>
  </si>
  <si>
    <t>EPABP</t>
  </si>
  <si>
    <t>Euronext Eurozone PAB 50</t>
  </si>
  <si>
    <t>FPABP</t>
  </si>
  <si>
    <t>Euronext France PAB 50</t>
  </si>
  <si>
    <t>Underlying is the SBF 120 Index, only Annual review</t>
  </si>
  <si>
    <t>TPABP</t>
  </si>
  <si>
    <t>Transatlantic PAB 50</t>
  </si>
  <si>
    <t>Lex</t>
  </si>
  <si>
    <t>EZ15P EZMLP EZN1P</t>
  </si>
  <si>
    <t xml:space="preserve">Euronext Water and Ocean Europe 40 EW </t>
  </si>
  <si>
    <t>Underlying Universe in Mother index Europe 500</t>
  </si>
  <si>
    <t>Business France;ISS ESG;SESAMm</t>
  </si>
  <si>
    <t>WIFRP</t>
  </si>
  <si>
    <t>Euronext World Invest In France 40</t>
  </si>
  <si>
    <t>INFRP</t>
  </si>
  <si>
    <t>Euronext Invest In France 40</t>
  </si>
  <si>
    <t>ELUXP</t>
  </si>
  <si>
    <t>Euronext Europe Luxury</t>
  </si>
  <si>
    <t>EUSCS</t>
  </si>
  <si>
    <t>Euronext US Consumer Tech Energy</t>
  </si>
  <si>
    <t>FRD4P</t>
  </si>
  <si>
    <t>Euronext France Developpement 40</t>
  </si>
  <si>
    <t>Business France;ISS ESG;SESAMm;Trendeo</t>
  </si>
  <si>
    <t>TECHP ENRGP UTIL BASM FINA CSTA TELEP HEAC INDU CDIS</t>
  </si>
  <si>
    <t>Eurozone Sectorial Indices</t>
  </si>
  <si>
    <t>FRI4P</t>
  </si>
  <si>
    <t>Euronext France Investissement 40</t>
  </si>
  <si>
    <t>TBMA TCDI TCST TENR TFINP THEC TIND TTEC TTEL TUTI</t>
  </si>
  <si>
    <t>Transatlantic Sectorial Indices</t>
  </si>
  <si>
    <t>BIOCP</t>
  </si>
  <si>
    <t>Euronext Biodiversité Climat Conviction PAB</t>
  </si>
  <si>
    <t>ISS ESG;Sustainalytics</t>
  </si>
  <si>
    <t>SECTOR</t>
  </si>
  <si>
    <t>New Sheet</t>
  </si>
  <si>
    <t>Old Sheet</t>
  </si>
  <si>
    <t>Dataiku</t>
  </si>
  <si>
    <t>Dataiku\Old Sheet</t>
  </si>
  <si>
    <t>OSEFP</t>
  </si>
  <si>
    <t>OSEFP - quarterly review</t>
  </si>
  <si>
    <t>OSL</t>
  </si>
  <si>
    <t>UUTI UTEL UTEC UIND UHEC UFIN UENR UCST UCDI UBMA</t>
  </si>
  <si>
    <t>US Sectorial Indices</t>
  </si>
  <si>
    <t>DWREP DEREP DAREP EUREP</t>
  </si>
  <si>
    <t>Real Estate Sectorial Indices</t>
  </si>
  <si>
    <t>ESVEP</t>
  </si>
  <si>
    <t>Euronext Souveraineté Européenne</t>
  </si>
  <si>
    <t>Euronext Eurozone Select PAB 50</t>
  </si>
  <si>
    <t>EPSP</t>
  </si>
  <si>
    <t>SEZTP</t>
  </si>
  <si>
    <t>Euronext Multi Sector Eurozone Top 20</t>
  </si>
  <si>
    <t>INDEX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</si>
</sst>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_-;\-* #,##0.00_-;_-* &quot;-&quot;??_-;_-@_-"/>
  </numFmts>
  <fonts count="29">
    <font>
      <sz val="11"/>
      <color theme="1"/>
      <name val="Calibry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b/>
      <sz val="10"/>
      <color indexed="9"/>
      <name val="Calibri"/>
      <family val="2"/>
    </font>
    <font>
      <b/>
      <sz val="11"/>
      <color theme="1"/>
      <name val="Calibry"/>
    </font>
    <font>
      <sz val="11"/>
      <color theme="1"/>
      <name val="Calibry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b/>
      <sz val="11"/>
      <color rgb="FF000000"/>
      <name val="Calibri"/>
      <family val="2"/>
    </font>
    <font>
      <b/>
      <sz val="11"/>
      <color theme="1"/>
      <name val="Calibry"/>
      <family val="2"/>
    </font>
    <font>
      <sz val="8"/>
      <name val="Calibry"/>
      <family val="2"/>
    </font>
  </fonts>
  <fills count="39">
    <fill>
      <patternFill patternType="none"/>
    </fill>
    <fill>
      <patternFill patternType="gray125"/>
    </fill>
    <fill>
      <patternFill patternType="solid">
        <fgColor rgb="FF008D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6" applyNumberFormat="0" applyAlignment="0" applyProtection="0"/>
    <xf numFmtId="0" fontId="15" fillId="12" borderId="7" applyNumberFormat="0" applyAlignment="0" applyProtection="0"/>
    <xf numFmtId="0" fontId="16" fillId="12" borderId="6" applyNumberFormat="0" applyAlignment="0" applyProtection="0"/>
    <xf numFmtId="0" fontId="17" fillId="0" borderId="8" applyNumberFormat="0" applyFill="0" applyAlignment="0" applyProtection="0"/>
    <xf numFmtId="0" fontId="18" fillId="13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4" borderId="10" applyNumberFormat="0" applyFont="0" applyAlignment="0" applyProtection="0"/>
    <xf numFmtId="0" fontId="23" fillId="0" borderId="0"/>
    <xf numFmtId="0" fontId="24" fillId="0" borderId="0">
      <alignment vertical="center"/>
    </xf>
    <xf numFmtId="0" fontId="1" fillId="0" borderId="0"/>
    <xf numFmtId="165" fontId="1" fillId="0" borderId="0" applyFont="0" applyFill="0" applyBorder="0" applyAlignment="0" applyProtection="0"/>
    <xf numFmtId="0" fontId="24" fillId="0" borderId="0"/>
    <xf numFmtId="0" fontId="24" fillId="0" borderId="0"/>
  </cellStyleXfs>
  <cellXfs count="25">
    <xf numFmtId="0" fontId="0" fillId="0" borderId="0" xfId="0"/>
    <xf numFmtId="164" fontId="3" fillId="0" borderId="1" xfId="0" applyNumberFormat="1" applyFont="1" applyBorder="1" applyAlignment="1">
      <alignment horizontal="left" vertical="top" wrapText="1" readingOrder="1"/>
    </xf>
    <xf numFmtId="0" fontId="0" fillId="0" borderId="1" xfId="0" applyBorder="1"/>
    <xf numFmtId="14" fontId="4" fillId="2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14" fontId="5" fillId="0" borderId="0" xfId="0" applyNumberFormat="1" applyFont="1"/>
    <xf numFmtId="14" fontId="0" fillId="0" borderId="0" xfId="0" applyNumberFormat="1"/>
    <xf numFmtId="0" fontId="0" fillId="3" borderId="1" xfId="0" applyFill="1" applyBorder="1"/>
    <xf numFmtId="0" fontId="6" fillId="0" borderId="1" xfId="0" applyFont="1" applyBorder="1"/>
    <xf numFmtId="0" fontId="0" fillId="0" borderId="2" xfId="0" applyBorder="1"/>
    <xf numFmtId="164" fontId="3" fillId="0" borderId="0" xfId="0" applyNumberFormat="1" applyFont="1" applyAlignment="1">
      <alignment horizontal="left" vertical="top" wrapText="1" readingOrder="1"/>
    </xf>
    <xf numFmtId="0" fontId="6" fillId="0" borderId="0" xfId="0" applyFont="1"/>
    <xf numFmtId="0" fontId="6" fillId="6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25" fillId="0" borderId="0" xfId="0" applyFont="1" applyAlignment="1">
      <alignment vertical="center"/>
    </xf>
    <xf numFmtId="164" fontId="26" fillId="0" borderId="1" xfId="0" applyNumberFormat="1" applyFont="1" applyBorder="1" applyAlignment="1">
      <alignment horizontal="left" vertical="top" wrapText="1" readingOrder="1"/>
    </xf>
    <xf numFmtId="0" fontId="27" fillId="0" borderId="1" xfId="0" applyFont="1" applyBorder="1"/>
    <xf numFmtId="164" fontId="26" fillId="3" borderId="1" xfId="0" applyNumberFormat="1" applyFont="1" applyFill="1" applyBorder="1" applyAlignment="1">
      <alignment horizontal="left" vertical="top" wrapText="1" readingOrder="1"/>
    </xf>
    <xf numFmtId="0" fontId="27" fillId="3" borderId="1" xfId="0" applyFont="1" applyFill="1" applyBorder="1"/>
    <xf numFmtId="0" fontId="6" fillId="3" borderId="1" xfId="0" applyFont="1" applyFill="1" applyBorder="1"/>
    <xf numFmtId="0" fontId="5" fillId="3" borderId="1" xfId="0" applyFont="1" applyFill="1" applyBorder="1"/>
  </cellXfs>
  <cellStyles count="49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1ECFA177-CD64-47BA-9FB7-B285154D2BAE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EEBF107D-BA6C-4BB1-BA05-DEEDE36B864B}"/>
    <cellStyle name="Normal 2 2" xfId="48" xr:uid="{90F83992-7E7D-43F3-8DC8-4F07FB2975CD}"/>
    <cellStyle name="Normal 2 3" xfId="44" xr:uid="{11DA7AF2-EDA8-48E9-8314-3D973BD258A2}"/>
    <cellStyle name="Normal 3" xfId="43" xr:uid="{DDC792D5-3035-4BCD-A94D-1F1D25AC4962}"/>
    <cellStyle name="Normal 3 2" xfId="45" xr:uid="{FBE22269-4DAE-44B7-B2FD-39AAE42FE5C6}"/>
    <cellStyle name="Normal 6" xfId="47" xr:uid="{EF8965F8-9B0C-418A-88D7-049476FFD1D1}"/>
    <cellStyle name="Note 2" xfId="42" xr:uid="{EAF567FE-DA75-4833-90CC-658A04B0371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35"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EC12-DC8D-417E-A8F7-ADBB815A5B5A}">
  <sheetPr codeName="Sheet2">
    <pageSetUpPr autoPageBreaks="0" fitToPage="1"/>
  </sheetPr>
  <dimension ref="A1:J92"/>
  <sheetViews>
    <sheetView zoomScale="70" zoomScaleNormal="70" workbookViewId="0">
      <selection activeCell="A7" sqref="A7"/>
    </sheetView>
  </sheetViews>
  <sheetFormatPr defaultRowHeight="14.25"/>
  <cols>
    <col min="1" max="1" width="22.625" customWidth="1"/>
    <col min="2" max="2" width="14.625" customWidth="1"/>
    <col min="3" max="3" width="14.5" customWidth="1"/>
    <col min="5" max="5" width="21.75" customWidth="1"/>
    <col min="7" max="7" width="43.75" customWidth="1"/>
    <col min="8" max="8" width="24.75" customWidth="1"/>
    <col min="9" max="9" width="19.75" customWidth="1"/>
    <col min="10" max="10" width="125.125" bestFit="1" customWidth="1"/>
  </cols>
  <sheetData>
    <row r="1" spans="1:10" ht="15">
      <c r="A1" s="7" t="s">
        <v>116</v>
      </c>
    </row>
    <row r="3" spans="1:10">
      <c r="A3" s="3" t="s">
        <v>95</v>
      </c>
      <c r="B3" s="3" t="s">
        <v>191</v>
      </c>
      <c r="C3" s="3" t="s">
        <v>96</v>
      </c>
      <c r="D3" s="4" t="s">
        <v>97</v>
      </c>
      <c r="E3" s="4" t="s">
        <v>98</v>
      </c>
      <c r="F3" s="4" t="s">
        <v>99</v>
      </c>
      <c r="G3" s="4" t="s">
        <v>100</v>
      </c>
      <c r="H3" s="5" t="s">
        <v>101</v>
      </c>
      <c r="I3" s="5" t="s">
        <v>105</v>
      </c>
      <c r="J3" s="4" t="s">
        <v>102</v>
      </c>
    </row>
    <row r="4" spans="1:10" ht="15">
      <c r="A4" s="1">
        <v>44183</v>
      </c>
      <c r="B4" s="1">
        <v>44186</v>
      </c>
      <c r="C4" s="1">
        <v>44186</v>
      </c>
      <c r="D4" s="2" t="s">
        <v>0</v>
      </c>
      <c r="E4" s="2" t="s">
        <v>170</v>
      </c>
      <c r="F4" s="2" t="s">
        <v>1</v>
      </c>
      <c r="G4" s="2" t="s">
        <v>161</v>
      </c>
      <c r="H4" s="2" t="s">
        <v>109</v>
      </c>
      <c r="I4" s="2" t="s">
        <v>106</v>
      </c>
      <c r="J4" s="2" t="s">
        <v>8</v>
      </c>
    </row>
    <row r="5" spans="1:10" ht="15">
      <c r="A5" s="1">
        <v>44183</v>
      </c>
      <c r="B5" s="1">
        <v>44186</v>
      </c>
      <c r="C5" s="1">
        <v>44186</v>
      </c>
      <c r="D5" s="2" t="s">
        <v>0</v>
      </c>
      <c r="E5" s="2" t="s">
        <v>153</v>
      </c>
      <c r="F5" s="2" t="s">
        <v>1</v>
      </c>
      <c r="G5" s="2" t="s">
        <v>9</v>
      </c>
      <c r="H5" s="2" t="s">
        <v>107</v>
      </c>
      <c r="I5" s="2" t="s">
        <v>109</v>
      </c>
      <c r="J5" s="2" t="s">
        <v>8</v>
      </c>
    </row>
    <row r="6" spans="1:10" ht="15">
      <c r="A6" s="1">
        <v>44183</v>
      </c>
      <c r="B6" s="1">
        <v>44186</v>
      </c>
      <c r="C6" s="1">
        <v>44186</v>
      </c>
      <c r="D6" s="2" t="s">
        <v>0</v>
      </c>
      <c r="E6" s="2" t="s">
        <v>171</v>
      </c>
      <c r="F6" s="2" t="s">
        <v>1</v>
      </c>
      <c r="G6" s="2" t="s">
        <v>162</v>
      </c>
      <c r="H6" s="2" t="s">
        <v>109</v>
      </c>
      <c r="I6" s="2" t="s">
        <v>106</v>
      </c>
      <c r="J6" s="2" t="s">
        <v>8</v>
      </c>
    </row>
    <row r="7" spans="1:10" ht="15">
      <c r="A7" s="1">
        <v>44183</v>
      </c>
      <c r="B7" s="1">
        <v>44186</v>
      </c>
      <c r="C7" s="1">
        <v>44186</v>
      </c>
      <c r="D7" s="2" t="s">
        <v>0</v>
      </c>
      <c r="E7" s="2" t="s">
        <v>176</v>
      </c>
      <c r="F7" s="2" t="s">
        <v>1</v>
      </c>
      <c r="G7" s="10" t="s">
        <v>163</v>
      </c>
      <c r="H7" s="2" t="s">
        <v>109</v>
      </c>
      <c r="I7" s="2" t="s">
        <v>106</v>
      </c>
      <c r="J7" s="2" t="s">
        <v>0</v>
      </c>
    </row>
    <row r="8" spans="1:10" ht="15">
      <c r="A8" s="1">
        <v>44183</v>
      </c>
      <c r="B8" s="1">
        <v>44186</v>
      </c>
      <c r="C8" s="1">
        <v>44186</v>
      </c>
      <c r="D8" s="2" t="s">
        <v>0</v>
      </c>
      <c r="E8" s="2" t="s">
        <v>174</v>
      </c>
      <c r="F8" s="2" t="s">
        <v>1</v>
      </c>
      <c r="G8" s="10" t="s">
        <v>164</v>
      </c>
      <c r="H8" s="2" t="s">
        <v>107</v>
      </c>
      <c r="I8" s="11" t="s">
        <v>110</v>
      </c>
      <c r="J8" s="2" t="s">
        <v>82</v>
      </c>
    </row>
    <row r="9" spans="1:10" ht="15">
      <c r="A9" s="1">
        <v>44183</v>
      </c>
      <c r="B9" s="1">
        <v>44186</v>
      </c>
      <c r="C9" s="1">
        <v>44186</v>
      </c>
      <c r="D9" s="2" t="s">
        <v>0</v>
      </c>
      <c r="E9" s="2" t="s">
        <v>175</v>
      </c>
      <c r="F9" s="2" t="s">
        <v>1</v>
      </c>
      <c r="G9" s="10" t="s">
        <v>165</v>
      </c>
      <c r="H9" s="2" t="s">
        <v>107</v>
      </c>
      <c r="I9" s="2" t="s">
        <v>110</v>
      </c>
      <c r="J9" s="2" t="s">
        <v>82</v>
      </c>
    </row>
    <row r="10" spans="1:10" ht="15">
      <c r="A10" s="1">
        <v>44183</v>
      </c>
      <c r="B10" s="1">
        <v>44186</v>
      </c>
      <c r="C10" s="1">
        <v>44186</v>
      </c>
      <c r="D10" s="2" t="s">
        <v>0</v>
      </c>
      <c r="E10" s="2" t="s">
        <v>179</v>
      </c>
      <c r="F10" s="2" t="s">
        <v>1</v>
      </c>
      <c r="G10" s="2" t="s">
        <v>180</v>
      </c>
      <c r="H10" s="2" t="s">
        <v>110</v>
      </c>
      <c r="I10" s="11" t="s">
        <v>108</v>
      </c>
      <c r="J10" s="2" t="s">
        <v>82</v>
      </c>
    </row>
    <row r="11" spans="1:10" ht="15">
      <c r="A11" s="1">
        <v>44196</v>
      </c>
      <c r="B11" s="1">
        <v>44200</v>
      </c>
      <c r="C11" s="1">
        <v>44200</v>
      </c>
      <c r="D11" s="2" t="s">
        <v>0</v>
      </c>
      <c r="E11" s="2" t="s">
        <v>129</v>
      </c>
      <c r="F11" s="2" t="s">
        <v>1</v>
      </c>
      <c r="G11" s="10" t="s">
        <v>130</v>
      </c>
      <c r="H11" s="2" t="s">
        <v>109</v>
      </c>
      <c r="I11" s="2" t="s">
        <v>159</v>
      </c>
      <c r="J11" s="2"/>
    </row>
    <row r="12" spans="1:10" ht="15">
      <c r="A12" s="1">
        <v>44196</v>
      </c>
      <c r="B12" s="1">
        <v>44200</v>
      </c>
      <c r="C12" s="1">
        <v>44200</v>
      </c>
      <c r="D12" s="2" t="s">
        <v>0</v>
      </c>
      <c r="E12" s="2" t="s">
        <v>131</v>
      </c>
      <c r="F12" s="2" t="s">
        <v>1</v>
      </c>
      <c r="G12" s="10" t="s">
        <v>132</v>
      </c>
      <c r="H12" s="2" t="s">
        <v>109</v>
      </c>
      <c r="I12" s="2" t="s">
        <v>108</v>
      </c>
      <c r="J12" s="2" t="s">
        <v>137</v>
      </c>
    </row>
    <row r="13" spans="1:10" ht="15">
      <c r="A13" s="12"/>
      <c r="B13" s="12"/>
      <c r="C13" s="12"/>
      <c r="G13" s="13"/>
    </row>
    <row r="14" spans="1:10" ht="15">
      <c r="A14" s="7" t="s">
        <v>103</v>
      </c>
      <c r="B14" s="8"/>
      <c r="C14" s="8"/>
    </row>
    <row r="16" spans="1:10">
      <c r="A16" s="3" t="s">
        <v>95</v>
      </c>
      <c r="B16" s="3" t="s">
        <v>191</v>
      </c>
      <c r="C16" s="3" t="s">
        <v>96</v>
      </c>
      <c r="D16" s="4" t="s">
        <v>97</v>
      </c>
      <c r="E16" s="4" t="s">
        <v>98</v>
      </c>
      <c r="F16" s="4" t="s">
        <v>99</v>
      </c>
      <c r="G16" s="4" t="s">
        <v>100</v>
      </c>
      <c r="H16" s="5" t="s">
        <v>101</v>
      </c>
      <c r="I16" s="5" t="s">
        <v>104</v>
      </c>
      <c r="J16" s="4" t="s">
        <v>102</v>
      </c>
    </row>
    <row r="17" spans="1:10" ht="15">
      <c r="A17" s="1">
        <v>44183</v>
      </c>
      <c r="B17" s="1">
        <v>44186</v>
      </c>
      <c r="C17" s="1">
        <v>44186</v>
      </c>
      <c r="D17" s="2" t="s">
        <v>0</v>
      </c>
      <c r="E17" s="2" t="s">
        <v>2</v>
      </c>
      <c r="F17" s="2" t="s">
        <v>1</v>
      </c>
      <c r="G17" s="2" t="s">
        <v>3</v>
      </c>
      <c r="H17" s="2" t="s">
        <v>107</v>
      </c>
      <c r="I17" s="2" t="s">
        <v>108</v>
      </c>
      <c r="J17" s="2" t="s">
        <v>4</v>
      </c>
    </row>
    <row r="18" spans="1:10" ht="15">
      <c r="A18" s="1">
        <v>44183</v>
      </c>
      <c r="B18" s="1">
        <v>44186</v>
      </c>
      <c r="C18" s="1">
        <v>44186</v>
      </c>
      <c r="D18" s="2" t="s">
        <v>0</v>
      </c>
      <c r="E18" s="2" t="s">
        <v>5</v>
      </c>
      <c r="F18" s="2" t="s">
        <v>1</v>
      </c>
      <c r="G18" s="2" t="s">
        <v>6</v>
      </c>
      <c r="H18" s="2" t="s">
        <v>138</v>
      </c>
      <c r="I18" s="2" t="s">
        <v>108</v>
      </c>
      <c r="J18" s="2" t="s">
        <v>0</v>
      </c>
    </row>
    <row r="19" spans="1:10" ht="15">
      <c r="A19" s="1">
        <v>44183</v>
      </c>
      <c r="B19" s="1">
        <v>44186</v>
      </c>
      <c r="C19" s="1">
        <v>44186</v>
      </c>
      <c r="D19" s="2" t="s">
        <v>0</v>
      </c>
      <c r="E19" s="2" t="s">
        <v>169</v>
      </c>
      <c r="F19" s="2" t="s">
        <v>1</v>
      </c>
      <c r="G19" s="2" t="s">
        <v>7</v>
      </c>
      <c r="H19" s="2" t="s">
        <v>138</v>
      </c>
      <c r="I19" s="2" t="s">
        <v>108</v>
      </c>
      <c r="J19" s="2" t="s">
        <v>8</v>
      </c>
    </row>
    <row r="20" spans="1:10" ht="15">
      <c r="A20" s="1">
        <v>44183</v>
      </c>
      <c r="B20" s="1">
        <v>44186</v>
      </c>
      <c r="C20" s="1">
        <v>44186</v>
      </c>
      <c r="D20" s="2" t="s">
        <v>0</v>
      </c>
      <c r="E20" s="2" t="s">
        <v>10</v>
      </c>
      <c r="F20" s="2" t="s">
        <v>1</v>
      </c>
      <c r="G20" s="2" t="s">
        <v>11</v>
      </c>
      <c r="H20" s="2" t="s">
        <v>139</v>
      </c>
      <c r="I20" s="2" t="s">
        <v>110</v>
      </c>
      <c r="J20" s="2" t="s">
        <v>12</v>
      </c>
    </row>
    <row r="21" spans="1:10" ht="15">
      <c r="A21" s="1">
        <v>44183</v>
      </c>
      <c r="B21" s="1">
        <v>44186</v>
      </c>
      <c r="C21" s="1">
        <v>44186</v>
      </c>
      <c r="D21" s="2" t="s">
        <v>0</v>
      </c>
      <c r="E21" s="2" t="s">
        <v>152</v>
      </c>
      <c r="F21" s="2" t="s">
        <v>1</v>
      </c>
      <c r="G21" s="2" t="s">
        <v>16</v>
      </c>
      <c r="H21" s="2" t="s">
        <v>109</v>
      </c>
      <c r="I21" s="2" t="s">
        <v>106</v>
      </c>
      <c r="J21" s="2" t="s">
        <v>0</v>
      </c>
    </row>
    <row r="22" spans="1:10" ht="15">
      <c r="A22" s="1">
        <v>44183</v>
      </c>
      <c r="B22" s="1">
        <v>44186</v>
      </c>
      <c r="C22" s="1">
        <v>44186</v>
      </c>
      <c r="D22" s="2" t="s">
        <v>0</v>
      </c>
      <c r="E22" s="2" t="s">
        <v>154</v>
      </c>
      <c r="F22" s="2" t="s">
        <v>1</v>
      </c>
      <c r="G22" s="2" t="s">
        <v>17</v>
      </c>
      <c r="H22" s="2" t="s">
        <v>106</v>
      </c>
      <c r="I22" s="2" t="s">
        <v>107</v>
      </c>
      <c r="J22" s="2" t="s">
        <v>8</v>
      </c>
    </row>
    <row r="23" spans="1:10" ht="15">
      <c r="A23" s="1">
        <v>44183</v>
      </c>
      <c r="B23" s="1">
        <v>44186</v>
      </c>
      <c r="C23" s="1">
        <v>44186</v>
      </c>
      <c r="D23" s="2" t="s">
        <v>0</v>
      </c>
      <c r="E23" s="2" t="s">
        <v>18</v>
      </c>
      <c r="F23" s="2" t="s">
        <v>1</v>
      </c>
      <c r="G23" s="2" t="s">
        <v>19</v>
      </c>
      <c r="H23" s="2" t="s">
        <v>110</v>
      </c>
      <c r="I23" s="2" t="s">
        <v>115</v>
      </c>
      <c r="J23" s="2" t="s">
        <v>20</v>
      </c>
    </row>
    <row r="24" spans="1:10" ht="15">
      <c r="A24" s="1">
        <v>44183</v>
      </c>
      <c r="B24" s="1">
        <v>44186</v>
      </c>
      <c r="C24" s="1">
        <v>44186</v>
      </c>
      <c r="D24" s="2" t="s">
        <v>0</v>
      </c>
      <c r="E24" s="2" t="s">
        <v>21</v>
      </c>
      <c r="F24" s="2" t="s">
        <v>1</v>
      </c>
      <c r="G24" s="2" t="s">
        <v>22</v>
      </c>
      <c r="H24" s="2" t="s">
        <v>109</v>
      </c>
      <c r="I24" s="2" t="s">
        <v>106</v>
      </c>
      <c r="J24" s="2" t="s">
        <v>0</v>
      </c>
    </row>
    <row r="25" spans="1:10" ht="15">
      <c r="A25" s="1">
        <v>44183</v>
      </c>
      <c r="B25" s="1">
        <v>44186</v>
      </c>
      <c r="C25" s="1">
        <v>44186</v>
      </c>
      <c r="D25" s="2" t="s">
        <v>0</v>
      </c>
      <c r="E25" s="2" t="s">
        <v>155</v>
      </c>
      <c r="F25" s="2" t="s">
        <v>1</v>
      </c>
      <c r="G25" s="2" t="s">
        <v>23</v>
      </c>
      <c r="H25" s="2" t="s">
        <v>109</v>
      </c>
      <c r="I25" s="2" t="s">
        <v>110</v>
      </c>
      <c r="J25" s="2" t="s">
        <v>133</v>
      </c>
    </row>
    <row r="26" spans="1:10" ht="15">
      <c r="A26" s="1">
        <v>44183</v>
      </c>
      <c r="B26" s="1">
        <v>44186</v>
      </c>
      <c r="C26" s="1">
        <v>44186</v>
      </c>
      <c r="D26" s="2" t="s">
        <v>0</v>
      </c>
      <c r="E26" s="2" t="s">
        <v>24</v>
      </c>
      <c r="F26" s="2" t="s">
        <v>1</v>
      </c>
      <c r="G26" s="2" t="s">
        <v>25</v>
      </c>
      <c r="H26" s="2" t="s">
        <v>108</v>
      </c>
      <c r="I26" s="2" t="s">
        <v>159</v>
      </c>
      <c r="J26" s="2" t="s">
        <v>26</v>
      </c>
    </row>
    <row r="27" spans="1:10" ht="15">
      <c r="A27" s="1">
        <v>44183</v>
      </c>
      <c r="B27" s="1">
        <v>44186</v>
      </c>
      <c r="C27" s="1">
        <v>44186</v>
      </c>
      <c r="D27" s="2" t="s">
        <v>0</v>
      </c>
      <c r="E27" s="2" t="s">
        <v>27</v>
      </c>
      <c r="F27" s="2" t="s">
        <v>1</v>
      </c>
      <c r="G27" s="2" t="s">
        <v>28</v>
      </c>
      <c r="H27" s="2" t="s">
        <v>106</v>
      </c>
      <c r="I27" s="2" t="s">
        <v>108</v>
      </c>
      <c r="J27" s="2" t="s">
        <v>0</v>
      </c>
    </row>
    <row r="28" spans="1:10" ht="15">
      <c r="A28" s="1">
        <v>44183</v>
      </c>
      <c r="B28" s="1">
        <v>44186</v>
      </c>
      <c r="C28" s="1">
        <v>44186</v>
      </c>
      <c r="D28" s="2" t="s">
        <v>0</v>
      </c>
      <c r="E28" s="2" t="s">
        <v>156</v>
      </c>
      <c r="F28" s="2" t="s">
        <v>1</v>
      </c>
      <c r="G28" s="2" t="s">
        <v>29</v>
      </c>
      <c r="H28" s="2" t="s">
        <v>107</v>
      </c>
      <c r="I28" s="2" t="s">
        <v>108</v>
      </c>
      <c r="J28" s="9" t="s">
        <v>182</v>
      </c>
    </row>
    <row r="29" spans="1:10" ht="15">
      <c r="A29" s="1">
        <v>44183</v>
      </c>
      <c r="B29" s="1">
        <v>44186</v>
      </c>
      <c r="C29" s="1">
        <v>44186</v>
      </c>
      <c r="D29" s="2" t="s">
        <v>0</v>
      </c>
      <c r="E29" s="2" t="s">
        <v>31</v>
      </c>
      <c r="F29" s="2" t="s">
        <v>1</v>
      </c>
      <c r="G29" s="2" t="s">
        <v>32</v>
      </c>
      <c r="H29" s="2" t="s">
        <v>106</v>
      </c>
      <c r="I29" s="2" t="s">
        <v>110</v>
      </c>
      <c r="J29" s="2"/>
    </row>
    <row r="30" spans="1:10" ht="15">
      <c r="A30" s="1">
        <v>44183</v>
      </c>
      <c r="B30" s="1">
        <v>44186</v>
      </c>
      <c r="C30" s="1">
        <v>44186</v>
      </c>
      <c r="D30" s="2" t="s">
        <v>0</v>
      </c>
      <c r="E30" s="2" t="s">
        <v>166</v>
      </c>
      <c r="F30" s="2" t="s">
        <v>1</v>
      </c>
      <c r="G30" s="2" t="s">
        <v>172</v>
      </c>
      <c r="H30" s="2" t="s">
        <v>168</v>
      </c>
      <c r="I30" s="2" t="s">
        <v>109</v>
      </c>
      <c r="J30" s="2"/>
    </row>
    <row r="31" spans="1:10" ht="15">
      <c r="A31" s="1">
        <v>44183</v>
      </c>
      <c r="B31" s="1">
        <v>44186</v>
      </c>
      <c r="C31" s="1">
        <v>44186</v>
      </c>
      <c r="D31" s="2" t="s">
        <v>0</v>
      </c>
      <c r="E31" s="2" t="s">
        <v>33</v>
      </c>
      <c r="F31" s="2" t="s">
        <v>1</v>
      </c>
      <c r="G31" s="2" t="s">
        <v>34</v>
      </c>
      <c r="H31" s="2" t="s">
        <v>107</v>
      </c>
      <c r="I31" s="2" t="s">
        <v>115</v>
      </c>
      <c r="J31" s="2" t="s">
        <v>30</v>
      </c>
    </row>
    <row r="32" spans="1:10" ht="15">
      <c r="A32" s="1">
        <v>44183</v>
      </c>
      <c r="B32" s="1">
        <v>44186</v>
      </c>
      <c r="C32" s="1">
        <v>44186</v>
      </c>
      <c r="D32" s="2" t="s">
        <v>0</v>
      </c>
      <c r="E32" s="2" t="s">
        <v>35</v>
      </c>
      <c r="F32" s="2" t="s">
        <v>1</v>
      </c>
      <c r="G32" s="2" t="s">
        <v>117</v>
      </c>
      <c r="H32" s="2" t="s">
        <v>107</v>
      </c>
      <c r="I32" s="2" t="s">
        <v>115</v>
      </c>
      <c r="J32" s="2" t="s">
        <v>36</v>
      </c>
    </row>
    <row r="33" spans="1:10" ht="15">
      <c r="A33" s="1">
        <v>44183</v>
      </c>
      <c r="B33" s="1">
        <v>44186</v>
      </c>
      <c r="C33" s="1">
        <v>44186</v>
      </c>
      <c r="D33" s="2" t="s">
        <v>0</v>
      </c>
      <c r="E33" s="2" t="s">
        <v>37</v>
      </c>
      <c r="F33" s="2" t="s">
        <v>1</v>
      </c>
      <c r="G33" s="2" t="s">
        <v>38</v>
      </c>
      <c r="H33" s="2" t="s">
        <v>110</v>
      </c>
      <c r="I33" s="2" t="s">
        <v>159</v>
      </c>
      <c r="J33" s="9" t="s">
        <v>181</v>
      </c>
    </row>
    <row r="34" spans="1:10" ht="15">
      <c r="A34" s="1">
        <v>44183</v>
      </c>
      <c r="B34" s="1">
        <v>44186</v>
      </c>
      <c r="C34" s="1">
        <v>44186</v>
      </c>
      <c r="D34" s="2" t="s">
        <v>0</v>
      </c>
      <c r="E34" s="2" t="s">
        <v>39</v>
      </c>
      <c r="F34" s="2" t="s">
        <v>1</v>
      </c>
      <c r="G34" s="2" t="s">
        <v>40</v>
      </c>
      <c r="H34" s="2" t="s">
        <v>106</v>
      </c>
      <c r="I34" s="2" t="s">
        <v>108</v>
      </c>
      <c r="J34" s="2" t="s">
        <v>0</v>
      </c>
    </row>
    <row r="35" spans="1:10" ht="15">
      <c r="A35" s="1">
        <v>44183</v>
      </c>
      <c r="B35" s="1">
        <v>44186</v>
      </c>
      <c r="C35" s="1">
        <v>44186</v>
      </c>
      <c r="D35" s="2" t="s">
        <v>0</v>
      </c>
      <c r="E35" s="2" t="s">
        <v>41</v>
      </c>
      <c r="F35" s="2" t="s">
        <v>1</v>
      </c>
      <c r="G35" s="2" t="s">
        <v>42</v>
      </c>
      <c r="H35" s="2" t="s">
        <v>110</v>
      </c>
      <c r="I35" s="2" t="s">
        <v>107</v>
      </c>
      <c r="J35" s="2" t="s">
        <v>43</v>
      </c>
    </row>
    <row r="36" spans="1:10" ht="15">
      <c r="A36" s="1">
        <v>44183</v>
      </c>
      <c r="B36" s="1">
        <v>44186</v>
      </c>
      <c r="C36" s="1">
        <v>44186</v>
      </c>
      <c r="D36" s="2" t="s">
        <v>0</v>
      </c>
      <c r="E36" s="2" t="s">
        <v>44</v>
      </c>
      <c r="F36" s="2" t="s">
        <v>1</v>
      </c>
      <c r="G36" s="2" t="s">
        <v>45</v>
      </c>
      <c r="H36" s="2" t="s">
        <v>106</v>
      </c>
      <c r="I36" s="2" t="s">
        <v>159</v>
      </c>
      <c r="J36" s="2" t="s">
        <v>0</v>
      </c>
    </row>
    <row r="37" spans="1:10" ht="15">
      <c r="A37" s="1">
        <v>44183</v>
      </c>
      <c r="B37" s="1">
        <v>44186</v>
      </c>
      <c r="C37" s="1">
        <v>44186</v>
      </c>
      <c r="D37" s="2" t="s">
        <v>0</v>
      </c>
      <c r="E37" s="2" t="s">
        <v>48</v>
      </c>
      <c r="F37" s="2" t="s">
        <v>1</v>
      </c>
      <c r="G37" s="2" t="s">
        <v>49</v>
      </c>
      <c r="H37" s="2" t="s">
        <v>107</v>
      </c>
      <c r="I37" s="2" t="s">
        <v>115</v>
      </c>
      <c r="J37" s="2" t="s">
        <v>36</v>
      </c>
    </row>
    <row r="38" spans="1:10" ht="15">
      <c r="A38" s="1">
        <v>44183</v>
      </c>
      <c r="B38" s="1">
        <v>44186</v>
      </c>
      <c r="C38" s="1">
        <v>44186</v>
      </c>
      <c r="D38" s="2" t="s">
        <v>0</v>
      </c>
      <c r="E38" s="2" t="s">
        <v>50</v>
      </c>
      <c r="F38" s="2" t="s">
        <v>1</v>
      </c>
      <c r="G38" s="2" t="s">
        <v>51</v>
      </c>
      <c r="H38" s="2" t="s">
        <v>107</v>
      </c>
      <c r="I38" s="2" t="s">
        <v>115</v>
      </c>
      <c r="J38" s="2" t="s">
        <v>36</v>
      </c>
    </row>
    <row r="39" spans="1:10" ht="15">
      <c r="A39" s="1">
        <v>44183</v>
      </c>
      <c r="B39" s="1">
        <v>44186</v>
      </c>
      <c r="C39" s="1">
        <v>44186</v>
      </c>
      <c r="D39" s="2" t="s">
        <v>0</v>
      </c>
      <c r="E39" s="2" t="s">
        <v>52</v>
      </c>
      <c r="F39" s="2" t="s">
        <v>1</v>
      </c>
      <c r="G39" s="2" t="s">
        <v>53</v>
      </c>
      <c r="H39" s="2" t="s">
        <v>107</v>
      </c>
      <c r="I39" s="2" t="s">
        <v>110</v>
      </c>
      <c r="J39" s="2" t="s">
        <v>36</v>
      </c>
    </row>
    <row r="40" spans="1:10" ht="15">
      <c r="A40" s="1">
        <v>44183</v>
      </c>
      <c r="B40" s="1">
        <v>44186</v>
      </c>
      <c r="C40" s="1">
        <v>44186</v>
      </c>
      <c r="D40" s="2" t="s">
        <v>0</v>
      </c>
      <c r="E40" s="2" t="s">
        <v>54</v>
      </c>
      <c r="F40" s="2" t="s">
        <v>1</v>
      </c>
      <c r="G40" s="2" t="s">
        <v>55</v>
      </c>
      <c r="H40" s="2" t="s">
        <v>107</v>
      </c>
      <c r="I40" s="2" t="s">
        <v>110</v>
      </c>
      <c r="J40" s="2" t="s">
        <v>36</v>
      </c>
    </row>
    <row r="41" spans="1:10" ht="15">
      <c r="A41" s="1">
        <v>44183</v>
      </c>
      <c r="B41" s="1">
        <v>44186</v>
      </c>
      <c r="C41" s="1">
        <v>44186</v>
      </c>
      <c r="D41" s="2" t="s">
        <v>0</v>
      </c>
      <c r="E41" s="2" t="s">
        <v>56</v>
      </c>
      <c r="F41" s="2" t="s">
        <v>1</v>
      </c>
      <c r="G41" s="2" t="s">
        <v>57</v>
      </c>
      <c r="H41" s="2" t="s">
        <v>107</v>
      </c>
      <c r="I41" s="2" t="s">
        <v>110</v>
      </c>
      <c r="J41" s="2" t="s">
        <v>36</v>
      </c>
    </row>
    <row r="42" spans="1:10" ht="15">
      <c r="A42" s="1">
        <v>44183</v>
      </c>
      <c r="B42" s="1">
        <v>44186</v>
      </c>
      <c r="C42" s="1">
        <v>44186</v>
      </c>
      <c r="D42" s="2" t="s">
        <v>0</v>
      </c>
      <c r="E42" s="2" t="s">
        <v>58</v>
      </c>
      <c r="F42" s="2" t="s">
        <v>1</v>
      </c>
      <c r="G42" s="2" t="s">
        <v>59</v>
      </c>
      <c r="H42" s="2" t="s">
        <v>107</v>
      </c>
      <c r="I42" s="2" t="s">
        <v>110</v>
      </c>
      <c r="J42" s="2" t="s">
        <v>60</v>
      </c>
    </row>
    <row r="43" spans="1:10" ht="15">
      <c r="A43" s="1">
        <v>44183</v>
      </c>
      <c r="B43" s="1">
        <v>44186</v>
      </c>
      <c r="C43" s="1">
        <v>44186</v>
      </c>
      <c r="D43" s="2" t="s">
        <v>0</v>
      </c>
      <c r="E43" s="2" t="s">
        <v>61</v>
      </c>
      <c r="F43" s="2" t="s">
        <v>1</v>
      </c>
      <c r="G43" s="2" t="s">
        <v>62</v>
      </c>
      <c r="H43" s="2" t="s">
        <v>107</v>
      </c>
      <c r="I43" s="2" t="s">
        <v>110</v>
      </c>
      <c r="J43" s="2" t="s">
        <v>36</v>
      </c>
    </row>
    <row r="44" spans="1:10" ht="15">
      <c r="A44" s="1">
        <v>44183</v>
      </c>
      <c r="B44" s="1">
        <v>44186</v>
      </c>
      <c r="C44" s="1">
        <v>44186</v>
      </c>
      <c r="D44" s="2" t="s">
        <v>0</v>
      </c>
      <c r="E44" s="2" t="s">
        <v>63</v>
      </c>
      <c r="F44" s="2" t="s">
        <v>1</v>
      </c>
      <c r="G44" s="2" t="s">
        <v>64</v>
      </c>
      <c r="H44" s="2" t="s">
        <v>109</v>
      </c>
      <c r="I44" s="2" t="s">
        <v>110</v>
      </c>
      <c r="J44" s="2"/>
    </row>
    <row r="45" spans="1:10" ht="15">
      <c r="A45" s="1">
        <v>44183</v>
      </c>
      <c r="B45" s="1">
        <v>44186</v>
      </c>
      <c r="C45" s="1">
        <v>44186</v>
      </c>
      <c r="D45" s="2" t="s">
        <v>0</v>
      </c>
      <c r="E45" s="2" t="s">
        <v>65</v>
      </c>
      <c r="F45" s="2" t="s">
        <v>1</v>
      </c>
      <c r="G45" s="2" t="s">
        <v>66</v>
      </c>
      <c r="H45" s="2" t="s">
        <v>107</v>
      </c>
      <c r="I45" s="2" t="s">
        <v>110</v>
      </c>
      <c r="J45" s="2" t="s">
        <v>36</v>
      </c>
    </row>
    <row r="46" spans="1:10" ht="15">
      <c r="A46" s="1">
        <v>44183</v>
      </c>
      <c r="B46" s="1">
        <v>44186</v>
      </c>
      <c r="C46" s="1">
        <v>44186</v>
      </c>
      <c r="D46" s="2" t="s">
        <v>0</v>
      </c>
      <c r="E46" s="2" t="s">
        <v>67</v>
      </c>
      <c r="F46" s="2" t="s">
        <v>1</v>
      </c>
      <c r="G46" s="2" t="s">
        <v>68</v>
      </c>
      <c r="H46" s="2" t="s">
        <v>106</v>
      </c>
      <c r="I46" s="2" t="s">
        <v>108</v>
      </c>
      <c r="J46" s="2" t="s">
        <v>69</v>
      </c>
    </row>
    <row r="47" spans="1:10" ht="15">
      <c r="A47" s="1">
        <v>44183</v>
      </c>
      <c r="B47" s="1">
        <v>44186</v>
      </c>
      <c r="C47" s="1">
        <v>44186</v>
      </c>
      <c r="D47" s="2" t="s">
        <v>0</v>
      </c>
      <c r="E47" s="2" t="s">
        <v>70</v>
      </c>
      <c r="F47" s="2" t="s">
        <v>1</v>
      </c>
      <c r="G47" s="2" t="s">
        <v>71</v>
      </c>
      <c r="H47" s="2" t="s">
        <v>106</v>
      </c>
      <c r="I47" s="2" t="s">
        <v>108</v>
      </c>
      <c r="J47" s="2" t="s">
        <v>72</v>
      </c>
    </row>
    <row r="48" spans="1:10" ht="15">
      <c r="A48" s="1">
        <v>44183</v>
      </c>
      <c r="B48" s="1">
        <v>44186</v>
      </c>
      <c r="C48" s="1">
        <v>44186</v>
      </c>
      <c r="D48" s="2" t="s">
        <v>0</v>
      </c>
      <c r="E48" s="2" t="s">
        <v>167</v>
      </c>
      <c r="F48" s="2" t="s">
        <v>1</v>
      </c>
      <c r="G48" s="2" t="s">
        <v>173</v>
      </c>
      <c r="H48" s="2" t="s">
        <v>109</v>
      </c>
      <c r="I48" s="2" t="s">
        <v>110</v>
      </c>
      <c r="J48" s="2" t="s">
        <v>134</v>
      </c>
    </row>
    <row r="49" spans="1:10" ht="15">
      <c r="A49" s="1">
        <v>44183</v>
      </c>
      <c r="B49" s="1">
        <v>44186</v>
      </c>
      <c r="C49" s="1">
        <v>44186</v>
      </c>
      <c r="D49" s="2" t="s">
        <v>0</v>
      </c>
      <c r="E49" s="2" t="s">
        <v>73</v>
      </c>
      <c r="F49" s="2" t="s">
        <v>1</v>
      </c>
      <c r="G49" s="2" t="s">
        <v>74</v>
      </c>
      <c r="H49" s="2" t="s">
        <v>109</v>
      </c>
      <c r="I49" s="2" t="s">
        <v>110</v>
      </c>
      <c r="J49" s="2" t="s">
        <v>134</v>
      </c>
    </row>
    <row r="50" spans="1:10" ht="15">
      <c r="A50" s="1">
        <v>44183</v>
      </c>
      <c r="B50" s="1">
        <v>44186</v>
      </c>
      <c r="C50" s="1">
        <v>44186</v>
      </c>
      <c r="D50" s="2" t="s">
        <v>0</v>
      </c>
      <c r="E50" s="2" t="s">
        <v>75</v>
      </c>
      <c r="F50" s="2" t="s">
        <v>1</v>
      </c>
      <c r="G50" s="10" t="s">
        <v>76</v>
      </c>
      <c r="H50" s="2" t="s">
        <v>110</v>
      </c>
      <c r="I50" s="2" t="s">
        <v>108</v>
      </c>
      <c r="J50" s="2" t="s">
        <v>77</v>
      </c>
    </row>
    <row r="51" spans="1:10" ht="15">
      <c r="A51" s="1">
        <v>44183</v>
      </c>
      <c r="B51" s="1">
        <v>44186</v>
      </c>
      <c r="C51" s="1">
        <v>44186</v>
      </c>
      <c r="D51" s="2" t="s">
        <v>0</v>
      </c>
      <c r="E51" s="2" t="s">
        <v>78</v>
      </c>
      <c r="F51" s="2" t="s">
        <v>1</v>
      </c>
      <c r="G51" s="10" t="s">
        <v>79</v>
      </c>
      <c r="H51" s="2" t="s">
        <v>110</v>
      </c>
      <c r="I51" s="2" t="s">
        <v>108</v>
      </c>
      <c r="J51" s="2" t="s">
        <v>77</v>
      </c>
    </row>
    <row r="52" spans="1:10" ht="15">
      <c r="A52" s="1">
        <v>44183</v>
      </c>
      <c r="B52" s="1">
        <v>44186</v>
      </c>
      <c r="C52" s="1">
        <v>44186</v>
      </c>
      <c r="D52" s="2" t="s">
        <v>0</v>
      </c>
      <c r="E52" s="2" t="s">
        <v>80</v>
      </c>
      <c r="F52" s="2" t="s">
        <v>1</v>
      </c>
      <c r="G52" s="10" t="s">
        <v>81</v>
      </c>
      <c r="H52" s="2" t="s">
        <v>108</v>
      </c>
      <c r="I52" s="2" t="s">
        <v>115</v>
      </c>
      <c r="J52" s="9" t="s">
        <v>199</v>
      </c>
    </row>
    <row r="53" spans="1:10" ht="15">
      <c r="A53" s="1">
        <v>44183</v>
      </c>
      <c r="B53" s="1">
        <v>44186</v>
      </c>
      <c r="C53" s="1">
        <v>44186</v>
      </c>
      <c r="D53" s="2" t="s">
        <v>0</v>
      </c>
      <c r="E53" s="2" t="s">
        <v>83</v>
      </c>
      <c r="F53" s="2" t="s">
        <v>1</v>
      </c>
      <c r="G53" s="10" t="s">
        <v>84</v>
      </c>
      <c r="H53" s="2" t="s">
        <v>107</v>
      </c>
      <c r="I53" s="2" t="s">
        <v>108</v>
      </c>
      <c r="J53" s="2" t="s">
        <v>0</v>
      </c>
    </row>
    <row r="54" spans="1:10" ht="15">
      <c r="A54" s="1">
        <v>44183</v>
      </c>
      <c r="B54" s="1">
        <v>44186</v>
      </c>
      <c r="C54" s="1">
        <v>44186</v>
      </c>
      <c r="D54" s="2" t="s">
        <v>0</v>
      </c>
      <c r="E54" s="2" t="s">
        <v>85</v>
      </c>
      <c r="F54" s="2" t="s">
        <v>1</v>
      </c>
      <c r="G54" s="10" t="s">
        <v>86</v>
      </c>
      <c r="H54" s="2" t="s">
        <v>109</v>
      </c>
      <c r="I54" s="2" t="s">
        <v>110</v>
      </c>
      <c r="J54" s="2" t="s">
        <v>135</v>
      </c>
    </row>
    <row r="55" spans="1:10" ht="15">
      <c r="A55" s="1">
        <v>44183</v>
      </c>
      <c r="B55" s="1">
        <v>44186</v>
      </c>
      <c r="C55" s="1">
        <v>44186</v>
      </c>
      <c r="D55" s="2" t="s">
        <v>0</v>
      </c>
      <c r="E55" s="2" t="s">
        <v>87</v>
      </c>
      <c r="F55" s="2" t="s">
        <v>1</v>
      </c>
      <c r="G55" s="10" t="s">
        <v>88</v>
      </c>
      <c r="H55" s="2" t="s">
        <v>109</v>
      </c>
      <c r="I55" s="2" t="s">
        <v>110</v>
      </c>
      <c r="J55" s="2" t="s">
        <v>136</v>
      </c>
    </row>
    <row r="56" spans="1:10" ht="15">
      <c r="A56" s="1">
        <v>44183</v>
      </c>
      <c r="B56" s="1">
        <v>44186</v>
      </c>
      <c r="C56" s="1">
        <v>44186</v>
      </c>
      <c r="D56" s="2" t="s">
        <v>0</v>
      </c>
      <c r="E56" s="2" t="s">
        <v>89</v>
      </c>
      <c r="F56" s="2" t="s">
        <v>1</v>
      </c>
      <c r="G56" s="10" t="s">
        <v>90</v>
      </c>
      <c r="H56" s="2" t="s">
        <v>108</v>
      </c>
      <c r="I56" s="2" t="s">
        <v>115</v>
      </c>
      <c r="J56" s="2" t="s">
        <v>91</v>
      </c>
    </row>
    <row r="57" spans="1:10" ht="15">
      <c r="A57" s="1">
        <v>44183</v>
      </c>
      <c r="B57" s="1">
        <v>44186</v>
      </c>
      <c r="C57" s="1">
        <v>44186</v>
      </c>
      <c r="D57" s="2" t="s">
        <v>0</v>
      </c>
      <c r="E57" s="2" t="s">
        <v>118</v>
      </c>
      <c r="F57" s="2" t="s">
        <v>1</v>
      </c>
      <c r="G57" s="10" t="s">
        <v>119</v>
      </c>
      <c r="H57" s="2" t="s">
        <v>115</v>
      </c>
      <c r="I57" s="2" t="s">
        <v>108</v>
      </c>
      <c r="J57" s="2" t="s">
        <v>0</v>
      </c>
    </row>
    <row r="58" spans="1:10" ht="15">
      <c r="A58" s="1">
        <v>44183</v>
      </c>
      <c r="B58" s="1">
        <v>44186</v>
      </c>
      <c r="C58" s="1">
        <v>44186</v>
      </c>
      <c r="D58" s="2" t="s">
        <v>0</v>
      </c>
      <c r="E58" s="2" t="s">
        <v>122</v>
      </c>
      <c r="F58" s="2" t="s">
        <v>1</v>
      </c>
      <c r="G58" s="10" t="s">
        <v>123</v>
      </c>
      <c r="H58" s="2" t="s">
        <v>109</v>
      </c>
      <c r="I58" s="2" t="s">
        <v>110</v>
      </c>
    </row>
    <row r="59" spans="1:10" ht="15">
      <c r="A59" s="1">
        <v>44183</v>
      </c>
      <c r="B59" s="1">
        <v>44186</v>
      </c>
      <c r="C59" s="1">
        <v>44186</v>
      </c>
      <c r="D59" s="2" t="s">
        <v>0</v>
      </c>
      <c r="E59" s="2" t="s">
        <v>124</v>
      </c>
      <c r="F59" s="2" t="s">
        <v>1</v>
      </c>
      <c r="G59" s="10" t="s">
        <v>125</v>
      </c>
      <c r="H59" s="2" t="s">
        <v>109</v>
      </c>
      <c r="I59" s="2" t="s">
        <v>110</v>
      </c>
      <c r="J59" s="2" t="s">
        <v>134</v>
      </c>
    </row>
    <row r="60" spans="1:10" ht="15">
      <c r="A60" s="1">
        <v>44183</v>
      </c>
      <c r="B60" s="1">
        <v>44186</v>
      </c>
      <c r="C60" s="1">
        <v>44186</v>
      </c>
      <c r="D60" s="2" t="s">
        <v>0</v>
      </c>
      <c r="E60" s="2" t="s">
        <v>120</v>
      </c>
      <c r="F60" s="2" t="s">
        <v>1</v>
      </c>
      <c r="G60" s="10" t="s">
        <v>121</v>
      </c>
      <c r="H60" s="2" t="s">
        <v>109</v>
      </c>
      <c r="I60" s="2" t="s">
        <v>110</v>
      </c>
      <c r="J60" s="2" t="s">
        <v>140</v>
      </c>
    </row>
    <row r="61" spans="1:10" ht="15">
      <c r="A61" s="1">
        <v>44181</v>
      </c>
      <c r="B61" s="1">
        <v>44182</v>
      </c>
      <c r="C61" s="1">
        <v>44186</v>
      </c>
      <c r="D61" s="2"/>
      <c r="E61" s="2" t="s">
        <v>184</v>
      </c>
      <c r="F61" s="2" t="s">
        <v>1</v>
      </c>
      <c r="G61" s="10" t="s">
        <v>185</v>
      </c>
      <c r="H61" s="2" t="s">
        <v>115</v>
      </c>
      <c r="I61" s="2" t="s">
        <v>108</v>
      </c>
      <c r="J61" s="9" t="s">
        <v>198</v>
      </c>
    </row>
    <row r="62" spans="1:10" ht="15">
      <c r="A62" s="1">
        <v>44183</v>
      </c>
      <c r="B62" s="1">
        <v>44186</v>
      </c>
      <c r="C62" s="1">
        <v>44186</v>
      </c>
      <c r="D62" s="2" t="s">
        <v>0</v>
      </c>
      <c r="E62" s="2" t="s">
        <v>126</v>
      </c>
      <c r="F62" s="2" t="s">
        <v>1</v>
      </c>
      <c r="G62" s="10" t="s">
        <v>127</v>
      </c>
      <c r="H62" s="2" t="s">
        <v>115</v>
      </c>
      <c r="I62" s="2" t="s">
        <v>159</v>
      </c>
      <c r="J62" s="2" t="s">
        <v>36</v>
      </c>
    </row>
    <row r="63" spans="1:10" ht="15">
      <c r="A63" s="1">
        <v>44183</v>
      </c>
      <c r="B63" s="1">
        <v>44186</v>
      </c>
      <c r="C63" s="1">
        <v>44186</v>
      </c>
      <c r="D63" s="2" t="s">
        <v>0</v>
      </c>
      <c r="E63" s="2" t="s">
        <v>141</v>
      </c>
      <c r="F63" s="2" t="s">
        <v>1</v>
      </c>
      <c r="G63" s="10" t="s">
        <v>142</v>
      </c>
      <c r="H63" s="2" t="s">
        <v>107</v>
      </c>
      <c r="I63" s="2" t="s">
        <v>115</v>
      </c>
      <c r="J63" s="2"/>
    </row>
    <row r="64" spans="1:10" ht="15">
      <c r="A64" s="1">
        <v>44183</v>
      </c>
      <c r="B64" s="1">
        <v>44186</v>
      </c>
      <c r="C64" s="1">
        <v>44186</v>
      </c>
      <c r="D64" s="2" t="s">
        <v>0</v>
      </c>
      <c r="E64" s="2" t="s">
        <v>177</v>
      </c>
      <c r="F64" s="2" t="s">
        <v>1</v>
      </c>
      <c r="G64" s="10" t="s">
        <v>178</v>
      </c>
      <c r="H64" s="2" t="s">
        <v>108</v>
      </c>
      <c r="I64" s="2" t="s">
        <v>115</v>
      </c>
      <c r="J64" s="2" t="s">
        <v>183</v>
      </c>
    </row>
    <row r="65" spans="1:10" ht="15">
      <c r="A65" s="1">
        <v>44183</v>
      </c>
      <c r="B65" s="1">
        <v>44186</v>
      </c>
      <c r="C65" s="1">
        <v>44186</v>
      </c>
      <c r="D65" s="2" t="s">
        <v>0</v>
      </c>
      <c r="E65" s="2" t="s">
        <v>143</v>
      </c>
      <c r="F65" s="2" t="s">
        <v>1</v>
      </c>
      <c r="G65" s="10" t="s">
        <v>144</v>
      </c>
      <c r="H65" s="2" t="s">
        <v>115</v>
      </c>
      <c r="I65" s="2" t="s">
        <v>107</v>
      </c>
      <c r="J65" s="2" t="s">
        <v>36</v>
      </c>
    </row>
    <row r="66" spans="1:10" ht="15">
      <c r="A66" s="1">
        <v>44183</v>
      </c>
      <c r="B66" s="1">
        <v>44186</v>
      </c>
      <c r="C66" s="1">
        <v>44186</v>
      </c>
      <c r="D66" s="2" t="s">
        <v>0</v>
      </c>
      <c r="E66" s="2" t="s">
        <v>145</v>
      </c>
      <c r="F66" s="2" t="s">
        <v>1</v>
      </c>
      <c r="G66" s="10" t="s">
        <v>146</v>
      </c>
      <c r="H66" s="2" t="s">
        <v>107</v>
      </c>
      <c r="I66" s="2" t="s">
        <v>115</v>
      </c>
      <c r="J66" s="2" t="s">
        <v>36</v>
      </c>
    </row>
    <row r="67" spans="1:10" ht="15">
      <c r="A67" s="1">
        <v>44183</v>
      </c>
      <c r="B67" s="1">
        <v>44186</v>
      </c>
      <c r="C67" s="1">
        <v>44186</v>
      </c>
      <c r="D67" s="2"/>
      <c r="E67" s="2" t="s">
        <v>157</v>
      </c>
      <c r="F67" s="2" t="s">
        <v>1</v>
      </c>
      <c r="G67" s="2" t="s">
        <v>158</v>
      </c>
      <c r="H67" s="2" t="s">
        <v>159</v>
      </c>
      <c r="I67" s="2" t="s">
        <v>108</v>
      </c>
      <c r="J67" s="2" t="s">
        <v>160</v>
      </c>
    </row>
    <row r="68" spans="1:10" ht="15">
      <c r="A68" s="1">
        <v>44183</v>
      </c>
      <c r="B68" s="1">
        <v>44186</v>
      </c>
      <c r="C68" s="1">
        <v>44186</v>
      </c>
      <c r="D68" s="2" t="s">
        <v>0</v>
      </c>
      <c r="E68" s="2" t="s">
        <v>92</v>
      </c>
      <c r="F68" s="2" t="s">
        <v>1</v>
      </c>
      <c r="G68" s="10" t="s">
        <v>93</v>
      </c>
      <c r="H68" s="2" t="s">
        <v>108</v>
      </c>
      <c r="I68" s="2" t="s">
        <v>109</v>
      </c>
      <c r="J68" s="2" t="s">
        <v>94</v>
      </c>
    </row>
    <row r="69" spans="1:10" ht="15">
      <c r="A69" s="1">
        <v>44183</v>
      </c>
      <c r="B69" s="1">
        <v>44186</v>
      </c>
      <c r="C69" s="1">
        <v>44186</v>
      </c>
      <c r="D69" s="2" t="s">
        <v>0</v>
      </c>
      <c r="E69" s="2" t="s">
        <v>147</v>
      </c>
      <c r="F69" s="2" t="s">
        <v>1</v>
      </c>
      <c r="G69" s="10" t="s">
        <v>148</v>
      </c>
      <c r="H69" s="2" t="s">
        <v>107</v>
      </c>
      <c r="I69" s="2" t="s">
        <v>110</v>
      </c>
      <c r="J69" s="2"/>
    </row>
    <row r="70" spans="1:10" ht="15">
      <c r="A70" s="1">
        <v>44183</v>
      </c>
      <c r="B70" s="1">
        <v>44186</v>
      </c>
      <c r="C70" s="1">
        <v>44186</v>
      </c>
      <c r="D70" s="2" t="s">
        <v>0</v>
      </c>
      <c r="E70" s="2" t="s">
        <v>149</v>
      </c>
      <c r="F70" s="2" t="s">
        <v>1</v>
      </c>
      <c r="G70" s="10" t="s">
        <v>150</v>
      </c>
      <c r="H70" s="2" t="s">
        <v>107</v>
      </c>
      <c r="I70" s="2" t="s">
        <v>110</v>
      </c>
      <c r="J70" s="2"/>
    </row>
    <row r="71" spans="1:10" ht="15">
      <c r="A71" s="1">
        <v>44183</v>
      </c>
      <c r="B71" s="1">
        <v>44186</v>
      </c>
      <c r="C71" s="1">
        <v>43841</v>
      </c>
      <c r="D71" s="2" t="s">
        <v>0</v>
      </c>
      <c r="E71" s="2" t="s">
        <v>46</v>
      </c>
      <c r="F71" s="2" t="s">
        <v>1</v>
      </c>
      <c r="G71" s="2" t="s">
        <v>47</v>
      </c>
      <c r="H71" s="2" t="s">
        <v>110</v>
      </c>
      <c r="I71" s="2" t="s">
        <v>159</v>
      </c>
      <c r="J71" s="9" t="s">
        <v>186</v>
      </c>
    </row>
    <row r="72" spans="1:10" ht="14.25" customHeight="1">
      <c r="A72" s="1">
        <v>44183</v>
      </c>
      <c r="B72" s="1">
        <v>44186</v>
      </c>
      <c r="C72" s="1">
        <v>44186</v>
      </c>
      <c r="D72" s="2" t="s">
        <v>0</v>
      </c>
      <c r="E72" s="2" t="s">
        <v>13</v>
      </c>
      <c r="F72" s="2" t="s">
        <v>1</v>
      </c>
      <c r="G72" s="2" t="s">
        <v>14</v>
      </c>
      <c r="H72" s="2" t="s">
        <v>107</v>
      </c>
      <c r="I72" s="2" t="s">
        <v>159</v>
      </c>
      <c r="J72" s="2" t="s">
        <v>15</v>
      </c>
    </row>
    <row r="73" spans="1:10" ht="14.25" customHeight="1">
      <c r="A73" s="1">
        <v>44183</v>
      </c>
      <c r="B73" s="1">
        <v>44186</v>
      </c>
      <c r="C73" s="1">
        <v>44186</v>
      </c>
      <c r="D73" s="2"/>
      <c r="E73" s="2" t="s">
        <v>192</v>
      </c>
      <c r="F73" s="2" t="s">
        <v>1</v>
      </c>
      <c r="G73" s="2" t="s">
        <v>193</v>
      </c>
      <c r="H73" s="9" t="s">
        <v>159</v>
      </c>
      <c r="I73" s="9" t="s">
        <v>107</v>
      </c>
      <c r="J73" s="2"/>
    </row>
    <row r="74" spans="1:10" ht="15">
      <c r="A74" s="1">
        <v>44186</v>
      </c>
      <c r="B74" s="1">
        <v>44187</v>
      </c>
      <c r="C74" s="1">
        <v>44187</v>
      </c>
      <c r="D74" s="2" t="s">
        <v>0</v>
      </c>
      <c r="E74" s="2" t="s">
        <v>156</v>
      </c>
      <c r="F74" s="2" t="s">
        <v>1</v>
      </c>
      <c r="G74" s="2" t="s">
        <v>29</v>
      </c>
      <c r="H74" s="2" t="s">
        <v>107</v>
      </c>
      <c r="I74" s="2" t="s">
        <v>108</v>
      </c>
      <c r="J74" s="9" t="s">
        <v>182</v>
      </c>
    </row>
    <row r="75" spans="1:10" ht="15">
      <c r="A75" s="1">
        <v>44186</v>
      </c>
      <c r="B75" s="1">
        <v>44187</v>
      </c>
      <c r="C75" s="1">
        <v>44187</v>
      </c>
      <c r="D75" s="2" t="s">
        <v>0</v>
      </c>
      <c r="E75" s="2" t="s">
        <v>37</v>
      </c>
      <c r="F75" s="2" t="s">
        <v>1</v>
      </c>
      <c r="G75" s="2" t="s">
        <v>38</v>
      </c>
      <c r="H75" s="2" t="s">
        <v>110</v>
      </c>
      <c r="I75" s="2" t="s">
        <v>159</v>
      </c>
      <c r="J75" s="9" t="s">
        <v>181</v>
      </c>
    </row>
    <row r="76" spans="1:10" ht="15">
      <c r="A76" s="1">
        <v>44193</v>
      </c>
      <c r="B76" s="1">
        <v>44194</v>
      </c>
      <c r="C76" s="1">
        <v>44194</v>
      </c>
      <c r="D76" s="2" t="s">
        <v>0</v>
      </c>
      <c r="E76" s="2" t="s">
        <v>128</v>
      </c>
      <c r="F76" s="2" t="s">
        <v>1</v>
      </c>
      <c r="G76" s="10" t="s">
        <v>151</v>
      </c>
      <c r="H76" s="2" t="s">
        <v>109</v>
      </c>
      <c r="I76" s="2" t="s">
        <v>115</v>
      </c>
      <c r="J76" s="2" t="s">
        <v>0</v>
      </c>
    </row>
    <row r="77" spans="1:10" ht="15">
      <c r="A77" s="1">
        <v>44196</v>
      </c>
      <c r="B77" s="1">
        <v>44200</v>
      </c>
      <c r="C77" s="1">
        <v>44200</v>
      </c>
      <c r="D77" s="2"/>
      <c r="E77" s="2" t="s">
        <v>187</v>
      </c>
      <c r="F77" s="2" t="s">
        <v>1</v>
      </c>
      <c r="G77" s="10" t="s">
        <v>194</v>
      </c>
      <c r="H77" s="2" t="s">
        <v>107</v>
      </c>
      <c r="I77" s="2" t="s">
        <v>159</v>
      </c>
      <c r="J77" s="2"/>
    </row>
    <row r="78" spans="1:10" ht="15">
      <c r="A78" s="1">
        <v>44196</v>
      </c>
      <c r="B78" s="1">
        <v>44200</v>
      </c>
      <c r="C78" s="1">
        <v>44200</v>
      </c>
      <c r="D78" s="2"/>
      <c r="E78" s="2" t="s">
        <v>188</v>
      </c>
      <c r="F78" s="2" t="s">
        <v>1</v>
      </c>
      <c r="G78" s="10" t="s">
        <v>195</v>
      </c>
      <c r="H78" s="2" t="s">
        <v>107</v>
      </c>
      <c r="I78" s="2" t="s">
        <v>159</v>
      </c>
      <c r="J78" s="2"/>
    </row>
    <row r="79" spans="1:10" ht="15">
      <c r="A79" s="1">
        <v>44196</v>
      </c>
      <c r="B79" s="1">
        <v>44200</v>
      </c>
      <c r="C79" s="1">
        <v>44200</v>
      </c>
      <c r="D79" s="2"/>
      <c r="E79" s="2" t="s">
        <v>189</v>
      </c>
      <c r="F79" s="2" t="s">
        <v>1</v>
      </c>
      <c r="G79" s="10" t="s">
        <v>196</v>
      </c>
      <c r="H79" s="2" t="s">
        <v>107</v>
      </c>
      <c r="I79" s="2" t="s">
        <v>159</v>
      </c>
      <c r="J79" s="2"/>
    </row>
    <row r="80" spans="1:10" ht="15">
      <c r="A80" s="1">
        <v>44196</v>
      </c>
      <c r="B80" s="1">
        <v>44200</v>
      </c>
      <c r="C80" s="1">
        <v>44200</v>
      </c>
      <c r="D80" s="2"/>
      <c r="E80" s="2" t="s">
        <v>190</v>
      </c>
      <c r="F80" s="2" t="s">
        <v>1</v>
      </c>
      <c r="G80" s="10" t="s">
        <v>197</v>
      </c>
      <c r="H80" s="2" t="s">
        <v>107</v>
      </c>
      <c r="I80" s="2" t="s">
        <v>159</v>
      </c>
      <c r="J80" s="2"/>
    </row>
    <row r="84" spans="1:8">
      <c r="G84" s="13"/>
    </row>
    <row r="85" spans="1:8" ht="15">
      <c r="A85" s="6" t="s">
        <v>111</v>
      </c>
    </row>
    <row r="86" spans="1:8" ht="15">
      <c r="A86" s="6"/>
    </row>
    <row r="87" spans="1:8">
      <c r="A87" s="2" t="s">
        <v>112</v>
      </c>
      <c r="B87" s="2">
        <f>COUNTIF(F4:F80,"REVIEW")</f>
        <v>73</v>
      </c>
    </row>
    <row r="89" spans="1:8">
      <c r="A89" s="2"/>
      <c r="B89" s="2" t="s">
        <v>106</v>
      </c>
      <c r="C89" s="2" t="s">
        <v>109</v>
      </c>
      <c r="D89" s="2" t="s">
        <v>108</v>
      </c>
      <c r="E89" s="2" t="s">
        <v>110</v>
      </c>
      <c r="F89" s="2" t="s">
        <v>107</v>
      </c>
      <c r="G89" s="2" t="s">
        <v>115</v>
      </c>
      <c r="H89" s="2" t="s">
        <v>159</v>
      </c>
    </row>
    <row r="90" spans="1:8">
      <c r="A90" s="2" t="s">
        <v>112</v>
      </c>
      <c r="B90" s="2">
        <f t="shared" ref="B90:H90" si="0">COUNTIF($H4:$I80,B89)+COUNTIF($H4:$I80,B89&amp;" (new)")</f>
        <v>12</v>
      </c>
      <c r="C90" s="2">
        <f t="shared" si="0"/>
        <v>20</v>
      </c>
      <c r="D90" s="2">
        <f t="shared" si="0"/>
        <v>22</v>
      </c>
      <c r="E90" s="2">
        <f t="shared" si="0"/>
        <v>29</v>
      </c>
      <c r="F90" s="2">
        <f t="shared" si="0"/>
        <v>30</v>
      </c>
      <c r="G90" s="2">
        <f t="shared" si="0"/>
        <v>15</v>
      </c>
      <c r="H90" s="2">
        <f t="shared" si="0"/>
        <v>14</v>
      </c>
    </row>
    <row r="91" spans="1:8">
      <c r="A91" s="2" t="s">
        <v>113</v>
      </c>
      <c r="B91" s="2">
        <f t="shared" ref="B91:H91" si="1">COUNTIF($H4:$H80,B89)+COUNTIF($H4:$H80,B89&amp;" (new)")</f>
        <v>7</v>
      </c>
      <c r="C91" s="2">
        <f t="shared" si="1"/>
        <v>17</v>
      </c>
      <c r="D91" s="2">
        <f t="shared" si="1"/>
        <v>5</v>
      </c>
      <c r="E91" s="2">
        <f t="shared" si="1"/>
        <v>8</v>
      </c>
      <c r="F91" s="2">
        <f t="shared" si="1"/>
        <v>26</v>
      </c>
      <c r="G91" s="2">
        <f t="shared" si="1"/>
        <v>4</v>
      </c>
      <c r="H91" s="2">
        <f t="shared" si="1"/>
        <v>2</v>
      </c>
    </row>
    <row r="92" spans="1:8">
      <c r="A92" s="2" t="s">
        <v>114</v>
      </c>
      <c r="B92" s="2">
        <f>B90-B91</f>
        <v>5</v>
      </c>
      <c r="C92" s="2">
        <f>C90-C91</f>
        <v>3</v>
      </c>
      <c r="D92" s="2">
        <f>D90-D91</f>
        <v>17</v>
      </c>
      <c r="E92" s="2">
        <f>E90-E91</f>
        <v>21</v>
      </c>
      <c r="F92" s="2">
        <f t="shared" ref="F92" si="2">F90-F91</f>
        <v>4</v>
      </c>
      <c r="G92" s="2">
        <f>G90-G91</f>
        <v>11</v>
      </c>
      <c r="H92" s="2">
        <f>H90-H91</f>
        <v>12</v>
      </c>
    </row>
  </sheetData>
  <autoFilter ref="A16:J81" xr:uid="{5BDD4C57-7EC3-4A23-B45C-253BA0981C9D}"/>
  <conditionalFormatting sqref="A1">
    <cfRule type="expression" dxfId="34" priority="199">
      <formula>$E1=TODAY()</formula>
    </cfRule>
  </conditionalFormatting>
  <conditionalFormatting sqref="A17:C71">
    <cfRule type="expression" dxfId="33" priority="4">
      <formula>$A17=TODAY()</formula>
    </cfRule>
  </conditionalFormatting>
  <conditionalFormatting sqref="A4:F12">
    <cfRule type="expression" dxfId="32" priority="8">
      <formula>$A4=TODAY()</formula>
    </cfRule>
  </conditionalFormatting>
  <conditionalFormatting sqref="A13:H13 G17:H17 J17:J19 G67:J67 G69:I70 G72:J75 A72:E80">
    <cfRule type="expression" dxfId="31" priority="203">
      <formula>$A13=TODAY()</formula>
    </cfRule>
  </conditionalFormatting>
  <conditionalFormatting sqref="A14:J14">
    <cfRule type="expression" dxfId="30" priority="202">
      <formula>$E14=TODAY()</formula>
    </cfRule>
  </conditionalFormatting>
  <conditionalFormatting sqref="D17:E70 G68:H68 J68">
    <cfRule type="expression" dxfId="29" priority="82">
      <formula>$A17=TODAY()</formula>
    </cfRule>
  </conditionalFormatting>
  <conditionalFormatting sqref="D71:E75 G71:H75">
    <cfRule type="expression" dxfId="28" priority="206">
      <formula>#REF!=TODAY()</formula>
    </cfRule>
  </conditionalFormatting>
  <conditionalFormatting sqref="D84:H84 J84">
    <cfRule type="expression" dxfId="27" priority="204">
      <formula>$A71=TODAY()</formula>
    </cfRule>
  </conditionalFormatting>
  <conditionalFormatting sqref="F17:F80">
    <cfRule type="expression" dxfId="26" priority="1">
      <formula>$A17=TODAY()</formula>
    </cfRule>
  </conditionalFormatting>
  <conditionalFormatting sqref="G11:H12 J11:J13">
    <cfRule type="expression" dxfId="25" priority="59">
      <formula>$A11=TODAY()</formula>
    </cfRule>
  </conditionalFormatting>
  <conditionalFormatting sqref="G50:H52">
    <cfRule type="expression" dxfId="24" priority="115">
      <formula>$A50=TODAY()</formula>
    </cfRule>
  </conditionalFormatting>
  <conditionalFormatting sqref="G54:H66 J59:J66 I65:I66">
    <cfRule type="expression" dxfId="23" priority="87">
      <formula>$A54=TODAY()</formula>
    </cfRule>
  </conditionalFormatting>
  <conditionalFormatting sqref="G76:H80">
    <cfRule type="expression" dxfId="22" priority="11">
      <formula>$A76=TODAY()</formula>
    </cfRule>
  </conditionalFormatting>
  <conditionalFormatting sqref="G18:I19">
    <cfRule type="expression" dxfId="21" priority="152">
      <formula>$A18=TODAY()</formula>
    </cfRule>
  </conditionalFormatting>
  <conditionalFormatting sqref="G4:J10">
    <cfRule type="expression" dxfId="20" priority="53">
      <formula>$A4=TODAY()</formula>
    </cfRule>
  </conditionalFormatting>
  <conditionalFormatting sqref="G20:J49">
    <cfRule type="expression" dxfId="19" priority="44">
      <formula>$A20=TODAY()</formula>
    </cfRule>
  </conditionalFormatting>
  <conditionalFormatting sqref="G53:J53">
    <cfRule type="expression" dxfId="18" priority="113">
      <formula>$A53=TODAY()</formula>
    </cfRule>
  </conditionalFormatting>
  <conditionalFormatting sqref="I54:I55">
    <cfRule type="expression" dxfId="17" priority="104">
      <formula>$A54=TODAY()</formula>
    </cfRule>
  </conditionalFormatting>
  <conditionalFormatting sqref="I58:I61">
    <cfRule type="expression" dxfId="16" priority="94">
      <formula>$A58=TODAY()</formula>
    </cfRule>
  </conditionalFormatting>
  <conditionalFormatting sqref="I50:J50 J51:J52">
    <cfRule type="expression" dxfId="15" priority="117">
      <formula>$A50=TODAY()</formula>
    </cfRule>
  </conditionalFormatting>
  <conditionalFormatting sqref="J54:J57">
    <cfRule type="expression" dxfId="14" priority="102">
      <formula>$A54=TODAY()</formula>
    </cfRule>
  </conditionalFormatting>
  <conditionalFormatting sqref="J58">
    <cfRule type="expression" dxfId="13" priority="100">
      <formula>#REF!=TODAY()</formula>
    </cfRule>
  </conditionalFormatting>
  <conditionalFormatting sqref="J69:J80">
    <cfRule type="expression" dxfId="12" priority="64">
      <formula>#REF!=TODAY()</formula>
    </cfRule>
  </conditionalFormatting>
  <dataValidations count="1">
    <dataValidation operator="greaterThan" allowBlank="1" showInputMessage="1" showErrorMessage="1" sqref="A3 A16" xr:uid="{D1A12039-D6EA-4036-8457-B3A8F464AE72}"/>
  </dataValidations>
  <pageMargins left="0.7" right="0.7" top="0.75" bottom="0.75" header="0.3" footer="0.3"/>
  <pageSetup paperSize="9" orientation="landscape" r:id="rId1"/>
  <headerFooter>
    <oddFooter>&amp;C&amp;"Verdana"&amp;10&amp;K000000&amp;"Verdana"&amp;10&amp;K000000&amp;"Calibri,Regular"&amp;14&amp;B&amp;K000000INTERNAL USE ONLY_x000D_&amp;1#&amp;"Calibri"&amp;10&amp;KFFEF00PRIVATE</oddFooter>
    <evenFooter>&amp;C&amp;"Calibri,Regular"&amp;14&amp;B&amp;K000000INTERNAL USE ONLY</evenFooter>
    <firstFooter>&amp;C&amp;"Calibri,Regular"&amp;14&amp;B&amp;K000000INTERNAL USE ONLY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81BD-6189-4E12-9764-F8BE65BFF481}">
  <sheetPr codeName="Sheet1"/>
  <dimension ref="A1:U134"/>
  <sheetViews>
    <sheetView tabSelected="1" topLeftCell="F1" zoomScale="85" zoomScaleNormal="85" workbookViewId="0">
      <selection activeCell="N10" sqref="N9:N10"/>
    </sheetView>
  </sheetViews>
  <sheetFormatPr defaultRowHeight="14.25"/>
  <cols>
    <col min="1" max="1" width="13" bestFit="1" customWidth="1"/>
    <col min="2" max="2" width="20.625" bestFit="1" customWidth="1"/>
    <col min="3" max="3" width="12.375" bestFit="1" customWidth="1"/>
    <col min="4" max="4" width="18.375" bestFit="1" customWidth="1"/>
    <col min="5" max="5" width="7.375" bestFit="1" customWidth="1"/>
    <col min="6" max="6" width="15.875" bestFit="1" customWidth="1"/>
    <col min="7" max="10" width="17.25" bestFit="1" customWidth="1"/>
    <col min="11" max="11" width="59.25" bestFit="1" customWidth="1"/>
    <col min="12" max="12" width="7.5" bestFit="1" customWidth="1"/>
    <col min="13" max="13" width="44.25" bestFit="1" customWidth="1"/>
    <col min="14" max="14" width="13.875" bestFit="1" customWidth="1"/>
    <col min="15" max="15" width="39" bestFit="1" customWidth="1"/>
    <col min="16" max="16" width="7.75" bestFit="1" customWidth="1"/>
    <col min="17" max="17" width="9.875" bestFit="1" customWidth="1"/>
    <col min="19" max="19" width="15.75" bestFit="1" customWidth="1"/>
    <col min="20" max="20" width="3.75" bestFit="1" customWidth="1"/>
    <col min="21" max="21" width="152.125" bestFit="1" customWidth="1"/>
  </cols>
  <sheetData>
    <row r="1" spans="1:21">
      <c r="A1" s="3" t="s">
        <v>275</v>
      </c>
      <c r="B1" s="3" t="s">
        <v>215</v>
      </c>
      <c r="C1" s="3" t="s">
        <v>271</v>
      </c>
      <c r="D1" s="3" t="s">
        <v>216</v>
      </c>
      <c r="E1" s="3" t="s">
        <v>1</v>
      </c>
      <c r="F1" s="3" t="s">
        <v>210</v>
      </c>
      <c r="G1" s="3" t="s">
        <v>248</v>
      </c>
      <c r="H1" s="3" t="s">
        <v>249</v>
      </c>
      <c r="I1" s="3" t="s">
        <v>251</v>
      </c>
      <c r="J1" s="3" t="s">
        <v>252</v>
      </c>
      <c r="K1" s="4" t="s">
        <v>98</v>
      </c>
      <c r="L1" s="4" t="s">
        <v>99</v>
      </c>
      <c r="M1" s="4" t="s">
        <v>100</v>
      </c>
      <c r="N1" s="4" t="s">
        <v>283</v>
      </c>
      <c r="O1" s="4" t="s">
        <v>297</v>
      </c>
      <c r="P1" s="4" t="s">
        <v>211</v>
      </c>
      <c r="Q1" s="4" t="s">
        <v>213</v>
      </c>
      <c r="R1" s="5" t="s">
        <v>212</v>
      </c>
      <c r="S1" s="5" t="s">
        <v>214</v>
      </c>
      <c r="T1" s="5" t="s">
        <v>244</v>
      </c>
      <c r="U1" s="4" t="s">
        <v>102</v>
      </c>
    </row>
    <row r="2" spans="1:21" ht="15">
      <c r="A2" s="1">
        <v>45625</v>
      </c>
      <c r="B2" s="1" t="s">
        <v>0</v>
      </c>
      <c r="C2" s="1">
        <v>45628</v>
      </c>
      <c r="D2" s="1">
        <v>45628</v>
      </c>
      <c r="E2" s="1">
        <v>45630</v>
      </c>
      <c r="F2" s="1">
        <v>45631</v>
      </c>
      <c r="G2" s="1"/>
      <c r="H2" s="1"/>
      <c r="I2" s="1"/>
      <c r="J2" s="1"/>
      <c r="K2" s="2" t="s">
        <v>302</v>
      </c>
      <c r="L2" s="2" t="s">
        <v>1</v>
      </c>
      <c r="M2" s="2" t="s">
        <v>303</v>
      </c>
      <c r="N2" s="2" t="s">
        <v>372</v>
      </c>
      <c r="O2" s="2" t="s">
        <v>0</v>
      </c>
      <c r="P2" s="16" t="s">
        <v>245</v>
      </c>
      <c r="Q2" s="16" t="s">
        <v>432</v>
      </c>
      <c r="R2" s="15" t="s">
        <v>109</v>
      </c>
      <c r="S2" s="15" t="s">
        <v>433</v>
      </c>
      <c r="T2" s="2"/>
      <c r="U2" s="10" t="s">
        <v>304</v>
      </c>
    </row>
    <row r="3" spans="1:21" ht="15">
      <c r="A3" s="1">
        <v>45618</v>
      </c>
      <c r="B3" s="1">
        <v>45636</v>
      </c>
      <c r="C3" s="1">
        <v>45644</v>
      </c>
      <c r="D3" s="1">
        <v>45644</v>
      </c>
      <c r="E3" s="1">
        <v>45646</v>
      </c>
      <c r="F3" s="1">
        <v>45649</v>
      </c>
      <c r="G3" s="1"/>
      <c r="H3" s="1"/>
      <c r="I3" s="1"/>
      <c r="J3" s="1"/>
      <c r="K3" s="2" t="s">
        <v>267</v>
      </c>
      <c r="L3" s="2" t="s">
        <v>1</v>
      </c>
      <c r="M3" s="2" t="s">
        <v>268</v>
      </c>
      <c r="N3" s="2" t="s">
        <v>290</v>
      </c>
      <c r="O3" s="2" t="s">
        <v>299</v>
      </c>
      <c r="P3" s="16" t="s">
        <v>376</v>
      </c>
      <c r="Q3" s="16" t="s">
        <v>432</v>
      </c>
      <c r="R3" s="14" t="s">
        <v>391</v>
      </c>
      <c r="S3" s="14" t="s">
        <v>434</v>
      </c>
      <c r="T3" s="2"/>
      <c r="U3" s="10" t="s">
        <v>305</v>
      </c>
    </row>
    <row r="4" spans="1:21" ht="15">
      <c r="A4" s="1">
        <v>45618</v>
      </c>
      <c r="B4" s="1">
        <v>45636</v>
      </c>
      <c r="C4" s="1">
        <v>45644</v>
      </c>
      <c r="D4" s="1">
        <v>45644</v>
      </c>
      <c r="E4" s="1">
        <v>45646</v>
      </c>
      <c r="F4" s="1">
        <v>45649</v>
      </c>
      <c r="G4" s="1"/>
      <c r="H4" s="1"/>
      <c r="I4" s="1"/>
      <c r="J4" s="1"/>
      <c r="K4" s="2" t="s">
        <v>170</v>
      </c>
      <c r="L4" s="2" t="s">
        <v>1</v>
      </c>
      <c r="M4" s="2" t="s">
        <v>201</v>
      </c>
      <c r="N4" s="2" t="s">
        <v>290</v>
      </c>
      <c r="O4" s="2" t="s">
        <v>0</v>
      </c>
      <c r="P4" s="15" t="s">
        <v>109</v>
      </c>
      <c r="Q4" s="15" t="s">
        <v>433</v>
      </c>
      <c r="R4" s="15" t="s">
        <v>106</v>
      </c>
      <c r="S4" s="15" t="s">
        <v>433</v>
      </c>
      <c r="T4" s="2"/>
      <c r="U4" s="10" t="s">
        <v>8</v>
      </c>
    </row>
    <row r="5" spans="1:21" ht="15">
      <c r="A5" s="1">
        <v>45618</v>
      </c>
      <c r="B5" s="1">
        <v>45637</v>
      </c>
      <c r="C5" s="1">
        <v>45644</v>
      </c>
      <c r="D5" s="1">
        <v>45644</v>
      </c>
      <c r="E5" s="1">
        <v>45646</v>
      </c>
      <c r="F5" s="1">
        <v>45649</v>
      </c>
      <c r="G5" s="1"/>
      <c r="H5" s="1"/>
      <c r="I5" s="1"/>
      <c r="J5" s="1"/>
      <c r="K5" s="10" t="s">
        <v>282</v>
      </c>
      <c r="L5" s="10" t="s">
        <v>1</v>
      </c>
      <c r="M5" s="10" t="s">
        <v>276</v>
      </c>
      <c r="N5" s="2" t="s">
        <v>291</v>
      </c>
      <c r="O5" s="2" t="s">
        <v>299</v>
      </c>
      <c r="P5" s="16" t="s">
        <v>245</v>
      </c>
      <c r="Q5" s="16" t="s">
        <v>432</v>
      </c>
      <c r="R5" s="15" t="s">
        <v>269</v>
      </c>
      <c r="S5" s="15" t="s">
        <v>433</v>
      </c>
      <c r="T5" s="2"/>
      <c r="U5" s="10" t="s">
        <v>306</v>
      </c>
    </row>
    <row r="6" spans="1:21" ht="15">
      <c r="A6" s="1">
        <v>45618</v>
      </c>
      <c r="B6" s="1">
        <v>45637</v>
      </c>
      <c r="C6" s="1">
        <v>45644</v>
      </c>
      <c r="D6" s="1">
        <v>45644</v>
      </c>
      <c r="E6" s="1">
        <v>45646</v>
      </c>
      <c r="F6" s="1">
        <v>45649</v>
      </c>
      <c r="G6" s="1"/>
      <c r="H6" s="1"/>
      <c r="I6" s="1"/>
      <c r="J6" s="1"/>
      <c r="K6" s="2" t="s">
        <v>153</v>
      </c>
      <c r="L6" s="2" t="s">
        <v>1</v>
      </c>
      <c r="M6" s="2" t="s">
        <v>9</v>
      </c>
      <c r="N6" s="2" t="s">
        <v>291</v>
      </c>
      <c r="O6" s="2" t="s">
        <v>0</v>
      </c>
      <c r="P6" s="15" t="s">
        <v>109</v>
      </c>
      <c r="Q6" s="15" t="s">
        <v>433</v>
      </c>
      <c r="R6" s="15" t="s">
        <v>269</v>
      </c>
      <c r="S6" s="15" t="s">
        <v>433</v>
      </c>
      <c r="T6" s="2"/>
      <c r="U6" s="10" t="s">
        <v>8</v>
      </c>
    </row>
    <row r="7" spans="1:21" ht="15">
      <c r="A7" s="1">
        <v>45618</v>
      </c>
      <c r="B7" s="1">
        <v>45638</v>
      </c>
      <c r="C7" s="1">
        <v>45644</v>
      </c>
      <c r="D7" s="1">
        <v>45644</v>
      </c>
      <c r="E7" s="1">
        <v>45646</v>
      </c>
      <c r="F7" s="1">
        <v>45649</v>
      </c>
      <c r="G7" s="1"/>
      <c r="H7" s="1"/>
      <c r="I7" s="1"/>
      <c r="J7" s="1"/>
      <c r="K7" s="2" t="s">
        <v>217</v>
      </c>
      <c r="L7" s="2" t="s">
        <v>1</v>
      </c>
      <c r="M7" s="2" t="s">
        <v>221</v>
      </c>
      <c r="N7" s="2" t="s">
        <v>294</v>
      </c>
      <c r="O7" s="2" t="s">
        <v>300</v>
      </c>
      <c r="P7" s="16" t="s">
        <v>108</v>
      </c>
      <c r="Q7" s="16" t="s">
        <v>432</v>
      </c>
      <c r="R7" s="14" t="s">
        <v>391</v>
      </c>
      <c r="S7" s="14" t="s">
        <v>434</v>
      </c>
      <c r="T7" s="2"/>
      <c r="U7" s="10" t="s">
        <v>307</v>
      </c>
    </row>
    <row r="8" spans="1:21" ht="15">
      <c r="A8" s="1">
        <v>45618</v>
      </c>
      <c r="B8" s="1">
        <v>45638</v>
      </c>
      <c r="C8" s="1">
        <v>45644</v>
      </c>
      <c r="D8" s="1">
        <v>45644</v>
      </c>
      <c r="E8" s="1">
        <v>45646</v>
      </c>
      <c r="F8" s="1">
        <v>45649</v>
      </c>
      <c r="G8" s="1"/>
      <c r="H8" s="1"/>
      <c r="I8" s="1"/>
      <c r="J8" s="1"/>
      <c r="K8" s="2" t="s">
        <v>154</v>
      </c>
      <c r="L8" s="2" t="s">
        <v>1</v>
      </c>
      <c r="M8" s="2" t="s">
        <v>17</v>
      </c>
      <c r="N8" s="2" t="s">
        <v>294</v>
      </c>
      <c r="O8" s="2" t="s">
        <v>0</v>
      </c>
      <c r="P8" s="16" t="s">
        <v>115</v>
      </c>
      <c r="Q8" s="16" t="s">
        <v>432</v>
      </c>
      <c r="R8" s="15" t="s">
        <v>106</v>
      </c>
      <c r="S8" s="15" t="s">
        <v>433</v>
      </c>
      <c r="T8" s="2"/>
      <c r="U8" s="10" t="s">
        <v>8</v>
      </c>
    </row>
    <row r="9" spans="1:21" ht="15">
      <c r="A9" s="1">
        <v>45618</v>
      </c>
      <c r="B9" s="1">
        <v>45638</v>
      </c>
      <c r="C9" s="1">
        <v>45644</v>
      </c>
      <c r="D9" s="1">
        <v>45644</v>
      </c>
      <c r="E9" s="1">
        <v>45646</v>
      </c>
      <c r="F9" s="1">
        <v>45649</v>
      </c>
      <c r="G9" s="1"/>
      <c r="H9" s="1"/>
      <c r="I9" s="1"/>
      <c r="J9" s="1"/>
      <c r="K9" s="2" t="s">
        <v>365</v>
      </c>
      <c r="L9" s="2" t="s">
        <v>1</v>
      </c>
      <c r="M9" s="2" t="s">
        <v>84</v>
      </c>
      <c r="N9" s="2" t="s">
        <v>292</v>
      </c>
      <c r="O9" s="2" t="s">
        <v>0</v>
      </c>
      <c r="P9" s="16" t="s">
        <v>108</v>
      </c>
      <c r="Q9" s="16" t="s">
        <v>432</v>
      </c>
      <c r="R9" s="15" t="s">
        <v>228</v>
      </c>
      <c r="S9" s="15" t="s">
        <v>433</v>
      </c>
      <c r="T9" s="2"/>
      <c r="U9" s="10" t="s">
        <v>0</v>
      </c>
    </row>
    <row r="10" spans="1:21" ht="15">
      <c r="A10" s="1">
        <v>45618</v>
      </c>
      <c r="B10" s="1">
        <v>45639</v>
      </c>
      <c r="C10" s="1">
        <v>45644</v>
      </c>
      <c r="D10" s="1">
        <v>45644</v>
      </c>
      <c r="E10" s="1">
        <v>45646</v>
      </c>
      <c r="F10" s="1">
        <v>45649</v>
      </c>
      <c r="G10" s="1"/>
      <c r="H10" s="1"/>
      <c r="I10" s="1"/>
      <c r="J10" s="1"/>
      <c r="K10" s="2" t="s">
        <v>240</v>
      </c>
      <c r="L10" s="2" t="s">
        <v>1</v>
      </c>
      <c r="M10" s="2" t="s">
        <v>241</v>
      </c>
      <c r="N10" s="2" t="s">
        <v>284</v>
      </c>
      <c r="O10" s="2" t="s">
        <v>300</v>
      </c>
      <c r="P10" s="16" t="s">
        <v>108</v>
      </c>
      <c r="Q10" s="16" t="s">
        <v>432</v>
      </c>
      <c r="R10" s="15" t="s">
        <v>245</v>
      </c>
      <c r="S10" s="15" t="s">
        <v>433</v>
      </c>
      <c r="T10" s="2"/>
      <c r="U10" s="10" t="s">
        <v>366</v>
      </c>
    </row>
    <row r="11" spans="1:21" ht="15">
      <c r="A11" s="1">
        <v>45618</v>
      </c>
      <c r="B11" s="1">
        <v>45637</v>
      </c>
      <c r="C11" s="1">
        <v>45644</v>
      </c>
      <c r="D11" s="1">
        <v>45644</v>
      </c>
      <c r="E11" s="1">
        <v>45646</v>
      </c>
      <c r="F11" s="1">
        <v>45649</v>
      </c>
      <c r="G11" s="1"/>
      <c r="H11" s="1"/>
      <c r="I11" s="1"/>
      <c r="J11" s="1"/>
      <c r="K11" s="2" t="s">
        <v>381</v>
      </c>
      <c r="L11" s="2" t="s">
        <v>1</v>
      </c>
      <c r="M11" s="2" t="s">
        <v>367</v>
      </c>
      <c r="N11" s="2" t="s">
        <v>293</v>
      </c>
      <c r="O11" s="2" t="s">
        <v>0</v>
      </c>
      <c r="P11" s="15" t="s">
        <v>245</v>
      </c>
      <c r="Q11" s="15" t="s">
        <v>433</v>
      </c>
      <c r="R11" s="15" t="s">
        <v>109</v>
      </c>
      <c r="S11" s="15" t="s">
        <v>433</v>
      </c>
      <c r="T11" s="2"/>
      <c r="U11" s="10" t="s">
        <v>8</v>
      </c>
    </row>
    <row r="12" spans="1:21" ht="15">
      <c r="A12" s="1">
        <v>45618</v>
      </c>
      <c r="B12" s="1"/>
      <c r="C12" s="1">
        <v>45644</v>
      </c>
      <c r="D12" s="1">
        <v>45644</v>
      </c>
      <c r="E12" s="1">
        <v>45646</v>
      </c>
      <c r="F12" s="1">
        <v>45649</v>
      </c>
      <c r="G12" s="1"/>
      <c r="H12" s="1"/>
      <c r="I12" s="1"/>
      <c r="J12" s="1"/>
      <c r="K12" s="2" t="s">
        <v>436</v>
      </c>
      <c r="L12" s="2" t="s">
        <v>1</v>
      </c>
      <c r="M12" s="2" t="s">
        <v>437</v>
      </c>
      <c r="N12" s="2" t="s">
        <v>438</v>
      </c>
      <c r="O12" s="2"/>
      <c r="P12" s="16" t="s">
        <v>269</v>
      </c>
      <c r="Q12" s="16" t="s">
        <v>432</v>
      </c>
      <c r="R12" s="15" t="s">
        <v>106</v>
      </c>
      <c r="S12" s="15" t="s">
        <v>433</v>
      </c>
      <c r="T12" s="2"/>
      <c r="U12" s="10"/>
    </row>
    <row r="13" spans="1:21" ht="15">
      <c r="A13" s="1">
        <v>45618</v>
      </c>
      <c r="B13" s="1">
        <v>45636</v>
      </c>
      <c r="C13" s="1">
        <v>45644</v>
      </c>
      <c r="D13" s="1">
        <v>45644</v>
      </c>
      <c r="E13" s="1">
        <v>45646</v>
      </c>
      <c r="F13" s="1">
        <v>45649</v>
      </c>
      <c r="G13" s="1"/>
      <c r="H13" s="1"/>
      <c r="I13" s="1"/>
      <c r="J13" s="1"/>
      <c r="K13" s="2" t="s">
        <v>205</v>
      </c>
      <c r="L13" s="2" t="s">
        <v>1</v>
      </c>
      <c r="M13" s="2" t="s">
        <v>206</v>
      </c>
      <c r="N13" s="2" t="s">
        <v>205</v>
      </c>
      <c r="O13" s="2" t="s">
        <v>0</v>
      </c>
      <c r="P13" s="16" t="s">
        <v>245</v>
      </c>
      <c r="Q13" s="16" t="s">
        <v>432</v>
      </c>
      <c r="R13" s="15" t="s">
        <v>108</v>
      </c>
      <c r="S13" s="15" t="s">
        <v>433</v>
      </c>
      <c r="T13" s="2"/>
      <c r="U13" s="10" t="s">
        <v>82</v>
      </c>
    </row>
    <row r="14" spans="1:21" ht="15">
      <c r="A14" s="1">
        <v>45618</v>
      </c>
      <c r="B14" s="1">
        <v>45636</v>
      </c>
      <c r="C14" s="1">
        <v>45643</v>
      </c>
      <c r="D14" s="1">
        <v>45644</v>
      </c>
      <c r="E14" s="1">
        <v>45646</v>
      </c>
      <c r="F14" s="1">
        <v>45649</v>
      </c>
      <c r="G14" s="1"/>
      <c r="H14" s="1"/>
      <c r="I14" s="1"/>
      <c r="J14" s="1"/>
      <c r="K14" s="2" t="s">
        <v>179</v>
      </c>
      <c r="L14" s="2" t="s">
        <v>1</v>
      </c>
      <c r="M14" s="2" t="s">
        <v>180</v>
      </c>
      <c r="N14" s="2" t="s">
        <v>179</v>
      </c>
      <c r="O14" s="2" t="s">
        <v>0</v>
      </c>
      <c r="P14" s="16" t="s">
        <v>245</v>
      </c>
      <c r="Q14" s="16" t="s">
        <v>432</v>
      </c>
      <c r="R14" s="15" t="s">
        <v>108</v>
      </c>
      <c r="S14" s="15" t="s">
        <v>433</v>
      </c>
      <c r="T14" s="2"/>
      <c r="U14" s="10" t="s">
        <v>0</v>
      </c>
    </row>
    <row r="15" spans="1:21" ht="15">
      <c r="A15" s="1">
        <v>45618</v>
      </c>
      <c r="B15" s="1">
        <v>45636</v>
      </c>
      <c r="C15" s="1">
        <v>45644</v>
      </c>
      <c r="D15" s="1">
        <v>45644</v>
      </c>
      <c r="E15" s="1">
        <v>45646</v>
      </c>
      <c r="F15" s="1">
        <v>45649</v>
      </c>
      <c r="G15" s="1"/>
      <c r="H15" s="1"/>
      <c r="I15" s="1"/>
      <c r="J15" s="1"/>
      <c r="K15" s="2" t="s">
        <v>174</v>
      </c>
      <c r="L15" s="2" t="s">
        <v>1</v>
      </c>
      <c r="M15" s="2" t="s">
        <v>204</v>
      </c>
      <c r="N15" s="2" t="s">
        <v>174</v>
      </c>
      <c r="O15" s="2" t="s">
        <v>0</v>
      </c>
      <c r="P15" s="16" t="s">
        <v>245</v>
      </c>
      <c r="Q15" s="16" t="s">
        <v>432</v>
      </c>
      <c r="R15" s="15" t="s">
        <v>108</v>
      </c>
      <c r="S15" s="15" t="s">
        <v>433</v>
      </c>
      <c r="T15" s="2"/>
      <c r="U15" s="10" t="s">
        <v>82</v>
      </c>
    </row>
    <row r="16" spans="1:21" ht="15">
      <c r="A16" s="1">
        <v>45618</v>
      </c>
      <c r="B16" s="1">
        <v>45636</v>
      </c>
      <c r="C16" s="1">
        <v>45644</v>
      </c>
      <c r="D16" s="1">
        <v>45644</v>
      </c>
      <c r="E16" s="1">
        <v>45646</v>
      </c>
      <c r="F16" s="1">
        <v>45649</v>
      </c>
      <c r="G16" s="1"/>
      <c r="H16" s="1"/>
      <c r="I16" s="1"/>
      <c r="J16" s="1"/>
      <c r="K16" s="2" t="s">
        <v>175</v>
      </c>
      <c r="L16" s="2" t="s">
        <v>1</v>
      </c>
      <c r="M16" s="2" t="s">
        <v>207</v>
      </c>
      <c r="N16" s="2" t="s">
        <v>175</v>
      </c>
      <c r="O16" s="2" t="s">
        <v>0</v>
      </c>
      <c r="P16" s="16" t="s">
        <v>245</v>
      </c>
      <c r="Q16" s="16" t="s">
        <v>432</v>
      </c>
      <c r="R16" s="15" t="s">
        <v>108</v>
      </c>
      <c r="S16" s="15" t="s">
        <v>433</v>
      </c>
      <c r="T16" s="2"/>
      <c r="U16" s="10" t="s">
        <v>82</v>
      </c>
    </row>
    <row r="17" spans="1:21" ht="15">
      <c r="A17" s="1">
        <v>45618</v>
      </c>
      <c r="B17" s="1" t="s">
        <v>0</v>
      </c>
      <c r="C17" s="1">
        <v>45643</v>
      </c>
      <c r="D17" s="1">
        <v>45644</v>
      </c>
      <c r="E17" s="1">
        <v>45646</v>
      </c>
      <c r="F17" s="1">
        <v>45649</v>
      </c>
      <c r="G17" s="1"/>
      <c r="H17" s="1"/>
      <c r="I17" s="1"/>
      <c r="J17" s="1"/>
      <c r="K17" s="2" t="s">
        <v>278</v>
      </c>
      <c r="L17" s="2" t="s">
        <v>1</v>
      </c>
      <c r="M17" s="2" t="s">
        <v>324</v>
      </c>
      <c r="N17" s="2" t="s">
        <v>278</v>
      </c>
      <c r="O17" s="2" t="s">
        <v>0</v>
      </c>
      <c r="P17" s="16" t="s">
        <v>245</v>
      </c>
      <c r="Q17" s="16" t="s">
        <v>432</v>
      </c>
      <c r="R17" s="14" t="s">
        <v>391</v>
      </c>
      <c r="S17" s="14" t="s">
        <v>434</v>
      </c>
      <c r="T17" s="2"/>
      <c r="U17" s="10" t="s">
        <v>325</v>
      </c>
    </row>
    <row r="18" spans="1:21" ht="15">
      <c r="A18" s="1">
        <v>45618</v>
      </c>
      <c r="B18" s="1" t="s">
        <v>0</v>
      </c>
      <c r="C18" s="1">
        <v>45643</v>
      </c>
      <c r="D18" s="1">
        <v>45644</v>
      </c>
      <c r="E18" s="1">
        <v>45646</v>
      </c>
      <c r="F18" s="1">
        <v>45649</v>
      </c>
      <c r="G18" s="1"/>
      <c r="H18" s="1"/>
      <c r="I18" s="1"/>
      <c r="J18" s="1"/>
      <c r="K18" s="2" t="s">
        <v>277</v>
      </c>
      <c r="L18" s="2" t="s">
        <v>1</v>
      </c>
      <c r="M18" s="2" t="s">
        <v>331</v>
      </c>
      <c r="N18" s="2" t="s">
        <v>277</v>
      </c>
      <c r="O18" s="2" t="s">
        <v>0</v>
      </c>
      <c r="P18" s="16" t="s">
        <v>245</v>
      </c>
      <c r="Q18" s="16" t="s">
        <v>432</v>
      </c>
      <c r="R18" s="14" t="s">
        <v>391</v>
      </c>
      <c r="S18" s="14" t="s">
        <v>434</v>
      </c>
      <c r="T18" s="2"/>
      <c r="U18" s="10" t="s">
        <v>332</v>
      </c>
    </row>
    <row r="19" spans="1:21" ht="15">
      <c r="A19" s="1">
        <v>45618</v>
      </c>
      <c r="B19" s="1" t="s">
        <v>0</v>
      </c>
      <c r="C19" s="1">
        <v>45643</v>
      </c>
      <c r="D19" s="1">
        <v>45644</v>
      </c>
      <c r="E19" s="1">
        <v>45646</v>
      </c>
      <c r="F19" s="1">
        <v>45649</v>
      </c>
      <c r="G19" s="1"/>
      <c r="H19" s="1"/>
      <c r="I19" s="1"/>
      <c r="J19" s="1"/>
      <c r="K19" s="2" t="s">
        <v>382</v>
      </c>
      <c r="L19" s="2" t="s">
        <v>1</v>
      </c>
      <c r="M19" s="2" t="s">
        <v>236</v>
      </c>
      <c r="N19" s="2" t="s">
        <v>295</v>
      </c>
      <c r="O19" s="2" t="s">
        <v>0</v>
      </c>
      <c r="P19" s="16" t="s">
        <v>245</v>
      </c>
      <c r="Q19" s="16" t="s">
        <v>432</v>
      </c>
      <c r="R19" s="14" t="s">
        <v>391</v>
      </c>
      <c r="S19" s="14" t="s">
        <v>434</v>
      </c>
      <c r="T19" s="2"/>
      <c r="U19" s="10" t="s">
        <v>342</v>
      </c>
    </row>
    <row r="20" spans="1:21" ht="15">
      <c r="A20" s="1">
        <v>45618</v>
      </c>
      <c r="B20" s="1" t="s">
        <v>0</v>
      </c>
      <c r="C20" s="1">
        <v>45643</v>
      </c>
      <c r="D20" s="1">
        <v>45644</v>
      </c>
      <c r="E20" s="1">
        <v>45646</v>
      </c>
      <c r="F20" s="1">
        <v>45649</v>
      </c>
      <c r="G20" s="1"/>
      <c r="H20" s="1"/>
      <c r="I20" s="1"/>
      <c r="J20" s="1"/>
      <c r="K20" s="2" t="s">
        <v>234</v>
      </c>
      <c r="L20" s="2" t="s">
        <v>1</v>
      </c>
      <c r="M20" s="2" t="s">
        <v>235</v>
      </c>
      <c r="N20" s="2" t="s">
        <v>234</v>
      </c>
      <c r="O20" s="2" t="s">
        <v>0</v>
      </c>
      <c r="P20" s="16" t="s">
        <v>245</v>
      </c>
      <c r="Q20" s="16" t="s">
        <v>432</v>
      </c>
      <c r="R20" s="14" t="s">
        <v>391</v>
      </c>
      <c r="S20" s="14" t="s">
        <v>434</v>
      </c>
      <c r="T20" s="2"/>
      <c r="U20" s="10" t="s">
        <v>342</v>
      </c>
    </row>
    <row r="21" spans="1:21" ht="15">
      <c r="A21" s="1">
        <v>45618</v>
      </c>
      <c r="B21" s="1" t="s">
        <v>0</v>
      </c>
      <c r="C21" s="1">
        <v>45643</v>
      </c>
      <c r="D21" s="1">
        <v>45644</v>
      </c>
      <c r="E21" s="1">
        <v>45646</v>
      </c>
      <c r="F21" s="1">
        <v>45649</v>
      </c>
      <c r="G21" s="1"/>
      <c r="H21" s="1"/>
      <c r="I21" s="1"/>
      <c r="J21" s="1"/>
      <c r="K21" s="2" t="s">
        <v>231</v>
      </c>
      <c r="L21" s="2" t="s">
        <v>1</v>
      </c>
      <c r="M21" s="2" t="s">
        <v>358</v>
      </c>
      <c r="N21" s="2" t="s">
        <v>296</v>
      </c>
      <c r="O21" s="2" t="s">
        <v>0</v>
      </c>
      <c r="P21" s="16" t="s">
        <v>245</v>
      </c>
      <c r="Q21" s="16" t="s">
        <v>432</v>
      </c>
      <c r="R21" s="14" t="s">
        <v>391</v>
      </c>
      <c r="S21" s="14" t="s">
        <v>434</v>
      </c>
      <c r="T21" s="2"/>
      <c r="U21" s="10" t="s">
        <v>359</v>
      </c>
    </row>
    <row r="22" spans="1:21" ht="15">
      <c r="A22" s="1">
        <v>45618</v>
      </c>
      <c r="B22" s="1">
        <v>45639</v>
      </c>
      <c r="C22" s="1">
        <v>45643</v>
      </c>
      <c r="D22" s="1">
        <v>45644</v>
      </c>
      <c r="E22" s="1">
        <v>45646</v>
      </c>
      <c r="F22" s="1">
        <v>45649</v>
      </c>
      <c r="G22" s="1"/>
      <c r="H22" s="1"/>
      <c r="I22" s="1"/>
      <c r="J22" s="1"/>
      <c r="K22" s="10" t="s">
        <v>396</v>
      </c>
      <c r="L22" s="2" t="s">
        <v>1</v>
      </c>
      <c r="M22" s="10" t="s">
        <v>397</v>
      </c>
      <c r="N22" s="2" t="s">
        <v>284</v>
      </c>
      <c r="O22" s="2" t="s">
        <v>300</v>
      </c>
      <c r="P22" s="16" t="s">
        <v>376</v>
      </c>
      <c r="Q22" s="16" t="s">
        <v>432</v>
      </c>
      <c r="R22" s="14" t="s">
        <v>391</v>
      </c>
      <c r="S22" s="14" t="s">
        <v>434</v>
      </c>
      <c r="T22" s="2"/>
      <c r="U22" s="10" t="s">
        <v>398</v>
      </c>
    </row>
    <row r="23" spans="1:21" ht="15">
      <c r="A23" s="1">
        <v>45618</v>
      </c>
      <c r="B23" s="1">
        <v>45639</v>
      </c>
      <c r="C23" s="1">
        <v>45643</v>
      </c>
      <c r="D23" s="1">
        <v>45644</v>
      </c>
      <c r="E23" s="1">
        <v>45646</v>
      </c>
      <c r="F23" s="1">
        <v>45649</v>
      </c>
      <c r="G23" s="1"/>
      <c r="H23" s="1"/>
      <c r="I23" s="1"/>
      <c r="J23" s="1"/>
      <c r="K23" s="10" t="s">
        <v>399</v>
      </c>
      <c r="L23" s="2" t="s">
        <v>1</v>
      </c>
      <c r="M23" s="10" t="s">
        <v>400</v>
      </c>
      <c r="N23" s="2" t="s">
        <v>284</v>
      </c>
      <c r="O23" s="2" t="s">
        <v>300</v>
      </c>
      <c r="P23" s="16" t="s">
        <v>376</v>
      </c>
      <c r="Q23" s="16" t="s">
        <v>432</v>
      </c>
      <c r="R23" s="14" t="s">
        <v>391</v>
      </c>
      <c r="S23" s="14" t="s">
        <v>434</v>
      </c>
      <c r="T23" s="2"/>
      <c r="U23" s="10" t="s">
        <v>398</v>
      </c>
    </row>
    <row r="24" spans="1:21" ht="15">
      <c r="A24" s="1">
        <v>45618</v>
      </c>
      <c r="B24" s="1">
        <v>45639</v>
      </c>
      <c r="C24" s="1">
        <v>45643</v>
      </c>
      <c r="D24" s="1">
        <v>45644</v>
      </c>
      <c r="E24" s="1">
        <v>45646</v>
      </c>
      <c r="F24" s="1">
        <v>45649</v>
      </c>
      <c r="G24" s="1"/>
      <c r="H24" s="1"/>
      <c r="I24" s="1"/>
      <c r="J24" s="1"/>
      <c r="K24" s="2" t="s">
        <v>401</v>
      </c>
      <c r="L24" s="2" t="s">
        <v>1</v>
      </c>
      <c r="M24" s="2" t="s">
        <v>402</v>
      </c>
      <c r="N24" s="2" t="s">
        <v>284</v>
      </c>
      <c r="O24" s="2" t="s">
        <v>300</v>
      </c>
      <c r="P24" s="16" t="s">
        <v>376</v>
      </c>
      <c r="Q24" s="16" t="s">
        <v>432</v>
      </c>
      <c r="R24" s="14" t="s">
        <v>391</v>
      </c>
      <c r="S24" s="14" t="s">
        <v>434</v>
      </c>
      <c r="T24" s="2"/>
      <c r="U24" s="10" t="s">
        <v>403</v>
      </c>
    </row>
    <row r="25" spans="1:21" ht="15">
      <c r="A25" s="1">
        <v>45618</v>
      </c>
      <c r="B25" s="1">
        <v>45639</v>
      </c>
      <c r="C25" s="1">
        <v>45643</v>
      </c>
      <c r="D25" s="1">
        <v>45644</v>
      </c>
      <c r="E25" s="1">
        <v>45646</v>
      </c>
      <c r="F25" s="1">
        <v>45649</v>
      </c>
      <c r="G25" s="1"/>
      <c r="H25" s="1"/>
      <c r="I25" s="1"/>
      <c r="J25" s="1"/>
      <c r="K25" s="10" t="s">
        <v>404</v>
      </c>
      <c r="L25" s="10" t="s">
        <v>1</v>
      </c>
      <c r="M25" s="10" t="s">
        <v>405</v>
      </c>
      <c r="N25" s="2" t="s">
        <v>289</v>
      </c>
      <c r="O25" s="2" t="s">
        <v>300</v>
      </c>
      <c r="P25" s="16" t="s">
        <v>376</v>
      </c>
      <c r="Q25" s="16" t="s">
        <v>432</v>
      </c>
      <c r="R25" s="14" t="s">
        <v>391</v>
      </c>
      <c r="S25" s="14" t="s">
        <v>434</v>
      </c>
      <c r="T25" s="2"/>
      <c r="U25" s="10" t="s">
        <v>0</v>
      </c>
    </row>
    <row r="26" spans="1:21" ht="15">
      <c r="A26" s="1">
        <v>45618</v>
      </c>
      <c r="B26" s="1">
        <v>45638</v>
      </c>
      <c r="C26" s="1">
        <v>45644</v>
      </c>
      <c r="D26" s="1">
        <v>45644</v>
      </c>
      <c r="E26" s="1">
        <v>45646</v>
      </c>
      <c r="F26" s="1">
        <v>45649</v>
      </c>
      <c r="G26" s="1"/>
      <c r="H26" s="1"/>
      <c r="I26" s="1"/>
      <c r="J26" s="1"/>
      <c r="K26" s="2" t="s">
        <v>279</v>
      </c>
      <c r="L26" s="2" t="s">
        <v>1</v>
      </c>
      <c r="M26" s="2" t="s">
        <v>308</v>
      </c>
      <c r="N26" s="2" t="s">
        <v>294</v>
      </c>
      <c r="O26" s="2" t="s">
        <v>309</v>
      </c>
      <c r="P26" s="16" t="s">
        <v>228</v>
      </c>
      <c r="Q26" s="16" t="s">
        <v>432</v>
      </c>
      <c r="R26" s="14" t="s">
        <v>391</v>
      </c>
      <c r="S26" s="14" t="s">
        <v>434</v>
      </c>
      <c r="T26" s="2"/>
      <c r="U26" s="10" t="s">
        <v>310</v>
      </c>
    </row>
    <row r="27" spans="1:21" ht="15">
      <c r="A27" s="1">
        <v>45618</v>
      </c>
      <c r="B27" s="1">
        <v>45638</v>
      </c>
      <c r="C27" s="1">
        <v>45644</v>
      </c>
      <c r="D27" s="1">
        <v>45644</v>
      </c>
      <c r="E27" s="1">
        <v>45646</v>
      </c>
      <c r="F27" s="1">
        <v>45649</v>
      </c>
      <c r="G27" s="1"/>
      <c r="H27" s="1"/>
      <c r="I27" s="1"/>
      <c r="J27" s="1"/>
      <c r="K27" s="2" t="s">
        <v>285</v>
      </c>
      <c r="L27" s="2" t="s">
        <v>1</v>
      </c>
      <c r="M27" s="2" t="s">
        <v>375</v>
      </c>
      <c r="N27" s="2" t="s">
        <v>284</v>
      </c>
      <c r="O27" s="2" t="s">
        <v>309</v>
      </c>
      <c r="P27" s="16" t="s">
        <v>228</v>
      </c>
      <c r="Q27" s="16" t="s">
        <v>432</v>
      </c>
      <c r="R27" s="14" t="s">
        <v>391</v>
      </c>
      <c r="S27" s="14" t="s">
        <v>434</v>
      </c>
      <c r="T27" s="2"/>
      <c r="U27" s="10" t="s">
        <v>340</v>
      </c>
    </row>
    <row r="28" spans="1:21" ht="15">
      <c r="A28" s="1">
        <v>45618</v>
      </c>
      <c r="B28" s="1">
        <v>45638</v>
      </c>
      <c r="C28" s="1">
        <v>45644</v>
      </c>
      <c r="D28" s="1">
        <v>45644</v>
      </c>
      <c r="E28" s="1">
        <v>45646</v>
      </c>
      <c r="F28" s="1">
        <v>45649</v>
      </c>
      <c r="G28" s="1"/>
      <c r="H28" s="1"/>
      <c r="I28" s="1"/>
      <c r="J28" s="1"/>
      <c r="K28" s="2" t="s">
        <v>286</v>
      </c>
      <c r="L28" s="2" t="s">
        <v>1</v>
      </c>
      <c r="M28" s="2" t="s">
        <v>287</v>
      </c>
      <c r="N28" s="2" t="s">
        <v>284</v>
      </c>
      <c r="O28" s="2" t="s">
        <v>309</v>
      </c>
      <c r="P28" s="16" t="s">
        <v>228</v>
      </c>
      <c r="Q28" s="16" t="s">
        <v>432</v>
      </c>
      <c r="R28" s="14" t="s">
        <v>391</v>
      </c>
      <c r="S28" s="14" t="s">
        <v>434</v>
      </c>
      <c r="T28" s="2"/>
      <c r="U28" s="10" t="s">
        <v>323</v>
      </c>
    </row>
    <row r="29" spans="1:21" ht="15">
      <c r="A29" s="1">
        <v>45618</v>
      </c>
      <c r="B29" s="1" t="s">
        <v>0</v>
      </c>
      <c r="C29" s="1">
        <v>45644</v>
      </c>
      <c r="D29" s="1">
        <v>45644</v>
      </c>
      <c r="E29" s="1">
        <v>45646</v>
      </c>
      <c r="F29" s="1">
        <v>45649</v>
      </c>
      <c r="G29" s="1"/>
      <c r="H29" s="1"/>
      <c r="I29" s="1"/>
      <c r="J29" s="1"/>
      <c r="K29" s="2" t="s">
        <v>200</v>
      </c>
      <c r="L29" s="2" t="s">
        <v>1</v>
      </c>
      <c r="M29" s="2" t="s">
        <v>7</v>
      </c>
      <c r="N29" s="2" t="s">
        <v>290</v>
      </c>
      <c r="O29" s="2" t="s">
        <v>0</v>
      </c>
      <c r="P29" s="16" t="s">
        <v>393</v>
      </c>
      <c r="Q29" s="16" t="s">
        <v>432</v>
      </c>
      <c r="R29" s="15" t="s">
        <v>109</v>
      </c>
      <c r="S29" s="15" t="s">
        <v>433</v>
      </c>
      <c r="T29" s="2"/>
      <c r="U29" s="10" t="s">
        <v>8</v>
      </c>
    </row>
    <row r="30" spans="1:21" ht="15">
      <c r="A30" s="1">
        <v>45618</v>
      </c>
      <c r="B30" s="1" t="s">
        <v>0</v>
      </c>
      <c r="C30" s="1">
        <v>45644</v>
      </c>
      <c r="D30" s="1">
        <v>45644</v>
      </c>
      <c r="E30" s="1">
        <v>45646</v>
      </c>
      <c r="F30" s="1">
        <v>45649</v>
      </c>
      <c r="G30" s="1"/>
      <c r="H30" s="1"/>
      <c r="I30" s="1"/>
      <c r="J30" s="1"/>
      <c r="K30" s="2" t="s">
        <v>5</v>
      </c>
      <c r="L30" s="2" t="s">
        <v>1</v>
      </c>
      <c r="M30" s="2" t="s">
        <v>6</v>
      </c>
      <c r="N30" s="2" t="s">
        <v>290</v>
      </c>
      <c r="O30" s="2" t="s">
        <v>0</v>
      </c>
      <c r="P30" s="16" t="s">
        <v>393</v>
      </c>
      <c r="Q30" s="16" t="s">
        <v>432</v>
      </c>
      <c r="R30" s="15" t="s">
        <v>109</v>
      </c>
      <c r="S30" s="15" t="s">
        <v>433</v>
      </c>
      <c r="T30" s="2"/>
      <c r="U30" s="10" t="s">
        <v>0</v>
      </c>
    </row>
    <row r="31" spans="1:21" ht="15">
      <c r="A31" s="1">
        <v>45618</v>
      </c>
      <c r="B31" s="1" t="s">
        <v>0</v>
      </c>
      <c r="C31" s="1">
        <v>45643</v>
      </c>
      <c r="D31" s="1">
        <v>45644</v>
      </c>
      <c r="E31" s="1">
        <v>45646</v>
      </c>
      <c r="F31" s="1">
        <v>45649</v>
      </c>
      <c r="G31" s="1"/>
      <c r="H31" s="1"/>
      <c r="I31" s="1"/>
      <c r="J31" s="1"/>
      <c r="K31" s="2" t="s">
        <v>21</v>
      </c>
      <c r="L31" s="2" t="s">
        <v>1</v>
      </c>
      <c r="M31" s="2" t="s">
        <v>22</v>
      </c>
      <c r="N31" s="2" t="s">
        <v>284</v>
      </c>
      <c r="O31" s="2" t="s">
        <v>0</v>
      </c>
      <c r="P31" s="16" t="s">
        <v>406</v>
      </c>
      <c r="Q31" s="16" t="s">
        <v>432</v>
      </c>
      <c r="R31" s="14" t="s">
        <v>391</v>
      </c>
      <c r="S31" s="14" t="s">
        <v>434</v>
      </c>
      <c r="T31" s="2"/>
      <c r="U31" s="10" t="s">
        <v>0</v>
      </c>
    </row>
    <row r="32" spans="1:21" ht="15">
      <c r="A32" s="1">
        <v>45618</v>
      </c>
      <c r="B32" s="1" t="s">
        <v>0</v>
      </c>
      <c r="C32" s="1">
        <v>45643</v>
      </c>
      <c r="D32" s="1">
        <v>45644</v>
      </c>
      <c r="E32" s="1">
        <v>45646</v>
      </c>
      <c r="F32" s="1">
        <v>45649</v>
      </c>
      <c r="G32" s="1"/>
      <c r="H32" s="1"/>
      <c r="I32" s="1"/>
      <c r="J32" s="1"/>
      <c r="K32" s="2" t="s">
        <v>383</v>
      </c>
      <c r="L32" s="2" t="s">
        <v>1</v>
      </c>
      <c r="M32" s="2" t="s">
        <v>16</v>
      </c>
      <c r="N32" s="2" t="s">
        <v>284</v>
      </c>
      <c r="O32" s="2" t="s">
        <v>0</v>
      </c>
      <c r="P32" s="16" t="s">
        <v>406</v>
      </c>
      <c r="Q32" s="16" t="s">
        <v>432</v>
      </c>
      <c r="R32" s="14" t="s">
        <v>391</v>
      </c>
      <c r="S32" s="14" t="s">
        <v>434</v>
      </c>
      <c r="T32" s="2"/>
      <c r="U32" s="10" t="s">
        <v>0</v>
      </c>
    </row>
    <row r="33" spans="1:21" ht="15">
      <c r="A33" s="1">
        <v>45618</v>
      </c>
      <c r="B33" s="1">
        <v>45639</v>
      </c>
      <c r="C33" s="1">
        <v>45643</v>
      </c>
      <c r="D33" s="1">
        <v>45644</v>
      </c>
      <c r="E33" s="1">
        <v>45646</v>
      </c>
      <c r="F33" s="1">
        <v>45649</v>
      </c>
      <c r="G33" s="1"/>
      <c r="H33" s="1"/>
      <c r="I33" s="1"/>
      <c r="J33" s="1"/>
      <c r="K33" s="2" t="s">
        <v>314</v>
      </c>
      <c r="L33" s="2" t="s">
        <v>1</v>
      </c>
      <c r="M33" s="2" t="s">
        <v>23</v>
      </c>
      <c r="N33" s="2" t="s">
        <v>284</v>
      </c>
      <c r="O33" s="2" t="s">
        <v>0</v>
      </c>
      <c r="P33" s="16" t="s">
        <v>228</v>
      </c>
      <c r="Q33" s="16" t="s">
        <v>432</v>
      </c>
      <c r="R33" s="15" t="s">
        <v>109</v>
      </c>
      <c r="S33" s="15" t="s">
        <v>435</v>
      </c>
      <c r="T33" s="2"/>
      <c r="U33" s="10" t="s">
        <v>133</v>
      </c>
    </row>
    <row r="34" spans="1:21" ht="15">
      <c r="A34" s="1">
        <v>45618</v>
      </c>
      <c r="B34" s="1" t="s">
        <v>0</v>
      </c>
      <c r="C34" s="1">
        <v>45644</v>
      </c>
      <c r="D34" s="1">
        <v>45644</v>
      </c>
      <c r="E34" s="1">
        <v>45646</v>
      </c>
      <c r="F34" s="1">
        <v>45649</v>
      </c>
      <c r="G34" s="1"/>
      <c r="H34" s="1"/>
      <c r="I34" s="1"/>
      <c r="J34" s="1"/>
      <c r="K34" s="2" t="s">
        <v>157</v>
      </c>
      <c r="L34" s="2" t="s">
        <v>1</v>
      </c>
      <c r="M34" s="2" t="s">
        <v>158</v>
      </c>
      <c r="N34" s="2" t="s">
        <v>284</v>
      </c>
      <c r="O34" s="2" t="s">
        <v>300</v>
      </c>
      <c r="P34" s="16" t="s">
        <v>269</v>
      </c>
      <c r="Q34" s="16" t="s">
        <v>432</v>
      </c>
      <c r="R34" s="14" t="s">
        <v>391</v>
      </c>
      <c r="S34" s="14" t="s">
        <v>434</v>
      </c>
      <c r="T34" s="2"/>
      <c r="U34" s="10" t="s">
        <v>347</v>
      </c>
    </row>
    <row r="35" spans="1:21" ht="15">
      <c r="A35" s="1">
        <v>45618</v>
      </c>
      <c r="B35" s="1">
        <v>45638</v>
      </c>
      <c r="C35" s="1">
        <v>45644</v>
      </c>
      <c r="D35" s="1">
        <v>45644</v>
      </c>
      <c r="E35" s="1">
        <v>45646</v>
      </c>
      <c r="F35" s="1">
        <v>45649</v>
      </c>
      <c r="G35" s="1"/>
      <c r="H35" s="1"/>
      <c r="I35" s="1"/>
      <c r="J35" s="1"/>
      <c r="K35" s="10" t="s">
        <v>220</v>
      </c>
      <c r="L35" s="10" t="s">
        <v>1</v>
      </c>
      <c r="M35" s="10" t="s">
        <v>224</v>
      </c>
      <c r="N35" s="2" t="s">
        <v>284</v>
      </c>
      <c r="O35" s="2" t="s">
        <v>0</v>
      </c>
      <c r="P35" s="16" t="s">
        <v>245</v>
      </c>
      <c r="Q35" s="16" t="s">
        <v>432</v>
      </c>
      <c r="R35" s="14" t="s">
        <v>391</v>
      </c>
      <c r="S35" s="14" t="s">
        <v>434</v>
      </c>
      <c r="T35" s="2"/>
      <c r="U35" s="10" t="s">
        <v>0</v>
      </c>
    </row>
    <row r="36" spans="1:21" ht="15">
      <c r="A36" s="1">
        <v>45618</v>
      </c>
      <c r="B36" s="1" t="s">
        <v>0</v>
      </c>
      <c r="C36" s="1">
        <v>45643</v>
      </c>
      <c r="D36" s="1">
        <v>45644</v>
      </c>
      <c r="E36" s="1">
        <v>45646</v>
      </c>
      <c r="F36" s="1">
        <v>45649</v>
      </c>
      <c r="G36" s="1"/>
      <c r="H36" s="1"/>
      <c r="I36" s="1"/>
      <c r="J36" s="1"/>
      <c r="K36" s="2" t="s">
        <v>407</v>
      </c>
      <c r="L36" s="2" t="s">
        <v>1</v>
      </c>
      <c r="M36" s="2" t="s">
        <v>384</v>
      </c>
      <c r="N36" s="2" t="s">
        <v>284</v>
      </c>
      <c r="O36" s="2" t="s">
        <v>0</v>
      </c>
      <c r="P36" s="16" t="s">
        <v>393</v>
      </c>
      <c r="Q36" s="16" t="s">
        <v>432</v>
      </c>
      <c r="R36" s="14" t="s">
        <v>391</v>
      </c>
      <c r="S36" s="14" t="s">
        <v>434</v>
      </c>
      <c r="T36" s="2"/>
      <c r="U36" s="10" t="s">
        <v>36</v>
      </c>
    </row>
    <row r="37" spans="1:21" ht="15">
      <c r="A37" s="1">
        <v>45618</v>
      </c>
      <c r="B37" s="1" t="s">
        <v>0</v>
      </c>
      <c r="C37" s="1">
        <v>45643</v>
      </c>
      <c r="D37" s="1">
        <v>45644</v>
      </c>
      <c r="E37" s="1">
        <v>45646</v>
      </c>
      <c r="F37" s="1">
        <v>45649</v>
      </c>
      <c r="G37" s="1"/>
      <c r="H37" s="1"/>
      <c r="I37" s="1"/>
      <c r="J37" s="1"/>
      <c r="K37" s="10" t="s">
        <v>385</v>
      </c>
      <c r="L37" s="10" t="s">
        <v>1</v>
      </c>
      <c r="M37" s="10" t="s">
        <v>386</v>
      </c>
      <c r="N37" s="2" t="s">
        <v>284</v>
      </c>
      <c r="O37" s="2" t="s">
        <v>0</v>
      </c>
      <c r="P37" s="16" t="s">
        <v>393</v>
      </c>
      <c r="Q37" s="16" t="s">
        <v>432</v>
      </c>
      <c r="R37" s="14" t="s">
        <v>391</v>
      </c>
      <c r="S37" s="14" t="s">
        <v>434</v>
      </c>
      <c r="T37" s="2"/>
      <c r="U37" s="10" t="s">
        <v>36</v>
      </c>
    </row>
    <row r="38" spans="1:21" ht="15">
      <c r="A38" s="1">
        <v>45618</v>
      </c>
      <c r="B38" s="1"/>
      <c r="C38" s="1">
        <v>45643</v>
      </c>
      <c r="D38" s="1">
        <v>45644</v>
      </c>
      <c r="E38" s="1">
        <v>45646</v>
      </c>
      <c r="F38" s="1">
        <v>45649</v>
      </c>
      <c r="G38" s="1"/>
      <c r="H38" s="1"/>
      <c r="I38" s="1"/>
      <c r="J38" s="1"/>
      <c r="K38" s="2" t="s">
        <v>203</v>
      </c>
      <c r="L38" s="2" t="s">
        <v>1</v>
      </c>
      <c r="M38" s="2" t="s">
        <v>173</v>
      </c>
      <c r="N38" s="2" t="s">
        <v>284</v>
      </c>
      <c r="O38" s="2" t="s">
        <v>316</v>
      </c>
      <c r="P38" s="16" t="s">
        <v>269</v>
      </c>
      <c r="Q38" s="16" t="s">
        <v>432</v>
      </c>
      <c r="R38" s="14" t="s">
        <v>391</v>
      </c>
      <c r="S38" s="14" t="s">
        <v>434</v>
      </c>
      <c r="T38" s="2"/>
      <c r="U38" s="10" t="s">
        <v>312</v>
      </c>
    </row>
    <row r="39" spans="1:21" ht="15">
      <c r="A39" s="1">
        <v>45618</v>
      </c>
      <c r="B39" s="1"/>
      <c r="C39" s="1">
        <v>45643</v>
      </c>
      <c r="D39" s="1">
        <v>45644</v>
      </c>
      <c r="E39" s="1">
        <v>45646</v>
      </c>
      <c r="F39" s="1">
        <v>45649</v>
      </c>
      <c r="G39" s="1"/>
      <c r="H39" s="1"/>
      <c r="I39" s="1"/>
      <c r="J39" s="1"/>
      <c r="K39" s="2" t="s">
        <v>85</v>
      </c>
      <c r="L39" s="2" t="s">
        <v>1</v>
      </c>
      <c r="M39" s="2" t="s">
        <v>86</v>
      </c>
      <c r="N39" s="2" t="s">
        <v>284</v>
      </c>
      <c r="O39" s="2" t="s">
        <v>316</v>
      </c>
      <c r="P39" s="16" t="s">
        <v>269</v>
      </c>
      <c r="Q39" s="16" t="s">
        <v>432</v>
      </c>
      <c r="R39" s="14" t="s">
        <v>391</v>
      </c>
      <c r="S39" s="14" t="s">
        <v>434</v>
      </c>
      <c r="T39" s="2"/>
      <c r="U39" s="10" t="s">
        <v>313</v>
      </c>
    </row>
    <row r="40" spans="1:21" ht="15">
      <c r="A40" s="1">
        <v>45618</v>
      </c>
      <c r="B40" s="1"/>
      <c r="C40" s="1">
        <v>45643</v>
      </c>
      <c r="D40" s="1">
        <v>45644</v>
      </c>
      <c r="E40" s="1">
        <v>45646</v>
      </c>
      <c r="F40" s="1">
        <v>45649</v>
      </c>
      <c r="G40" s="1">
        <v>45650</v>
      </c>
      <c r="H40" s="1">
        <v>45653</v>
      </c>
      <c r="I40" s="1">
        <v>45656</v>
      </c>
      <c r="J40" s="1">
        <v>45657</v>
      </c>
      <c r="K40" s="10" t="s">
        <v>73</v>
      </c>
      <c r="L40" s="10" t="s">
        <v>1</v>
      </c>
      <c r="M40" s="10" t="s">
        <v>74</v>
      </c>
      <c r="N40" s="2" t="s">
        <v>284</v>
      </c>
      <c r="O40" s="2" t="s">
        <v>316</v>
      </c>
      <c r="P40" s="16" t="s">
        <v>269</v>
      </c>
      <c r="Q40" s="16" t="s">
        <v>432</v>
      </c>
      <c r="R40" s="14" t="s">
        <v>391</v>
      </c>
      <c r="S40" s="14" t="s">
        <v>434</v>
      </c>
      <c r="T40" s="2"/>
      <c r="U40" s="10" t="s">
        <v>312</v>
      </c>
    </row>
    <row r="41" spans="1:21" ht="15">
      <c r="A41" s="1">
        <v>45618</v>
      </c>
      <c r="B41" s="1"/>
      <c r="C41" s="1">
        <v>45643</v>
      </c>
      <c r="D41" s="1">
        <v>45644</v>
      </c>
      <c r="E41" s="1">
        <v>45646</v>
      </c>
      <c r="F41" s="1">
        <v>45649</v>
      </c>
      <c r="G41" s="1"/>
      <c r="H41" s="1"/>
      <c r="I41" s="1"/>
      <c r="J41" s="1"/>
      <c r="K41" s="2" t="s">
        <v>87</v>
      </c>
      <c r="L41" s="2" t="s">
        <v>1</v>
      </c>
      <c r="M41" s="2" t="s">
        <v>88</v>
      </c>
      <c r="N41" s="2" t="s">
        <v>289</v>
      </c>
      <c r="O41" s="2" t="s">
        <v>316</v>
      </c>
      <c r="P41" s="16" t="s">
        <v>269</v>
      </c>
      <c r="Q41" s="16" t="s">
        <v>432</v>
      </c>
      <c r="R41" s="14" t="s">
        <v>391</v>
      </c>
      <c r="S41" s="14" t="s">
        <v>434</v>
      </c>
      <c r="T41" s="2"/>
      <c r="U41" s="10" t="s">
        <v>140</v>
      </c>
    </row>
    <row r="42" spans="1:21" ht="15">
      <c r="A42" s="1">
        <v>45618</v>
      </c>
      <c r="B42" s="1"/>
      <c r="C42" s="1">
        <v>45643</v>
      </c>
      <c r="D42" s="1">
        <v>45644</v>
      </c>
      <c r="E42" s="1">
        <v>45646</v>
      </c>
      <c r="F42" s="1">
        <v>45649</v>
      </c>
      <c r="G42" s="1"/>
      <c r="H42" s="1"/>
      <c r="I42" s="1"/>
      <c r="J42" s="1"/>
      <c r="K42" s="2" t="s">
        <v>237</v>
      </c>
      <c r="L42" s="2" t="s">
        <v>1</v>
      </c>
      <c r="M42" s="2" t="s">
        <v>315</v>
      </c>
      <c r="N42" s="2" t="s">
        <v>289</v>
      </c>
      <c r="O42" s="2" t="s">
        <v>311</v>
      </c>
      <c r="P42" s="16" t="s">
        <v>269</v>
      </c>
      <c r="Q42" s="16" t="s">
        <v>432</v>
      </c>
      <c r="R42" s="14" t="s">
        <v>391</v>
      </c>
      <c r="S42" s="14" t="s">
        <v>434</v>
      </c>
      <c r="T42" s="2"/>
      <c r="U42" s="10" t="s">
        <v>140</v>
      </c>
    </row>
    <row r="43" spans="1:21" ht="15">
      <c r="A43" s="1">
        <v>45618</v>
      </c>
      <c r="B43" s="1"/>
      <c r="C43" s="1">
        <v>45643</v>
      </c>
      <c r="D43" s="1">
        <v>45644</v>
      </c>
      <c r="E43" s="1">
        <v>45646</v>
      </c>
      <c r="F43" s="1">
        <v>45649</v>
      </c>
      <c r="G43" s="1"/>
      <c r="H43" s="1"/>
      <c r="I43" s="1"/>
      <c r="J43" s="1"/>
      <c r="K43" s="2" t="s">
        <v>122</v>
      </c>
      <c r="L43" s="2" t="s">
        <v>1</v>
      </c>
      <c r="M43" s="2" t="s">
        <v>123</v>
      </c>
      <c r="N43" s="2" t="s">
        <v>284</v>
      </c>
      <c r="O43" s="2" t="s">
        <v>311</v>
      </c>
      <c r="P43" s="16" t="s">
        <v>269</v>
      </c>
      <c r="Q43" s="16" t="s">
        <v>432</v>
      </c>
      <c r="R43" s="14" t="s">
        <v>391</v>
      </c>
      <c r="S43" s="14" t="s">
        <v>434</v>
      </c>
      <c r="T43" s="2"/>
      <c r="U43" s="10" t="s">
        <v>313</v>
      </c>
    </row>
    <row r="44" spans="1:21" ht="15">
      <c r="A44" s="1">
        <v>45618</v>
      </c>
      <c r="B44" s="1"/>
      <c r="C44" s="1">
        <v>45643</v>
      </c>
      <c r="D44" s="1">
        <v>45644</v>
      </c>
      <c r="E44" s="1">
        <v>45646</v>
      </c>
      <c r="F44" s="1">
        <v>45649</v>
      </c>
      <c r="G44" s="1"/>
      <c r="H44" s="1"/>
      <c r="I44" s="1"/>
      <c r="J44" s="1"/>
      <c r="K44" s="2" t="s">
        <v>124</v>
      </c>
      <c r="L44" s="2" t="s">
        <v>1</v>
      </c>
      <c r="M44" s="2" t="s">
        <v>125</v>
      </c>
      <c r="N44" s="2" t="s">
        <v>284</v>
      </c>
      <c r="O44" s="2" t="s">
        <v>311</v>
      </c>
      <c r="P44" s="16" t="s">
        <v>269</v>
      </c>
      <c r="Q44" s="16" t="s">
        <v>432</v>
      </c>
      <c r="R44" s="14" t="s">
        <v>391</v>
      </c>
      <c r="S44" s="14" t="s">
        <v>434</v>
      </c>
      <c r="T44" s="2"/>
      <c r="U44" s="10" t="s">
        <v>312</v>
      </c>
    </row>
    <row r="45" spans="1:21" ht="15">
      <c r="A45" s="1">
        <v>45618</v>
      </c>
      <c r="B45" s="1"/>
      <c r="C45" s="1">
        <v>45643</v>
      </c>
      <c r="D45" s="1">
        <v>45644</v>
      </c>
      <c r="E45" s="1">
        <v>45646</v>
      </c>
      <c r="F45" s="1">
        <v>45649</v>
      </c>
      <c r="G45" s="1"/>
      <c r="H45" s="1"/>
      <c r="I45" s="1"/>
      <c r="J45" s="1"/>
      <c r="K45" s="10" t="s">
        <v>120</v>
      </c>
      <c r="L45" s="2" t="s">
        <v>1</v>
      </c>
      <c r="M45" s="10" t="s">
        <v>121</v>
      </c>
      <c r="N45" s="2" t="s">
        <v>289</v>
      </c>
      <c r="O45" s="2" t="s">
        <v>311</v>
      </c>
      <c r="P45" s="16" t="s">
        <v>269</v>
      </c>
      <c r="Q45" s="16" t="s">
        <v>432</v>
      </c>
      <c r="R45" s="14" t="s">
        <v>391</v>
      </c>
      <c r="S45" s="14" t="s">
        <v>434</v>
      </c>
      <c r="T45" s="2"/>
      <c r="U45" s="10" t="s">
        <v>140</v>
      </c>
    </row>
    <row r="46" spans="1:21" ht="15">
      <c r="A46" s="1">
        <v>45618</v>
      </c>
      <c r="B46" s="1"/>
      <c r="C46" s="1">
        <v>45643</v>
      </c>
      <c r="D46" s="1">
        <v>45644</v>
      </c>
      <c r="E46" s="1">
        <v>45646</v>
      </c>
      <c r="F46" s="1">
        <v>45649</v>
      </c>
      <c r="G46" s="1"/>
      <c r="H46" s="1"/>
      <c r="I46" s="1"/>
      <c r="J46" s="1"/>
      <c r="K46" s="10" t="s">
        <v>208</v>
      </c>
      <c r="L46" s="2" t="s">
        <v>1</v>
      </c>
      <c r="M46" s="10" t="s">
        <v>209</v>
      </c>
      <c r="N46" s="2" t="s">
        <v>284</v>
      </c>
      <c r="O46" s="2" t="s">
        <v>311</v>
      </c>
      <c r="P46" s="16" t="s">
        <v>269</v>
      </c>
      <c r="Q46" s="16" t="s">
        <v>432</v>
      </c>
      <c r="R46" s="14" t="s">
        <v>391</v>
      </c>
      <c r="S46" s="14" t="s">
        <v>434</v>
      </c>
      <c r="T46" s="2"/>
      <c r="U46" s="10" t="s">
        <v>312</v>
      </c>
    </row>
    <row r="47" spans="1:21" ht="15">
      <c r="A47" s="1">
        <v>45618</v>
      </c>
      <c r="B47" s="1" t="s">
        <v>0</v>
      </c>
      <c r="C47" s="1">
        <v>45643</v>
      </c>
      <c r="D47" s="1">
        <v>45644</v>
      </c>
      <c r="E47" s="1">
        <v>45646</v>
      </c>
      <c r="F47" s="1">
        <v>45649</v>
      </c>
      <c r="G47" s="1"/>
      <c r="H47" s="1"/>
      <c r="I47" s="1"/>
      <c r="J47" s="1"/>
      <c r="K47" s="2" t="s">
        <v>266</v>
      </c>
      <c r="L47" s="2" t="s">
        <v>1</v>
      </c>
      <c r="M47" s="2" t="s">
        <v>317</v>
      </c>
      <c r="N47" s="2" t="s">
        <v>289</v>
      </c>
      <c r="O47" s="2" t="s">
        <v>318</v>
      </c>
      <c r="P47" s="16" t="s">
        <v>115</v>
      </c>
      <c r="Q47" s="16" t="s">
        <v>432</v>
      </c>
      <c r="R47" s="14" t="s">
        <v>391</v>
      </c>
      <c r="S47" s="14" t="s">
        <v>434</v>
      </c>
      <c r="T47" s="2"/>
      <c r="U47" s="10" t="s">
        <v>319</v>
      </c>
    </row>
    <row r="48" spans="1:21" ht="15">
      <c r="A48" s="1">
        <v>45618</v>
      </c>
      <c r="B48" s="1" t="s">
        <v>0</v>
      </c>
      <c r="C48" s="1">
        <v>45644</v>
      </c>
      <c r="D48" s="1">
        <v>45644</v>
      </c>
      <c r="E48" s="1">
        <v>45646</v>
      </c>
      <c r="F48" s="1">
        <v>45649</v>
      </c>
      <c r="G48" s="1"/>
      <c r="H48" s="1"/>
      <c r="I48" s="1"/>
      <c r="J48" s="1"/>
      <c r="K48" s="10" t="s">
        <v>263</v>
      </c>
      <c r="L48" s="10" t="s">
        <v>1</v>
      </c>
      <c r="M48" s="10" t="s">
        <v>320</v>
      </c>
      <c r="N48" s="10" t="s">
        <v>284</v>
      </c>
      <c r="O48" s="2" t="s">
        <v>321</v>
      </c>
      <c r="P48" s="16" t="s">
        <v>115</v>
      </c>
      <c r="Q48" s="16" t="s">
        <v>432</v>
      </c>
      <c r="R48" s="14" t="s">
        <v>391</v>
      </c>
      <c r="S48" s="14" t="s">
        <v>434</v>
      </c>
      <c r="T48" s="2"/>
      <c r="U48" s="10" t="s">
        <v>322</v>
      </c>
    </row>
    <row r="49" spans="1:21" ht="15">
      <c r="A49" s="1">
        <v>45618</v>
      </c>
      <c r="B49" s="1" t="s">
        <v>0</v>
      </c>
      <c r="C49" s="1">
        <v>45644</v>
      </c>
      <c r="D49" s="1">
        <v>45644</v>
      </c>
      <c r="E49" s="1">
        <v>45646</v>
      </c>
      <c r="F49" s="1">
        <v>45649</v>
      </c>
      <c r="G49" s="1"/>
      <c r="H49" s="1"/>
      <c r="I49" s="1"/>
      <c r="J49" s="1"/>
      <c r="K49" s="2" t="s">
        <v>247</v>
      </c>
      <c r="L49" s="2" t="s">
        <v>1</v>
      </c>
      <c r="M49" s="2" t="s">
        <v>343</v>
      </c>
      <c r="N49" s="2" t="s">
        <v>284</v>
      </c>
      <c r="O49" s="2" t="s">
        <v>318</v>
      </c>
      <c r="P49" s="16" t="s">
        <v>115</v>
      </c>
      <c r="Q49" s="16" t="s">
        <v>432</v>
      </c>
      <c r="R49" s="14" t="s">
        <v>391</v>
      </c>
      <c r="S49" s="14" t="s">
        <v>434</v>
      </c>
      <c r="T49" s="2"/>
      <c r="U49" s="10" t="s">
        <v>344</v>
      </c>
    </row>
    <row r="50" spans="1:21" ht="15">
      <c r="A50" s="1">
        <v>45618</v>
      </c>
      <c r="B50" s="1">
        <v>45639</v>
      </c>
      <c r="C50" s="1">
        <v>45643</v>
      </c>
      <c r="D50" s="1">
        <v>45644</v>
      </c>
      <c r="E50" s="1">
        <v>45646</v>
      </c>
      <c r="F50" s="1">
        <v>45649</v>
      </c>
      <c r="G50" s="1"/>
      <c r="H50" s="1"/>
      <c r="I50" s="1"/>
      <c r="J50" s="1"/>
      <c r="K50" s="10" t="s">
        <v>387</v>
      </c>
      <c r="L50" s="10" t="s">
        <v>1</v>
      </c>
      <c r="M50" s="10" t="s">
        <v>246</v>
      </c>
      <c r="N50" s="10" t="s">
        <v>289</v>
      </c>
      <c r="O50" s="2" t="s">
        <v>318</v>
      </c>
      <c r="P50" s="16" t="s">
        <v>115</v>
      </c>
      <c r="Q50" s="16" t="s">
        <v>432</v>
      </c>
      <c r="R50" s="14" t="s">
        <v>391</v>
      </c>
      <c r="S50" s="14" t="s">
        <v>434</v>
      </c>
      <c r="T50" s="2"/>
      <c r="U50" s="10" t="s">
        <v>345</v>
      </c>
    </row>
    <row r="51" spans="1:21" ht="15">
      <c r="A51" s="1">
        <v>45618</v>
      </c>
      <c r="B51" s="1" t="s">
        <v>0</v>
      </c>
      <c r="C51" s="1">
        <v>45643</v>
      </c>
      <c r="D51" s="1">
        <v>45644</v>
      </c>
      <c r="E51" s="1">
        <v>45646</v>
      </c>
      <c r="F51" s="1">
        <v>45649</v>
      </c>
      <c r="G51" s="1"/>
      <c r="H51" s="1"/>
      <c r="I51" s="1"/>
      <c r="J51" s="1"/>
      <c r="K51" s="2" t="s">
        <v>78</v>
      </c>
      <c r="L51" s="2" t="s">
        <v>1</v>
      </c>
      <c r="M51" s="2" t="s">
        <v>79</v>
      </c>
      <c r="N51" s="2" t="s">
        <v>284</v>
      </c>
      <c r="O51" s="2" t="s">
        <v>298</v>
      </c>
      <c r="P51" s="16" t="s">
        <v>393</v>
      </c>
      <c r="Q51" s="16" t="s">
        <v>432</v>
      </c>
      <c r="R51" s="14" t="s">
        <v>391</v>
      </c>
      <c r="S51" s="14" t="s">
        <v>434</v>
      </c>
      <c r="T51" s="2"/>
      <c r="U51" s="10" t="s">
        <v>77</v>
      </c>
    </row>
    <row r="52" spans="1:21" ht="15">
      <c r="A52" s="1">
        <v>45618</v>
      </c>
      <c r="B52" s="1" t="s">
        <v>0</v>
      </c>
      <c r="C52" s="1">
        <v>45643</v>
      </c>
      <c r="D52" s="1">
        <v>45644</v>
      </c>
      <c r="E52" s="1">
        <v>45646</v>
      </c>
      <c r="F52" s="1">
        <v>45649</v>
      </c>
      <c r="G52" s="1"/>
      <c r="H52" s="1"/>
      <c r="I52" s="1"/>
      <c r="J52" s="1"/>
      <c r="K52" s="2" t="s">
        <v>80</v>
      </c>
      <c r="L52" s="2" t="s">
        <v>1</v>
      </c>
      <c r="M52" s="2" t="s">
        <v>81</v>
      </c>
      <c r="N52" s="2" t="s">
        <v>284</v>
      </c>
      <c r="O52" s="2" t="s">
        <v>298</v>
      </c>
      <c r="P52" s="16" t="s">
        <v>393</v>
      </c>
      <c r="Q52" s="16" t="s">
        <v>432</v>
      </c>
      <c r="R52" s="14" t="s">
        <v>391</v>
      </c>
      <c r="S52" s="14" t="s">
        <v>434</v>
      </c>
      <c r="T52" s="2"/>
      <c r="U52" s="10" t="s">
        <v>36</v>
      </c>
    </row>
    <row r="53" spans="1:21" ht="15">
      <c r="A53" s="1">
        <v>45618</v>
      </c>
      <c r="B53" s="1" t="s">
        <v>0</v>
      </c>
      <c r="C53" s="1">
        <v>45643</v>
      </c>
      <c r="D53" s="1">
        <v>45644</v>
      </c>
      <c r="E53" s="1">
        <v>45646</v>
      </c>
      <c r="F53" s="1">
        <v>45649</v>
      </c>
      <c r="G53" s="1"/>
      <c r="H53" s="1"/>
      <c r="I53" s="1"/>
      <c r="J53" s="1"/>
      <c r="K53" s="2" t="s">
        <v>75</v>
      </c>
      <c r="L53" s="2" t="s">
        <v>1</v>
      </c>
      <c r="M53" s="2" t="s">
        <v>76</v>
      </c>
      <c r="N53" s="2" t="s">
        <v>284</v>
      </c>
      <c r="O53" s="2" t="s">
        <v>298</v>
      </c>
      <c r="P53" s="16" t="s">
        <v>393</v>
      </c>
      <c r="Q53" s="16" t="s">
        <v>432</v>
      </c>
      <c r="R53" s="14" t="s">
        <v>391</v>
      </c>
      <c r="S53" s="14" t="s">
        <v>434</v>
      </c>
      <c r="T53" s="2"/>
      <c r="U53" s="10" t="s">
        <v>77</v>
      </c>
    </row>
    <row r="54" spans="1:21" ht="15">
      <c r="A54" s="1">
        <v>45618</v>
      </c>
      <c r="B54" s="1" t="s">
        <v>0</v>
      </c>
      <c r="C54" s="1">
        <v>45643</v>
      </c>
      <c r="D54" s="1">
        <v>45644</v>
      </c>
      <c r="E54" s="1">
        <v>45646</v>
      </c>
      <c r="F54" s="1">
        <v>45649</v>
      </c>
      <c r="G54" s="1"/>
      <c r="H54" s="1"/>
      <c r="I54" s="1"/>
      <c r="J54" s="1"/>
      <c r="K54" s="2" t="s">
        <v>238</v>
      </c>
      <c r="L54" s="2" t="s">
        <v>1</v>
      </c>
      <c r="M54" s="2" t="s">
        <v>239</v>
      </c>
      <c r="N54" s="2" t="s">
        <v>284</v>
      </c>
      <c r="O54" s="2" t="s">
        <v>298</v>
      </c>
      <c r="P54" s="16" t="s">
        <v>392</v>
      </c>
      <c r="Q54" s="16" t="s">
        <v>432</v>
      </c>
      <c r="R54" s="14" t="s">
        <v>391</v>
      </c>
      <c r="S54" s="14" t="s">
        <v>434</v>
      </c>
      <c r="T54" s="2"/>
      <c r="U54" s="10" t="s">
        <v>323</v>
      </c>
    </row>
    <row r="55" spans="1:21" ht="15">
      <c r="A55" s="1">
        <v>45618</v>
      </c>
      <c r="B55" s="1" t="s">
        <v>0</v>
      </c>
      <c r="C55" s="1">
        <v>45643</v>
      </c>
      <c r="D55" s="1">
        <v>45644</v>
      </c>
      <c r="E55" s="1">
        <v>45646</v>
      </c>
      <c r="F55" s="1">
        <v>45649</v>
      </c>
      <c r="G55" s="1"/>
      <c r="H55" s="1"/>
      <c r="I55" s="1"/>
      <c r="J55" s="1"/>
      <c r="K55" s="2" t="s">
        <v>255</v>
      </c>
      <c r="L55" s="2" t="s">
        <v>1</v>
      </c>
      <c r="M55" s="2" t="s">
        <v>256</v>
      </c>
      <c r="N55" s="2" t="s">
        <v>284</v>
      </c>
      <c r="O55" s="2" t="s">
        <v>298</v>
      </c>
      <c r="P55" s="16" t="s">
        <v>392</v>
      </c>
      <c r="Q55" s="16" t="s">
        <v>432</v>
      </c>
      <c r="R55" s="14" t="s">
        <v>391</v>
      </c>
      <c r="S55" s="14" t="s">
        <v>434</v>
      </c>
      <c r="T55" s="2"/>
      <c r="U55" s="10" t="s">
        <v>327</v>
      </c>
    </row>
    <row r="56" spans="1:21" ht="15">
      <c r="A56" s="1">
        <v>45618</v>
      </c>
      <c r="B56" s="1" t="s">
        <v>0</v>
      </c>
      <c r="C56" s="1">
        <v>45643</v>
      </c>
      <c r="D56" s="1">
        <v>45644</v>
      </c>
      <c r="E56" s="1">
        <v>45646</v>
      </c>
      <c r="F56" s="1">
        <v>45649</v>
      </c>
      <c r="G56" s="1"/>
      <c r="H56" s="1"/>
      <c r="I56" s="1"/>
      <c r="J56" s="1"/>
      <c r="K56" s="10" t="s">
        <v>257</v>
      </c>
      <c r="L56" s="10" t="s">
        <v>1</v>
      </c>
      <c r="M56" s="10" t="s">
        <v>258</v>
      </c>
      <c r="N56" s="2" t="s">
        <v>284</v>
      </c>
      <c r="O56" s="2" t="s">
        <v>298</v>
      </c>
      <c r="P56" s="16" t="s">
        <v>392</v>
      </c>
      <c r="Q56" s="16" t="s">
        <v>432</v>
      </c>
      <c r="R56" s="14" t="s">
        <v>391</v>
      </c>
      <c r="S56" s="14" t="s">
        <v>434</v>
      </c>
      <c r="T56" s="2"/>
      <c r="U56" s="10" t="s">
        <v>327</v>
      </c>
    </row>
    <row r="57" spans="1:21" ht="15">
      <c r="A57" s="1">
        <v>45618</v>
      </c>
      <c r="B57" s="1" t="s">
        <v>0</v>
      </c>
      <c r="C57" s="1">
        <v>45643</v>
      </c>
      <c r="D57" s="1">
        <v>45644</v>
      </c>
      <c r="E57" s="1">
        <v>45646</v>
      </c>
      <c r="F57" s="1">
        <v>45649</v>
      </c>
      <c r="G57" s="1"/>
      <c r="H57" s="1"/>
      <c r="I57" s="1"/>
      <c r="J57" s="1"/>
      <c r="K57" s="2" t="s">
        <v>254</v>
      </c>
      <c r="L57" s="2" t="s">
        <v>1</v>
      </c>
      <c r="M57" s="2" t="s">
        <v>335</v>
      </c>
      <c r="N57" s="2" t="s">
        <v>289</v>
      </c>
      <c r="O57" s="2" t="s">
        <v>298</v>
      </c>
      <c r="P57" s="16" t="s">
        <v>392</v>
      </c>
      <c r="Q57" s="16" t="s">
        <v>432</v>
      </c>
      <c r="R57" s="14" t="s">
        <v>391</v>
      </c>
      <c r="S57" s="14" t="s">
        <v>434</v>
      </c>
      <c r="T57" s="2"/>
      <c r="U57" s="10" t="s">
        <v>336</v>
      </c>
    </row>
    <row r="58" spans="1:21" ht="15">
      <c r="A58" s="1">
        <v>45618</v>
      </c>
      <c r="B58" s="1" t="s">
        <v>0</v>
      </c>
      <c r="C58" s="1">
        <v>45643</v>
      </c>
      <c r="D58" s="1">
        <v>45644</v>
      </c>
      <c r="E58" s="1">
        <v>45646</v>
      </c>
      <c r="F58" s="1">
        <v>45649</v>
      </c>
      <c r="G58" s="1"/>
      <c r="H58" s="1"/>
      <c r="I58" s="1"/>
      <c r="J58" s="1"/>
      <c r="K58" s="2" t="s">
        <v>259</v>
      </c>
      <c r="L58" s="2" t="s">
        <v>1</v>
      </c>
      <c r="M58" s="2" t="s">
        <v>260</v>
      </c>
      <c r="N58" s="2" t="s">
        <v>289</v>
      </c>
      <c r="O58" s="2" t="s">
        <v>298</v>
      </c>
      <c r="P58" s="16" t="s">
        <v>392</v>
      </c>
      <c r="Q58" s="16" t="s">
        <v>432</v>
      </c>
      <c r="R58" s="14" t="s">
        <v>391</v>
      </c>
      <c r="S58" s="14" t="s">
        <v>434</v>
      </c>
      <c r="T58" s="2"/>
      <c r="U58" s="10" t="s">
        <v>337</v>
      </c>
    </row>
    <row r="59" spans="1:21" ht="15">
      <c r="A59" s="1">
        <v>45618</v>
      </c>
      <c r="B59" s="1" t="s">
        <v>0</v>
      </c>
      <c r="C59" s="1">
        <v>45643</v>
      </c>
      <c r="D59" s="1">
        <v>45644</v>
      </c>
      <c r="E59" s="1">
        <v>45646</v>
      </c>
      <c r="F59" s="1">
        <v>45649</v>
      </c>
      <c r="G59" s="1"/>
      <c r="H59" s="1"/>
      <c r="I59" s="1"/>
      <c r="J59" s="1"/>
      <c r="K59" s="2" t="s">
        <v>253</v>
      </c>
      <c r="L59" s="2" t="s">
        <v>1</v>
      </c>
      <c r="M59" s="2" t="s">
        <v>338</v>
      </c>
      <c r="N59" s="2" t="s">
        <v>289</v>
      </c>
      <c r="O59" s="2" t="s">
        <v>298</v>
      </c>
      <c r="P59" s="16" t="s">
        <v>392</v>
      </c>
      <c r="Q59" s="16" t="s">
        <v>432</v>
      </c>
      <c r="R59" s="14" t="s">
        <v>391</v>
      </c>
      <c r="S59" s="14" t="s">
        <v>434</v>
      </c>
      <c r="T59" s="2"/>
      <c r="U59" s="10" t="s">
        <v>339</v>
      </c>
    </row>
    <row r="60" spans="1:21" ht="15">
      <c r="A60" s="1">
        <v>45618</v>
      </c>
      <c r="B60" s="1" t="s">
        <v>0</v>
      </c>
      <c r="C60" s="1">
        <v>45643</v>
      </c>
      <c r="D60" s="1">
        <v>45644</v>
      </c>
      <c r="E60" s="1">
        <v>45646</v>
      </c>
      <c r="F60" s="1">
        <v>45649</v>
      </c>
      <c r="G60" s="1"/>
      <c r="H60" s="1"/>
      <c r="I60" s="1"/>
      <c r="J60" s="1"/>
      <c r="K60" s="2" t="s">
        <v>261</v>
      </c>
      <c r="L60" s="2" t="s">
        <v>1</v>
      </c>
      <c r="M60" s="2" t="s">
        <v>262</v>
      </c>
      <c r="N60" s="2" t="s">
        <v>289</v>
      </c>
      <c r="O60" s="2" t="s">
        <v>298</v>
      </c>
      <c r="P60" s="16" t="s">
        <v>392</v>
      </c>
      <c r="Q60" s="16" t="s">
        <v>432</v>
      </c>
      <c r="R60" s="14" t="s">
        <v>391</v>
      </c>
      <c r="S60" s="14" t="s">
        <v>434</v>
      </c>
      <c r="T60" s="2"/>
      <c r="U60" s="10" t="s">
        <v>337</v>
      </c>
    </row>
    <row r="61" spans="1:21" ht="15">
      <c r="A61" s="1">
        <v>45618</v>
      </c>
      <c r="B61" s="1" t="s">
        <v>0</v>
      </c>
      <c r="C61" s="1">
        <v>45643</v>
      </c>
      <c r="D61" s="1">
        <v>45644</v>
      </c>
      <c r="E61" s="1">
        <v>45646</v>
      </c>
      <c r="F61" s="1">
        <v>45649</v>
      </c>
      <c r="G61" s="1"/>
      <c r="H61" s="1"/>
      <c r="I61" s="1"/>
      <c r="J61" s="1"/>
      <c r="K61" s="2" t="s">
        <v>233</v>
      </c>
      <c r="L61" s="2" t="s">
        <v>1</v>
      </c>
      <c r="M61" s="2" t="s">
        <v>348</v>
      </c>
      <c r="N61" s="2" t="s">
        <v>284</v>
      </c>
      <c r="O61" s="2" t="s">
        <v>298</v>
      </c>
      <c r="P61" s="16" t="s">
        <v>245</v>
      </c>
      <c r="Q61" s="16" t="s">
        <v>432</v>
      </c>
      <c r="R61" s="14" t="s">
        <v>391</v>
      </c>
      <c r="S61" s="14" t="s">
        <v>434</v>
      </c>
      <c r="T61" s="2"/>
      <c r="U61" s="10" t="s">
        <v>323</v>
      </c>
    </row>
    <row r="62" spans="1:21" ht="15">
      <c r="A62" s="1">
        <v>45618</v>
      </c>
      <c r="B62" s="1" t="s">
        <v>0</v>
      </c>
      <c r="C62" s="1">
        <v>45643</v>
      </c>
      <c r="D62" s="1">
        <v>45644</v>
      </c>
      <c r="E62" s="1">
        <v>45646</v>
      </c>
      <c r="F62" s="1">
        <v>45649</v>
      </c>
      <c r="G62" s="1"/>
      <c r="H62" s="1"/>
      <c r="I62" s="1"/>
      <c r="J62" s="1"/>
      <c r="K62" s="2" t="s">
        <v>373</v>
      </c>
      <c r="L62" s="2" t="s">
        <v>1</v>
      </c>
      <c r="M62" s="2" t="s">
        <v>374</v>
      </c>
      <c r="N62" s="2" t="s">
        <v>284</v>
      </c>
      <c r="O62" s="2" t="s">
        <v>298</v>
      </c>
      <c r="P62" s="16" t="s">
        <v>392</v>
      </c>
      <c r="Q62" s="16" t="s">
        <v>432</v>
      </c>
      <c r="R62" s="14" t="s">
        <v>391</v>
      </c>
      <c r="S62" s="14" t="s">
        <v>434</v>
      </c>
      <c r="T62" s="2"/>
      <c r="U62" s="10" t="s">
        <v>0</v>
      </c>
    </row>
    <row r="63" spans="1:21" ht="15">
      <c r="A63" s="1">
        <v>45618</v>
      </c>
      <c r="B63" s="1" t="s">
        <v>0</v>
      </c>
      <c r="C63" s="1">
        <v>45643</v>
      </c>
      <c r="D63" s="1">
        <v>45644</v>
      </c>
      <c r="E63" s="1">
        <v>45646</v>
      </c>
      <c r="F63" s="1">
        <v>45649</v>
      </c>
      <c r="G63" s="1"/>
      <c r="H63" s="1"/>
      <c r="I63" s="1"/>
      <c r="J63" s="1"/>
      <c r="K63" s="2" t="s">
        <v>273</v>
      </c>
      <c r="L63" s="2" t="s">
        <v>1</v>
      </c>
      <c r="M63" s="2" t="s">
        <v>274</v>
      </c>
      <c r="N63" s="2" t="s">
        <v>284</v>
      </c>
      <c r="O63" s="2" t="s">
        <v>298</v>
      </c>
      <c r="P63" s="16" t="s">
        <v>376</v>
      </c>
      <c r="Q63" s="16" t="s">
        <v>432</v>
      </c>
      <c r="R63" s="15" t="s">
        <v>106</v>
      </c>
      <c r="S63" s="15" t="s">
        <v>433</v>
      </c>
      <c r="T63" s="2"/>
      <c r="U63" s="10" t="s">
        <v>326</v>
      </c>
    </row>
    <row r="64" spans="1:21" ht="15">
      <c r="A64" s="1">
        <v>45618</v>
      </c>
      <c r="B64" s="1" t="s">
        <v>0</v>
      </c>
      <c r="C64" s="1">
        <v>45643</v>
      </c>
      <c r="D64" s="1">
        <v>45644</v>
      </c>
      <c r="E64" s="1">
        <v>45646</v>
      </c>
      <c r="F64" s="1">
        <v>45649</v>
      </c>
      <c r="G64" s="1"/>
      <c r="H64" s="1"/>
      <c r="I64" s="1"/>
      <c r="J64" s="1"/>
      <c r="K64" s="2" t="s">
        <v>250</v>
      </c>
      <c r="L64" s="2" t="s">
        <v>1</v>
      </c>
      <c r="M64" s="2" t="s">
        <v>329</v>
      </c>
      <c r="N64" s="2" t="s">
        <v>284</v>
      </c>
      <c r="O64" s="2" t="s">
        <v>298</v>
      </c>
      <c r="P64" s="16" t="s">
        <v>376</v>
      </c>
      <c r="Q64" s="16" t="s">
        <v>432</v>
      </c>
      <c r="R64" s="15" t="s">
        <v>106</v>
      </c>
      <c r="S64" s="15" t="s">
        <v>433</v>
      </c>
      <c r="T64" s="2"/>
      <c r="U64" s="10" t="s">
        <v>330</v>
      </c>
    </row>
    <row r="65" spans="1:21" ht="15">
      <c r="A65" s="1">
        <v>45618</v>
      </c>
      <c r="B65" s="1" t="s">
        <v>0</v>
      </c>
      <c r="C65" s="1">
        <v>45643</v>
      </c>
      <c r="D65" s="1">
        <v>45644</v>
      </c>
      <c r="E65" s="1">
        <v>45646</v>
      </c>
      <c r="F65" s="1">
        <v>45649</v>
      </c>
      <c r="G65" s="1"/>
      <c r="H65" s="1"/>
      <c r="I65" s="1"/>
      <c r="J65" s="1"/>
      <c r="K65" s="2" t="s">
        <v>264</v>
      </c>
      <c r="L65" s="2" t="s">
        <v>1</v>
      </c>
      <c r="M65" s="2" t="s">
        <v>265</v>
      </c>
      <c r="N65" s="2" t="s">
        <v>284</v>
      </c>
      <c r="O65" s="2" t="s">
        <v>298</v>
      </c>
      <c r="P65" s="16" t="s">
        <v>376</v>
      </c>
      <c r="Q65" s="16" t="s">
        <v>432</v>
      </c>
      <c r="R65" s="15" t="s">
        <v>106</v>
      </c>
      <c r="S65" s="15" t="s">
        <v>433</v>
      </c>
      <c r="T65" s="2"/>
      <c r="U65" s="10" t="s">
        <v>360</v>
      </c>
    </row>
    <row r="66" spans="1:21" ht="15">
      <c r="A66" s="1">
        <v>45618</v>
      </c>
      <c r="B66" s="1" t="s">
        <v>0</v>
      </c>
      <c r="C66" s="1">
        <v>45643</v>
      </c>
      <c r="D66" s="1">
        <v>45644</v>
      </c>
      <c r="E66" s="1">
        <v>45646</v>
      </c>
      <c r="F66" s="1">
        <v>45649</v>
      </c>
      <c r="G66" s="1"/>
      <c r="H66" s="1"/>
      <c r="I66" s="1"/>
      <c r="J66" s="1"/>
      <c r="K66" s="2" t="s">
        <v>63</v>
      </c>
      <c r="L66" s="2" t="s">
        <v>1</v>
      </c>
      <c r="M66" s="2" t="s">
        <v>64</v>
      </c>
      <c r="N66" s="2" t="s">
        <v>284</v>
      </c>
      <c r="O66" s="2" t="s">
        <v>300</v>
      </c>
      <c r="P66" s="16" t="s">
        <v>269</v>
      </c>
      <c r="Q66" s="16" t="s">
        <v>432</v>
      </c>
      <c r="R66" s="15" t="s">
        <v>109</v>
      </c>
      <c r="S66" s="15" t="s">
        <v>433</v>
      </c>
      <c r="T66" s="2"/>
      <c r="U66" s="10" t="s">
        <v>0</v>
      </c>
    </row>
    <row r="67" spans="1:21" ht="15">
      <c r="A67" s="1">
        <v>45618</v>
      </c>
      <c r="B67" s="1" t="s">
        <v>0</v>
      </c>
      <c r="C67" s="1">
        <v>45643</v>
      </c>
      <c r="D67" s="1">
        <v>45644</v>
      </c>
      <c r="E67" s="1">
        <v>45646</v>
      </c>
      <c r="F67" s="1">
        <v>45649</v>
      </c>
      <c r="G67" s="1">
        <v>45650</v>
      </c>
      <c r="H67" s="1">
        <v>45653</v>
      </c>
      <c r="I67" s="1"/>
      <c r="J67" s="1"/>
      <c r="K67" s="2" t="s">
        <v>118</v>
      </c>
      <c r="L67" s="2" t="s">
        <v>1</v>
      </c>
      <c r="M67" s="2" t="s">
        <v>119</v>
      </c>
      <c r="N67" s="2" t="s">
        <v>289</v>
      </c>
      <c r="O67" s="2" t="s">
        <v>300</v>
      </c>
      <c r="P67" s="16" t="s">
        <v>108</v>
      </c>
      <c r="Q67" s="16" t="s">
        <v>432</v>
      </c>
      <c r="R67" s="14" t="s">
        <v>391</v>
      </c>
      <c r="S67" s="14" t="s">
        <v>434</v>
      </c>
      <c r="T67" s="2"/>
      <c r="U67" s="17" t="s">
        <v>356</v>
      </c>
    </row>
    <row r="68" spans="1:21" ht="15">
      <c r="A68" s="1">
        <v>45618</v>
      </c>
      <c r="B68" s="1" t="s">
        <v>0</v>
      </c>
      <c r="C68" s="1">
        <v>45643</v>
      </c>
      <c r="D68" s="1">
        <v>45644</v>
      </c>
      <c r="E68" s="1">
        <v>45646</v>
      </c>
      <c r="F68" s="1">
        <v>45649</v>
      </c>
      <c r="G68" s="1">
        <v>45650</v>
      </c>
      <c r="H68" s="1"/>
      <c r="I68" s="1"/>
      <c r="J68" s="1"/>
      <c r="K68" s="2" t="s">
        <v>37</v>
      </c>
      <c r="L68" s="2" t="s">
        <v>1</v>
      </c>
      <c r="M68" s="2" t="s">
        <v>38</v>
      </c>
      <c r="N68" s="2" t="s">
        <v>284</v>
      </c>
      <c r="O68" s="2" t="s">
        <v>300</v>
      </c>
      <c r="P68" s="16" t="s">
        <v>392</v>
      </c>
      <c r="Q68" s="16" t="s">
        <v>432</v>
      </c>
      <c r="R68" s="14" t="s">
        <v>391</v>
      </c>
      <c r="S68" s="14" t="s">
        <v>434</v>
      </c>
      <c r="T68" s="2"/>
      <c r="U68" s="10" t="s">
        <v>362</v>
      </c>
    </row>
    <row r="69" spans="1:21" ht="15">
      <c r="A69" s="1">
        <v>45618</v>
      </c>
      <c r="B69" s="1" t="s">
        <v>0</v>
      </c>
      <c r="C69" s="1">
        <v>45643</v>
      </c>
      <c r="D69" s="1">
        <v>45644</v>
      </c>
      <c r="E69" s="1">
        <v>45646</v>
      </c>
      <c r="F69" s="1">
        <v>45649</v>
      </c>
      <c r="G69" s="1"/>
      <c r="H69" s="1"/>
      <c r="I69" s="1"/>
      <c r="J69" s="1"/>
      <c r="K69" s="2" t="s">
        <v>44</v>
      </c>
      <c r="L69" s="2" t="s">
        <v>1</v>
      </c>
      <c r="M69" s="2" t="s">
        <v>45</v>
      </c>
      <c r="N69" s="2" t="s">
        <v>284</v>
      </c>
      <c r="O69" s="2" t="s">
        <v>300</v>
      </c>
      <c r="P69" s="16" t="s">
        <v>392</v>
      </c>
      <c r="Q69" s="16" t="s">
        <v>432</v>
      </c>
      <c r="R69" s="14" t="s">
        <v>391</v>
      </c>
      <c r="S69" s="14" t="s">
        <v>434</v>
      </c>
      <c r="T69" s="2"/>
      <c r="U69" s="10" t="s">
        <v>0</v>
      </c>
    </row>
    <row r="70" spans="1:21" ht="15">
      <c r="A70" s="1">
        <v>45618</v>
      </c>
      <c r="B70" s="1" t="s">
        <v>0</v>
      </c>
      <c r="C70" s="1">
        <v>45643</v>
      </c>
      <c r="D70" s="1">
        <v>45644</v>
      </c>
      <c r="E70" s="1">
        <v>45646</v>
      </c>
      <c r="F70" s="1">
        <v>45649</v>
      </c>
      <c r="G70" s="1"/>
      <c r="H70" s="1"/>
      <c r="I70" s="1"/>
      <c r="J70" s="1"/>
      <c r="K70" s="2" t="s">
        <v>419</v>
      </c>
      <c r="L70" s="2" t="s">
        <v>1</v>
      </c>
      <c r="M70" s="2" t="s">
        <v>420</v>
      </c>
      <c r="N70" s="2" t="s">
        <v>289</v>
      </c>
      <c r="O70" s="2" t="s">
        <v>421</v>
      </c>
      <c r="P70" s="16" t="s">
        <v>392</v>
      </c>
      <c r="Q70" s="16" t="s">
        <v>432</v>
      </c>
      <c r="R70" s="14" t="s">
        <v>391</v>
      </c>
      <c r="S70" s="14" t="s">
        <v>434</v>
      </c>
      <c r="T70" s="2"/>
      <c r="U70" s="10" t="s">
        <v>0</v>
      </c>
    </row>
    <row r="71" spans="1:21" ht="15">
      <c r="A71" s="19">
        <v>45618</v>
      </c>
      <c r="B71" s="19" t="s">
        <v>0</v>
      </c>
      <c r="C71" s="19">
        <v>45643</v>
      </c>
      <c r="D71" s="19">
        <v>45644</v>
      </c>
      <c r="E71" s="19">
        <v>45646</v>
      </c>
      <c r="F71" s="19">
        <v>45649</v>
      </c>
      <c r="G71" s="19"/>
      <c r="H71" s="19"/>
      <c r="I71" s="19"/>
      <c r="J71" s="19"/>
      <c r="K71" s="20" t="s">
        <v>424</v>
      </c>
      <c r="L71" s="20" t="s">
        <v>1</v>
      </c>
      <c r="M71" s="20" t="s">
        <v>425</v>
      </c>
      <c r="N71" s="20" t="s">
        <v>289</v>
      </c>
      <c r="O71" s="20" t="s">
        <v>421</v>
      </c>
      <c r="P71" s="16" t="s">
        <v>392</v>
      </c>
      <c r="Q71" s="16" t="s">
        <v>432</v>
      </c>
      <c r="R71" s="14" t="s">
        <v>391</v>
      </c>
      <c r="S71" s="14" t="s">
        <v>434</v>
      </c>
      <c r="T71" s="2"/>
      <c r="U71" s="10" t="s">
        <v>0</v>
      </c>
    </row>
    <row r="72" spans="1:21" ht="15">
      <c r="A72" s="1">
        <v>45618</v>
      </c>
      <c r="B72" s="1" t="s">
        <v>0</v>
      </c>
      <c r="C72" s="1">
        <v>45643</v>
      </c>
      <c r="D72" s="1">
        <v>45644</v>
      </c>
      <c r="E72" s="1">
        <v>45646</v>
      </c>
      <c r="F72" s="1">
        <v>45649</v>
      </c>
      <c r="G72" s="1"/>
      <c r="H72" s="1"/>
      <c r="I72" s="1"/>
      <c r="J72" s="1"/>
      <c r="K72" s="10" t="s">
        <v>413</v>
      </c>
      <c r="L72" s="10" t="s">
        <v>1</v>
      </c>
      <c r="M72" s="10" t="s">
        <v>414</v>
      </c>
      <c r="N72" s="2" t="s">
        <v>289</v>
      </c>
      <c r="O72" s="2" t="s">
        <v>410</v>
      </c>
      <c r="P72" s="16" t="s">
        <v>392</v>
      </c>
      <c r="Q72" s="16" t="s">
        <v>432</v>
      </c>
      <c r="R72" s="14" t="s">
        <v>391</v>
      </c>
      <c r="S72" s="14" t="s">
        <v>434</v>
      </c>
      <c r="T72" s="2"/>
      <c r="U72" s="10" t="s">
        <v>0</v>
      </c>
    </row>
    <row r="73" spans="1:21" ht="15">
      <c r="A73" s="1">
        <v>45618</v>
      </c>
      <c r="B73" s="1" t="s">
        <v>0</v>
      </c>
      <c r="C73" s="1">
        <v>45643</v>
      </c>
      <c r="D73" s="1">
        <v>45644</v>
      </c>
      <c r="E73" s="1">
        <v>45646</v>
      </c>
      <c r="F73" s="1">
        <v>45649</v>
      </c>
      <c r="G73" s="1"/>
      <c r="H73" s="1"/>
      <c r="I73" s="1"/>
      <c r="J73" s="1"/>
      <c r="K73" s="2" t="s">
        <v>395</v>
      </c>
      <c r="L73" s="2" t="s">
        <v>1</v>
      </c>
      <c r="M73" s="2" t="s">
        <v>394</v>
      </c>
      <c r="N73" s="2" t="s">
        <v>289</v>
      </c>
      <c r="O73" s="2" t="s">
        <v>410</v>
      </c>
      <c r="P73" s="16" t="s">
        <v>108</v>
      </c>
      <c r="Q73" s="16" t="s">
        <v>432</v>
      </c>
      <c r="R73" s="14" t="s">
        <v>391</v>
      </c>
      <c r="S73" s="14" t="s">
        <v>434</v>
      </c>
      <c r="T73" s="2"/>
      <c r="U73" s="17" t="s">
        <v>0</v>
      </c>
    </row>
    <row r="74" spans="1:21" ht="15">
      <c r="A74" s="1">
        <v>45618</v>
      </c>
      <c r="B74" s="1" t="s">
        <v>0</v>
      </c>
      <c r="C74" s="1">
        <v>45643</v>
      </c>
      <c r="D74" s="1">
        <v>45644</v>
      </c>
      <c r="E74" s="1">
        <v>45646</v>
      </c>
      <c r="F74" s="1">
        <v>45649</v>
      </c>
      <c r="G74" s="1"/>
      <c r="H74" s="1"/>
      <c r="I74" s="1"/>
      <c r="J74" s="1"/>
      <c r="K74" s="2" t="s">
        <v>411</v>
      </c>
      <c r="L74" s="2" t="s">
        <v>1</v>
      </c>
      <c r="M74" s="2" t="s">
        <v>412</v>
      </c>
      <c r="N74" s="2" t="s">
        <v>289</v>
      </c>
      <c r="O74" s="2" t="s">
        <v>410</v>
      </c>
      <c r="P74" s="16" t="s">
        <v>392</v>
      </c>
      <c r="Q74" s="16" t="s">
        <v>432</v>
      </c>
      <c r="R74" s="14" t="s">
        <v>391</v>
      </c>
      <c r="S74" s="14" t="s">
        <v>434</v>
      </c>
      <c r="T74" s="2"/>
      <c r="U74" s="10" t="s">
        <v>0</v>
      </c>
    </row>
    <row r="75" spans="1:21" ht="15">
      <c r="A75" s="1">
        <v>45618</v>
      </c>
      <c r="B75" s="1" t="s">
        <v>0</v>
      </c>
      <c r="C75" s="1">
        <v>45643</v>
      </c>
      <c r="D75" s="1">
        <v>45644</v>
      </c>
      <c r="E75" s="1">
        <v>45646</v>
      </c>
      <c r="F75" s="1">
        <v>45649</v>
      </c>
      <c r="G75" s="1"/>
      <c r="H75" s="1"/>
      <c r="I75" s="1"/>
      <c r="J75" s="1"/>
      <c r="K75" s="2" t="s">
        <v>10</v>
      </c>
      <c r="L75" s="2" t="s">
        <v>1</v>
      </c>
      <c r="M75" s="2" t="s">
        <v>11</v>
      </c>
      <c r="N75" s="2" t="s">
        <v>284</v>
      </c>
      <c r="O75" s="2" t="s">
        <v>300</v>
      </c>
      <c r="P75" s="16" t="s">
        <v>393</v>
      </c>
      <c r="Q75" s="16" t="s">
        <v>432</v>
      </c>
      <c r="R75" s="14" t="s">
        <v>391</v>
      </c>
      <c r="S75" s="14" t="s">
        <v>434</v>
      </c>
      <c r="T75" s="2"/>
      <c r="U75" s="17" t="s">
        <v>12</v>
      </c>
    </row>
    <row r="76" spans="1:21" ht="15">
      <c r="A76" s="1">
        <v>45618</v>
      </c>
      <c r="B76" s="1" t="s">
        <v>0</v>
      </c>
      <c r="C76" s="1">
        <v>45644</v>
      </c>
      <c r="D76" s="1">
        <v>45644</v>
      </c>
      <c r="E76" s="1">
        <v>45646</v>
      </c>
      <c r="F76" s="1">
        <v>45649</v>
      </c>
      <c r="G76" s="1"/>
      <c r="H76" s="1"/>
      <c r="I76" s="1"/>
      <c r="J76" s="1"/>
      <c r="K76" s="2" t="s">
        <v>230</v>
      </c>
      <c r="L76" s="2" t="s">
        <v>1</v>
      </c>
      <c r="M76" s="2" t="s">
        <v>328</v>
      </c>
      <c r="N76" s="2" t="s">
        <v>284</v>
      </c>
      <c r="O76" s="2" t="s">
        <v>0</v>
      </c>
      <c r="P76" s="16" t="s">
        <v>245</v>
      </c>
      <c r="Q76" s="16" t="s">
        <v>432</v>
      </c>
      <c r="R76" s="14" t="s">
        <v>391</v>
      </c>
      <c r="S76" s="14" t="s">
        <v>434</v>
      </c>
      <c r="T76" s="2"/>
      <c r="U76" s="10" t="s">
        <v>323</v>
      </c>
    </row>
    <row r="77" spans="1:21" ht="15">
      <c r="A77" s="1">
        <v>45618</v>
      </c>
      <c r="B77" s="1" t="s">
        <v>0</v>
      </c>
      <c r="C77" s="1">
        <v>45643</v>
      </c>
      <c r="D77" s="1">
        <v>45644</v>
      </c>
      <c r="E77" s="1">
        <v>45646</v>
      </c>
      <c r="F77" s="1">
        <v>45649</v>
      </c>
      <c r="G77" s="1"/>
      <c r="H77" s="1"/>
      <c r="I77" s="1"/>
      <c r="J77" s="1"/>
      <c r="K77" s="2" t="s">
        <v>227</v>
      </c>
      <c r="L77" s="2" t="s">
        <v>1</v>
      </c>
      <c r="M77" s="2" t="s">
        <v>333</v>
      </c>
      <c r="N77" s="2" t="s">
        <v>289</v>
      </c>
      <c r="O77" s="2" t="s">
        <v>300</v>
      </c>
      <c r="P77" s="16" t="s">
        <v>228</v>
      </c>
      <c r="Q77" s="16" t="s">
        <v>432</v>
      </c>
      <c r="R77" s="14" t="s">
        <v>391</v>
      </c>
      <c r="S77" s="14" t="s">
        <v>434</v>
      </c>
      <c r="T77" s="2"/>
      <c r="U77" s="10" t="s">
        <v>334</v>
      </c>
    </row>
    <row r="78" spans="1:21" ht="15">
      <c r="A78" s="1">
        <v>45618</v>
      </c>
      <c r="B78" s="1" t="s">
        <v>0</v>
      </c>
      <c r="C78" s="1">
        <v>45643</v>
      </c>
      <c r="D78" s="1">
        <v>45644</v>
      </c>
      <c r="E78" s="1">
        <v>45646</v>
      </c>
      <c r="F78" s="1">
        <v>45649</v>
      </c>
      <c r="G78" s="1"/>
      <c r="H78" s="1"/>
      <c r="I78" s="1"/>
      <c r="J78" s="1"/>
      <c r="K78" s="2" t="s">
        <v>89</v>
      </c>
      <c r="L78" s="2" t="s">
        <v>1</v>
      </c>
      <c r="M78" s="2" t="s">
        <v>90</v>
      </c>
      <c r="N78" s="2" t="s">
        <v>284</v>
      </c>
      <c r="O78" s="2" t="s">
        <v>300</v>
      </c>
      <c r="P78" s="16" t="s">
        <v>228</v>
      </c>
      <c r="Q78" s="16" t="s">
        <v>432</v>
      </c>
      <c r="R78" s="14" t="s">
        <v>391</v>
      </c>
      <c r="S78" s="14" t="s">
        <v>434</v>
      </c>
      <c r="T78" s="2"/>
      <c r="U78" s="10" t="s">
        <v>91</v>
      </c>
    </row>
    <row r="79" spans="1:21" ht="15">
      <c r="A79" s="1">
        <v>45618</v>
      </c>
      <c r="B79" s="1" t="s">
        <v>0</v>
      </c>
      <c r="C79" s="1">
        <v>45643</v>
      </c>
      <c r="D79" s="1">
        <v>45644</v>
      </c>
      <c r="E79" s="1">
        <v>45646</v>
      </c>
      <c r="F79" s="1">
        <v>45649</v>
      </c>
      <c r="G79" s="1"/>
      <c r="H79" s="1"/>
      <c r="I79" s="1"/>
      <c r="J79" s="1"/>
      <c r="K79" s="2" t="s">
        <v>192</v>
      </c>
      <c r="L79" s="2" t="s">
        <v>1</v>
      </c>
      <c r="M79" s="2" t="s">
        <v>193</v>
      </c>
      <c r="N79" s="2" t="s">
        <v>289</v>
      </c>
      <c r="O79" s="2" t="s">
        <v>300</v>
      </c>
      <c r="P79" s="16" t="s">
        <v>376</v>
      </c>
      <c r="Q79" s="16" t="s">
        <v>432</v>
      </c>
      <c r="R79" s="14" t="s">
        <v>391</v>
      </c>
      <c r="S79" s="14" t="s">
        <v>434</v>
      </c>
      <c r="T79" s="2"/>
      <c r="U79" s="10" t="s">
        <v>341</v>
      </c>
    </row>
    <row r="80" spans="1:21" ht="15">
      <c r="A80" s="1">
        <v>45618</v>
      </c>
      <c r="B80" s="1" t="s">
        <v>0</v>
      </c>
      <c r="C80" s="1">
        <v>45643</v>
      </c>
      <c r="D80" s="1">
        <v>45644</v>
      </c>
      <c r="E80" s="1">
        <v>45646</v>
      </c>
      <c r="F80" s="1">
        <v>45649</v>
      </c>
      <c r="G80" s="1"/>
      <c r="H80" s="1"/>
      <c r="I80" s="1"/>
      <c r="J80" s="1"/>
      <c r="K80" s="2" t="s">
        <v>18</v>
      </c>
      <c r="L80" s="2" t="s">
        <v>1</v>
      </c>
      <c r="M80" s="2" t="s">
        <v>19</v>
      </c>
      <c r="N80" s="2" t="s">
        <v>284</v>
      </c>
      <c r="O80" s="2" t="s">
        <v>300</v>
      </c>
      <c r="P80" s="16" t="s">
        <v>393</v>
      </c>
      <c r="Q80" s="16" t="s">
        <v>432</v>
      </c>
      <c r="R80" s="14" t="s">
        <v>391</v>
      </c>
      <c r="S80" s="14" t="s">
        <v>434</v>
      </c>
      <c r="T80" s="2"/>
      <c r="U80" s="10" t="s">
        <v>20</v>
      </c>
    </row>
    <row r="81" spans="1:21" ht="15">
      <c r="A81" s="1">
        <v>45618</v>
      </c>
      <c r="B81" s="1" t="s">
        <v>0</v>
      </c>
      <c r="C81" s="1">
        <v>45643</v>
      </c>
      <c r="D81" s="1">
        <v>45644</v>
      </c>
      <c r="E81" s="1">
        <v>45646</v>
      </c>
      <c r="F81" s="1">
        <v>45649</v>
      </c>
      <c r="G81" s="1"/>
      <c r="H81" s="1"/>
      <c r="I81" s="1"/>
      <c r="J81" s="1"/>
      <c r="K81" s="2" t="s">
        <v>415</v>
      </c>
      <c r="L81" s="2" t="s">
        <v>1</v>
      </c>
      <c r="M81" s="2" t="s">
        <v>416</v>
      </c>
      <c r="N81" s="2" t="s">
        <v>284</v>
      </c>
      <c r="O81" s="2" t="s">
        <v>0</v>
      </c>
      <c r="P81" s="16" t="s">
        <v>393</v>
      </c>
      <c r="Q81" s="16" t="s">
        <v>432</v>
      </c>
      <c r="R81" s="14" t="s">
        <v>391</v>
      </c>
      <c r="S81" s="14" t="s">
        <v>434</v>
      </c>
      <c r="T81" s="2"/>
      <c r="U81" s="10" t="s">
        <v>0</v>
      </c>
    </row>
    <row r="82" spans="1:21" ht="15">
      <c r="A82" s="1">
        <v>45618</v>
      </c>
      <c r="B82" s="1" t="s">
        <v>0</v>
      </c>
      <c r="C82" s="1">
        <v>45643</v>
      </c>
      <c r="D82" s="1">
        <v>45644</v>
      </c>
      <c r="E82" s="1">
        <v>45646</v>
      </c>
      <c r="F82" s="1">
        <v>45649</v>
      </c>
      <c r="G82" s="1"/>
      <c r="H82" s="1"/>
      <c r="I82" s="1"/>
      <c r="J82" s="1"/>
      <c r="K82" s="2" t="s">
        <v>145</v>
      </c>
      <c r="L82" s="2" t="s">
        <v>1</v>
      </c>
      <c r="M82" s="2" t="s">
        <v>146</v>
      </c>
      <c r="N82" s="2" t="s">
        <v>284</v>
      </c>
      <c r="O82" s="2" t="s">
        <v>300</v>
      </c>
      <c r="P82" s="16" t="s">
        <v>393</v>
      </c>
      <c r="Q82" s="16" t="s">
        <v>432</v>
      </c>
      <c r="R82" s="14" t="s">
        <v>391</v>
      </c>
      <c r="S82" s="14" t="s">
        <v>434</v>
      </c>
      <c r="T82" s="2"/>
      <c r="U82" s="10" t="s">
        <v>36</v>
      </c>
    </row>
    <row r="83" spans="1:21" ht="15">
      <c r="A83" s="1">
        <v>45618</v>
      </c>
      <c r="B83" s="1" t="s">
        <v>0</v>
      </c>
      <c r="C83" s="1">
        <v>45643</v>
      </c>
      <c r="D83" s="1">
        <v>45644</v>
      </c>
      <c r="E83" s="1">
        <v>45646</v>
      </c>
      <c r="F83" s="1">
        <v>45649</v>
      </c>
      <c r="G83" s="1"/>
      <c r="H83" s="1"/>
      <c r="I83" s="1"/>
      <c r="J83" s="1"/>
      <c r="K83" s="2" t="s">
        <v>229</v>
      </c>
      <c r="L83" s="2" t="s">
        <v>1</v>
      </c>
      <c r="M83" s="2" t="s">
        <v>346</v>
      </c>
      <c r="N83" s="2" t="s">
        <v>284</v>
      </c>
      <c r="O83" s="2" t="s">
        <v>300</v>
      </c>
      <c r="P83" s="16" t="s">
        <v>393</v>
      </c>
      <c r="Q83" s="16" t="s">
        <v>432</v>
      </c>
      <c r="R83" s="14" t="s">
        <v>391</v>
      </c>
      <c r="S83" s="14" t="s">
        <v>434</v>
      </c>
      <c r="T83" s="2"/>
      <c r="U83" s="10" t="s">
        <v>323</v>
      </c>
    </row>
    <row r="84" spans="1:21" ht="15">
      <c r="A84" s="1">
        <v>45618</v>
      </c>
      <c r="B84" s="1" t="s">
        <v>0</v>
      </c>
      <c r="C84" s="1">
        <v>45643</v>
      </c>
      <c r="D84" s="1">
        <v>45644</v>
      </c>
      <c r="E84" s="1">
        <v>45646</v>
      </c>
      <c r="F84" s="1">
        <v>45649</v>
      </c>
      <c r="G84" s="1"/>
      <c r="H84" s="1"/>
      <c r="I84" s="1"/>
      <c r="J84" s="1"/>
      <c r="K84" s="2" t="s">
        <v>27</v>
      </c>
      <c r="L84" s="2" t="s">
        <v>1</v>
      </c>
      <c r="M84" s="2" t="s">
        <v>28</v>
      </c>
      <c r="N84" s="2" t="s">
        <v>284</v>
      </c>
      <c r="O84" s="2" t="s">
        <v>0</v>
      </c>
      <c r="P84" s="16" t="s">
        <v>393</v>
      </c>
      <c r="Q84" s="16" t="s">
        <v>432</v>
      </c>
      <c r="R84" s="14" t="s">
        <v>391</v>
      </c>
      <c r="S84" s="14" t="s">
        <v>434</v>
      </c>
      <c r="T84" s="2"/>
      <c r="U84" s="10" t="s">
        <v>0</v>
      </c>
    </row>
    <row r="85" spans="1:21" ht="15">
      <c r="A85" s="1">
        <v>45618</v>
      </c>
      <c r="B85" s="1" t="s">
        <v>0</v>
      </c>
      <c r="C85" s="1">
        <v>45643</v>
      </c>
      <c r="D85" s="1">
        <v>45644</v>
      </c>
      <c r="E85" s="1">
        <v>45646</v>
      </c>
      <c r="F85" s="1">
        <v>45649</v>
      </c>
      <c r="G85" s="1"/>
      <c r="H85" s="1"/>
      <c r="I85" s="1"/>
      <c r="J85" s="1"/>
      <c r="K85" s="10" t="s">
        <v>126</v>
      </c>
      <c r="L85" s="10" t="s">
        <v>1</v>
      </c>
      <c r="M85" s="10" t="s">
        <v>127</v>
      </c>
      <c r="N85" s="2" t="s">
        <v>284</v>
      </c>
      <c r="O85" s="2" t="s">
        <v>300</v>
      </c>
      <c r="P85" s="16" t="s">
        <v>376</v>
      </c>
      <c r="Q85" s="16" t="s">
        <v>432</v>
      </c>
      <c r="R85" s="14" t="s">
        <v>391</v>
      </c>
      <c r="S85" s="14" t="s">
        <v>434</v>
      </c>
      <c r="T85" s="2"/>
      <c r="U85" s="10" t="s">
        <v>36</v>
      </c>
    </row>
    <row r="86" spans="1:21" ht="15">
      <c r="A86" s="1">
        <v>45618</v>
      </c>
      <c r="B86" s="1" t="s">
        <v>0</v>
      </c>
      <c r="C86" s="1">
        <v>45643</v>
      </c>
      <c r="D86" s="1">
        <v>45644</v>
      </c>
      <c r="E86" s="1">
        <v>45646</v>
      </c>
      <c r="F86" s="1">
        <v>45649</v>
      </c>
      <c r="G86" s="1"/>
      <c r="H86" s="1"/>
      <c r="I86" s="1"/>
      <c r="J86" s="1"/>
      <c r="K86" s="2" t="s">
        <v>141</v>
      </c>
      <c r="L86" s="2" t="s">
        <v>1</v>
      </c>
      <c r="M86" s="2" t="s">
        <v>142</v>
      </c>
      <c r="N86" s="2" t="s">
        <v>284</v>
      </c>
      <c r="O86" s="2" t="s">
        <v>300</v>
      </c>
      <c r="P86" s="16" t="s">
        <v>376</v>
      </c>
      <c r="Q86" s="16" t="s">
        <v>432</v>
      </c>
      <c r="R86" s="14" t="s">
        <v>391</v>
      </c>
      <c r="S86" s="14" t="s">
        <v>434</v>
      </c>
      <c r="T86" s="2"/>
      <c r="U86" s="10" t="s">
        <v>36</v>
      </c>
    </row>
    <row r="87" spans="1:21" ht="15">
      <c r="A87" s="1">
        <v>45618</v>
      </c>
      <c r="B87" s="1" t="s">
        <v>0</v>
      </c>
      <c r="C87" s="1">
        <v>45643</v>
      </c>
      <c r="D87" s="1">
        <v>45644</v>
      </c>
      <c r="E87" s="1">
        <v>45646</v>
      </c>
      <c r="F87" s="1">
        <v>45649</v>
      </c>
      <c r="G87" s="1"/>
      <c r="H87" s="1"/>
      <c r="I87" s="1"/>
      <c r="J87" s="1"/>
      <c r="K87" s="2" t="s">
        <v>281</v>
      </c>
      <c r="L87" s="2" t="s">
        <v>1</v>
      </c>
      <c r="M87" s="2" t="s">
        <v>349</v>
      </c>
      <c r="N87" s="2" t="s">
        <v>288</v>
      </c>
      <c r="O87" s="2" t="s">
        <v>301</v>
      </c>
      <c r="P87" s="16" t="s">
        <v>228</v>
      </c>
      <c r="Q87" s="16" t="s">
        <v>432</v>
      </c>
      <c r="R87" s="15" t="s">
        <v>245</v>
      </c>
      <c r="S87" s="15" t="s">
        <v>433</v>
      </c>
      <c r="T87" s="2"/>
      <c r="U87" s="10" t="s">
        <v>350</v>
      </c>
    </row>
    <row r="88" spans="1:21" ht="15">
      <c r="A88" s="1">
        <v>45618</v>
      </c>
      <c r="B88" s="1" t="s">
        <v>0</v>
      </c>
      <c r="C88" s="1">
        <v>45643</v>
      </c>
      <c r="D88" s="1">
        <v>45644</v>
      </c>
      <c r="E88" s="1">
        <v>45646</v>
      </c>
      <c r="F88" s="1">
        <v>45649</v>
      </c>
      <c r="G88" s="1"/>
      <c r="H88" s="1"/>
      <c r="I88" s="1"/>
      <c r="J88" s="1"/>
      <c r="K88" s="2" t="s">
        <v>280</v>
      </c>
      <c r="L88" s="2" t="s">
        <v>1</v>
      </c>
      <c r="M88" s="2" t="s">
        <v>351</v>
      </c>
      <c r="N88" s="2" t="s">
        <v>288</v>
      </c>
      <c r="O88" s="2" t="s">
        <v>301</v>
      </c>
      <c r="P88" s="16" t="s">
        <v>228</v>
      </c>
      <c r="Q88" s="16" t="s">
        <v>432</v>
      </c>
      <c r="R88" s="15" t="s">
        <v>245</v>
      </c>
      <c r="S88" s="15" t="s">
        <v>433</v>
      </c>
      <c r="T88" s="2"/>
      <c r="U88" s="10" t="s">
        <v>350</v>
      </c>
    </row>
    <row r="89" spans="1:21" ht="15">
      <c r="A89" s="1">
        <v>45618</v>
      </c>
      <c r="B89" s="1" t="s">
        <v>0</v>
      </c>
      <c r="C89" s="1">
        <v>45644</v>
      </c>
      <c r="D89" s="1">
        <v>45644</v>
      </c>
      <c r="E89" s="1">
        <v>45646</v>
      </c>
      <c r="F89" s="1">
        <v>45649</v>
      </c>
      <c r="G89" s="1"/>
      <c r="H89" s="1"/>
      <c r="I89" s="1"/>
      <c r="J89" s="1"/>
      <c r="K89" s="2" t="s">
        <v>177</v>
      </c>
      <c r="L89" s="2" t="s">
        <v>1</v>
      </c>
      <c r="M89" s="2" t="s">
        <v>178</v>
      </c>
      <c r="N89" s="2" t="s">
        <v>284</v>
      </c>
      <c r="O89" s="2" t="s">
        <v>0</v>
      </c>
      <c r="P89" s="15" t="s">
        <v>245</v>
      </c>
      <c r="Q89" s="15" t="s">
        <v>433</v>
      </c>
      <c r="R89" s="15" t="s">
        <v>106</v>
      </c>
      <c r="S89" s="15" t="s">
        <v>433</v>
      </c>
      <c r="T89" s="2"/>
      <c r="U89" s="10" t="s">
        <v>0</v>
      </c>
    </row>
    <row r="90" spans="1:21" ht="15">
      <c r="A90" s="1">
        <v>45618</v>
      </c>
      <c r="B90" s="1">
        <v>45639</v>
      </c>
      <c r="C90" s="1">
        <v>45644</v>
      </c>
      <c r="D90" s="1">
        <v>45644</v>
      </c>
      <c r="E90" s="1">
        <v>45646</v>
      </c>
      <c r="F90" s="1">
        <v>45649</v>
      </c>
      <c r="G90" s="1"/>
      <c r="H90" s="1"/>
      <c r="I90" s="1"/>
      <c r="J90" s="1"/>
      <c r="K90" s="10" t="s">
        <v>270</v>
      </c>
      <c r="L90" s="10" t="s">
        <v>1</v>
      </c>
      <c r="M90" s="10" t="s">
        <v>352</v>
      </c>
      <c r="N90" s="2" t="s">
        <v>284</v>
      </c>
      <c r="O90" s="2" t="s">
        <v>0</v>
      </c>
      <c r="P90" s="15" t="s">
        <v>106</v>
      </c>
      <c r="Q90" s="15" t="s">
        <v>433</v>
      </c>
      <c r="R90" s="15" t="s">
        <v>109</v>
      </c>
      <c r="S90" s="15" t="s">
        <v>433</v>
      </c>
      <c r="T90" s="2"/>
      <c r="U90" s="10" t="s">
        <v>353</v>
      </c>
    </row>
    <row r="91" spans="1:21" ht="15">
      <c r="A91" s="1">
        <v>45618</v>
      </c>
      <c r="B91" s="1">
        <v>45638</v>
      </c>
      <c r="C91" s="1">
        <v>45643</v>
      </c>
      <c r="D91" s="1">
        <v>45644</v>
      </c>
      <c r="E91" s="1">
        <v>45646</v>
      </c>
      <c r="F91" s="1">
        <v>45649</v>
      </c>
      <c r="G91" s="1"/>
      <c r="H91" s="1"/>
      <c r="I91" s="1"/>
      <c r="J91" s="1"/>
      <c r="K91" s="2" t="s">
        <v>226</v>
      </c>
      <c r="L91" s="2" t="s">
        <v>1</v>
      </c>
      <c r="M91" s="2" t="s">
        <v>354</v>
      </c>
      <c r="N91" s="2" t="s">
        <v>289</v>
      </c>
      <c r="O91" s="2" t="s">
        <v>300</v>
      </c>
      <c r="P91" s="16" t="s">
        <v>228</v>
      </c>
      <c r="Q91" s="16" t="s">
        <v>432</v>
      </c>
      <c r="R91" s="14" t="s">
        <v>391</v>
      </c>
      <c r="S91" s="14" t="s">
        <v>434</v>
      </c>
      <c r="T91" s="2"/>
      <c r="U91" s="10" t="s">
        <v>355</v>
      </c>
    </row>
    <row r="92" spans="1:21" ht="15">
      <c r="A92" s="1">
        <v>45618</v>
      </c>
      <c r="B92" s="1" t="s">
        <v>0</v>
      </c>
      <c r="C92" s="1">
        <v>45643</v>
      </c>
      <c r="D92" s="1">
        <v>45644</v>
      </c>
      <c r="E92" s="1">
        <v>45646</v>
      </c>
      <c r="F92" s="1">
        <v>45649</v>
      </c>
      <c r="G92" s="1"/>
      <c r="H92" s="1"/>
      <c r="I92" s="1"/>
      <c r="J92" s="1"/>
      <c r="K92" s="2" t="s">
        <v>417</v>
      </c>
      <c r="L92" s="2" t="s">
        <v>1</v>
      </c>
      <c r="M92" s="2" t="s">
        <v>418</v>
      </c>
      <c r="N92" s="2" t="s">
        <v>289</v>
      </c>
      <c r="O92" s="2" t="s">
        <v>0</v>
      </c>
      <c r="P92" s="16" t="s">
        <v>393</v>
      </c>
      <c r="Q92" s="16" t="s">
        <v>432</v>
      </c>
      <c r="R92" s="14" t="s">
        <v>391</v>
      </c>
      <c r="S92" s="14" t="s">
        <v>434</v>
      </c>
      <c r="T92" s="2"/>
      <c r="U92" s="10" t="s">
        <v>0</v>
      </c>
    </row>
    <row r="93" spans="1:21" ht="15">
      <c r="A93" s="1">
        <v>45618</v>
      </c>
      <c r="B93" s="1" t="s">
        <v>0</v>
      </c>
      <c r="C93" s="1">
        <v>45643</v>
      </c>
      <c r="D93" s="1">
        <v>45644</v>
      </c>
      <c r="E93" s="1">
        <v>45646</v>
      </c>
      <c r="F93" s="1">
        <v>45649</v>
      </c>
      <c r="G93" s="1"/>
      <c r="H93" s="1"/>
      <c r="I93" s="1"/>
      <c r="J93" s="1"/>
      <c r="K93" s="2" t="s">
        <v>232</v>
      </c>
      <c r="L93" s="2" t="s">
        <v>1</v>
      </c>
      <c r="M93" s="2" t="s">
        <v>357</v>
      </c>
      <c r="N93" s="2" t="s">
        <v>284</v>
      </c>
      <c r="O93" s="2" t="s">
        <v>300</v>
      </c>
      <c r="P93" s="16" t="s">
        <v>376</v>
      </c>
      <c r="Q93" s="16" t="s">
        <v>432</v>
      </c>
      <c r="R93" s="14" t="s">
        <v>391</v>
      </c>
      <c r="S93" s="14" t="s">
        <v>434</v>
      </c>
      <c r="T93" s="2"/>
      <c r="U93" s="10" t="s">
        <v>323</v>
      </c>
    </row>
    <row r="94" spans="1:21" ht="15">
      <c r="A94" s="1">
        <v>45618</v>
      </c>
      <c r="B94" s="1" t="s">
        <v>0</v>
      </c>
      <c r="C94" s="1">
        <v>45643</v>
      </c>
      <c r="D94" s="1">
        <v>45644</v>
      </c>
      <c r="E94" s="1">
        <v>45646</v>
      </c>
      <c r="F94" s="1">
        <v>45649</v>
      </c>
      <c r="G94" s="1"/>
      <c r="H94" s="1"/>
      <c r="I94" s="1"/>
      <c r="J94" s="1"/>
      <c r="K94" s="2" t="s">
        <v>184</v>
      </c>
      <c r="L94" s="2" t="s">
        <v>1</v>
      </c>
      <c r="M94" s="2" t="s">
        <v>408</v>
      </c>
      <c r="N94" s="2" t="s">
        <v>284</v>
      </c>
      <c r="O94" s="2" t="s">
        <v>298</v>
      </c>
      <c r="P94" s="16" t="s">
        <v>108</v>
      </c>
      <c r="Q94" s="16" t="s">
        <v>432</v>
      </c>
      <c r="R94" s="14" t="s">
        <v>391</v>
      </c>
      <c r="S94" s="14" t="s">
        <v>434</v>
      </c>
      <c r="T94" s="2"/>
      <c r="U94" s="10" t="s">
        <v>409</v>
      </c>
    </row>
    <row r="95" spans="1:21" ht="15">
      <c r="A95" s="1">
        <v>45618</v>
      </c>
      <c r="B95" s="1" t="s">
        <v>0</v>
      </c>
      <c r="C95" s="1">
        <v>45643</v>
      </c>
      <c r="D95" s="1">
        <v>45644</v>
      </c>
      <c r="E95" s="1">
        <v>45646</v>
      </c>
      <c r="F95" s="1">
        <v>45649</v>
      </c>
      <c r="G95" s="1"/>
      <c r="H95" s="1"/>
      <c r="I95" s="1"/>
      <c r="J95" s="1"/>
      <c r="K95" s="2" t="s">
        <v>242</v>
      </c>
      <c r="L95" s="2" t="s">
        <v>1</v>
      </c>
      <c r="M95" s="2" t="s">
        <v>243</v>
      </c>
      <c r="N95" s="2" t="s">
        <v>289</v>
      </c>
      <c r="O95" s="2" t="s">
        <v>300</v>
      </c>
      <c r="P95" s="16" t="s">
        <v>228</v>
      </c>
      <c r="Q95" s="16" t="s">
        <v>432</v>
      </c>
      <c r="R95" s="14" t="s">
        <v>391</v>
      </c>
      <c r="S95" s="14" t="s">
        <v>434</v>
      </c>
      <c r="T95" s="2"/>
      <c r="U95" s="10" t="s">
        <v>361</v>
      </c>
    </row>
    <row r="96" spans="1:21" ht="15">
      <c r="A96" s="1">
        <v>45618</v>
      </c>
      <c r="B96" s="1" t="s">
        <v>0</v>
      </c>
      <c r="C96" s="1">
        <v>45643</v>
      </c>
      <c r="D96" s="1">
        <v>45644</v>
      </c>
      <c r="E96" s="1">
        <v>45646</v>
      </c>
      <c r="F96" s="1">
        <v>45649</v>
      </c>
      <c r="G96" s="1"/>
      <c r="H96" s="1"/>
      <c r="I96" s="1"/>
      <c r="J96" s="1"/>
      <c r="K96" s="2" t="s">
        <v>41</v>
      </c>
      <c r="L96" s="2" t="s">
        <v>1</v>
      </c>
      <c r="M96" s="2" t="s">
        <v>42</v>
      </c>
      <c r="N96" s="2" t="s">
        <v>284</v>
      </c>
      <c r="O96" s="2" t="s">
        <v>300</v>
      </c>
      <c r="P96" s="16" t="s">
        <v>269</v>
      </c>
      <c r="Q96" s="16" t="s">
        <v>432</v>
      </c>
      <c r="R96" s="14" t="s">
        <v>391</v>
      </c>
      <c r="S96" s="14" t="s">
        <v>434</v>
      </c>
      <c r="T96" s="2"/>
      <c r="U96" s="10" t="s">
        <v>43</v>
      </c>
    </row>
    <row r="97" spans="1:21" ht="15">
      <c r="A97" s="1">
        <v>45618</v>
      </c>
      <c r="B97" s="1" t="s">
        <v>0</v>
      </c>
      <c r="C97" s="1">
        <v>45643</v>
      </c>
      <c r="D97" s="1">
        <v>45644</v>
      </c>
      <c r="E97" s="1">
        <v>45646</v>
      </c>
      <c r="F97" s="1">
        <v>45649</v>
      </c>
      <c r="G97" s="1"/>
      <c r="H97" s="1"/>
      <c r="I97" s="1"/>
      <c r="J97" s="1"/>
      <c r="K97" s="2" t="s">
        <v>58</v>
      </c>
      <c r="L97" s="2" t="s">
        <v>1</v>
      </c>
      <c r="M97" s="2" t="s">
        <v>59</v>
      </c>
      <c r="N97" s="2" t="s">
        <v>284</v>
      </c>
      <c r="O97" s="2" t="s">
        <v>300</v>
      </c>
      <c r="P97" s="16" t="s">
        <v>269</v>
      </c>
      <c r="Q97" s="16" t="s">
        <v>432</v>
      </c>
      <c r="R97" s="14" t="s">
        <v>391</v>
      </c>
      <c r="S97" s="14" t="s">
        <v>434</v>
      </c>
      <c r="T97" s="2"/>
      <c r="U97" s="10" t="s">
        <v>60</v>
      </c>
    </row>
    <row r="98" spans="1:21" ht="15">
      <c r="A98" s="1">
        <v>45618</v>
      </c>
      <c r="B98" s="1" t="s">
        <v>0</v>
      </c>
      <c r="C98" s="1">
        <v>45643</v>
      </c>
      <c r="D98" s="1">
        <v>45644</v>
      </c>
      <c r="E98" s="1">
        <v>45646</v>
      </c>
      <c r="F98" s="1">
        <v>45649</v>
      </c>
      <c r="G98" s="1"/>
      <c r="H98" s="1"/>
      <c r="I98" s="1"/>
      <c r="J98" s="1"/>
      <c r="K98" s="10" t="s">
        <v>219</v>
      </c>
      <c r="L98" s="10" t="s">
        <v>1</v>
      </c>
      <c r="M98" s="10" t="s">
        <v>223</v>
      </c>
      <c r="N98" s="2" t="s">
        <v>284</v>
      </c>
      <c r="O98" s="2" t="s">
        <v>300</v>
      </c>
      <c r="P98" s="16" t="s">
        <v>376</v>
      </c>
      <c r="Q98" s="16" t="s">
        <v>432</v>
      </c>
      <c r="R98" s="14" t="s">
        <v>391</v>
      </c>
      <c r="S98" s="14" t="s">
        <v>434</v>
      </c>
      <c r="T98" s="2"/>
      <c r="U98" s="10" t="s">
        <v>363</v>
      </c>
    </row>
    <row r="99" spans="1:21" ht="15">
      <c r="A99" s="1">
        <v>45618</v>
      </c>
      <c r="B99" s="1" t="s">
        <v>0</v>
      </c>
      <c r="C99" s="1">
        <v>45643</v>
      </c>
      <c r="D99" s="1">
        <v>45644</v>
      </c>
      <c r="E99" s="1">
        <v>45646</v>
      </c>
      <c r="F99" s="1">
        <v>45649</v>
      </c>
      <c r="G99" s="1"/>
      <c r="H99" s="1"/>
      <c r="I99" s="1"/>
      <c r="J99" s="1"/>
      <c r="K99" s="2" t="s">
        <v>33</v>
      </c>
      <c r="L99" s="2" t="s">
        <v>1</v>
      </c>
      <c r="M99" s="2" t="s">
        <v>34</v>
      </c>
      <c r="N99" s="2" t="s">
        <v>284</v>
      </c>
      <c r="O99" s="2" t="s">
        <v>0</v>
      </c>
      <c r="P99" s="16" t="s">
        <v>376</v>
      </c>
      <c r="Q99" s="16" t="s">
        <v>432</v>
      </c>
      <c r="R99" s="14" t="s">
        <v>391</v>
      </c>
      <c r="S99" s="14" t="s">
        <v>434</v>
      </c>
      <c r="T99" s="2"/>
      <c r="U99" s="10" t="s">
        <v>30</v>
      </c>
    </row>
    <row r="100" spans="1:21" ht="15">
      <c r="A100" s="1">
        <v>45618</v>
      </c>
      <c r="B100" s="1" t="s">
        <v>0</v>
      </c>
      <c r="C100" s="1">
        <v>45643</v>
      </c>
      <c r="D100" s="1">
        <v>45644</v>
      </c>
      <c r="E100" s="1">
        <v>45646</v>
      </c>
      <c r="F100" s="1">
        <v>45649</v>
      </c>
      <c r="G100" s="1"/>
      <c r="H100" s="1"/>
      <c r="I100" s="1"/>
      <c r="J100" s="1"/>
      <c r="K100" s="2" t="s">
        <v>70</v>
      </c>
      <c r="L100" s="2" t="s">
        <v>1</v>
      </c>
      <c r="M100" s="2" t="s">
        <v>71</v>
      </c>
      <c r="N100" s="2" t="s">
        <v>284</v>
      </c>
      <c r="O100" s="2" t="s">
        <v>0</v>
      </c>
      <c r="P100" s="16" t="s">
        <v>393</v>
      </c>
      <c r="Q100" s="16" t="s">
        <v>432</v>
      </c>
      <c r="R100" s="14" t="s">
        <v>391</v>
      </c>
      <c r="S100" s="14" t="s">
        <v>434</v>
      </c>
      <c r="T100" s="2"/>
      <c r="U100" s="10" t="s">
        <v>72</v>
      </c>
    </row>
    <row r="101" spans="1:21" ht="15">
      <c r="A101" s="1">
        <v>45618</v>
      </c>
      <c r="B101" s="1" t="s">
        <v>0</v>
      </c>
      <c r="C101" s="1">
        <v>45643</v>
      </c>
      <c r="D101" s="1">
        <v>45644</v>
      </c>
      <c r="E101" s="1">
        <v>45646</v>
      </c>
      <c r="F101" s="1">
        <v>45649</v>
      </c>
      <c r="G101" s="1"/>
      <c r="H101" s="1"/>
      <c r="I101" s="1"/>
      <c r="J101" s="1"/>
      <c r="K101" s="10" t="s">
        <v>39</v>
      </c>
      <c r="L101" s="10" t="s">
        <v>1</v>
      </c>
      <c r="M101" s="10" t="s">
        <v>40</v>
      </c>
      <c r="N101" s="2" t="s">
        <v>284</v>
      </c>
      <c r="O101" s="2" t="s">
        <v>300</v>
      </c>
      <c r="P101" s="16" t="s">
        <v>228</v>
      </c>
      <c r="Q101" s="16" t="s">
        <v>432</v>
      </c>
      <c r="R101" s="14" t="s">
        <v>391</v>
      </c>
      <c r="S101" s="14" t="s">
        <v>434</v>
      </c>
      <c r="T101" s="2"/>
      <c r="U101" s="10" t="s">
        <v>0</v>
      </c>
    </row>
    <row r="102" spans="1:21" ht="15">
      <c r="A102" s="1">
        <v>45618</v>
      </c>
      <c r="B102" s="1" t="s">
        <v>0</v>
      </c>
      <c r="C102" s="1">
        <v>45643</v>
      </c>
      <c r="D102" s="1">
        <v>45644</v>
      </c>
      <c r="E102" s="1">
        <v>45646</v>
      </c>
      <c r="F102" s="1">
        <v>45649</v>
      </c>
      <c r="G102" s="1"/>
      <c r="H102" s="1"/>
      <c r="I102" s="1"/>
      <c r="J102" s="1"/>
      <c r="K102" s="2" t="s">
        <v>50</v>
      </c>
      <c r="L102" s="2" t="s">
        <v>1</v>
      </c>
      <c r="M102" s="2" t="s">
        <v>51</v>
      </c>
      <c r="N102" s="2" t="s">
        <v>284</v>
      </c>
      <c r="O102" s="2" t="s">
        <v>0</v>
      </c>
      <c r="P102" s="16" t="s">
        <v>393</v>
      </c>
      <c r="Q102" s="16" t="s">
        <v>432</v>
      </c>
      <c r="R102" s="14" t="s">
        <v>391</v>
      </c>
      <c r="S102" s="14" t="s">
        <v>434</v>
      </c>
      <c r="T102" s="2"/>
      <c r="U102" s="10" t="s">
        <v>36</v>
      </c>
    </row>
    <row r="103" spans="1:21" ht="15">
      <c r="A103" s="1">
        <v>45618</v>
      </c>
      <c r="B103" s="1" t="s">
        <v>0</v>
      </c>
      <c r="C103" s="1">
        <v>45644</v>
      </c>
      <c r="D103" s="1">
        <v>45644</v>
      </c>
      <c r="E103" s="1">
        <v>45646</v>
      </c>
      <c r="F103" s="1">
        <v>45649</v>
      </c>
      <c r="G103" s="1"/>
      <c r="H103" s="1"/>
      <c r="I103" s="1"/>
      <c r="J103" s="1"/>
      <c r="K103" s="2" t="s">
        <v>390</v>
      </c>
      <c r="L103" s="2" t="s">
        <v>1</v>
      </c>
      <c r="M103" s="2" t="s">
        <v>29</v>
      </c>
      <c r="N103" s="2" t="s">
        <v>284</v>
      </c>
      <c r="O103" s="2" t="s">
        <v>0</v>
      </c>
      <c r="P103" s="16" t="s">
        <v>228</v>
      </c>
      <c r="Q103" s="16" t="s">
        <v>432</v>
      </c>
      <c r="R103" s="14" t="s">
        <v>391</v>
      </c>
      <c r="S103" s="14" t="s">
        <v>434</v>
      </c>
      <c r="T103" s="2"/>
      <c r="U103" s="10" t="s">
        <v>364</v>
      </c>
    </row>
    <row r="104" spans="1:21" ht="15">
      <c r="A104" s="1">
        <v>45618</v>
      </c>
      <c r="B104" s="1" t="s">
        <v>0</v>
      </c>
      <c r="C104" s="1">
        <v>45643</v>
      </c>
      <c r="D104" s="1">
        <v>45644</v>
      </c>
      <c r="E104" s="1">
        <v>45646</v>
      </c>
      <c r="F104" s="1">
        <v>45649</v>
      </c>
      <c r="G104" s="1">
        <v>45650</v>
      </c>
      <c r="H104" s="1"/>
      <c r="I104" s="1"/>
      <c r="J104" s="1"/>
      <c r="K104" s="2" t="s">
        <v>388</v>
      </c>
      <c r="L104" s="2" t="s">
        <v>1</v>
      </c>
      <c r="M104" s="2" t="s">
        <v>389</v>
      </c>
      <c r="N104" s="2" t="s">
        <v>284</v>
      </c>
      <c r="O104" s="2" t="s">
        <v>0</v>
      </c>
      <c r="P104" s="16" t="s">
        <v>228</v>
      </c>
      <c r="Q104" s="16" t="s">
        <v>432</v>
      </c>
      <c r="R104" s="14" t="s">
        <v>391</v>
      </c>
      <c r="S104" s="14" t="s">
        <v>434</v>
      </c>
      <c r="T104" s="2"/>
      <c r="U104" s="10" t="s">
        <v>364</v>
      </c>
    </row>
    <row r="105" spans="1:21" ht="15">
      <c r="A105" s="1">
        <v>45618</v>
      </c>
      <c r="B105" s="1" t="s">
        <v>0</v>
      </c>
      <c r="C105" s="1">
        <v>45643</v>
      </c>
      <c r="D105" s="1">
        <v>45644</v>
      </c>
      <c r="E105" s="1">
        <v>45646</v>
      </c>
      <c r="F105" s="1">
        <v>45649</v>
      </c>
      <c r="G105" s="1"/>
      <c r="H105" s="1"/>
      <c r="I105" s="1"/>
      <c r="J105" s="1"/>
      <c r="K105" s="2" t="s">
        <v>67</v>
      </c>
      <c r="L105" s="2" t="s">
        <v>1</v>
      </c>
      <c r="M105" s="2" t="s">
        <v>68</v>
      </c>
      <c r="N105" s="2" t="s">
        <v>284</v>
      </c>
      <c r="O105" s="2" t="s">
        <v>0</v>
      </c>
      <c r="P105" s="16" t="s">
        <v>393</v>
      </c>
      <c r="Q105" s="16" t="s">
        <v>432</v>
      </c>
      <c r="R105" s="14" t="s">
        <v>391</v>
      </c>
      <c r="S105" s="14" t="s">
        <v>434</v>
      </c>
      <c r="T105" s="2"/>
      <c r="U105" s="10" t="s">
        <v>69</v>
      </c>
    </row>
    <row r="106" spans="1:21" ht="15">
      <c r="A106" s="1">
        <v>45618</v>
      </c>
      <c r="B106" s="1" t="s">
        <v>0</v>
      </c>
      <c r="C106" s="1">
        <v>45643</v>
      </c>
      <c r="D106" s="1">
        <v>45644</v>
      </c>
      <c r="E106" s="1">
        <v>45646</v>
      </c>
      <c r="F106" s="1">
        <v>45649</v>
      </c>
      <c r="G106" s="1"/>
      <c r="H106" s="1"/>
      <c r="I106" s="1"/>
      <c r="J106" s="1"/>
      <c r="K106" s="10" t="s">
        <v>31</v>
      </c>
      <c r="L106" s="2" t="s">
        <v>1</v>
      </c>
      <c r="M106" s="10" t="s">
        <v>32</v>
      </c>
      <c r="N106" s="2" t="s">
        <v>294</v>
      </c>
      <c r="O106" s="2" t="s">
        <v>0</v>
      </c>
      <c r="P106" s="16" t="s">
        <v>392</v>
      </c>
      <c r="Q106" s="16" t="s">
        <v>432</v>
      </c>
      <c r="R106" s="14" t="s">
        <v>391</v>
      </c>
      <c r="S106" s="14" t="s">
        <v>434</v>
      </c>
      <c r="T106" s="2"/>
      <c r="U106" s="10" t="s">
        <v>0</v>
      </c>
    </row>
    <row r="107" spans="1:21" ht="15">
      <c r="A107" s="1">
        <v>45618</v>
      </c>
      <c r="B107" s="1" t="s">
        <v>0</v>
      </c>
      <c r="C107" s="1">
        <v>45643</v>
      </c>
      <c r="D107" s="1">
        <v>45644</v>
      </c>
      <c r="E107" s="1">
        <v>45646</v>
      </c>
      <c r="F107" s="1">
        <v>45649</v>
      </c>
      <c r="G107" s="1"/>
      <c r="H107" s="1"/>
      <c r="I107" s="1"/>
      <c r="J107" s="1"/>
      <c r="K107" s="10" t="s">
        <v>24</v>
      </c>
      <c r="L107" s="2" t="s">
        <v>1</v>
      </c>
      <c r="M107" s="10" t="s">
        <v>25</v>
      </c>
      <c r="N107" s="2" t="s">
        <v>284</v>
      </c>
      <c r="O107" s="2" t="s">
        <v>300</v>
      </c>
      <c r="P107" s="16" t="s">
        <v>392</v>
      </c>
      <c r="Q107" s="16" t="s">
        <v>432</v>
      </c>
      <c r="R107" s="14" t="s">
        <v>391</v>
      </c>
      <c r="S107" s="14" t="s">
        <v>434</v>
      </c>
      <c r="T107" s="2"/>
      <c r="U107" s="10" t="s">
        <v>26</v>
      </c>
    </row>
    <row r="108" spans="1:21" ht="15">
      <c r="A108" s="1">
        <v>45618</v>
      </c>
      <c r="B108" s="1" t="s">
        <v>0</v>
      </c>
      <c r="C108" s="1">
        <v>45643</v>
      </c>
      <c r="D108" s="1">
        <v>45644</v>
      </c>
      <c r="E108" s="1">
        <v>45646</v>
      </c>
      <c r="F108" s="1">
        <v>45649</v>
      </c>
      <c r="G108" s="1"/>
      <c r="H108" s="1"/>
      <c r="I108" s="1"/>
      <c r="J108" s="1"/>
      <c r="K108" s="2" t="s">
        <v>202</v>
      </c>
      <c r="L108" s="2" t="s">
        <v>1</v>
      </c>
      <c r="M108" s="2" t="s">
        <v>172</v>
      </c>
      <c r="N108" s="2" t="s">
        <v>284</v>
      </c>
      <c r="O108" s="2" t="s">
        <v>0</v>
      </c>
      <c r="P108" s="16" t="s">
        <v>109</v>
      </c>
      <c r="Q108" s="16" t="s">
        <v>432</v>
      </c>
      <c r="R108" s="15" t="s">
        <v>106</v>
      </c>
      <c r="S108" s="15" t="s">
        <v>433</v>
      </c>
      <c r="T108" s="2"/>
      <c r="U108" s="10" t="s">
        <v>0</v>
      </c>
    </row>
    <row r="109" spans="1:21" ht="15">
      <c r="A109" s="1">
        <v>45618</v>
      </c>
      <c r="B109" s="1" t="s">
        <v>0</v>
      </c>
      <c r="C109" s="1">
        <v>45643</v>
      </c>
      <c r="D109" s="1">
        <v>45644</v>
      </c>
      <c r="E109" s="1">
        <v>45646</v>
      </c>
      <c r="F109" s="1">
        <v>45649</v>
      </c>
      <c r="G109" s="1"/>
      <c r="H109" s="1"/>
      <c r="I109" s="1"/>
      <c r="J109" s="1"/>
      <c r="K109" s="2" t="s">
        <v>92</v>
      </c>
      <c r="L109" s="2" t="s">
        <v>1</v>
      </c>
      <c r="M109" s="2" t="s">
        <v>368</v>
      </c>
      <c r="N109" s="2" t="s">
        <v>92</v>
      </c>
      <c r="O109" s="2" t="s">
        <v>0</v>
      </c>
      <c r="P109" s="16" t="s">
        <v>228</v>
      </c>
      <c r="Q109" s="16" t="s">
        <v>432</v>
      </c>
      <c r="R109" s="14" t="s">
        <v>391</v>
      </c>
      <c r="S109" s="14" t="s">
        <v>434</v>
      </c>
      <c r="T109" s="2"/>
      <c r="U109" s="10" t="s">
        <v>94</v>
      </c>
    </row>
    <row r="110" spans="1:21" ht="15">
      <c r="A110" s="1">
        <v>45618</v>
      </c>
      <c r="B110" s="1" t="s">
        <v>0</v>
      </c>
      <c r="C110" s="1">
        <v>45643</v>
      </c>
      <c r="D110" s="1">
        <v>45644</v>
      </c>
      <c r="E110" s="1">
        <v>45646</v>
      </c>
      <c r="F110" s="1">
        <v>45649</v>
      </c>
      <c r="G110" s="1"/>
      <c r="H110" s="1"/>
      <c r="I110" s="1"/>
      <c r="J110" s="1"/>
      <c r="K110" s="2" t="s">
        <v>218</v>
      </c>
      <c r="L110" s="2" t="s">
        <v>1</v>
      </c>
      <c r="M110" s="2" t="s">
        <v>222</v>
      </c>
      <c r="N110" s="2" t="s">
        <v>289</v>
      </c>
      <c r="O110" s="2" t="s">
        <v>300</v>
      </c>
      <c r="P110" s="16" t="s">
        <v>376</v>
      </c>
      <c r="Q110" s="16" t="s">
        <v>432</v>
      </c>
      <c r="R110" s="14" t="s">
        <v>391</v>
      </c>
      <c r="S110" s="14" t="s">
        <v>434</v>
      </c>
      <c r="T110" s="2"/>
      <c r="U110" s="10" t="s">
        <v>363</v>
      </c>
    </row>
    <row r="111" spans="1:21" ht="15">
      <c r="A111" s="19">
        <v>45618</v>
      </c>
      <c r="B111" s="19" t="s">
        <v>0</v>
      </c>
      <c r="C111" s="19">
        <v>45643</v>
      </c>
      <c r="D111" s="19">
        <v>45644</v>
      </c>
      <c r="E111" s="19">
        <v>45646</v>
      </c>
      <c r="F111" s="19">
        <v>45649</v>
      </c>
      <c r="G111" s="19"/>
      <c r="H111" s="19"/>
      <c r="I111" s="19"/>
      <c r="J111" s="19"/>
      <c r="K111" s="20" t="s">
        <v>422</v>
      </c>
      <c r="L111" s="20" t="s">
        <v>1</v>
      </c>
      <c r="M111" s="20" t="s">
        <v>423</v>
      </c>
      <c r="N111" s="20" t="s">
        <v>431</v>
      </c>
      <c r="O111" s="20" t="s">
        <v>0</v>
      </c>
      <c r="P111" s="16" t="s">
        <v>406</v>
      </c>
      <c r="Q111" s="16" t="s">
        <v>432</v>
      </c>
      <c r="R111" s="14" t="s">
        <v>391</v>
      </c>
      <c r="S111" s="14" t="s">
        <v>434</v>
      </c>
      <c r="T111" s="2"/>
      <c r="U111" s="10" t="s">
        <v>0</v>
      </c>
    </row>
    <row r="112" spans="1:21" ht="15">
      <c r="A112" s="19">
        <v>45618</v>
      </c>
      <c r="B112" s="19" t="s">
        <v>0</v>
      </c>
      <c r="C112" s="19">
        <v>45643</v>
      </c>
      <c r="D112" s="19">
        <v>45644</v>
      </c>
      <c r="E112" s="19">
        <v>45646</v>
      </c>
      <c r="F112" s="19">
        <v>45649</v>
      </c>
      <c r="G112" s="19"/>
      <c r="H112" s="19"/>
      <c r="I112" s="19"/>
      <c r="J112" s="19"/>
      <c r="K112" s="20" t="s">
        <v>426</v>
      </c>
      <c r="L112" s="20" t="s">
        <v>1</v>
      </c>
      <c r="M112" s="20" t="s">
        <v>427</v>
      </c>
      <c r="N112" s="20" t="s">
        <v>431</v>
      </c>
      <c r="O112" s="20" t="s">
        <v>0</v>
      </c>
      <c r="P112" s="16" t="s">
        <v>406</v>
      </c>
      <c r="Q112" s="16" t="s">
        <v>432</v>
      </c>
      <c r="R112" s="14" t="s">
        <v>391</v>
      </c>
      <c r="S112" s="14" t="s">
        <v>434</v>
      </c>
      <c r="T112" s="2"/>
      <c r="U112" s="10" t="s">
        <v>0</v>
      </c>
    </row>
    <row r="113" spans="1:21" ht="15">
      <c r="A113" s="19">
        <v>45618</v>
      </c>
      <c r="B113" s="19" t="s">
        <v>0</v>
      </c>
      <c r="C113" s="19">
        <v>45643</v>
      </c>
      <c r="D113" s="19">
        <v>45644</v>
      </c>
      <c r="E113" s="19">
        <v>45646</v>
      </c>
      <c r="F113" s="19">
        <v>45649</v>
      </c>
      <c r="G113" s="19"/>
      <c r="H113" s="19"/>
      <c r="I113" s="19"/>
      <c r="J113" s="19"/>
      <c r="K113" s="20" t="s">
        <v>439</v>
      </c>
      <c r="L113" s="20" t="s">
        <v>1</v>
      </c>
      <c r="M113" s="20" t="s">
        <v>440</v>
      </c>
      <c r="N113" s="20" t="s">
        <v>431</v>
      </c>
      <c r="O113" s="20" t="s">
        <v>0</v>
      </c>
      <c r="P113" s="16" t="s">
        <v>406</v>
      </c>
      <c r="Q113" s="16" t="s">
        <v>432</v>
      </c>
      <c r="R113" s="14" t="s">
        <v>391</v>
      </c>
      <c r="S113" s="14" t="s">
        <v>434</v>
      </c>
      <c r="T113" s="2"/>
      <c r="U113" s="10" t="s">
        <v>0</v>
      </c>
    </row>
    <row r="114" spans="1:21" ht="15">
      <c r="A114" s="19">
        <v>45618</v>
      </c>
      <c r="B114" s="19" t="s">
        <v>0</v>
      </c>
      <c r="C114" s="19">
        <v>45643</v>
      </c>
      <c r="D114" s="19">
        <v>45644</v>
      </c>
      <c r="E114" s="19">
        <v>45646</v>
      </c>
      <c r="F114" s="19">
        <v>45649</v>
      </c>
      <c r="G114" s="19"/>
      <c r="H114" s="19"/>
      <c r="I114" s="19"/>
      <c r="J114" s="19"/>
      <c r="K114" s="20" t="s">
        <v>441</v>
      </c>
      <c r="L114" s="20" t="s">
        <v>1</v>
      </c>
      <c r="M114" s="20" t="s">
        <v>442</v>
      </c>
      <c r="N114" s="20" t="s">
        <v>431</v>
      </c>
      <c r="O114" s="20" t="s">
        <v>0</v>
      </c>
      <c r="P114" s="16" t="s">
        <v>115</v>
      </c>
      <c r="Q114" s="16" t="s">
        <v>432</v>
      </c>
      <c r="R114" s="14" t="s">
        <v>391</v>
      </c>
      <c r="S114" s="14" t="s">
        <v>434</v>
      </c>
      <c r="T114" s="2"/>
      <c r="U114" s="10" t="s">
        <v>0</v>
      </c>
    </row>
    <row r="115" spans="1:21" ht="15">
      <c r="A115" s="21">
        <v>45618</v>
      </c>
      <c r="B115" s="21" t="s">
        <v>0</v>
      </c>
      <c r="C115" s="21">
        <v>45643</v>
      </c>
      <c r="D115" s="21">
        <v>45644</v>
      </c>
      <c r="E115" s="21">
        <v>45646</v>
      </c>
      <c r="F115" s="21">
        <v>45649</v>
      </c>
      <c r="G115" s="21"/>
      <c r="H115" s="21"/>
      <c r="I115" s="21"/>
      <c r="J115" s="21"/>
      <c r="K115" s="22" t="s">
        <v>443</v>
      </c>
      <c r="L115" s="22" t="s">
        <v>1</v>
      </c>
      <c r="M115" s="22" t="s">
        <v>444</v>
      </c>
      <c r="N115" s="22" t="s">
        <v>284</v>
      </c>
      <c r="O115" s="22" t="s">
        <v>0</v>
      </c>
      <c r="P115" s="16" t="s">
        <v>393</v>
      </c>
      <c r="Q115" s="16" t="s">
        <v>432</v>
      </c>
      <c r="R115" s="14" t="s">
        <v>391</v>
      </c>
      <c r="S115" s="14" t="s">
        <v>434</v>
      </c>
      <c r="T115" s="2"/>
      <c r="U115" s="10" t="s">
        <v>0</v>
      </c>
    </row>
    <row r="116" spans="1:21" ht="15">
      <c r="A116" s="21">
        <v>45618</v>
      </c>
      <c r="B116" s="21" t="s">
        <v>0</v>
      </c>
      <c r="C116" s="21">
        <v>45643</v>
      </c>
      <c r="D116" s="21">
        <v>45644</v>
      </c>
      <c r="E116" s="21">
        <v>45646</v>
      </c>
      <c r="F116" s="21">
        <v>45649</v>
      </c>
      <c r="G116" s="21"/>
      <c r="H116" s="21"/>
      <c r="I116" s="21"/>
      <c r="J116" s="21"/>
      <c r="K116" s="22" t="s">
        <v>447</v>
      </c>
      <c r="L116" s="22" t="s">
        <v>1</v>
      </c>
      <c r="M116" s="22" t="s">
        <v>448</v>
      </c>
      <c r="N116" s="22"/>
      <c r="O116" s="22"/>
      <c r="P116" s="23" t="s">
        <v>449</v>
      </c>
      <c r="Q116" s="23"/>
      <c r="R116" s="23"/>
      <c r="S116" s="23"/>
      <c r="T116" s="2"/>
      <c r="U116" s="10"/>
    </row>
    <row r="117" spans="1:21" ht="15">
      <c r="A117" s="1">
        <v>45618</v>
      </c>
      <c r="B117" s="1" t="s">
        <v>0</v>
      </c>
      <c r="C117" s="1">
        <v>45643</v>
      </c>
      <c r="D117" s="1">
        <v>45644</v>
      </c>
      <c r="E117" s="1">
        <v>45646</v>
      </c>
      <c r="F117" s="1">
        <v>45649</v>
      </c>
      <c r="G117" s="1"/>
      <c r="H117" s="1"/>
      <c r="I117" s="1"/>
      <c r="J117" s="1"/>
      <c r="K117" s="10" t="s">
        <v>377</v>
      </c>
      <c r="L117" s="2" t="s">
        <v>1</v>
      </c>
      <c r="M117" s="10" t="s">
        <v>378</v>
      </c>
      <c r="N117" s="2" t="s">
        <v>377</v>
      </c>
      <c r="O117" s="2" t="s">
        <v>299</v>
      </c>
      <c r="P117" s="16" t="s">
        <v>269</v>
      </c>
      <c r="Q117" s="16" t="s">
        <v>432</v>
      </c>
      <c r="R117" s="14" t="s">
        <v>391</v>
      </c>
      <c r="S117" s="14" t="s">
        <v>434</v>
      </c>
      <c r="T117" s="2"/>
      <c r="U117" s="10" t="s">
        <v>0</v>
      </c>
    </row>
    <row r="118" spans="1:21" ht="15">
      <c r="A118" s="1">
        <v>45618</v>
      </c>
      <c r="B118" s="1" t="s">
        <v>0</v>
      </c>
      <c r="C118" s="1">
        <v>45643</v>
      </c>
      <c r="D118" s="1">
        <v>45644</v>
      </c>
      <c r="E118" s="1">
        <v>45646</v>
      </c>
      <c r="F118" s="1">
        <v>45649</v>
      </c>
      <c r="G118" s="1"/>
      <c r="H118" s="1"/>
      <c r="I118" s="1"/>
      <c r="J118" s="1"/>
      <c r="K118" s="2" t="s">
        <v>379</v>
      </c>
      <c r="L118" s="2" t="s">
        <v>1</v>
      </c>
      <c r="M118" s="2" t="s">
        <v>380</v>
      </c>
      <c r="N118" s="2" t="s">
        <v>284</v>
      </c>
      <c r="O118" s="2" t="s">
        <v>0</v>
      </c>
      <c r="P118" s="16" t="s">
        <v>228</v>
      </c>
      <c r="Q118" s="16" t="s">
        <v>432</v>
      </c>
      <c r="R118" s="14" t="s">
        <v>391</v>
      </c>
      <c r="S118" s="14" t="s">
        <v>434</v>
      </c>
      <c r="T118" s="2"/>
      <c r="U118" s="10" t="s">
        <v>0</v>
      </c>
    </row>
    <row r="119" spans="1:21" ht="15">
      <c r="A119" s="1">
        <v>45618</v>
      </c>
      <c r="B119" s="1" t="s">
        <v>0</v>
      </c>
      <c r="C119" s="1">
        <v>45642</v>
      </c>
      <c r="D119" s="1">
        <v>45644</v>
      </c>
      <c r="E119" s="1">
        <v>45650</v>
      </c>
      <c r="F119" s="1">
        <v>45653</v>
      </c>
      <c r="G119" s="1"/>
      <c r="H119" s="1"/>
      <c r="I119" s="1"/>
      <c r="J119" s="1"/>
      <c r="K119" s="2" t="s">
        <v>147</v>
      </c>
      <c r="L119" s="2" t="s">
        <v>1</v>
      </c>
      <c r="M119" s="2" t="s">
        <v>148</v>
      </c>
      <c r="N119" s="2" t="s">
        <v>284</v>
      </c>
      <c r="O119" s="2" t="s">
        <v>300</v>
      </c>
      <c r="P119" s="16" t="s">
        <v>228</v>
      </c>
      <c r="Q119" s="16" t="s">
        <v>432</v>
      </c>
      <c r="R119" s="14" t="s">
        <v>391</v>
      </c>
      <c r="S119" s="14" t="s">
        <v>434</v>
      </c>
      <c r="T119" s="2"/>
      <c r="U119" s="10" t="s">
        <v>0</v>
      </c>
    </row>
    <row r="120" spans="1:21" ht="15">
      <c r="A120" s="1">
        <v>45618</v>
      </c>
      <c r="B120" s="1" t="s">
        <v>0</v>
      </c>
      <c r="C120" s="1">
        <v>45642</v>
      </c>
      <c r="D120" s="1">
        <v>45644</v>
      </c>
      <c r="E120" s="1">
        <v>45650</v>
      </c>
      <c r="F120" s="1">
        <v>45653</v>
      </c>
      <c r="G120" s="1"/>
      <c r="H120" s="1"/>
      <c r="I120" s="1"/>
      <c r="J120" s="1"/>
      <c r="K120" s="10" t="s">
        <v>149</v>
      </c>
      <c r="L120" s="2" t="s">
        <v>1</v>
      </c>
      <c r="M120" s="10" t="s">
        <v>150</v>
      </c>
      <c r="N120" s="2" t="s">
        <v>284</v>
      </c>
      <c r="O120" s="2" t="s">
        <v>300</v>
      </c>
      <c r="P120" s="16" t="s">
        <v>228</v>
      </c>
      <c r="Q120" s="16" t="s">
        <v>432</v>
      </c>
      <c r="R120" s="14" t="s">
        <v>391</v>
      </c>
      <c r="S120" s="14" t="s">
        <v>434</v>
      </c>
      <c r="T120" s="2"/>
      <c r="U120" s="10" t="s">
        <v>0</v>
      </c>
    </row>
    <row r="121" spans="1:21" ht="15">
      <c r="A121" s="1">
        <v>45644</v>
      </c>
      <c r="B121" s="1" t="s">
        <v>0</v>
      </c>
      <c r="C121" s="1">
        <v>45646</v>
      </c>
      <c r="D121" s="1">
        <v>45649</v>
      </c>
      <c r="E121" s="1">
        <v>45653</v>
      </c>
      <c r="F121" s="1">
        <v>45656</v>
      </c>
      <c r="G121" s="1"/>
      <c r="H121" s="1"/>
      <c r="I121" s="1"/>
      <c r="J121" s="1"/>
      <c r="K121" s="2" t="s">
        <v>128</v>
      </c>
      <c r="L121" s="2" t="s">
        <v>1</v>
      </c>
      <c r="M121" s="2" t="s">
        <v>225</v>
      </c>
      <c r="N121" s="2" t="s">
        <v>284</v>
      </c>
      <c r="O121" s="2" t="s">
        <v>0</v>
      </c>
      <c r="P121" s="16" t="s">
        <v>115</v>
      </c>
      <c r="Q121" s="16" t="s">
        <v>432</v>
      </c>
      <c r="R121" s="15" t="s">
        <v>109</v>
      </c>
      <c r="S121" s="15" t="s">
        <v>433</v>
      </c>
      <c r="T121" s="2"/>
      <c r="U121" s="10" t="s">
        <v>0</v>
      </c>
    </row>
    <row r="122" spans="1:21" ht="15">
      <c r="A122" s="1">
        <v>45618</v>
      </c>
      <c r="B122" s="1" t="s">
        <v>0</v>
      </c>
      <c r="C122" s="1">
        <v>45650</v>
      </c>
      <c r="D122" s="1">
        <v>45653</v>
      </c>
      <c r="E122" s="1">
        <v>45657</v>
      </c>
      <c r="F122" s="1">
        <v>45659</v>
      </c>
      <c r="G122" s="1"/>
      <c r="H122" s="1"/>
      <c r="I122" s="1"/>
      <c r="J122" s="1"/>
      <c r="K122" s="2" t="s">
        <v>428</v>
      </c>
      <c r="L122" s="2" t="s">
        <v>1</v>
      </c>
      <c r="M122" s="2" t="s">
        <v>429</v>
      </c>
      <c r="N122" s="2" t="s">
        <v>284</v>
      </c>
      <c r="O122" s="2" t="s">
        <v>430</v>
      </c>
      <c r="P122" s="16" t="s">
        <v>376</v>
      </c>
      <c r="Q122" s="16" t="s">
        <v>432</v>
      </c>
      <c r="R122" s="14" t="s">
        <v>391</v>
      </c>
      <c r="S122" s="14" t="s">
        <v>434</v>
      </c>
      <c r="T122" s="2"/>
      <c r="U122" s="10" t="s">
        <v>0</v>
      </c>
    </row>
    <row r="123" spans="1:21" ht="15">
      <c r="A123" s="1">
        <v>45618</v>
      </c>
      <c r="B123" s="1"/>
      <c r="C123" s="1">
        <v>45650</v>
      </c>
      <c r="D123" s="1">
        <v>45653</v>
      </c>
      <c r="E123" s="1">
        <v>45657</v>
      </c>
      <c r="F123" s="1">
        <v>45659</v>
      </c>
      <c r="G123" s="1">
        <v>45660</v>
      </c>
      <c r="H123" s="1">
        <v>45663</v>
      </c>
      <c r="I123" s="1">
        <v>45664</v>
      </c>
      <c r="J123" s="1">
        <v>45665</v>
      </c>
      <c r="K123" s="10" t="s">
        <v>272</v>
      </c>
      <c r="L123" s="2" t="s">
        <v>1</v>
      </c>
      <c r="M123" s="10" t="s">
        <v>369</v>
      </c>
      <c r="N123" s="2" t="s">
        <v>284</v>
      </c>
      <c r="O123" s="2" t="s">
        <v>370</v>
      </c>
      <c r="P123" s="16" t="s">
        <v>269</v>
      </c>
      <c r="Q123" s="16" t="s">
        <v>432</v>
      </c>
      <c r="R123" s="14" t="s">
        <v>391</v>
      </c>
      <c r="S123" s="14" t="s">
        <v>434</v>
      </c>
      <c r="T123" s="2"/>
      <c r="U123" s="10" t="s">
        <v>137</v>
      </c>
    </row>
    <row r="124" spans="1:21" ht="15">
      <c r="A124" s="21">
        <v>45618</v>
      </c>
      <c r="B124" s="21"/>
      <c r="C124" s="21">
        <v>45650</v>
      </c>
      <c r="D124" s="21">
        <v>45653</v>
      </c>
      <c r="E124" s="21">
        <v>45657</v>
      </c>
      <c r="F124" s="21">
        <v>45659</v>
      </c>
      <c r="G124" s="21">
        <v>45660</v>
      </c>
      <c r="H124" s="21">
        <v>45663</v>
      </c>
      <c r="I124" s="21">
        <v>45664</v>
      </c>
      <c r="J124" s="21">
        <v>45665</v>
      </c>
      <c r="K124" s="24" t="s">
        <v>446</v>
      </c>
      <c r="L124" s="22" t="s">
        <v>1</v>
      </c>
      <c r="M124" s="24" t="s">
        <v>445</v>
      </c>
      <c r="N124" s="22"/>
      <c r="O124" s="22"/>
      <c r="P124" s="23" t="s">
        <v>449</v>
      </c>
      <c r="Q124" s="23"/>
      <c r="R124" s="23"/>
      <c r="S124" s="23"/>
      <c r="T124" s="2"/>
      <c r="U124" s="10"/>
    </row>
    <row r="125" spans="1:21" ht="15">
      <c r="A125" s="1">
        <v>45625</v>
      </c>
      <c r="B125" s="1" t="s">
        <v>0</v>
      </c>
      <c r="C125" s="1">
        <v>45653</v>
      </c>
      <c r="D125" s="1">
        <v>45653</v>
      </c>
      <c r="E125" s="1">
        <v>45657</v>
      </c>
      <c r="F125" s="1">
        <v>45659</v>
      </c>
      <c r="G125" s="1"/>
      <c r="H125" s="1"/>
      <c r="I125" s="1"/>
      <c r="J125" s="1"/>
      <c r="K125" s="10" t="s">
        <v>129</v>
      </c>
      <c r="L125" s="2" t="s">
        <v>1</v>
      </c>
      <c r="M125" s="10" t="s">
        <v>130</v>
      </c>
      <c r="N125" s="2" t="s">
        <v>294</v>
      </c>
      <c r="O125" s="2" t="s">
        <v>0</v>
      </c>
      <c r="P125" s="16" t="s">
        <v>376</v>
      </c>
      <c r="Q125" s="16" t="s">
        <v>432</v>
      </c>
      <c r="R125" s="15" t="s">
        <v>109</v>
      </c>
      <c r="S125" s="15" t="s">
        <v>433</v>
      </c>
      <c r="T125" s="2"/>
      <c r="U125" s="10" t="s">
        <v>371</v>
      </c>
    </row>
    <row r="130" spans="1:13" ht="16.5">
      <c r="A130" s="6" t="s">
        <v>111</v>
      </c>
      <c r="L130" s="18"/>
    </row>
    <row r="131" spans="1:13">
      <c r="A131" s="2" t="s">
        <v>112</v>
      </c>
      <c r="B131" s="2" cm="1">
        <f t="array" ref="B131">SUMPRODUCT(LEN(TRIM(K2:K125))-LEN(SUBSTITUTE(K2:K125," ",""))+1)</f>
        <v>179</v>
      </c>
    </row>
    <row r="133" spans="1:13">
      <c r="A133" s="2"/>
      <c r="B133" s="2" t="s">
        <v>106</v>
      </c>
      <c r="C133" s="2" t="s">
        <v>109</v>
      </c>
      <c r="D133" s="2" t="s">
        <v>115</v>
      </c>
      <c r="E133" s="2" t="s">
        <v>108</v>
      </c>
      <c r="F133" s="2" t="s">
        <v>228</v>
      </c>
      <c r="G133" s="2" t="s">
        <v>245</v>
      </c>
      <c r="H133" s="2" t="s">
        <v>269</v>
      </c>
      <c r="I133" s="2" t="s">
        <v>376</v>
      </c>
      <c r="J133" s="2" t="s">
        <v>392</v>
      </c>
      <c r="K133" s="2" t="s">
        <v>393</v>
      </c>
      <c r="L133" s="2" t="s">
        <v>406</v>
      </c>
      <c r="M133" s="2" t="s">
        <v>391</v>
      </c>
    </row>
    <row r="134" spans="1:13">
      <c r="A134" s="2" t="s">
        <v>112</v>
      </c>
      <c r="B134" s="2">
        <f t="shared" ref="B134:M134" si="0">COUNTIF($P2:$P125,B133)+COUNTIF($R2:$R125,B133)</f>
        <v>9</v>
      </c>
      <c r="C134" s="2">
        <f t="shared" si="0"/>
        <v>12</v>
      </c>
      <c r="D134" s="2">
        <f t="shared" si="0"/>
        <v>7</v>
      </c>
      <c r="E134" s="2">
        <f t="shared" si="0"/>
        <v>10</v>
      </c>
      <c r="F134" s="2">
        <f t="shared" si="0"/>
        <v>18</v>
      </c>
      <c r="G134" s="2">
        <f t="shared" si="0"/>
        <v>19</v>
      </c>
      <c r="H134" s="2">
        <f t="shared" si="0"/>
        <v>18</v>
      </c>
      <c r="I134" s="2">
        <f t="shared" si="0"/>
        <v>17</v>
      </c>
      <c r="J134" s="2">
        <f t="shared" si="0"/>
        <v>16</v>
      </c>
      <c r="K134" s="2">
        <f t="shared" si="0"/>
        <v>18</v>
      </c>
      <c r="L134" s="2">
        <f t="shared" si="0"/>
        <v>5</v>
      </c>
      <c r="M134" s="2">
        <f t="shared" si="0"/>
        <v>95</v>
      </c>
    </row>
  </sheetData>
  <autoFilter ref="A1:U134" xr:uid="{231E81BD-6189-4E12-9764-F8BE65BFF481}"/>
  <phoneticPr fontId="28" type="noConversion"/>
  <conditionalFormatting sqref="A22:A125">
    <cfRule type="expression" dxfId="11" priority="46">
      <formula>$A22=TODAY()</formula>
    </cfRule>
  </conditionalFormatting>
  <conditionalFormatting sqref="A1:U2 A3:O21">
    <cfRule type="expression" dxfId="10" priority="35">
      <formula>$A1=TODAY()</formula>
    </cfRule>
  </conditionalFormatting>
  <conditionalFormatting sqref="B71:J72 M71:O72">
    <cfRule type="expression" dxfId="9" priority="55">
      <formula>$A71=TODAY()</formula>
    </cfRule>
  </conditionalFormatting>
  <conditionalFormatting sqref="B22:O70">
    <cfRule type="expression" dxfId="8" priority="1">
      <formula>$A22=TODAY()</formula>
    </cfRule>
  </conditionalFormatting>
  <conditionalFormatting sqref="B73:O125">
    <cfRule type="expression" dxfId="7" priority="27">
      <formula>$A73=TODAY()</formula>
    </cfRule>
  </conditionalFormatting>
  <conditionalFormatting sqref="K9:M9">
    <cfRule type="expression" dxfId="6" priority="64">
      <formula>$A71=TODAY()</formula>
    </cfRule>
  </conditionalFormatting>
  <conditionalFormatting sqref="K13:M13">
    <cfRule type="expression" dxfId="5" priority="52">
      <formula>$A26=TODAY()</formula>
    </cfRule>
  </conditionalFormatting>
  <conditionalFormatting sqref="K14:M14">
    <cfRule type="expression" dxfId="4" priority="65">
      <formula>$A71=TODAY()</formula>
    </cfRule>
  </conditionalFormatting>
  <conditionalFormatting sqref="K32:M32">
    <cfRule type="expression" dxfId="3" priority="54">
      <formula>$A32=TODAY()</formula>
    </cfRule>
  </conditionalFormatting>
  <conditionalFormatting sqref="K81:M81">
    <cfRule type="expression" dxfId="2" priority="53">
      <formula>$A139=TODAY()</formula>
    </cfRule>
  </conditionalFormatting>
  <conditionalFormatting sqref="K91:M91">
    <cfRule type="expression" dxfId="1" priority="66">
      <formula>$A136=TODAY()</formula>
    </cfRule>
  </conditionalFormatting>
  <conditionalFormatting sqref="P3:U125">
    <cfRule type="expression" dxfId="0" priority="2">
      <formula>$A3=TODAY()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defaultValue">
  <element uid="id_classification_internalonly" value=""/>
</sisl>
</file>

<file path=customXml/itemProps1.xml><?xml version="1.0" encoding="utf-8"?>
<ds:datastoreItem xmlns:ds="http://schemas.openxmlformats.org/officeDocument/2006/customXml" ds:itemID="{62EDDF6F-8E93-4679-AF98-087CE452CE1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Planning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Silvo Stroek</dc:creator>
  <cp:lastModifiedBy>Ken Wan</cp:lastModifiedBy>
  <cp:lastPrinted>2024-01-24T12:04:22Z</cp:lastPrinted>
  <dcterms:created xsi:type="dcterms:W3CDTF">2019-08-21T11:08:15Z</dcterms:created>
  <dcterms:modified xsi:type="dcterms:W3CDTF">2024-12-17T13:46:56Z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276e653a-56eb-4c19-a5bb-898a1ad28128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policy="404ce55e-d47d-4e22-b0f7-c3e46cb4e632" origin="defaultValue" xmlns="http://www.boldonj</vt:lpwstr>
  </property>
  <property fmtid="{D5CDD505-2E9C-101B-9397-08002B2CF9AE}" pid="4" name="bjDocumentLabelXML-0">
    <vt:lpwstr>ames.com/2008/01/sie/internal/label"&gt;&lt;element uid="id_classification_internalonly" value="" /&gt;&lt;/sisl&gt;</vt:lpwstr>
  </property>
  <property fmtid="{D5CDD505-2E9C-101B-9397-08002B2CF9AE}" pid="5" name="bjDocumentSecurityLabel">
    <vt:lpwstr>Internal</vt:lpwstr>
  </property>
  <property fmtid="{D5CDD505-2E9C-101B-9397-08002B2CF9AE}" pid="6" name="bjSaver">
    <vt:lpwstr>nu8WbksdKLOorWLBSXIQc5ME0GniqRAy</vt:lpwstr>
  </property>
  <property fmtid="{D5CDD505-2E9C-101B-9397-08002B2CF9AE}" pid="7" name="bjCentreFooterLabel-first">
    <vt:lpwstr>&amp;"Calibri,Regular"&amp;14&amp;B&amp;K000000INTERNAL USE ONLY</vt:lpwstr>
  </property>
  <property fmtid="{D5CDD505-2E9C-101B-9397-08002B2CF9AE}" pid="8" name="bjCentreFooterLabel-even">
    <vt:lpwstr>&amp;"Calibri,Regular"&amp;14&amp;B&amp;K000000INTERNAL USE ONLY</vt:lpwstr>
  </property>
  <property fmtid="{D5CDD505-2E9C-101B-9397-08002B2CF9AE}" pid="9" name="bjCentreFooterLabel">
    <vt:lpwstr>&amp;"Calibri,Regular"&amp;14&amp;B&amp;K000000INTERNAL USE ONLY</vt:lpwstr>
  </property>
  <property fmtid="{D5CDD505-2E9C-101B-9397-08002B2CF9AE}" pid="10" name="MSIP_Label_ac0b9ce6-6e99-42a1-af95-429494370cbc_Enabled">
    <vt:lpwstr>true</vt:lpwstr>
  </property>
  <property fmtid="{D5CDD505-2E9C-101B-9397-08002B2CF9AE}" pid="11" name="MSIP_Label_ac0b9ce6-6e99-42a1-af95-429494370cbc_SetDate">
    <vt:lpwstr>2023-05-09T12:12:44Z</vt:lpwstr>
  </property>
  <property fmtid="{D5CDD505-2E9C-101B-9397-08002B2CF9AE}" pid="12" name="MSIP_Label_ac0b9ce6-6e99-42a1-af95-429494370cbc_Method">
    <vt:lpwstr>Standard</vt:lpwstr>
  </property>
  <property fmtid="{D5CDD505-2E9C-101B-9397-08002B2CF9AE}" pid="13" name="MSIP_Label_ac0b9ce6-6e99-42a1-af95-429494370cbc_Name">
    <vt:lpwstr>ac0b9ce6-6e99-42a1-af95-429494370cbc</vt:lpwstr>
  </property>
  <property fmtid="{D5CDD505-2E9C-101B-9397-08002B2CF9AE}" pid="14" name="MSIP_Label_ac0b9ce6-6e99-42a1-af95-429494370cbc_SiteId">
    <vt:lpwstr>315b1ee5-c224-498b-871e-c140611d6d07</vt:lpwstr>
  </property>
  <property fmtid="{D5CDD505-2E9C-101B-9397-08002B2CF9AE}" pid="15" name="MSIP_Label_ac0b9ce6-6e99-42a1-af95-429494370cbc_ActionId">
    <vt:lpwstr>44147286-7a92-4d78-88f4-392b3298104b</vt:lpwstr>
  </property>
  <property fmtid="{D5CDD505-2E9C-101B-9397-08002B2CF9AE}" pid="16" name="MSIP_Label_ac0b9ce6-6e99-42a1-af95-429494370cbc_ContentBits">
    <vt:lpwstr>2</vt:lpwstr>
  </property>
</Properties>
</file>