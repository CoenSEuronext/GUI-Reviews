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3\"/>
    </mc:Choice>
  </mc:AlternateContent>
  <xr:revisionPtr revIDLastSave="0" documentId="8_{8FD7DDC9-5C89-4678-BF4B-D9538937EB25}" xr6:coauthVersionLast="47" xr6:coauthVersionMax="47" xr10:uidLastSave="{00000000-0000-0000-0000-000000000000}"/>
  <bookViews>
    <workbookView xWindow="-120" yWindow="-120" windowWidth="29040" windowHeight="17640" xr2:uid="{9B9E11D7-3C5F-47A3-B911-ACA81799CEDB}"/>
  </bookViews>
  <sheets>
    <sheet name="Referential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25" i="1" l="1"/>
  <c r="Y325" i="1"/>
  <c r="X325" i="1"/>
  <c r="W325" i="1"/>
  <c r="V325" i="1"/>
  <c r="U325" i="1"/>
  <c r="T325" i="1"/>
  <c r="S325" i="1"/>
  <c r="R325" i="1"/>
  <c r="Q325" i="1"/>
  <c r="P325" i="1"/>
  <c r="O325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Z99" i="1"/>
  <c r="Y99" i="1"/>
  <c r="X99" i="1"/>
  <c r="W99" i="1"/>
  <c r="V99" i="1"/>
  <c r="U99" i="1"/>
  <c r="T99" i="1"/>
  <c r="S99" i="1"/>
  <c r="R99" i="1"/>
  <c r="Q99" i="1"/>
  <c r="P99" i="1"/>
  <c r="O99" i="1"/>
  <c r="Z98" i="1"/>
  <c r="Y98" i="1"/>
  <c r="X98" i="1"/>
  <c r="W98" i="1"/>
  <c r="V98" i="1"/>
  <c r="U98" i="1"/>
  <c r="T98" i="1"/>
  <c r="S98" i="1"/>
  <c r="R98" i="1"/>
  <c r="Q98" i="1"/>
  <c r="P98" i="1"/>
  <c r="O98" i="1"/>
  <c r="Z97" i="1"/>
  <c r="Y97" i="1"/>
  <c r="X97" i="1"/>
  <c r="W97" i="1"/>
  <c r="V97" i="1"/>
  <c r="U97" i="1"/>
  <c r="T97" i="1"/>
  <c r="S97" i="1"/>
  <c r="R97" i="1"/>
  <c r="Q97" i="1"/>
  <c r="P97" i="1"/>
  <c r="O97" i="1"/>
  <c r="Z96" i="1"/>
  <c r="Y96" i="1"/>
  <c r="X96" i="1"/>
  <c r="W96" i="1"/>
  <c r="V96" i="1"/>
  <c r="U96" i="1"/>
  <c r="T96" i="1"/>
  <c r="S96" i="1"/>
  <c r="R96" i="1"/>
  <c r="Q96" i="1"/>
  <c r="P96" i="1"/>
  <c r="O96" i="1"/>
  <c r="Z95" i="1"/>
  <c r="Y95" i="1"/>
  <c r="X95" i="1"/>
  <c r="W95" i="1"/>
  <c r="V95" i="1"/>
  <c r="U95" i="1"/>
  <c r="T95" i="1"/>
  <c r="S95" i="1"/>
  <c r="R95" i="1"/>
  <c r="Q95" i="1"/>
  <c r="P95" i="1"/>
  <c r="O95" i="1"/>
  <c r="Z94" i="1"/>
  <c r="Y94" i="1"/>
  <c r="X94" i="1"/>
  <c r="W94" i="1"/>
  <c r="V94" i="1"/>
  <c r="U94" i="1"/>
  <c r="T94" i="1"/>
  <c r="S94" i="1"/>
  <c r="R94" i="1"/>
  <c r="Q94" i="1"/>
  <c r="P94" i="1"/>
  <c r="O94" i="1"/>
  <c r="Z93" i="1"/>
  <c r="Y93" i="1"/>
  <c r="X93" i="1"/>
  <c r="W93" i="1"/>
  <c r="V93" i="1"/>
  <c r="U93" i="1"/>
  <c r="T93" i="1"/>
  <c r="S93" i="1"/>
  <c r="R93" i="1"/>
  <c r="Q93" i="1"/>
  <c r="P93" i="1"/>
  <c r="O93" i="1"/>
  <c r="Z92" i="1"/>
  <c r="Y92" i="1"/>
  <c r="X92" i="1"/>
  <c r="W92" i="1"/>
  <c r="V92" i="1"/>
  <c r="U92" i="1"/>
  <c r="T92" i="1"/>
  <c r="S92" i="1"/>
  <c r="R92" i="1"/>
  <c r="Q92" i="1"/>
  <c r="P92" i="1"/>
  <c r="O92" i="1"/>
  <c r="Z91" i="1"/>
  <c r="Y91" i="1"/>
  <c r="X91" i="1"/>
  <c r="W91" i="1"/>
  <c r="V91" i="1"/>
  <c r="U91" i="1"/>
  <c r="T91" i="1"/>
  <c r="S91" i="1"/>
  <c r="R91" i="1"/>
  <c r="Q91" i="1"/>
  <c r="P91" i="1"/>
  <c r="O91" i="1"/>
  <c r="Z90" i="1"/>
  <c r="Y90" i="1"/>
  <c r="X90" i="1"/>
  <c r="W90" i="1"/>
  <c r="V90" i="1"/>
  <c r="U90" i="1"/>
  <c r="T90" i="1"/>
  <c r="S90" i="1"/>
  <c r="R90" i="1"/>
  <c r="Q90" i="1"/>
  <c r="P90" i="1"/>
  <c r="O90" i="1"/>
  <c r="Z89" i="1"/>
  <c r="Y89" i="1"/>
  <c r="X89" i="1"/>
  <c r="W89" i="1"/>
  <c r="V89" i="1"/>
  <c r="U89" i="1"/>
  <c r="T89" i="1"/>
  <c r="S89" i="1"/>
  <c r="R89" i="1"/>
  <c r="Q89" i="1"/>
  <c r="P89" i="1"/>
  <c r="O89" i="1"/>
  <c r="Z88" i="1"/>
  <c r="Y88" i="1"/>
  <c r="X88" i="1"/>
  <c r="W88" i="1"/>
  <c r="V88" i="1"/>
  <c r="U88" i="1"/>
  <c r="T88" i="1"/>
  <c r="S88" i="1"/>
  <c r="R88" i="1"/>
  <c r="Q88" i="1"/>
  <c r="P88" i="1"/>
  <c r="O88" i="1"/>
  <c r="Z87" i="1"/>
  <c r="Y87" i="1"/>
  <c r="X87" i="1"/>
  <c r="W87" i="1"/>
  <c r="V87" i="1"/>
  <c r="U87" i="1"/>
  <c r="T87" i="1"/>
  <c r="S87" i="1"/>
  <c r="R87" i="1"/>
  <c r="Q87" i="1"/>
  <c r="P87" i="1"/>
  <c r="O87" i="1"/>
  <c r="Z86" i="1"/>
  <c r="Y86" i="1"/>
  <c r="X86" i="1"/>
  <c r="W86" i="1"/>
  <c r="V86" i="1"/>
  <c r="U86" i="1"/>
  <c r="T86" i="1"/>
  <c r="S86" i="1"/>
  <c r="R86" i="1"/>
  <c r="Q86" i="1"/>
  <c r="P86" i="1"/>
  <c r="O86" i="1"/>
  <c r="Z85" i="1"/>
  <c r="Y85" i="1"/>
  <c r="X85" i="1"/>
  <c r="W85" i="1"/>
  <c r="V85" i="1"/>
  <c r="U85" i="1"/>
  <c r="T85" i="1"/>
  <c r="S85" i="1"/>
  <c r="R85" i="1"/>
  <c r="Q85" i="1"/>
  <c r="P85" i="1"/>
  <c r="O85" i="1"/>
  <c r="Z84" i="1"/>
  <c r="Y84" i="1"/>
  <c r="X84" i="1"/>
  <c r="W84" i="1"/>
  <c r="V84" i="1"/>
  <c r="U84" i="1"/>
  <c r="T84" i="1"/>
  <c r="S84" i="1"/>
  <c r="R84" i="1"/>
  <c r="Q84" i="1"/>
  <c r="P84" i="1"/>
  <c r="O84" i="1"/>
  <c r="Z83" i="1"/>
  <c r="Y83" i="1"/>
  <c r="X83" i="1"/>
  <c r="W83" i="1"/>
  <c r="V83" i="1"/>
  <c r="U83" i="1"/>
  <c r="T83" i="1"/>
  <c r="S83" i="1"/>
  <c r="R83" i="1"/>
  <c r="Q83" i="1"/>
  <c r="P83" i="1"/>
  <c r="O83" i="1"/>
  <c r="Z82" i="1"/>
  <c r="Y82" i="1"/>
  <c r="X82" i="1"/>
  <c r="W82" i="1"/>
  <c r="V82" i="1"/>
  <c r="U82" i="1"/>
  <c r="T82" i="1"/>
  <c r="S82" i="1"/>
  <c r="R82" i="1"/>
  <c r="Q82" i="1"/>
  <c r="P82" i="1"/>
  <c r="O82" i="1"/>
  <c r="Z81" i="1"/>
  <c r="Y81" i="1"/>
  <c r="X81" i="1"/>
  <c r="W81" i="1"/>
  <c r="V81" i="1"/>
  <c r="U81" i="1"/>
  <c r="T81" i="1"/>
  <c r="S81" i="1"/>
  <c r="R81" i="1"/>
  <c r="Q81" i="1"/>
  <c r="P81" i="1"/>
  <c r="O81" i="1"/>
  <c r="Z80" i="1"/>
  <c r="Y80" i="1"/>
  <c r="X80" i="1"/>
  <c r="W80" i="1"/>
  <c r="V80" i="1"/>
  <c r="U80" i="1"/>
  <c r="T80" i="1"/>
  <c r="S80" i="1"/>
  <c r="R80" i="1"/>
  <c r="Q80" i="1"/>
  <c r="P80" i="1"/>
  <c r="O80" i="1"/>
  <c r="Z79" i="1"/>
  <c r="Y79" i="1"/>
  <c r="X79" i="1"/>
  <c r="W79" i="1"/>
  <c r="V79" i="1"/>
  <c r="U79" i="1"/>
  <c r="T79" i="1"/>
  <c r="S79" i="1"/>
  <c r="R79" i="1"/>
  <c r="Q79" i="1"/>
  <c r="P79" i="1"/>
  <c r="O79" i="1"/>
  <c r="Z78" i="1"/>
  <c r="Y78" i="1"/>
  <c r="X78" i="1"/>
  <c r="W78" i="1"/>
  <c r="V78" i="1"/>
  <c r="U78" i="1"/>
  <c r="T78" i="1"/>
  <c r="S78" i="1"/>
  <c r="R78" i="1"/>
  <c r="Q78" i="1"/>
  <c r="P78" i="1"/>
  <c r="O78" i="1"/>
  <c r="Z77" i="1"/>
  <c r="Y77" i="1"/>
  <c r="X77" i="1"/>
  <c r="W77" i="1"/>
  <c r="V77" i="1"/>
  <c r="U77" i="1"/>
  <c r="T77" i="1"/>
  <c r="S77" i="1"/>
  <c r="R77" i="1"/>
  <c r="Q77" i="1"/>
  <c r="P77" i="1"/>
  <c r="O77" i="1"/>
  <c r="Z76" i="1"/>
  <c r="Y76" i="1"/>
  <c r="X76" i="1"/>
  <c r="W76" i="1"/>
  <c r="V76" i="1"/>
  <c r="U76" i="1"/>
  <c r="T76" i="1"/>
  <c r="S76" i="1"/>
  <c r="R76" i="1"/>
  <c r="Q76" i="1"/>
  <c r="P76" i="1"/>
  <c r="O76" i="1"/>
  <c r="Z75" i="1"/>
  <c r="Y75" i="1"/>
  <c r="X75" i="1"/>
  <c r="W75" i="1"/>
  <c r="V75" i="1"/>
  <c r="U75" i="1"/>
  <c r="T75" i="1"/>
  <c r="S75" i="1"/>
  <c r="R75" i="1"/>
  <c r="Q75" i="1"/>
  <c r="P75" i="1"/>
  <c r="O75" i="1"/>
  <c r="Z74" i="1"/>
  <c r="Y74" i="1"/>
  <c r="X74" i="1"/>
  <c r="W74" i="1"/>
  <c r="V74" i="1"/>
  <c r="U74" i="1"/>
  <c r="T74" i="1"/>
  <c r="S74" i="1"/>
  <c r="R74" i="1"/>
  <c r="Q74" i="1"/>
  <c r="P74" i="1"/>
  <c r="O74" i="1"/>
  <c r="Z73" i="1"/>
  <c r="Y73" i="1"/>
  <c r="X73" i="1"/>
  <c r="W73" i="1"/>
  <c r="V73" i="1"/>
  <c r="U73" i="1"/>
  <c r="T73" i="1"/>
  <c r="S73" i="1"/>
  <c r="R73" i="1"/>
  <c r="Q73" i="1"/>
  <c r="P73" i="1"/>
  <c r="O73" i="1"/>
  <c r="Z72" i="1"/>
  <c r="Y72" i="1"/>
  <c r="X72" i="1"/>
  <c r="W72" i="1"/>
  <c r="V72" i="1"/>
  <c r="U72" i="1"/>
  <c r="T72" i="1"/>
  <c r="S72" i="1"/>
  <c r="R72" i="1"/>
  <c r="Q72" i="1"/>
  <c r="P72" i="1"/>
  <c r="O72" i="1"/>
  <c r="Z71" i="1"/>
  <c r="Y71" i="1"/>
  <c r="X71" i="1"/>
  <c r="W71" i="1"/>
  <c r="V71" i="1"/>
  <c r="U71" i="1"/>
  <c r="T71" i="1"/>
  <c r="S71" i="1"/>
  <c r="R71" i="1"/>
  <c r="Q71" i="1"/>
  <c r="P71" i="1"/>
  <c r="O71" i="1"/>
  <c r="Z70" i="1"/>
  <c r="Y70" i="1"/>
  <c r="X70" i="1"/>
  <c r="W70" i="1"/>
  <c r="V70" i="1"/>
  <c r="U70" i="1"/>
  <c r="T70" i="1"/>
  <c r="S70" i="1"/>
  <c r="R70" i="1"/>
  <c r="Q70" i="1"/>
  <c r="P70" i="1"/>
  <c r="O70" i="1"/>
  <c r="Z69" i="1"/>
  <c r="Y69" i="1"/>
  <c r="X69" i="1"/>
  <c r="W69" i="1"/>
  <c r="V69" i="1"/>
  <c r="U69" i="1"/>
  <c r="T69" i="1"/>
  <c r="S69" i="1"/>
  <c r="R69" i="1"/>
  <c r="Q69" i="1"/>
  <c r="P69" i="1"/>
  <c r="O69" i="1"/>
  <c r="Z68" i="1"/>
  <c r="Y68" i="1"/>
  <c r="X68" i="1"/>
  <c r="W68" i="1"/>
  <c r="V68" i="1"/>
  <c r="U68" i="1"/>
  <c r="T68" i="1"/>
  <c r="S68" i="1"/>
  <c r="R68" i="1"/>
  <c r="Q68" i="1"/>
  <c r="P68" i="1"/>
  <c r="O68" i="1"/>
  <c r="Z67" i="1"/>
  <c r="Y67" i="1"/>
  <c r="X67" i="1"/>
  <c r="W67" i="1"/>
  <c r="V67" i="1"/>
  <c r="U67" i="1"/>
  <c r="T67" i="1"/>
  <c r="S67" i="1"/>
  <c r="R67" i="1"/>
  <c r="Q67" i="1"/>
  <c r="P67" i="1"/>
  <c r="O67" i="1"/>
  <c r="Z66" i="1"/>
  <c r="Y66" i="1"/>
  <c r="X66" i="1"/>
  <c r="W66" i="1"/>
  <c r="V66" i="1"/>
  <c r="U66" i="1"/>
  <c r="T66" i="1"/>
  <c r="S66" i="1"/>
  <c r="R66" i="1"/>
  <c r="Q66" i="1"/>
  <c r="P66" i="1"/>
  <c r="O66" i="1"/>
  <c r="Z65" i="1"/>
  <c r="Y65" i="1"/>
  <c r="X65" i="1"/>
  <c r="W65" i="1"/>
  <c r="V65" i="1"/>
  <c r="U65" i="1"/>
  <c r="T65" i="1"/>
  <c r="S65" i="1"/>
  <c r="R65" i="1"/>
  <c r="Q65" i="1"/>
  <c r="P65" i="1"/>
  <c r="O65" i="1"/>
  <c r="Z64" i="1"/>
  <c r="Y64" i="1"/>
  <c r="X64" i="1"/>
  <c r="W64" i="1"/>
  <c r="V64" i="1"/>
  <c r="U64" i="1"/>
  <c r="T64" i="1"/>
  <c r="S64" i="1"/>
  <c r="R64" i="1"/>
  <c r="Q64" i="1"/>
  <c r="P64" i="1"/>
  <c r="O64" i="1"/>
  <c r="Z63" i="1"/>
  <c r="Y63" i="1"/>
  <c r="X63" i="1"/>
  <c r="W63" i="1"/>
  <c r="V63" i="1"/>
  <c r="U63" i="1"/>
  <c r="T63" i="1"/>
  <c r="S63" i="1"/>
  <c r="R63" i="1"/>
  <c r="Q63" i="1"/>
  <c r="P63" i="1"/>
  <c r="O63" i="1"/>
  <c r="Z62" i="1"/>
  <c r="Y62" i="1"/>
  <c r="X62" i="1"/>
  <c r="W62" i="1"/>
  <c r="V62" i="1"/>
  <c r="U62" i="1"/>
  <c r="T62" i="1"/>
  <c r="S62" i="1"/>
  <c r="R62" i="1"/>
  <c r="Q62" i="1"/>
  <c r="P62" i="1"/>
  <c r="O62" i="1"/>
  <c r="Z61" i="1"/>
  <c r="Y61" i="1"/>
  <c r="X61" i="1"/>
  <c r="W61" i="1"/>
  <c r="V61" i="1"/>
  <c r="U61" i="1"/>
  <c r="T61" i="1"/>
  <c r="S61" i="1"/>
  <c r="R61" i="1"/>
  <c r="Q61" i="1"/>
  <c r="P61" i="1"/>
  <c r="O61" i="1"/>
  <c r="Z60" i="1"/>
  <c r="Y60" i="1"/>
  <c r="X60" i="1"/>
  <c r="W60" i="1"/>
  <c r="V60" i="1"/>
  <c r="U60" i="1"/>
  <c r="T60" i="1"/>
  <c r="S60" i="1"/>
  <c r="R60" i="1"/>
  <c r="Q60" i="1"/>
  <c r="P60" i="1"/>
  <c r="O60" i="1"/>
  <c r="Z59" i="1"/>
  <c r="Y59" i="1"/>
  <c r="X59" i="1"/>
  <c r="W59" i="1"/>
  <c r="V59" i="1"/>
  <c r="U59" i="1"/>
  <c r="T59" i="1"/>
  <c r="S59" i="1"/>
  <c r="R59" i="1"/>
  <c r="Q59" i="1"/>
  <c r="P59" i="1"/>
  <c r="O59" i="1"/>
  <c r="Z58" i="1"/>
  <c r="Y58" i="1"/>
  <c r="X58" i="1"/>
  <c r="W58" i="1"/>
  <c r="V58" i="1"/>
  <c r="U58" i="1"/>
  <c r="T58" i="1"/>
  <c r="S58" i="1"/>
  <c r="R58" i="1"/>
  <c r="Q58" i="1"/>
  <c r="P58" i="1"/>
  <c r="O58" i="1"/>
  <c r="Z57" i="1"/>
  <c r="Y57" i="1"/>
  <c r="X57" i="1"/>
  <c r="W57" i="1"/>
  <c r="V57" i="1"/>
  <c r="U57" i="1"/>
  <c r="T57" i="1"/>
  <c r="S57" i="1"/>
  <c r="R57" i="1"/>
  <c r="Q57" i="1"/>
  <c r="P57" i="1"/>
  <c r="O57" i="1"/>
  <c r="Z56" i="1"/>
  <c r="Y56" i="1"/>
  <c r="X56" i="1"/>
  <c r="W56" i="1"/>
  <c r="V56" i="1"/>
  <c r="U56" i="1"/>
  <c r="T56" i="1"/>
  <c r="S56" i="1"/>
  <c r="R56" i="1"/>
  <c r="Q56" i="1"/>
  <c r="P56" i="1"/>
  <c r="O56" i="1"/>
  <c r="Z55" i="1"/>
  <c r="Y55" i="1"/>
  <c r="X55" i="1"/>
  <c r="W55" i="1"/>
  <c r="V55" i="1"/>
  <c r="U55" i="1"/>
  <c r="T55" i="1"/>
  <c r="S55" i="1"/>
  <c r="R55" i="1"/>
  <c r="Q55" i="1"/>
  <c r="P55" i="1"/>
  <c r="O55" i="1"/>
  <c r="Z54" i="1"/>
  <c r="Y54" i="1"/>
  <c r="X54" i="1"/>
  <c r="W54" i="1"/>
  <c r="V54" i="1"/>
  <c r="U54" i="1"/>
  <c r="T54" i="1"/>
  <c r="S54" i="1"/>
  <c r="R54" i="1"/>
  <c r="Q54" i="1"/>
  <c r="P54" i="1"/>
  <c r="O54" i="1"/>
  <c r="Z53" i="1"/>
  <c r="Y53" i="1"/>
  <c r="X53" i="1"/>
  <c r="W53" i="1"/>
  <c r="V53" i="1"/>
  <c r="U53" i="1"/>
  <c r="T53" i="1"/>
  <c r="S53" i="1"/>
  <c r="R53" i="1"/>
  <c r="Q53" i="1"/>
  <c r="P53" i="1"/>
  <c r="O53" i="1"/>
  <c r="Z52" i="1"/>
  <c r="Y52" i="1"/>
  <c r="X52" i="1"/>
  <c r="W52" i="1"/>
  <c r="V52" i="1"/>
  <c r="U52" i="1"/>
  <c r="T52" i="1"/>
  <c r="S52" i="1"/>
  <c r="R52" i="1"/>
  <c r="Q52" i="1"/>
  <c r="P52" i="1"/>
  <c r="O52" i="1"/>
  <c r="Z51" i="1"/>
  <c r="Y51" i="1"/>
  <c r="X51" i="1"/>
  <c r="W51" i="1"/>
  <c r="V51" i="1"/>
  <c r="U51" i="1"/>
  <c r="T51" i="1"/>
  <c r="S51" i="1"/>
  <c r="R51" i="1"/>
  <c r="Q51" i="1"/>
  <c r="P51" i="1"/>
  <c r="O51" i="1"/>
  <c r="Z50" i="1"/>
  <c r="Y50" i="1"/>
  <c r="X50" i="1"/>
  <c r="W50" i="1"/>
  <c r="V50" i="1"/>
  <c r="U50" i="1"/>
  <c r="T50" i="1"/>
  <c r="S50" i="1"/>
  <c r="R50" i="1"/>
  <c r="Q50" i="1"/>
  <c r="P50" i="1"/>
  <c r="O50" i="1"/>
  <c r="Z49" i="1"/>
  <c r="Y49" i="1"/>
  <c r="X49" i="1"/>
  <c r="W49" i="1"/>
  <c r="V49" i="1"/>
  <c r="U49" i="1"/>
  <c r="T49" i="1"/>
  <c r="S49" i="1"/>
  <c r="R49" i="1"/>
  <c r="Q49" i="1"/>
  <c r="P49" i="1"/>
  <c r="O49" i="1"/>
  <c r="Z48" i="1"/>
  <c r="Y48" i="1"/>
  <c r="X48" i="1"/>
  <c r="W48" i="1"/>
  <c r="V48" i="1"/>
  <c r="U48" i="1"/>
  <c r="T48" i="1"/>
  <c r="S48" i="1"/>
  <c r="R48" i="1"/>
  <c r="Q48" i="1"/>
  <c r="P48" i="1"/>
  <c r="O48" i="1"/>
  <c r="Z47" i="1"/>
  <c r="Y47" i="1"/>
  <c r="X47" i="1"/>
  <c r="W47" i="1"/>
  <c r="V47" i="1"/>
  <c r="U47" i="1"/>
  <c r="T47" i="1"/>
  <c r="S47" i="1"/>
  <c r="R47" i="1"/>
  <c r="Q47" i="1"/>
  <c r="P47" i="1"/>
  <c r="O47" i="1"/>
  <c r="Z46" i="1"/>
  <c r="Y46" i="1"/>
  <c r="X46" i="1"/>
  <c r="W46" i="1"/>
  <c r="V46" i="1"/>
  <c r="U46" i="1"/>
  <c r="T46" i="1"/>
  <c r="S46" i="1"/>
  <c r="R46" i="1"/>
  <c r="Q46" i="1"/>
  <c r="P46" i="1"/>
  <c r="O46" i="1"/>
  <c r="Z45" i="1"/>
  <c r="Y45" i="1"/>
  <c r="X45" i="1"/>
  <c r="W45" i="1"/>
  <c r="V45" i="1"/>
  <c r="U45" i="1"/>
  <c r="T45" i="1"/>
  <c r="S45" i="1"/>
  <c r="R45" i="1"/>
  <c r="Q45" i="1"/>
  <c r="P45" i="1"/>
  <c r="O45" i="1"/>
  <c r="Z44" i="1"/>
  <c r="Y44" i="1"/>
  <c r="X44" i="1"/>
  <c r="W44" i="1"/>
  <c r="V44" i="1"/>
  <c r="U44" i="1"/>
  <c r="T44" i="1"/>
  <c r="S44" i="1"/>
  <c r="R44" i="1"/>
  <c r="Q44" i="1"/>
  <c r="P44" i="1"/>
  <c r="O44" i="1"/>
  <c r="Z43" i="1"/>
  <c r="Y43" i="1"/>
  <c r="X43" i="1"/>
  <c r="W43" i="1"/>
  <c r="V43" i="1"/>
  <c r="U43" i="1"/>
  <c r="T43" i="1"/>
  <c r="S43" i="1"/>
  <c r="R43" i="1"/>
  <c r="Q43" i="1"/>
  <c r="P43" i="1"/>
  <c r="O43" i="1"/>
  <c r="Z42" i="1"/>
  <c r="Y42" i="1"/>
  <c r="X42" i="1"/>
  <c r="W42" i="1"/>
  <c r="V42" i="1"/>
  <c r="U42" i="1"/>
  <c r="T42" i="1"/>
  <c r="S42" i="1"/>
  <c r="R42" i="1"/>
  <c r="Q42" i="1"/>
  <c r="P42" i="1"/>
  <c r="O42" i="1"/>
  <c r="Z41" i="1"/>
  <c r="Y41" i="1"/>
  <c r="X41" i="1"/>
  <c r="W41" i="1"/>
  <c r="V41" i="1"/>
  <c r="U41" i="1"/>
  <c r="T41" i="1"/>
  <c r="S41" i="1"/>
  <c r="R41" i="1"/>
  <c r="Q41" i="1"/>
  <c r="P41" i="1"/>
  <c r="O41" i="1"/>
  <c r="Z40" i="1"/>
  <c r="Y40" i="1"/>
  <c r="X40" i="1"/>
  <c r="W40" i="1"/>
  <c r="V40" i="1"/>
  <c r="U40" i="1"/>
  <c r="T40" i="1"/>
  <c r="S40" i="1"/>
  <c r="R40" i="1"/>
  <c r="Q40" i="1"/>
  <c r="P40" i="1"/>
  <c r="O40" i="1"/>
  <c r="Z39" i="1"/>
  <c r="Y39" i="1"/>
  <c r="X39" i="1"/>
  <c r="W39" i="1"/>
  <c r="V39" i="1"/>
  <c r="U39" i="1"/>
  <c r="T39" i="1"/>
  <c r="S39" i="1"/>
  <c r="R39" i="1"/>
  <c r="Q39" i="1"/>
  <c r="P39" i="1"/>
  <c r="O39" i="1"/>
  <c r="Z38" i="1"/>
  <c r="Y38" i="1"/>
  <c r="X38" i="1"/>
  <c r="W38" i="1"/>
  <c r="V38" i="1"/>
  <c r="U38" i="1"/>
  <c r="T38" i="1"/>
  <c r="S38" i="1"/>
  <c r="R38" i="1"/>
  <c r="Q38" i="1"/>
  <c r="P38" i="1"/>
  <c r="O38" i="1"/>
  <c r="Z37" i="1"/>
  <c r="Y37" i="1"/>
  <c r="X37" i="1"/>
  <c r="W37" i="1"/>
  <c r="V37" i="1"/>
  <c r="U37" i="1"/>
  <c r="T37" i="1"/>
  <c r="S37" i="1"/>
  <c r="R37" i="1"/>
  <c r="Q37" i="1"/>
  <c r="P37" i="1"/>
  <c r="O37" i="1"/>
  <c r="Z36" i="1"/>
  <c r="Y36" i="1"/>
  <c r="X36" i="1"/>
  <c r="W36" i="1"/>
  <c r="V36" i="1"/>
  <c r="U36" i="1"/>
  <c r="T36" i="1"/>
  <c r="S36" i="1"/>
  <c r="R36" i="1"/>
  <c r="Q36" i="1"/>
  <c r="P36" i="1"/>
  <c r="O36" i="1"/>
  <c r="Z35" i="1"/>
  <c r="Y35" i="1"/>
  <c r="X35" i="1"/>
  <c r="W35" i="1"/>
  <c r="V35" i="1"/>
  <c r="U35" i="1"/>
  <c r="T35" i="1"/>
  <c r="S35" i="1"/>
  <c r="R35" i="1"/>
  <c r="Q35" i="1"/>
  <c r="P35" i="1"/>
  <c r="O35" i="1"/>
  <c r="Z34" i="1"/>
  <c r="Y34" i="1"/>
  <c r="X34" i="1"/>
  <c r="W34" i="1"/>
  <c r="V34" i="1"/>
  <c r="U34" i="1"/>
  <c r="T34" i="1"/>
  <c r="S34" i="1"/>
  <c r="R34" i="1"/>
  <c r="Q34" i="1"/>
  <c r="P34" i="1"/>
  <c r="O34" i="1"/>
  <c r="Z33" i="1"/>
  <c r="Y33" i="1"/>
  <c r="X33" i="1"/>
  <c r="W33" i="1"/>
  <c r="V33" i="1"/>
  <c r="U33" i="1"/>
  <c r="T33" i="1"/>
  <c r="S33" i="1"/>
  <c r="R33" i="1"/>
  <c r="Q33" i="1"/>
  <c r="P33" i="1"/>
  <c r="O33" i="1"/>
  <c r="Z32" i="1"/>
  <c r="Y32" i="1"/>
  <c r="X32" i="1"/>
  <c r="W32" i="1"/>
  <c r="V32" i="1"/>
  <c r="U32" i="1"/>
  <c r="T32" i="1"/>
  <c r="S32" i="1"/>
  <c r="R32" i="1"/>
  <c r="Q32" i="1"/>
  <c r="P32" i="1"/>
  <c r="O32" i="1"/>
  <c r="Z31" i="1"/>
  <c r="Y31" i="1"/>
  <c r="X31" i="1"/>
  <c r="W31" i="1"/>
  <c r="V31" i="1"/>
  <c r="U31" i="1"/>
  <c r="T31" i="1"/>
  <c r="S31" i="1"/>
  <c r="R31" i="1"/>
  <c r="Q31" i="1"/>
  <c r="P31" i="1"/>
  <c r="O31" i="1"/>
  <c r="Z30" i="1"/>
  <c r="Y30" i="1"/>
  <c r="X30" i="1"/>
  <c r="W30" i="1"/>
  <c r="V30" i="1"/>
  <c r="U30" i="1"/>
  <c r="T30" i="1"/>
  <c r="S30" i="1"/>
  <c r="R30" i="1"/>
  <c r="Q30" i="1"/>
  <c r="P30" i="1"/>
  <c r="O30" i="1"/>
  <c r="Z29" i="1"/>
  <c r="Y29" i="1"/>
  <c r="X29" i="1"/>
  <c r="W29" i="1"/>
  <c r="V29" i="1"/>
  <c r="U29" i="1"/>
  <c r="T29" i="1"/>
  <c r="S29" i="1"/>
  <c r="R29" i="1"/>
  <c r="Q29" i="1"/>
  <c r="P29" i="1"/>
  <c r="O29" i="1"/>
  <c r="Z28" i="1"/>
  <c r="Y28" i="1"/>
  <c r="X28" i="1"/>
  <c r="W28" i="1"/>
  <c r="V28" i="1"/>
  <c r="U28" i="1"/>
  <c r="T28" i="1"/>
  <c r="S28" i="1"/>
  <c r="R28" i="1"/>
  <c r="Q28" i="1"/>
  <c r="P28" i="1"/>
  <c r="O28" i="1"/>
  <c r="Z27" i="1"/>
  <c r="Y27" i="1"/>
  <c r="X27" i="1"/>
  <c r="W27" i="1"/>
  <c r="V27" i="1"/>
  <c r="U27" i="1"/>
  <c r="T27" i="1"/>
  <c r="S27" i="1"/>
  <c r="R27" i="1"/>
  <c r="Q27" i="1"/>
  <c r="P27" i="1"/>
  <c r="O27" i="1"/>
  <c r="Z26" i="1"/>
  <c r="Y26" i="1"/>
  <c r="X26" i="1"/>
  <c r="W26" i="1"/>
  <c r="V26" i="1"/>
  <c r="U26" i="1"/>
  <c r="T26" i="1"/>
  <c r="S26" i="1"/>
  <c r="R26" i="1"/>
  <c r="Q26" i="1"/>
  <c r="P26" i="1"/>
  <c r="O26" i="1"/>
  <c r="Z25" i="1"/>
  <c r="Y25" i="1"/>
  <c r="X25" i="1"/>
  <c r="W25" i="1"/>
  <c r="V25" i="1"/>
  <c r="U25" i="1"/>
  <c r="T25" i="1"/>
  <c r="S25" i="1"/>
  <c r="R25" i="1"/>
  <c r="Q25" i="1"/>
  <c r="P25" i="1"/>
  <c r="O25" i="1"/>
  <c r="Z24" i="1"/>
  <c r="Y24" i="1"/>
  <c r="X24" i="1"/>
  <c r="W24" i="1"/>
  <c r="V24" i="1"/>
  <c r="U24" i="1"/>
  <c r="T24" i="1"/>
  <c r="S24" i="1"/>
  <c r="R24" i="1"/>
  <c r="Q24" i="1"/>
  <c r="P24" i="1"/>
  <c r="O24" i="1"/>
  <c r="Z23" i="1"/>
  <c r="Y23" i="1"/>
  <c r="X23" i="1"/>
  <c r="W23" i="1"/>
  <c r="V23" i="1"/>
  <c r="U23" i="1"/>
  <c r="T23" i="1"/>
  <c r="S23" i="1"/>
  <c r="R23" i="1"/>
  <c r="Q23" i="1"/>
  <c r="P23" i="1"/>
  <c r="O23" i="1"/>
  <c r="Z22" i="1"/>
  <c r="Y22" i="1"/>
  <c r="X22" i="1"/>
  <c r="W22" i="1"/>
  <c r="V22" i="1"/>
  <c r="U22" i="1"/>
  <c r="T22" i="1"/>
  <c r="S22" i="1"/>
  <c r="R22" i="1"/>
  <c r="Q22" i="1"/>
  <c r="P22" i="1"/>
  <c r="O22" i="1"/>
  <c r="Z21" i="1"/>
  <c r="Y21" i="1"/>
  <c r="X21" i="1"/>
  <c r="W21" i="1"/>
  <c r="V21" i="1"/>
  <c r="U21" i="1"/>
  <c r="T21" i="1"/>
  <c r="S21" i="1"/>
  <c r="R21" i="1"/>
  <c r="Q21" i="1"/>
  <c r="P21" i="1"/>
  <c r="O21" i="1"/>
  <c r="Z20" i="1"/>
  <c r="Y20" i="1"/>
  <c r="X20" i="1"/>
  <c r="W20" i="1"/>
  <c r="V20" i="1"/>
  <c r="U20" i="1"/>
  <c r="T20" i="1"/>
  <c r="S20" i="1"/>
  <c r="R20" i="1"/>
  <c r="Q20" i="1"/>
  <c r="P20" i="1"/>
  <c r="O20" i="1"/>
  <c r="Z19" i="1"/>
  <c r="Y19" i="1"/>
  <c r="X19" i="1"/>
  <c r="W19" i="1"/>
  <c r="V19" i="1"/>
  <c r="U19" i="1"/>
  <c r="T19" i="1"/>
  <c r="S19" i="1"/>
  <c r="R19" i="1"/>
  <c r="Q19" i="1"/>
  <c r="P19" i="1"/>
  <c r="O19" i="1"/>
  <c r="Z18" i="1"/>
  <c r="Y18" i="1"/>
  <c r="X18" i="1"/>
  <c r="W18" i="1"/>
  <c r="V18" i="1"/>
  <c r="U18" i="1"/>
  <c r="T18" i="1"/>
  <c r="S18" i="1"/>
  <c r="R18" i="1"/>
  <c r="Q18" i="1"/>
  <c r="P18" i="1"/>
  <c r="O18" i="1"/>
  <c r="Z17" i="1"/>
  <c r="Y17" i="1"/>
  <c r="X17" i="1"/>
  <c r="W17" i="1"/>
  <c r="V17" i="1"/>
  <c r="U17" i="1"/>
  <c r="T17" i="1"/>
  <c r="S17" i="1"/>
  <c r="R17" i="1"/>
  <c r="Q17" i="1"/>
  <c r="P17" i="1"/>
  <c r="O17" i="1"/>
  <c r="Z16" i="1"/>
  <c r="Y16" i="1"/>
  <c r="X16" i="1"/>
  <c r="W16" i="1"/>
  <c r="V16" i="1"/>
  <c r="U16" i="1"/>
  <c r="T16" i="1"/>
  <c r="S16" i="1"/>
  <c r="R16" i="1"/>
  <c r="Q16" i="1"/>
  <c r="P16" i="1"/>
  <c r="O16" i="1"/>
  <c r="Z15" i="1"/>
  <c r="Y15" i="1"/>
  <c r="X15" i="1"/>
  <c r="W15" i="1"/>
  <c r="V15" i="1"/>
  <c r="U15" i="1"/>
  <c r="T15" i="1"/>
  <c r="S15" i="1"/>
  <c r="R15" i="1"/>
  <c r="Q15" i="1"/>
  <c r="P15" i="1"/>
  <c r="O15" i="1"/>
  <c r="Z14" i="1"/>
  <c r="Y14" i="1"/>
  <c r="X14" i="1"/>
  <c r="W14" i="1"/>
  <c r="V14" i="1"/>
  <c r="U14" i="1"/>
  <c r="T14" i="1"/>
  <c r="S14" i="1"/>
  <c r="R14" i="1"/>
  <c r="Q14" i="1"/>
  <c r="P14" i="1"/>
  <c r="O14" i="1"/>
  <c r="Z13" i="1"/>
  <c r="Y13" i="1"/>
  <c r="X13" i="1"/>
  <c r="W13" i="1"/>
  <c r="V13" i="1"/>
  <c r="U13" i="1"/>
  <c r="T13" i="1"/>
  <c r="S13" i="1"/>
  <c r="R13" i="1"/>
  <c r="Q13" i="1"/>
  <c r="P13" i="1"/>
  <c r="O13" i="1"/>
  <c r="Z12" i="1"/>
  <c r="Y12" i="1"/>
  <c r="X12" i="1"/>
  <c r="W12" i="1"/>
  <c r="V12" i="1"/>
  <c r="U12" i="1"/>
  <c r="T12" i="1"/>
  <c r="S12" i="1"/>
  <c r="R12" i="1"/>
  <c r="Q12" i="1"/>
  <c r="P12" i="1"/>
  <c r="O12" i="1"/>
  <c r="Z11" i="1"/>
  <c r="Y11" i="1"/>
  <c r="X11" i="1"/>
  <c r="W11" i="1"/>
  <c r="V11" i="1"/>
  <c r="U11" i="1"/>
  <c r="T11" i="1"/>
  <c r="S11" i="1"/>
  <c r="R11" i="1"/>
  <c r="Q11" i="1"/>
  <c r="P11" i="1"/>
  <c r="O11" i="1"/>
  <c r="Z10" i="1"/>
  <c r="Y10" i="1"/>
  <c r="X10" i="1"/>
  <c r="W10" i="1"/>
  <c r="V10" i="1"/>
  <c r="U10" i="1"/>
  <c r="T10" i="1"/>
  <c r="S10" i="1"/>
  <c r="R10" i="1"/>
  <c r="Q10" i="1"/>
  <c r="P10" i="1"/>
  <c r="O10" i="1"/>
  <c r="Z9" i="1"/>
  <c r="Y9" i="1"/>
  <c r="X9" i="1"/>
  <c r="W9" i="1"/>
  <c r="V9" i="1"/>
  <c r="U9" i="1"/>
  <c r="T9" i="1"/>
  <c r="S9" i="1"/>
  <c r="R9" i="1"/>
  <c r="Q9" i="1"/>
  <c r="P9" i="1"/>
  <c r="O9" i="1"/>
  <c r="Z8" i="1"/>
  <c r="Y8" i="1"/>
  <c r="X8" i="1"/>
  <c r="W8" i="1"/>
  <c r="V8" i="1"/>
  <c r="U8" i="1"/>
  <c r="T8" i="1"/>
  <c r="S8" i="1"/>
  <c r="R8" i="1"/>
  <c r="Q8" i="1"/>
  <c r="P8" i="1"/>
  <c r="O8" i="1"/>
  <c r="Z7" i="1"/>
  <c r="Y7" i="1"/>
  <c r="X7" i="1"/>
  <c r="W7" i="1"/>
  <c r="V7" i="1"/>
  <c r="U7" i="1"/>
  <c r="T7" i="1"/>
  <c r="S7" i="1"/>
  <c r="R7" i="1"/>
  <c r="Q7" i="1"/>
  <c r="P7" i="1"/>
  <c r="O7" i="1"/>
  <c r="Z6" i="1"/>
  <c r="Y6" i="1"/>
  <c r="X6" i="1"/>
  <c r="W6" i="1"/>
  <c r="V6" i="1"/>
  <c r="U6" i="1"/>
  <c r="T6" i="1"/>
  <c r="S6" i="1"/>
  <c r="R6" i="1"/>
  <c r="Q6" i="1"/>
  <c r="P6" i="1"/>
  <c r="O6" i="1"/>
  <c r="Z5" i="1"/>
  <c r="Y5" i="1"/>
  <c r="X5" i="1"/>
  <c r="W5" i="1"/>
  <c r="V5" i="1"/>
  <c r="U5" i="1"/>
  <c r="T5" i="1"/>
  <c r="S5" i="1"/>
  <c r="R5" i="1"/>
  <c r="Q5" i="1"/>
  <c r="P5" i="1"/>
  <c r="O5" i="1"/>
  <c r="Z4" i="1"/>
  <c r="Y4" i="1"/>
  <c r="X4" i="1"/>
  <c r="W4" i="1"/>
  <c r="V4" i="1"/>
  <c r="U4" i="1"/>
  <c r="T4" i="1"/>
  <c r="S4" i="1"/>
  <c r="R4" i="1"/>
  <c r="Q4" i="1"/>
  <c r="P4" i="1"/>
  <c r="O4" i="1"/>
</calcChain>
</file>

<file path=xl/sharedStrings.xml><?xml version="1.0" encoding="utf-8"?>
<sst xmlns="http://schemas.openxmlformats.org/spreadsheetml/2006/main" count="3594" uniqueCount="1413">
  <si>
    <t>Oslo Shares - Referential data</t>
  </si>
  <si>
    <t/>
  </si>
  <si>
    <t>At 21 February 2025</t>
  </si>
  <si>
    <t>CVALBDM</t>
  </si>
  <si>
    <t>ISIN code</t>
  </si>
  <si>
    <t>Euronext code</t>
  </si>
  <si>
    <t>Symbol index</t>
  </si>
  <si>
    <t>Mnemonic</t>
  </si>
  <si>
    <t>Market place</t>
  </si>
  <si>
    <t>MIC</t>
  </si>
  <si>
    <t>Trading group</t>
  </si>
  <si>
    <t>Name</t>
  </si>
  <si>
    <t>Product type</t>
  </si>
  <si>
    <t>Trading currency</t>
  </si>
  <si>
    <t>ICB code</t>
  </si>
  <si>
    <t>Number of issued securities</t>
  </si>
  <si>
    <t>Market cap in trading currency</t>
  </si>
  <si>
    <t>Minimum date</t>
  </si>
  <si>
    <t>Maximum date</t>
  </si>
  <si>
    <t>Days listed 12 months
22-Feb-2024 / 21-Feb-2025</t>
  </si>
  <si>
    <t>Days listed 6 months
22-Aug-2024 / 21-Feb-2025</t>
  </si>
  <si>
    <t>12 months
22-Feb-2024 / 21-Feb-2025</t>
  </si>
  <si>
    <t>6 months
22-Aug-2024 / 21-Feb-2025</t>
  </si>
  <si>
    <r>
      <rPr>
        <b/>
        <sz val="9"/>
        <color rgb="FFFFFFFF"/>
        <rFont val="Calibri"/>
        <family val="2"/>
      </rPr>
      <t xml:space="preserve">Total value 12 months
</t>
    </r>
    <r>
      <rPr>
        <b/>
        <sz val="9"/>
        <color rgb="FFFFFFFF"/>
        <rFont val="Calibri"/>
        <family val="2"/>
      </rPr>
      <t>(excluding top 12 days)</t>
    </r>
  </si>
  <si>
    <r>
      <rPr>
        <b/>
        <sz val="9"/>
        <color rgb="FFFFFFFF"/>
        <rFont val="Calibri"/>
        <family val="2"/>
      </rPr>
      <t xml:space="preserve">Total value 6 months
</t>
    </r>
    <r>
      <rPr>
        <b/>
        <sz val="9"/>
        <color rgb="FFFFFFFF"/>
        <rFont val="Calibri"/>
        <family val="2"/>
      </rPr>
      <t>(excluding top 6 days)</t>
    </r>
  </si>
  <si>
    <t>Total value 12 months
22-Feb-2024 / 21-Feb-2025</t>
  </si>
  <si>
    <t>Top 12 days (12 months)</t>
  </si>
  <si>
    <t>Total value 6 months
22-Aug-2024 / 21-Feb-2025</t>
  </si>
  <si>
    <t>Top 6 days (6 months)</t>
  </si>
  <si>
    <t>NO0012953720</t>
  </si>
  <si>
    <t xml:space="preserve">0003490531  </t>
  </si>
  <si>
    <t xml:space="preserve">HUNT        </t>
  </si>
  <si>
    <t>Oslo</t>
  </si>
  <si>
    <t>XOAS</t>
  </si>
  <si>
    <t>OD</t>
  </si>
  <si>
    <t>HUNTER GROUP</t>
  </si>
  <si>
    <t xml:space="preserve">Share             </t>
  </si>
  <si>
    <t>NOK</t>
  </si>
  <si>
    <t>60101030</t>
  </si>
  <si>
    <t>NO0013457952</t>
  </si>
  <si>
    <t xml:space="preserve">0004123986  </t>
  </si>
  <si>
    <t xml:space="preserve">OBSRV       </t>
  </si>
  <si>
    <t>OBSERVE MEDICAL</t>
  </si>
  <si>
    <t>20102010</t>
  </si>
  <si>
    <t>NO0010833262</t>
  </si>
  <si>
    <t xml:space="preserve">0002269191  </t>
  </si>
  <si>
    <t xml:space="preserve">KCC         </t>
  </si>
  <si>
    <t>XOSL</t>
  </si>
  <si>
    <t>OH</t>
  </si>
  <si>
    <t>KLAVENESS COMBINAT</t>
  </si>
  <si>
    <t>50206030</t>
  </si>
  <si>
    <t>NO0010815673</t>
  </si>
  <si>
    <t xml:space="preserve">0002269193  </t>
  </si>
  <si>
    <t xml:space="preserve">ELMRA       </t>
  </si>
  <si>
    <t>OC</t>
  </si>
  <si>
    <t>ELMERA GROUP</t>
  </si>
  <si>
    <t>65101015</t>
  </si>
  <si>
    <t>NO0010808405</t>
  </si>
  <si>
    <t xml:space="preserve">0002269194  </t>
  </si>
  <si>
    <t xml:space="preserve">ROMER       </t>
  </si>
  <si>
    <t>MERK</t>
  </si>
  <si>
    <t>O9</t>
  </si>
  <si>
    <t>ROMERIKE SPAREBK</t>
  </si>
  <si>
    <t>Depositary Receipt</t>
  </si>
  <si>
    <t>99999999</t>
  </si>
  <si>
    <t>NO0010791353</t>
  </si>
  <si>
    <t xml:space="preserve">0002269195  </t>
  </si>
  <si>
    <t xml:space="preserve">MPCC        </t>
  </si>
  <si>
    <t>OA</t>
  </si>
  <si>
    <t>MPC CONTAINER SHIP</t>
  </si>
  <si>
    <t>NO0013464750</t>
  </si>
  <si>
    <t xml:space="preserve">0004133980  </t>
  </si>
  <si>
    <t xml:space="preserve">ASA         </t>
  </si>
  <si>
    <t>ATLANTIC SAPPHIRE</t>
  </si>
  <si>
    <t>45102010</t>
  </si>
  <si>
    <t>NO0010755101</t>
  </si>
  <si>
    <t xml:space="preserve">0002269197  </t>
  </si>
  <si>
    <t xml:space="preserve">BSP         </t>
  </si>
  <si>
    <t>BLACK SEA PROPERTY</t>
  </si>
  <si>
    <t>40202010</t>
  </si>
  <si>
    <t>NO0010636491</t>
  </si>
  <si>
    <t xml:space="preserve">0002269200  </t>
  </si>
  <si>
    <t xml:space="preserve">GRONG       </t>
  </si>
  <si>
    <t>GRONG SPAREBANK</t>
  </si>
  <si>
    <t>MHY641771016</t>
  </si>
  <si>
    <t xml:space="preserve">0002269201  </t>
  </si>
  <si>
    <t xml:space="preserve">OET         </t>
  </si>
  <si>
    <t>OKEANIS ECO TANKER</t>
  </si>
  <si>
    <t>SGXZ53070850</t>
  </si>
  <si>
    <t xml:space="preserve">0004022515  </t>
  </si>
  <si>
    <t xml:space="preserve">HAFNI       </t>
  </si>
  <si>
    <t>OF</t>
  </si>
  <si>
    <t>HAFNIA LIMITED</t>
  </si>
  <si>
    <t>NO0010810476</t>
  </si>
  <si>
    <t xml:space="preserve">0002272557  </t>
  </si>
  <si>
    <t xml:space="preserve">BALT        </t>
  </si>
  <si>
    <t>BALTIC SEA PROP</t>
  </si>
  <si>
    <t>35101010</t>
  </si>
  <si>
    <t>NO0012861683</t>
  </si>
  <si>
    <t xml:space="preserve">0003355994  </t>
  </si>
  <si>
    <t xml:space="preserve">AIX         </t>
  </si>
  <si>
    <t>AYFIE INTERNATIONA</t>
  </si>
  <si>
    <t>50205020</t>
  </si>
  <si>
    <t>NO0010762792</t>
  </si>
  <si>
    <t xml:space="preserve">0002272648  </t>
  </si>
  <si>
    <t xml:space="preserve">INSTA       </t>
  </si>
  <si>
    <t>INSTABANK</t>
  </si>
  <si>
    <t>30101010</t>
  </si>
  <si>
    <t>NO0010759988</t>
  </si>
  <si>
    <t xml:space="preserve">0002272729  </t>
  </si>
  <si>
    <t xml:space="preserve">ROMSB       </t>
  </si>
  <si>
    <t>ROMSDAL SPAREBANK</t>
  </si>
  <si>
    <t>NO0010748866</t>
  </si>
  <si>
    <t xml:space="preserve">0002272732  </t>
  </si>
  <si>
    <t xml:space="preserve">GENT        </t>
  </si>
  <si>
    <t>GENTIAN DIAGNOSTIC</t>
  </si>
  <si>
    <t>20103010</t>
  </si>
  <si>
    <t>NO0010733082</t>
  </si>
  <si>
    <t xml:space="preserve">0002272733  </t>
  </si>
  <si>
    <t xml:space="preserve">NISB        </t>
  </si>
  <si>
    <t>NIDAROS SPAREBANK</t>
  </si>
  <si>
    <t>NO0010731615</t>
  </si>
  <si>
    <t xml:space="preserve">0002272735  </t>
  </si>
  <si>
    <t xml:space="preserve">TYSB        </t>
  </si>
  <si>
    <t>TYSNES SPAREBANK</t>
  </si>
  <si>
    <t>NO0010721277</t>
  </si>
  <si>
    <t xml:space="preserve">0002272736  </t>
  </si>
  <si>
    <t xml:space="preserve">ZWIPE       </t>
  </si>
  <si>
    <t>O8</t>
  </si>
  <si>
    <t>ZWIPE</t>
  </si>
  <si>
    <t>50202025</t>
  </si>
  <si>
    <t>NO0010672900</t>
  </si>
  <si>
    <t xml:space="preserve">0002272737  </t>
  </si>
  <si>
    <t xml:space="preserve">SUNSB       </t>
  </si>
  <si>
    <t>SUNNDAL SPAREBANK</t>
  </si>
  <si>
    <t>NO0010672181</t>
  </si>
  <si>
    <t xml:space="preserve">0002272738  </t>
  </si>
  <si>
    <t xml:space="preserve">AASB        </t>
  </si>
  <si>
    <t>AASEN SPAREBANK</t>
  </si>
  <si>
    <t>NO0013355859</t>
  </si>
  <si>
    <t xml:space="preserve">0004016629  </t>
  </si>
  <si>
    <t xml:space="preserve">LIFE        </t>
  </si>
  <si>
    <t>LIFECARE</t>
  </si>
  <si>
    <t>NO0010536048</t>
  </si>
  <si>
    <t xml:space="preserve">0002272740  </t>
  </si>
  <si>
    <t xml:space="preserve">INDCT       </t>
  </si>
  <si>
    <t>INDUCT</t>
  </si>
  <si>
    <t>10101015</t>
  </si>
  <si>
    <t>MT0001710103</t>
  </si>
  <si>
    <t xml:space="preserve">0002272742  </t>
  </si>
  <si>
    <t xml:space="preserve">RIVER       </t>
  </si>
  <si>
    <t>RIVER TECH</t>
  </si>
  <si>
    <t>CY0108052115</t>
  </si>
  <si>
    <t xml:space="preserve">0002272744  </t>
  </si>
  <si>
    <t xml:space="preserve">ADS         </t>
  </si>
  <si>
    <t>ADS MARITIME HOLD</t>
  </si>
  <si>
    <t>CA98936C8584</t>
  </si>
  <si>
    <t xml:space="preserve">0003589797  </t>
  </si>
  <si>
    <t xml:space="preserve">ZENA        </t>
  </si>
  <si>
    <t>ZENITH ENERGY</t>
  </si>
  <si>
    <t>60101010</t>
  </si>
  <si>
    <t>NO0010890965</t>
  </si>
  <si>
    <t xml:space="preserve">0002272747  </t>
  </si>
  <si>
    <t xml:space="preserve">BEWI        </t>
  </si>
  <si>
    <t>BEWI</t>
  </si>
  <si>
    <t>50203030</t>
  </si>
  <si>
    <t>NO0010890304</t>
  </si>
  <si>
    <t xml:space="preserve">0002272749  </t>
  </si>
  <si>
    <t xml:space="preserve">ACC         </t>
  </si>
  <si>
    <t>AKER CARBON CAPTUR</t>
  </si>
  <si>
    <t>50202030</t>
  </si>
  <si>
    <t>NO0010886625</t>
  </si>
  <si>
    <t xml:space="preserve">0002272750  </t>
  </si>
  <si>
    <t xml:space="preserve">AKBM        </t>
  </si>
  <si>
    <t>AKER BIOMARINE</t>
  </si>
  <si>
    <t>NO0010884794</t>
  </si>
  <si>
    <t xml:space="preserve">0002272751  </t>
  </si>
  <si>
    <t xml:space="preserve">KLDVK       </t>
  </si>
  <si>
    <t>KALDVIK</t>
  </si>
  <si>
    <t>NO0012548819</t>
  </si>
  <si>
    <t xml:space="preserve">0003008357  </t>
  </si>
  <si>
    <t xml:space="preserve">SPIR        </t>
  </si>
  <si>
    <t>SPIR GROUP</t>
  </si>
  <si>
    <t>NO0010876642</t>
  </si>
  <si>
    <t xml:space="preserve">0002272753  </t>
  </si>
  <si>
    <t xml:space="preserve">CLOUD       </t>
  </si>
  <si>
    <t>CLOUDBERRY CLEAN</t>
  </si>
  <si>
    <t>65101010</t>
  </si>
  <si>
    <t>NO0010864036</t>
  </si>
  <si>
    <t xml:space="preserve">0002272754  </t>
  </si>
  <si>
    <t xml:space="preserve">ININ        </t>
  </si>
  <si>
    <t>ININ GROUP</t>
  </si>
  <si>
    <t>NO0010852213</t>
  </si>
  <si>
    <t xml:space="preserve">0002272755  </t>
  </si>
  <si>
    <t xml:space="preserve">EXTX        </t>
  </si>
  <si>
    <t>EXACT THERAPEUTICS</t>
  </si>
  <si>
    <t>NO0010829765</t>
  </si>
  <si>
    <t xml:space="preserve">0002272756  </t>
  </si>
  <si>
    <t xml:space="preserve">ANDF        </t>
  </si>
  <si>
    <t>ANDFJORD SALMON GR</t>
  </si>
  <si>
    <t>NO0013228585</t>
  </si>
  <si>
    <t xml:space="preserve">0003864286  </t>
  </si>
  <si>
    <t xml:space="preserve">GEOS        </t>
  </si>
  <si>
    <t>GOLDEN ENERGY OFF</t>
  </si>
  <si>
    <t>NO0010811961</t>
  </si>
  <si>
    <t xml:space="preserve">0002272758  </t>
  </si>
  <si>
    <t xml:space="preserve">SOFTX       </t>
  </si>
  <si>
    <t>SOFTOX SOLUTIONS</t>
  </si>
  <si>
    <t>NO0010778095</t>
  </si>
  <si>
    <t xml:space="preserve">0002272759  </t>
  </si>
  <si>
    <t xml:space="preserve">AQUIL       </t>
  </si>
  <si>
    <t>AQUILA HOLDINGS</t>
  </si>
  <si>
    <t>NO0012958539</t>
  </si>
  <si>
    <t xml:space="preserve">0003503953  </t>
  </si>
  <si>
    <t xml:space="preserve">NOFIN       </t>
  </si>
  <si>
    <t>O7</t>
  </si>
  <si>
    <t>NORDIC FINANCIALS</t>
  </si>
  <si>
    <t>30202000</t>
  </si>
  <si>
    <t>NO0010607971</t>
  </si>
  <si>
    <t xml:space="preserve">0002272761  </t>
  </si>
  <si>
    <t xml:space="preserve">ALNG        </t>
  </si>
  <si>
    <t>AWILCO LNG</t>
  </si>
  <si>
    <t>NO0010607781</t>
  </si>
  <si>
    <t xml:space="preserve">0002272762  </t>
  </si>
  <si>
    <t xml:space="preserve">EAM         </t>
  </si>
  <si>
    <t>O3</t>
  </si>
  <si>
    <t>EAM SOLAR</t>
  </si>
  <si>
    <t>NO0010598683</t>
  </si>
  <si>
    <t xml:space="preserve">0002272763  </t>
  </si>
  <si>
    <t xml:space="preserve">HBC         </t>
  </si>
  <si>
    <t>HOFSETH BIOCARE</t>
  </si>
  <si>
    <t>45102020</t>
  </si>
  <si>
    <t>NO0010572589</t>
  </si>
  <si>
    <t xml:space="preserve">0002272764  </t>
  </si>
  <si>
    <t xml:space="preserve">SAGA        </t>
  </si>
  <si>
    <t>SAGA PURE</t>
  </si>
  <si>
    <t>NO0010550056</t>
  </si>
  <si>
    <t xml:space="preserve">0002272765  </t>
  </si>
  <si>
    <t xml:space="preserve">NORTH       </t>
  </si>
  <si>
    <t>NORTH ENERGY</t>
  </si>
  <si>
    <t>NO0010395577</t>
  </si>
  <si>
    <t xml:space="preserve">0002272766  </t>
  </si>
  <si>
    <t xml:space="preserve">PHLY        </t>
  </si>
  <si>
    <t>PHILLY SHIPYARD</t>
  </si>
  <si>
    <t>NO0013162693</t>
  </si>
  <si>
    <t xml:space="preserve">0003785665  </t>
  </si>
  <si>
    <t xml:space="preserve">NOM         </t>
  </si>
  <si>
    <t>NORDIC MINING</t>
  </si>
  <si>
    <t>55102000</t>
  </si>
  <si>
    <t>NO0010307135</t>
  </si>
  <si>
    <t xml:space="preserve">0002272768  </t>
  </si>
  <si>
    <t xml:space="preserve">ABTEC       </t>
  </si>
  <si>
    <t>AQUA BIO TECHNO</t>
  </si>
  <si>
    <t>45201020</t>
  </si>
  <si>
    <t>DK0060945467</t>
  </si>
  <si>
    <t xml:space="preserve">0002272770  </t>
  </si>
  <si>
    <t xml:space="preserve">5PG         </t>
  </si>
  <si>
    <t>5TH PLANET GAMES</t>
  </si>
  <si>
    <t>40203045</t>
  </si>
  <si>
    <t>BMG9156K1018</t>
  </si>
  <si>
    <t xml:space="preserve">0002272771  </t>
  </si>
  <si>
    <t xml:space="preserve">2020        </t>
  </si>
  <si>
    <t>2020 BULKERS</t>
  </si>
  <si>
    <t>BMG763301022</t>
  </si>
  <si>
    <t xml:space="preserve">0002272772  </t>
  </si>
  <si>
    <t xml:space="preserve">ROM         </t>
  </si>
  <si>
    <t>ROMREAL</t>
  </si>
  <si>
    <t>NO0010856511</t>
  </si>
  <si>
    <t xml:space="preserve">0002272774  </t>
  </si>
  <si>
    <t xml:space="preserve">NORBT       </t>
  </si>
  <si>
    <t>NORBIT</t>
  </si>
  <si>
    <t>50202040</t>
  </si>
  <si>
    <t>NO0010851603</t>
  </si>
  <si>
    <t xml:space="preserve">0002272775  </t>
  </si>
  <si>
    <t xml:space="preserve">ULTI        </t>
  </si>
  <si>
    <t>ULTIMOVACS</t>
  </si>
  <si>
    <t>NO0010816895</t>
  </si>
  <si>
    <t xml:space="preserve">0002272776  </t>
  </si>
  <si>
    <t xml:space="preserve">OKEA        </t>
  </si>
  <si>
    <t>OKEA</t>
  </si>
  <si>
    <t>NO0010751910</t>
  </si>
  <si>
    <t xml:space="preserve">0002272777  </t>
  </si>
  <si>
    <t xml:space="preserve">SPOL        </t>
  </si>
  <si>
    <t>SPBK 1 ØSTLANDET</t>
  </si>
  <si>
    <t>NO0010708068</t>
  </si>
  <si>
    <t xml:space="preserve">0002272780  </t>
  </si>
  <si>
    <t xml:space="preserve">VOW         </t>
  </si>
  <si>
    <t>VOW</t>
  </si>
  <si>
    <t>50204000</t>
  </si>
  <si>
    <t>NO0010691660</t>
  </si>
  <si>
    <t xml:space="preserve">0002272790  </t>
  </si>
  <si>
    <t xml:space="preserve">SNOR        </t>
  </si>
  <si>
    <t>SPBK 1 NORDMØRE</t>
  </si>
  <si>
    <t>NO0010609662</t>
  </si>
  <si>
    <t xml:space="preserve">0002272791  </t>
  </si>
  <si>
    <t xml:space="preserve">WSTEP       </t>
  </si>
  <si>
    <t>WEBSTEP</t>
  </si>
  <si>
    <t>10101010</t>
  </si>
  <si>
    <t>NO0010466022</t>
  </si>
  <si>
    <t xml:space="preserve">0002272792  </t>
  </si>
  <si>
    <t xml:space="preserve">POL         </t>
  </si>
  <si>
    <t>OG</t>
  </si>
  <si>
    <t>POLARIS MEDIA</t>
  </si>
  <si>
    <t>40301030</t>
  </si>
  <si>
    <t>NO0010359433</t>
  </si>
  <si>
    <t xml:space="preserve">0002272796  </t>
  </si>
  <si>
    <t xml:space="preserve">JAREN       </t>
  </si>
  <si>
    <t>JÆREN SPAREBANK</t>
  </si>
  <si>
    <t>NO0012535832</t>
  </si>
  <si>
    <t xml:space="preserve">0002986672  </t>
  </si>
  <si>
    <t xml:space="preserve">PLT         </t>
  </si>
  <si>
    <t>POLIGHT</t>
  </si>
  <si>
    <t>10102015</t>
  </si>
  <si>
    <t>NO0010029804</t>
  </si>
  <si>
    <t xml:space="preserve">0002272826  </t>
  </si>
  <si>
    <t xml:space="preserve">HELG        </t>
  </si>
  <si>
    <t>SPBK1 HELGELAND</t>
  </si>
  <si>
    <t>NO0010012636</t>
  </si>
  <si>
    <t xml:space="preserve">0002272827  </t>
  </si>
  <si>
    <t xml:space="preserve">HSPG        </t>
  </si>
  <si>
    <t>HØLAND OG SETSKOG</t>
  </si>
  <si>
    <t>NO0006390400</t>
  </si>
  <si>
    <t xml:space="preserve">0002272828  </t>
  </si>
  <si>
    <t xml:space="preserve">RING        </t>
  </si>
  <si>
    <t>SPBK1 RINGERIKE</t>
  </si>
  <si>
    <t>NO0012483207</t>
  </si>
  <si>
    <t xml:space="preserve">0002904024  </t>
  </si>
  <si>
    <t xml:space="preserve">MORG        </t>
  </si>
  <si>
    <t>SPAREBANKEN MØRE</t>
  </si>
  <si>
    <t>NO0006222009</t>
  </si>
  <si>
    <t xml:space="preserve">0002272830  </t>
  </si>
  <si>
    <t xml:space="preserve">SPOG        </t>
  </si>
  <si>
    <t>SPAREBANKEN ØST</t>
  </si>
  <si>
    <t>NO0006001908</t>
  </si>
  <si>
    <t xml:space="preserve">0002272831  </t>
  </si>
  <si>
    <t xml:space="preserve">MELG        </t>
  </si>
  <si>
    <t>MELHUS SPAREBANK</t>
  </si>
  <si>
    <t>NO0006001809</t>
  </si>
  <si>
    <t xml:space="preserve">0002272832  </t>
  </si>
  <si>
    <t xml:space="preserve">SKUE        </t>
  </si>
  <si>
    <t>SKUE SPAREBANK</t>
  </si>
  <si>
    <t>NO0006001601</t>
  </si>
  <si>
    <t xml:space="preserve">0002272833  </t>
  </si>
  <si>
    <t xml:space="preserve">AURG        </t>
  </si>
  <si>
    <t>AURSKOG SPAREBANK</t>
  </si>
  <si>
    <t>NO0006001502</t>
  </si>
  <si>
    <t xml:space="preserve">0002272834  </t>
  </si>
  <si>
    <t xml:space="preserve">SOR         </t>
  </si>
  <si>
    <t>SPAREBANKEN SØR</t>
  </si>
  <si>
    <t>NO0006001007</t>
  </si>
  <si>
    <t xml:space="preserve">0002272836  </t>
  </si>
  <si>
    <t xml:space="preserve">ROGS        </t>
  </si>
  <si>
    <t>ROGALAND SPAREBANK</t>
  </si>
  <si>
    <t>NO0006000603</t>
  </si>
  <si>
    <t xml:space="preserve">0002272837  </t>
  </si>
  <si>
    <t xml:space="preserve">SOGN        </t>
  </si>
  <si>
    <t>SOGN SPAREBANK</t>
  </si>
  <si>
    <t>NO0004288200</t>
  </si>
  <si>
    <t xml:space="preserve">0002272839  </t>
  </si>
  <si>
    <t xml:space="preserve">GYL         </t>
  </si>
  <si>
    <t>GYLDENDAL</t>
  </si>
  <si>
    <t>NO0003025009</t>
  </si>
  <si>
    <t xml:space="preserve">0002272840  </t>
  </si>
  <si>
    <t xml:space="preserve">VVL         </t>
  </si>
  <si>
    <t>VOSS VEKSEL OGLAND</t>
  </si>
  <si>
    <t>BMG6682J1036</t>
  </si>
  <si>
    <t xml:space="preserve">0002272843  </t>
  </si>
  <si>
    <t xml:space="preserve">NOL         </t>
  </si>
  <si>
    <t>NORTHERN OCEAN LTD</t>
  </si>
  <si>
    <t>NO0010735681</t>
  </si>
  <si>
    <t xml:space="preserve">0002274131  </t>
  </si>
  <si>
    <t xml:space="preserve">PPG         </t>
  </si>
  <si>
    <t>PIONEER PROPERTY</t>
  </si>
  <si>
    <t xml:space="preserve">050               </t>
  </si>
  <si>
    <t>NO0003028904</t>
  </si>
  <si>
    <t xml:space="preserve">0002274159  </t>
  </si>
  <si>
    <t xml:space="preserve">SCHA        </t>
  </si>
  <si>
    <t>SCHIBSTED SER. A</t>
  </si>
  <si>
    <t>10101020</t>
  </si>
  <si>
    <t>NO0003021909</t>
  </si>
  <si>
    <t xml:space="preserve">0002274160  </t>
  </si>
  <si>
    <t xml:space="preserve">ABG         </t>
  </si>
  <si>
    <t>ABG SUNDAL COLLIER</t>
  </si>
  <si>
    <t>30202010</t>
  </si>
  <si>
    <t>LU0075646355</t>
  </si>
  <si>
    <t xml:space="preserve">0002274161  </t>
  </si>
  <si>
    <t xml:space="preserve">SUBC        </t>
  </si>
  <si>
    <t>SUBSEA 7</t>
  </si>
  <si>
    <t>KYG812291253</t>
  </si>
  <si>
    <t xml:space="preserve">0002529502  </t>
  </si>
  <si>
    <t xml:space="preserve">SEA1        </t>
  </si>
  <si>
    <t>Sea1 Offshore</t>
  </si>
  <si>
    <t>KYG236271055</t>
  </si>
  <si>
    <t xml:space="preserve">0002274164  </t>
  </si>
  <si>
    <t xml:space="preserve">SHLF        </t>
  </si>
  <si>
    <t>SHELF DRILLING</t>
  </si>
  <si>
    <t>NO0012785098</t>
  </si>
  <si>
    <t xml:space="preserve">0003267745  </t>
  </si>
  <si>
    <t xml:space="preserve">AWDR        </t>
  </si>
  <si>
    <t>AWILCO DRILLING</t>
  </si>
  <si>
    <t>60101015</t>
  </si>
  <si>
    <t>FO0000000179</t>
  </si>
  <si>
    <t xml:space="preserve">0002274168  </t>
  </si>
  <si>
    <t xml:space="preserve">BAKKA       </t>
  </si>
  <si>
    <t>BAKKAFROST</t>
  </si>
  <si>
    <t>FI0009000277</t>
  </si>
  <si>
    <t xml:space="preserve">0002274169  </t>
  </si>
  <si>
    <t xml:space="preserve">TIETO       </t>
  </si>
  <si>
    <t>TIETOEVRY</t>
  </si>
  <si>
    <t>DK0060520450</t>
  </si>
  <si>
    <t xml:space="preserve">0002274170  </t>
  </si>
  <si>
    <t xml:space="preserve">NAPA        </t>
  </si>
  <si>
    <t>NAPATECH</t>
  </si>
  <si>
    <t>15101010</t>
  </si>
  <si>
    <t>CY0102630916</t>
  </si>
  <si>
    <t xml:space="preserve">0002274172  </t>
  </si>
  <si>
    <t xml:space="preserve">PSE         </t>
  </si>
  <si>
    <t>PETROLIA</t>
  </si>
  <si>
    <t>CY0101550917</t>
  </si>
  <si>
    <t xml:space="preserve">0002274173  </t>
  </si>
  <si>
    <t xml:space="preserve">SDSD        </t>
  </si>
  <si>
    <t>S.D. STANDARD ETC</t>
  </si>
  <si>
    <t>CY0101162119</t>
  </si>
  <si>
    <t xml:space="preserve">0002274174  </t>
  </si>
  <si>
    <t xml:space="preserve">SBX         </t>
  </si>
  <si>
    <t>SEABIRD EXPLORAT</t>
  </si>
  <si>
    <t>CA74836K1003</t>
  </si>
  <si>
    <t xml:space="preserve">0002274175  </t>
  </si>
  <si>
    <t xml:space="preserve">QEC         </t>
  </si>
  <si>
    <t>QUESTERRE ENERGY</t>
  </si>
  <si>
    <t>BMG850801025</t>
  </si>
  <si>
    <t xml:space="preserve">0002274176  </t>
  </si>
  <si>
    <t xml:space="preserve">SNI         </t>
  </si>
  <si>
    <t>STOLT-NIELSEN</t>
  </si>
  <si>
    <t>BMG671801022</t>
  </si>
  <si>
    <t xml:space="preserve">0002274178  </t>
  </si>
  <si>
    <t xml:space="preserve">ODL         </t>
  </si>
  <si>
    <t>ODFJELL DRILLING</t>
  </si>
  <si>
    <t>BMG5137R1088</t>
  </si>
  <si>
    <t xml:space="preserve">0002274180  </t>
  </si>
  <si>
    <t xml:space="preserve">JIN         </t>
  </si>
  <si>
    <t>JINHUI SHIPP TRANS</t>
  </si>
  <si>
    <t>BMG396372051</t>
  </si>
  <si>
    <t xml:space="preserve">0002274182  </t>
  </si>
  <si>
    <t xml:space="preserve">GOGL        </t>
  </si>
  <si>
    <t>GOLDEN OCEAN GROUP</t>
  </si>
  <si>
    <t>CY0200352116</t>
  </si>
  <si>
    <t xml:space="preserve">0003295743  </t>
  </si>
  <si>
    <t xml:space="preserve">FRO         </t>
  </si>
  <si>
    <t>FRONTLINE</t>
  </si>
  <si>
    <t>BMG359472021</t>
  </si>
  <si>
    <t xml:space="preserve">0002274184  </t>
  </si>
  <si>
    <t xml:space="preserve">FLNG        </t>
  </si>
  <si>
    <t>FLEX LNG</t>
  </si>
  <si>
    <t>BMG1738J1247</t>
  </si>
  <si>
    <t xml:space="preserve">0002274185  </t>
  </si>
  <si>
    <t xml:space="preserve">BWO         </t>
  </si>
  <si>
    <t>BW OFFSHORE LTD</t>
  </si>
  <si>
    <t>SGXZ69436764</t>
  </si>
  <si>
    <t xml:space="preserve">0003918232  </t>
  </si>
  <si>
    <t xml:space="preserve">BWLPG       </t>
  </si>
  <si>
    <t>BW LPG</t>
  </si>
  <si>
    <t>BMG0702P1086</t>
  </si>
  <si>
    <t xml:space="preserve">0002274188  </t>
  </si>
  <si>
    <t xml:space="preserve">BWE         </t>
  </si>
  <si>
    <t>BW ENERGY LIMITED</t>
  </si>
  <si>
    <t>BMG067231032</t>
  </si>
  <si>
    <t xml:space="preserve">0002274189  </t>
  </si>
  <si>
    <t xml:space="preserve">AGAS        </t>
  </si>
  <si>
    <t>AVANCE GAS HOLDING</t>
  </si>
  <si>
    <t>BMG0451H2087</t>
  </si>
  <si>
    <t xml:space="preserve">0003848465  </t>
  </si>
  <si>
    <t xml:space="preserve">ARCH        </t>
  </si>
  <si>
    <t>ARCHER</t>
  </si>
  <si>
    <t>NO0004822503</t>
  </si>
  <si>
    <t xml:space="preserve">0002274191  </t>
  </si>
  <si>
    <t xml:space="preserve">ATEA        </t>
  </si>
  <si>
    <t>ATEA</t>
  </si>
  <si>
    <t>NO0003921009</t>
  </si>
  <si>
    <t xml:space="preserve">0002274192  </t>
  </si>
  <si>
    <t xml:space="preserve">DNO         </t>
  </si>
  <si>
    <t>DNO</t>
  </si>
  <si>
    <t>NO0003733800</t>
  </si>
  <si>
    <t xml:space="preserve">0002274193  </t>
  </si>
  <si>
    <t xml:space="preserve">ORK         </t>
  </si>
  <si>
    <t>ORKLA</t>
  </si>
  <si>
    <t>NO0003679102</t>
  </si>
  <si>
    <t xml:space="preserve">0002274194  </t>
  </si>
  <si>
    <t xml:space="preserve">NRC         </t>
  </si>
  <si>
    <t>NRC GROUP</t>
  </si>
  <si>
    <t>50101010</t>
  </si>
  <si>
    <t>NO0003572802</t>
  </si>
  <si>
    <t xml:space="preserve">0002274195  </t>
  </si>
  <si>
    <t xml:space="preserve">AFK         </t>
  </si>
  <si>
    <t>ARENDALS FOSSEKOMP</t>
  </si>
  <si>
    <t>NO0003399917</t>
  </si>
  <si>
    <t xml:space="preserve">0002274196  </t>
  </si>
  <si>
    <t xml:space="preserve">ODFB        </t>
  </si>
  <si>
    <t>ODFJELL SER. B</t>
  </si>
  <si>
    <t>NO0003399909</t>
  </si>
  <si>
    <t xml:space="preserve">0002274197  </t>
  </si>
  <si>
    <t xml:space="preserve">ODF         </t>
  </si>
  <si>
    <t>ODFJELL SER. A</t>
  </si>
  <si>
    <t>NO0003117202</t>
  </si>
  <si>
    <t xml:space="preserve">0002274198  </t>
  </si>
  <si>
    <t xml:space="preserve">REACH       </t>
  </si>
  <si>
    <t>REACH SUBSEA</t>
  </si>
  <si>
    <t>NO0013256180</t>
  </si>
  <si>
    <t xml:space="preserve">0003889287  </t>
  </si>
  <si>
    <t xml:space="preserve">BOR         </t>
  </si>
  <si>
    <t>BORGESTAD</t>
  </si>
  <si>
    <t>NO0003110603</t>
  </si>
  <si>
    <t xml:space="preserve">0002274200  </t>
  </si>
  <si>
    <t xml:space="preserve">BONHR       </t>
  </si>
  <si>
    <t>BONHEUR</t>
  </si>
  <si>
    <t>50203000</t>
  </si>
  <si>
    <t>NO0012861667</t>
  </si>
  <si>
    <t xml:space="preserve">0003358939  </t>
  </si>
  <si>
    <t xml:space="preserve">ARR         </t>
  </si>
  <si>
    <t>ARRIBATEC GROUP</t>
  </si>
  <si>
    <t>40202015</t>
  </si>
  <si>
    <t>NO0003097503</t>
  </si>
  <si>
    <t xml:space="preserve">0002274204  </t>
  </si>
  <si>
    <t xml:space="preserve">AKVA        </t>
  </si>
  <si>
    <t>AKVA GROUP</t>
  </si>
  <si>
    <t>NO0003096208</t>
  </si>
  <si>
    <t xml:space="preserve">0002274205  </t>
  </si>
  <si>
    <t xml:space="preserve">LSG         </t>
  </si>
  <si>
    <t>LERØY SEAFOOD GP</t>
  </si>
  <si>
    <t>NO0012916131</t>
  </si>
  <si>
    <t xml:space="preserve">0003435985  </t>
  </si>
  <si>
    <t xml:space="preserve">TECH        </t>
  </si>
  <si>
    <t>TECHSTEP</t>
  </si>
  <si>
    <t>NO0003094104</t>
  </si>
  <si>
    <t xml:space="preserve">0002274207  </t>
  </si>
  <si>
    <t xml:space="preserve">BELCO       </t>
  </si>
  <si>
    <t>BELSHIPS</t>
  </si>
  <si>
    <t>NO0003087603</t>
  </si>
  <si>
    <t xml:space="preserve">0002274208  </t>
  </si>
  <si>
    <t xml:space="preserve">BMA         </t>
  </si>
  <si>
    <t>BYGGMA</t>
  </si>
  <si>
    <t>50101035</t>
  </si>
  <si>
    <t>NO0003080608</t>
  </si>
  <si>
    <t xml:space="preserve">0002274209  </t>
  </si>
  <si>
    <t xml:space="preserve">SOFF        </t>
  </si>
  <si>
    <t>SOLSTAD OFFSHORE</t>
  </si>
  <si>
    <t>NO0003079709</t>
  </si>
  <si>
    <t xml:space="preserve">0002274210  </t>
  </si>
  <si>
    <t xml:space="preserve">KIT         </t>
  </si>
  <si>
    <t>KITRON</t>
  </si>
  <si>
    <t>NO0003078800</t>
  </si>
  <si>
    <t xml:space="preserve">0002274211  </t>
  </si>
  <si>
    <t xml:space="preserve">TGS         </t>
  </si>
  <si>
    <t>TGS</t>
  </si>
  <si>
    <t>NO0003078107</t>
  </si>
  <si>
    <t xml:space="preserve">0002274212  </t>
  </si>
  <si>
    <t xml:space="preserve">AFG         </t>
  </si>
  <si>
    <t>AF GRUPPEN</t>
  </si>
  <si>
    <t>NO0013107490</t>
  </si>
  <si>
    <t xml:space="preserve">0003707180  </t>
  </si>
  <si>
    <t xml:space="preserve">IDEX        </t>
  </si>
  <si>
    <t>IDEX BIOMETRICS</t>
  </si>
  <si>
    <t>50202020</t>
  </si>
  <si>
    <t>NO0003067902</t>
  </si>
  <si>
    <t xml:space="preserve">0002274214  </t>
  </si>
  <si>
    <t xml:space="preserve">HEX         </t>
  </si>
  <si>
    <t>HEXAGON COMPOSITES</t>
  </si>
  <si>
    <t>60102010</t>
  </si>
  <si>
    <t>NO0003055501</t>
  </si>
  <si>
    <t xml:space="preserve">0002274216  </t>
  </si>
  <si>
    <t xml:space="preserve">NOD         </t>
  </si>
  <si>
    <t>NORDIC SEMICONDUC</t>
  </si>
  <si>
    <t>10102010</t>
  </si>
  <si>
    <t>NO0003054108</t>
  </si>
  <si>
    <t xml:space="preserve">0002274217  </t>
  </si>
  <si>
    <t xml:space="preserve">MOWI        </t>
  </si>
  <si>
    <t>MOWI</t>
  </si>
  <si>
    <t>NO0003053605</t>
  </si>
  <si>
    <t xml:space="preserve">0002274218  </t>
  </si>
  <si>
    <t xml:space="preserve">STB         </t>
  </si>
  <si>
    <t>STOREBRAND</t>
  </si>
  <si>
    <t>30301010</t>
  </si>
  <si>
    <t>NO0003053308</t>
  </si>
  <si>
    <t xml:space="preserve">0002274219  </t>
  </si>
  <si>
    <t xml:space="preserve">SCANA       </t>
  </si>
  <si>
    <t>SCANA</t>
  </si>
  <si>
    <t>NO0003049405</t>
  </si>
  <si>
    <t xml:space="preserve">0002274220  </t>
  </si>
  <si>
    <t xml:space="preserve">NKR         </t>
  </si>
  <si>
    <t>NEKKAR</t>
  </si>
  <si>
    <t>50204020</t>
  </si>
  <si>
    <t>NO0003043309</t>
  </si>
  <si>
    <t xml:space="preserve">0002274221  </t>
  </si>
  <si>
    <t xml:space="preserve">KOG         </t>
  </si>
  <si>
    <t>KONGSBERG GRUPPEN</t>
  </si>
  <si>
    <t>NO0003033102</t>
  </si>
  <si>
    <t xml:space="preserve">0002274222  </t>
  </si>
  <si>
    <t xml:space="preserve">KOA         </t>
  </si>
  <si>
    <t>KONGSBERG AUTOMOT</t>
  </si>
  <si>
    <t>40101025</t>
  </si>
  <si>
    <t>NO0010257728</t>
  </si>
  <si>
    <t xml:space="preserve">0002274223  </t>
  </si>
  <si>
    <t xml:space="preserve">HAVI        </t>
  </si>
  <si>
    <t>HAVILA SHIPPING</t>
  </si>
  <si>
    <t>NO0010234552</t>
  </si>
  <si>
    <t xml:space="preserve">0002274224  </t>
  </si>
  <si>
    <t xml:space="preserve">AKER        </t>
  </si>
  <si>
    <t>AKER</t>
  </si>
  <si>
    <t>NO0010215684</t>
  </si>
  <si>
    <t xml:space="preserve">0002274225  </t>
  </si>
  <si>
    <t xml:space="preserve">AKAST       </t>
  </si>
  <si>
    <t>AKASTOR</t>
  </si>
  <si>
    <t>NO0010209331</t>
  </si>
  <si>
    <t xml:space="preserve">0002274226  </t>
  </si>
  <si>
    <t xml:space="preserve">PROT        </t>
  </si>
  <si>
    <t>PROTECTOR FORSIKRG</t>
  </si>
  <si>
    <t>30302010</t>
  </si>
  <si>
    <t>NO0010208051</t>
  </si>
  <si>
    <t xml:space="preserve">0002274227  </t>
  </si>
  <si>
    <t xml:space="preserve">YAR         </t>
  </si>
  <si>
    <t>YARA INTERNATIONAL</t>
  </si>
  <si>
    <t>55201015</t>
  </si>
  <si>
    <t>NO0010205966</t>
  </si>
  <si>
    <t xml:space="preserve">0002274228  </t>
  </si>
  <si>
    <t xml:space="preserve">NAVA        </t>
  </si>
  <si>
    <t>NAVAMEDIC</t>
  </si>
  <si>
    <t>20103015</t>
  </si>
  <si>
    <t>NO0010196140</t>
  </si>
  <si>
    <t xml:space="preserve">0002274230  </t>
  </si>
  <si>
    <t xml:space="preserve">NAS         </t>
  </si>
  <si>
    <t>NORWEGIAN AIR SHUT</t>
  </si>
  <si>
    <t>40501010</t>
  </si>
  <si>
    <t>NO0010187032</t>
  </si>
  <si>
    <t xml:space="preserve">0002274231  </t>
  </si>
  <si>
    <t xml:space="preserve">MGN         </t>
  </si>
  <si>
    <t>MAGNORA</t>
  </si>
  <si>
    <t>60102020</t>
  </si>
  <si>
    <t>NO0010159684</t>
  </si>
  <si>
    <t xml:space="preserve">0002274232  </t>
  </si>
  <si>
    <t xml:space="preserve">MEDI        </t>
  </si>
  <si>
    <t>MEDISTIM</t>
  </si>
  <si>
    <t>NO0010112675</t>
  </si>
  <si>
    <t xml:space="preserve">0002274234  </t>
  </si>
  <si>
    <t xml:space="preserve">RECSI       </t>
  </si>
  <si>
    <t>REC SILICON</t>
  </si>
  <si>
    <t>55201020</t>
  </si>
  <si>
    <t>NO0010098247</t>
  </si>
  <si>
    <t xml:space="preserve">0002274235  </t>
  </si>
  <si>
    <t xml:space="preserve">STRO        </t>
  </si>
  <si>
    <t>STRONGPOINT</t>
  </si>
  <si>
    <t>NO0010096985</t>
  </si>
  <si>
    <t xml:space="preserve">0002274236  </t>
  </si>
  <si>
    <t xml:space="preserve">EQNR        </t>
  </si>
  <si>
    <t>EQUINOR</t>
  </si>
  <si>
    <t>60101000</t>
  </si>
  <si>
    <t>NO0010081235</t>
  </si>
  <si>
    <t xml:space="preserve">0002274237  </t>
  </si>
  <si>
    <t xml:space="preserve">NEL         </t>
  </si>
  <si>
    <t>NEL</t>
  </si>
  <si>
    <t>NO0010073489</t>
  </si>
  <si>
    <t xml:space="preserve">0002274238  </t>
  </si>
  <si>
    <t xml:space="preserve">AUSS        </t>
  </si>
  <si>
    <t>AUSTEVOLL SEAFOOD</t>
  </si>
  <si>
    <t>NO0010063308</t>
  </si>
  <si>
    <t xml:space="preserve">0002274240  </t>
  </si>
  <si>
    <t xml:space="preserve">TEL         </t>
  </si>
  <si>
    <t>TELENOR</t>
  </si>
  <si>
    <t>15102015</t>
  </si>
  <si>
    <t>NO0010040611</t>
  </si>
  <si>
    <t xml:space="preserve">0002274241  </t>
  </si>
  <si>
    <t xml:space="preserve">OTEC        </t>
  </si>
  <si>
    <t>OTELLO CORPORATION</t>
  </si>
  <si>
    <t>NO0010161896</t>
  </si>
  <si>
    <t xml:space="preserve">0002559769  </t>
  </si>
  <si>
    <t xml:space="preserve">DNB         </t>
  </si>
  <si>
    <t>DNB BANK</t>
  </si>
  <si>
    <t>NO0010014632</t>
  </si>
  <si>
    <t xml:space="preserve">0002274243  </t>
  </si>
  <si>
    <t xml:space="preserve">AZT         </t>
  </si>
  <si>
    <t>ARCTICZYMES TECHNO</t>
  </si>
  <si>
    <t>NO0010001118</t>
  </si>
  <si>
    <t xml:space="preserve">0002274244  </t>
  </si>
  <si>
    <t xml:space="preserve">ITERA       </t>
  </si>
  <si>
    <t>ITERA</t>
  </si>
  <si>
    <t>NO0010000045</t>
  </si>
  <si>
    <t xml:space="preserve">0002274245  </t>
  </si>
  <si>
    <t xml:space="preserve">PHO         </t>
  </si>
  <si>
    <t>PHOTOCURE</t>
  </si>
  <si>
    <t>NO0006390301</t>
  </si>
  <si>
    <t xml:space="preserve">0002274246  </t>
  </si>
  <si>
    <t xml:space="preserve">MING        </t>
  </si>
  <si>
    <t>SPAREBANK 1 SMN</t>
  </si>
  <si>
    <t>NO0006000900</t>
  </si>
  <si>
    <t xml:space="preserve">0002274247  </t>
  </si>
  <si>
    <t xml:space="preserve">SVEG        </t>
  </si>
  <si>
    <t>SPAREBANKEN VEST</t>
  </si>
  <si>
    <t>NO0006000801</t>
  </si>
  <si>
    <t xml:space="preserve">0002274248  </t>
  </si>
  <si>
    <t xml:space="preserve">NONG        </t>
  </si>
  <si>
    <t>SPBK1 NORD-NORGE</t>
  </si>
  <si>
    <t>NO0005806802</t>
  </si>
  <si>
    <t xml:space="preserve">0002274249  </t>
  </si>
  <si>
    <t xml:space="preserve">VEI         </t>
  </si>
  <si>
    <t>VEIDEKKE</t>
  </si>
  <si>
    <t>NO0012470089</t>
  </si>
  <si>
    <t xml:space="preserve">0002983319  </t>
  </si>
  <si>
    <t xml:space="preserve">TOM         </t>
  </si>
  <si>
    <t>TOMRA SYSTEMS</t>
  </si>
  <si>
    <t>NO0005638858</t>
  </si>
  <si>
    <t xml:space="preserve">0002274251  </t>
  </si>
  <si>
    <t xml:space="preserve">OLT         </t>
  </si>
  <si>
    <t>OLAV THON EIENDOMS</t>
  </si>
  <si>
    <t>NO0005052605</t>
  </si>
  <si>
    <t xml:space="preserve">0002274252  </t>
  </si>
  <si>
    <t xml:space="preserve">NHY         </t>
  </si>
  <si>
    <t>NORSK HYDRO</t>
  </si>
  <si>
    <t>55102035</t>
  </si>
  <si>
    <t>NO0004913609</t>
  </si>
  <si>
    <t xml:space="preserve">0002274253  </t>
  </si>
  <si>
    <t xml:space="preserve">GOD         </t>
  </si>
  <si>
    <t>GOODTECH</t>
  </si>
  <si>
    <t>NO0013251173</t>
  </si>
  <si>
    <t xml:space="preserve">0003875285  </t>
  </si>
  <si>
    <t xml:space="preserve">BGBIO       </t>
  </si>
  <si>
    <t>BERGENBIO</t>
  </si>
  <si>
    <t>NO0010633951</t>
  </si>
  <si>
    <t xml:space="preserve">0002274256  </t>
  </si>
  <si>
    <t xml:space="preserve">B2I         </t>
  </si>
  <si>
    <t>B2 Impact</t>
  </si>
  <si>
    <t>30201020</t>
  </si>
  <si>
    <t>NO0010631567</t>
  </si>
  <si>
    <t xml:space="preserve">0002274257  </t>
  </si>
  <si>
    <t xml:space="preserve">SB1NO       </t>
  </si>
  <si>
    <t>SPAREBANK 1 SØR-NO</t>
  </si>
  <si>
    <t>NO0010629108</t>
  </si>
  <si>
    <t xml:space="preserve">0002274258  </t>
  </si>
  <si>
    <t xml:space="preserve">NEXT        </t>
  </si>
  <si>
    <t>NEXT BIOMETRICS GP</t>
  </si>
  <si>
    <t>NO0010612450</t>
  </si>
  <si>
    <t xml:space="preserve">0002274259  </t>
  </si>
  <si>
    <t xml:space="preserve">SBO         </t>
  </si>
  <si>
    <t>SELVAAG BOLIG</t>
  </si>
  <si>
    <t>NO0010597883</t>
  </si>
  <si>
    <t xml:space="preserve">0002274261  </t>
  </si>
  <si>
    <t xml:space="preserve">TRMED       </t>
  </si>
  <si>
    <t>THOR MEDICAL</t>
  </si>
  <si>
    <t>NO0010582521</t>
  </si>
  <si>
    <t xml:space="preserve">0002274263  </t>
  </si>
  <si>
    <t xml:space="preserve">GJF         </t>
  </si>
  <si>
    <t>GJENSIDIGE FORSIKR</t>
  </si>
  <si>
    <t>NO0010576010</t>
  </si>
  <si>
    <t xml:space="preserve">0002274264  </t>
  </si>
  <si>
    <t xml:space="preserve">WWIB        </t>
  </si>
  <si>
    <t>WILH. WILHELMSEN B</t>
  </si>
  <si>
    <t>50206060</t>
  </si>
  <si>
    <t>NO0010571698</t>
  </si>
  <si>
    <t xml:space="preserve">0002274265  </t>
  </si>
  <si>
    <t xml:space="preserve">WWI         </t>
  </si>
  <si>
    <t>WILH. WILHELMSEN A</t>
  </si>
  <si>
    <t>NO0010571680</t>
  </si>
  <si>
    <t xml:space="preserve">0002274266  </t>
  </si>
  <si>
    <t xml:space="preserve">WAWI        </t>
  </si>
  <si>
    <t>WALLENIUS WILHELMS</t>
  </si>
  <si>
    <t>NO0010564701</t>
  </si>
  <si>
    <t xml:space="preserve">0002274267  </t>
  </si>
  <si>
    <t xml:space="preserve">PEN         </t>
  </si>
  <si>
    <t>PANORO ENERGY</t>
  </si>
  <si>
    <t>NO0010405640</t>
  </si>
  <si>
    <t xml:space="preserve">0002274268  </t>
  </si>
  <si>
    <t xml:space="preserve">PCIB        </t>
  </si>
  <si>
    <t>PCI BIOTECH HOLD</t>
  </si>
  <si>
    <t>NO0010397581</t>
  </si>
  <si>
    <t xml:space="preserve">0002274269  </t>
  </si>
  <si>
    <t xml:space="preserve">PARB        </t>
  </si>
  <si>
    <t>PARETO BANK</t>
  </si>
  <si>
    <t>NO0012555459</t>
  </si>
  <si>
    <t xml:space="preserve">0003015207  </t>
  </si>
  <si>
    <t xml:space="preserve">ENDUR       </t>
  </si>
  <si>
    <t>ENDÚR</t>
  </si>
  <si>
    <t>NO0010379266</t>
  </si>
  <si>
    <t xml:space="preserve">0002274272  </t>
  </si>
  <si>
    <t xml:space="preserve">BNOR        </t>
  </si>
  <si>
    <t>BLUENORD</t>
  </si>
  <si>
    <t>NO0010365521</t>
  </si>
  <si>
    <t xml:space="preserve">0002274273  </t>
  </si>
  <si>
    <t xml:space="preserve">GSF         </t>
  </si>
  <si>
    <t>GRIEG SEAFOOD</t>
  </si>
  <si>
    <t>NO0010360266</t>
  </si>
  <si>
    <t xml:space="preserve">0002274274  </t>
  </si>
  <si>
    <t xml:space="preserve">BOUV        </t>
  </si>
  <si>
    <t>BOUVET</t>
  </si>
  <si>
    <t>NO0010360175</t>
  </si>
  <si>
    <t xml:space="preserve">0002274275  </t>
  </si>
  <si>
    <t xml:space="preserve">KMCP        </t>
  </si>
  <si>
    <t>KMC PROPERTIES</t>
  </si>
  <si>
    <t>NO0010358484</t>
  </si>
  <si>
    <t xml:space="preserve">0002274276  </t>
  </si>
  <si>
    <t xml:space="preserve">EMGS        </t>
  </si>
  <si>
    <t>ELECTROMAGNET GEO</t>
  </si>
  <si>
    <t>NO0010345853</t>
  </si>
  <si>
    <t xml:space="preserve">0002274277  </t>
  </si>
  <si>
    <t xml:space="preserve">AKRBP       </t>
  </si>
  <si>
    <t>AKER BP</t>
  </si>
  <si>
    <t>NO0010310956</t>
  </si>
  <si>
    <t xml:space="preserve">0002274281  </t>
  </si>
  <si>
    <t xml:space="preserve">SALM        </t>
  </si>
  <si>
    <t>SALMAR</t>
  </si>
  <si>
    <t>NO0013186460</t>
  </si>
  <si>
    <t xml:space="preserve">0003813534  </t>
  </si>
  <si>
    <t xml:space="preserve">ENSU        </t>
  </si>
  <si>
    <t>ENSURGE MICROPOWER</t>
  </si>
  <si>
    <t>NO0010285562</t>
  </si>
  <si>
    <t xml:space="preserve">0002274283  </t>
  </si>
  <si>
    <t xml:space="preserve">SOAG        </t>
  </si>
  <si>
    <t>SPBK1 ØSTFOLD AKER</t>
  </si>
  <si>
    <t>NO0013119255</t>
  </si>
  <si>
    <t xml:space="preserve">0003721841  </t>
  </si>
  <si>
    <t xml:space="preserve">IOX         </t>
  </si>
  <si>
    <t>INTEROIL EXPL PROD</t>
  </si>
  <si>
    <t>NO0010272065</t>
  </si>
  <si>
    <t xml:space="preserve">0002274285  </t>
  </si>
  <si>
    <t xml:space="preserve">AMSC        </t>
  </si>
  <si>
    <t>AMSC</t>
  </si>
  <si>
    <t>NO0010263023</t>
  </si>
  <si>
    <t xml:space="preserve">0002274286  </t>
  </si>
  <si>
    <t xml:space="preserve">EIOF        </t>
  </si>
  <si>
    <t>EIDESVIK OFFSHORE</t>
  </si>
  <si>
    <t>NO0010657505</t>
  </si>
  <si>
    <t xml:space="preserve">0002274303  </t>
  </si>
  <si>
    <t xml:space="preserve">BRG         </t>
  </si>
  <si>
    <t>BORREGAARD</t>
  </si>
  <si>
    <t>NO0013033795</t>
  </si>
  <si>
    <t xml:space="preserve">0003601004  </t>
  </si>
  <si>
    <t xml:space="preserve">CRNA        </t>
  </si>
  <si>
    <t>CIRCIO HOLDING</t>
  </si>
  <si>
    <t>NO0010694029</t>
  </si>
  <si>
    <t xml:space="preserve">0002274306  </t>
  </si>
  <si>
    <t xml:space="preserve">MOBA        </t>
  </si>
  <si>
    <t>MORROW BANK</t>
  </si>
  <si>
    <t>NO0010708605</t>
  </si>
  <si>
    <t xml:space="preserve">0002274307  </t>
  </si>
  <si>
    <t xml:space="preserve">EQVA        </t>
  </si>
  <si>
    <t>EQVA</t>
  </si>
  <si>
    <t>NO0010708910</t>
  </si>
  <si>
    <t xml:space="preserve">0002274308  </t>
  </si>
  <si>
    <t xml:space="preserve">ZAL         </t>
  </si>
  <si>
    <t>ZALARIS</t>
  </si>
  <si>
    <t>NO0010715139</t>
  </si>
  <si>
    <t xml:space="preserve">0002274309  </t>
  </si>
  <si>
    <t xml:space="preserve">SCATC       </t>
  </si>
  <si>
    <t>SCATEC</t>
  </si>
  <si>
    <t>NO0010715394</t>
  </si>
  <si>
    <t xml:space="preserve">0002274310  </t>
  </si>
  <si>
    <t xml:space="preserve">ABL         </t>
  </si>
  <si>
    <t>ABL GROUP</t>
  </si>
  <si>
    <t>NO0010716418</t>
  </si>
  <si>
    <t xml:space="preserve">0002274311  </t>
  </si>
  <si>
    <t xml:space="preserve">ENTRA       </t>
  </si>
  <si>
    <t>ENTRA</t>
  </si>
  <si>
    <t>NO0010716582</t>
  </si>
  <si>
    <t xml:space="preserve">0002274312  </t>
  </si>
  <si>
    <t xml:space="preserve">AKSO        </t>
  </si>
  <si>
    <t>AKER SOLUTIONS</t>
  </si>
  <si>
    <t>NO0013293142</t>
  </si>
  <si>
    <t xml:space="preserve">0003934106  </t>
  </si>
  <si>
    <t xml:space="preserve">XXL         </t>
  </si>
  <si>
    <t>XXL</t>
  </si>
  <si>
    <t>40401020</t>
  </si>
  <si>
    <t>NO0010734122</t>
  </si>
  <si>
    <t xml:space="preserve">0002274314  </t>
  </si>
  <si>
    <t xml:space="preserve">VISTN       </t>
  </si>
  <si>
    <t>VISTIN PHARMA</t>
  </si>
  <si>
    <t>NO0010734338</t>
  </si>
  <si>
    <t xml:space="preserve">0002274315  </t>
  </si>
  <si>
    <t xml:space="preserve">MULTI       </t>
  </si>
  <si>
    <t>MULTICONSULT</t>
  </si>
  <si>
    <t>50101015</t>
  </si>
  <si>
    <t>NO0010735343</t>
  </si>
  <si>
    <t xml:space="preserve">0002274316  </t>
  </si>
  <si>
    <t xml:space="preserve">EPR         </t>
  </si>
  <si>
    <t>EUROPRIS</t>
  </si>
  <si>
    <t>40401010</t>
  </si>
  <si>
    <t>NO0010863285</t>
  </si>
  <si>
    <t xml:space="preserve">0002274317  </t>
  </si>
  <si>
    <t xml:space="preserve">SATS        </t>
  </si>
  <si>
    <t>SATS</t>
  </si>
  <si>
    <t>40501030</t>
  </si>
  <si>
    <t>NO0010861990</t>
  </si>
  <si>
    <t xml:space="preserve">0002274318  </t>
  </si>
  <si>
    <t xml:space="preserve">PRS         </t>
  </si>
  <si>
    <t>PROSAFE</t>
  </si>
  <si>
    <t>NO0010861115</t>
  </si>
  <si>
    <t xml:space="preserve">0002274319  </t>
  </si>
  <si>
    <t xml:space="preserve">NSKOG       </t>
  </si>
  <si>
    <t>NORSKE SKOG</t>
  </si>
  <si>
    <t>55101015</t>
  </si>
  <si>
    <t>NO0010840515</t>
  </si>
  <si>
    <t xml:space="preserve">0002274321  </t>
  </si>
  <si>
    <t xml:space="preserve">ACR         </t>
  </si>
  <si>
    <t>AXACTOR</t>
  </si>
  <si>
    <t>NO0010840507</t>
  </si>
  <si>
    <t xml:space="preserve">0002274322  </t>
  </si>
  <si>
    <t xml:space="preserve">PEXIP       </t>
  </si>
  <si>
    <t>PEXIP HOLDING</t>
  </si>
  <si>
    <t>NO0010816093</t>
  </si>
  <si>
    <t xml:space="preserve">0002274323  </t>
  </si>
  <si>
    <t xml:space="preserve">ELK         </t>
  </si>
  <si>
    <t>ELKEM</t>
  </si>
  <si>
    <t>55201000</t>
  </si>
  <si>
    <t>NO0010808892</t>
  </si>
  <si>
    <t xml:space="preserve">0002274324  </t>
  </si>
  <si>
    <t xml:space="preserve">CRAYN       </t>
  </si>
  <si>
    <t>CRAYON GROUP HOLD</t>
  </si>
  <si>
    <t>NO0010763550</t>
  </si>
  <si>
    <t xml:space="preserve">0002274329  </t>
  </si>
  <si>
    <t xml:space="preserve">TRE         </t>
  </si>
  <si>
    <t>TREASURE</t>
  </si>
  <si>
    <t>NO0010743545</t>
  </si>
  <si>
    <t xml:space="preserve">0002274330  </t>
  </si>
  <si>
    <t xml:space="preserve">KID         </t>
  </si>
  <si>
    <t>KID</t>
  </si>
  <si>
    <t>40401025</t>
  </si>
  <si>
    <t>NO0010736879</t>
  </si>
  <si>
    <t xml:space="preserve">0002274332  </t>
  </si>
  <si>
    <t xml:space="preserve">SCHB        </t>
  </si>
  <si>
    <t>SCHIBSTED SER. B</t>
  </si>
  <si>
    <t>US36467X2062</t>
  </si>
  <si>
    <t xml:space="preserve">0002274333  </t>
  </si>
  <si>
    <t xml:space="preserve">G2MNO       </t>
  </si>
  <si>
    <t>GENTOO MEDIA</t>
  </si>
  <si>
    <t>40501020</t>
  </si>
  <si>
    <t>SE0014731154</t>
  </si>
  <si>
    <t xml:space="preserve">0002274335  </t>
  </si>
  <si>
    <t xml:space="preserve">CONTX       </t>
  </si>
  <si>
    <t>CONTEXTVISION</t>
  </si>
  <si>
    <t>NO0010713936</t>
  </si>
  <si>
    <t xml:space="preserve">0002282982  </t>
  </si>
  <si>
    <t xml:space="preserve">ZAP         </t>
  </si>
  <si>
    <t>ZAPTEC</t>
  </si>
  <si>
    <t>NO0010714785</t>
  </si>
  <si>
    <t xml:space="preserve">0002282983  </t>
  </si>
  <si>
    <t xml:space="preserve">NYKD        </t>
  </si>
  <si>
    <t>NYKODE THERAPEUTIC</t>
  </si>
  <si>
    <t>NO0010872468</t>
  </si>
  <si>
    <t xml:space="preserve">0002282984  </t>
  </si>
  <si>
    <t xml:space="preserve">AGLX        </t>
  </si>
  <si>
    <t>AGILYX</t>
  </si>
  <si>
    <t>65103035</t>
  </si>
  <si>
    <t>NO0010892094</t>
  </si>
  <si>
    <t xml:space="preserve">0002282986  </t>
  </si>
  <si>
    <t xml:space="preserve">SALME       </t>
  </si>
  <si>
    <t>SALMON EVOLUTION</t>
  </si>
  <si>
    <t>NO0010894512</t>
  </si>
  <si>
    <t xml:space="preserve">0002282988  </t>
  </si>
  <si>
    <t xml:space="preserve">OMDA        </t>
  </si>
  <si>
    <t>OMDA</t>
  </si>
  <si>
    <t>20101025</t>
  </si>
  <si>
    <t>NO0010722283</t>
  </si>
  <si>
    <t xml:space="preserve">0002290594  </t>
  </si>
  <si>
    <t xml:space="preserve">ELABS       </t>
  </si>
  <si>
    <t>ELLIPTIC LABORATOR</t>
  </si>
  <si>
    <t>NO0010892359</t>
  </si>
  <si>
    <t xml:space="preserve">0002290596  </t>
  </si>
  <si>
    <t xml:space="preserve">HYPRO       </t>
  </si>
  <si>
    <t>HYDROGENPRO</t>
  </si>
  <si>
    <t>NO0010892912</t>
  </si>
  <si>
    <t xml:space="preserve">0002290597  </t>
  </si>
  <si>
    <t xml:space="preserve">NCOD        </t>
  </si>
  <si>
    <t>NORCOD</t>
  </si>
  <si>
    <t>NO0010894231</t>
  </si>
  <si>
    <t xml:space="preserve">0002293425  </t>
  </si>
  <si>
    <t xml:space="preserve">LINK        </t>
  </si>
  <si>
    <t>LINK MOBILITY GRP</t>
  </si>
  <si>
    <t>NO0010895667</t>
  </si>
  <si>
    <t xml:space="preserve">0002293427  </t>
  </si>
  <si>
    <t xml:space="preserve">CODE        </t>
  </si>
  <si>
    <t>CODELAB CAPITAL</t>
  </si>
  <si>
    <t>NO0010724701</t>
  </si>
  <si>
    <t xml:space="preserve">0002303548  </t>
  </si>
  <si>
    <t xml:space="preserve">ISLAX       </t>
  </si>
  <si>
    <t>ICELANDIC SALMON</t>
  </si>
  <si>
    <t>NO0010887565</t>
  </si>
  <si>
    <t xml:space="preserve">0002303550  </t>
  </si>
  <si>
    <t xml:space="preserve">OSUN        </t>
  </si>
  <si>
    <t>OCEAN SUN</t>
  </si>
  <si>
    <t>NO0010895568</t>
  </si>
  <si>
    <t xml:space="preserve">0002303551  </t>
  </si>
  <si>
    <t xml:space="preserve">AIRX        </t>
  </si>
  <si>
    <t>AIRTHINGS</t>
  </si>
  <si>
    <t>NO0010895782</t>
  </si>
  <si>
    <t xml:space="preserve">0002334001  </t>
  </si>
  <si>
    <t xml:space="preserve">XPLRA       </t>
  </si>
  <si>
    <t>XPLORA TECHNOLOGIE</t>
  </si>
  <si>
    <t>40203010</t>
  </si>
  <si>
    <t>NL00150001S5</t>
  </si>
  <si>
    <t xml:space="preserve">0002338686  </t>
  </si>
  <si>
    <t xml:space="preserve">KING        </t>
  </si>
  <si>
    <t>THE KINGFISH COMP</t>
  </si>
  <si>
    <t>DK0061412772</t>
  </si>
  <si>
    <t xml:space="preserve">0002339846  </t>
  </si>
  <si>
    <t xml:space="preserve">CADLR       </t>
  </si>
  <si>
    <t>CADELER</t>
  </si>
  <si>
    <t>NO0010859648</t>
  </si>
  <si>
    <t xml:space="preserve">0002339847  </t>
  </si>
  <si>
    <t xml:space="preserve">HUDL        </t>
  </si>
  <si>
    <t>HUDDLESTOCK FINTEC</t>
  </si>
  <si>
    <t>NO0012928805</t>
  </si>
  <si>
    <t xml:space="preserve">0003544881  </t>
  </si>
  <si>
    <t xml:space="preserve">NOAP        </t>
  </si>
  <si>
    <t>NORDIC AQUA PART</t>
  </si>
  <si>
    <t>NO0010815103</t>
  </si>
  <si>
    <t xml:space="preserve">0002349675  </t>
  </si>
  <si>
    <t xml:space="preserve">KRAB        </t>
  </si>
  <si>
    <t>KRAFT BANK</t>
  </si>
  <si>
    <t>NO0010904923</t>
  </si>
  <si>
    <t xml:space="preserve">0002352267  </t>
  </si>
  <si>
    <t xml:space="preserve">HPUR        </t>
  </si>
  <si>
    <t>HEXAGON PURUS</t>
  </si>
  <si>
    <t>50204050</t>
  </si>
  <si>
    <t>NO0010911902</t>
  </si>
  <si>
    <t xml:space="preserve">0002356133  </t>
  </si>
  <si>
    <t xml:space="preserve">ELIMP       </t>
  </si>
  <si>
    <t>ELEKTROIMPORTØREN</t>
  </si>
  <si>
    <t>40401030</t>
  </si>
  <si>
    <t>NO0010015175</t>
  </si>
  <si>
    <t xml:space="preserve">0002357863  </t>
  </si>
  <si>
    <t xml:space="preserve">CYVIZ       </t>
  </si>
  <si>
    <t>CYVIZ</t>
  </si>
  <si>
    <t>NO0010781560</t>
  </si>
  <si>
    <t xml:space="preserve">0002357967  </t>
  </si>
  <si>
    <t xml:space="preserve">SPOT        </t>
  </si>
  <si>
    <t>SPOTLIO</t>
  </si>
  <si>
    <t>NL0015268814</t>
  </si>
  <si>
    <t xml:space="preserve">0002389639  </t>
  </si>
  <si>
    <t xml:space="preserve">MPCES       </t>
  </si>
  <si>
    <t>MPC ENERGY SOLUTIO</t>
  </si>
  <si>
    <t>NO0010917339</t>
  </si>
  <si>
    <t xml:space="preserve">0002393795  </t>
  </si>
  <si>
    <t xml:space="preserve">HRGI        </t>
  </si>
  <si>
    <t>HORISONT ENERGI</t>
  </si>
  <si>
    <t>NO0010921232</t>
  </si>
  <si>
    <t xml:space="preserve">0002398356  </t>
  </si>
  <si>
    <t xml:space="preserve">AKH         </t>
  </si>
  <si>
    <t>AKER HORIZONS</t>
  </si>
  <si>
    <t>NO0010893902</t>
  </si>
  <si>
    <t xml:space="preserve">0002401971  </t>
  </si>
  <si>
    <t xml:space="preserve">PROXI       </t>
  </si>
  <si>
    <t>PROXIMAR SEAFOOD</t>
  </si>
  <si>
    <t>NO0010078850</t>
  </si>
  <si>
    <t xml:space="preserve">0002409057  </t>
  </si>
  <si>
    <t xml:space="preserve">CAMBI       </t>
  </si>
  <si>
    <t>CAMBI</t>
  </si>
  <si>
    <t>NL00150005Z1</t>
  </si>
  <si>
    <t xml:space="preserve">0002415182  </t>
  </si>
  <si>
    <t xml:space="preserve">PRYME       </t>
  </si>
  <si>
    <t>PRYME</t>
  </si>
  <si>
    <t>NO0013470534</t>
  </si>
  <si>
    <t xml:space="preserve">0004144076  </t>
  </si>
  <si>
    <t xml:space="preserve">HDLY        </t>
  </si>
  <si>
    <t>HUDDLY</t>
  </si>
  <si>
    <t>NO0010927288</t>
  </si>
  <si>
    <t xml:space="preserve">0002416876  </t>
  </si>
  <si>
    <t xml:space="preserve">LUMI        </t>
  </si>
  <si>
    <t>LUMI GRUPPEN</t>
  </si>
  <si>
    <t>40201010</t>
  </si>
  <si>
    <t>NL0015000GX8</t>
  </si>
  <si>
    <t>NSCNOENVIPC2</t>
  </si>
  <si>
    <t xml:space="preserve">0002557092  </t>
  </si>
  <si>
    <t xml:space="preserve">ENVIP       </t>
  </si>
  <si>
    <t>ENVIPCO HOLDING</t>
  </si>
  <si>
    <t>NO0010917719</t>
  </si>
  <si>
    <t xml:space="preserve">0002419784  </t>
  </si>
  <si>
    <t xml:space="preserve">AFISH       </t>
  </si>
  <si>
    <t>ARCTIC FISH HOLDIN</t>
  </si>
  <si>
    <t>NO0010809783</t>
  </si>
  <si>
    <t xml:space="preserve">0002420371  </t>
  </si>
  <si>
    <t xml:space="preserve">OTOVO       </t>
  </si>
  <si>
    <t>OTOVO</t>
  </si>
  <si>
    <t>NO0010931207</t>
  </si>
  <si>
    <t xml:space="preserve">0002421285  </t>
  </si>
  <si>
    <t xml:space="preserve">SKAND       </t>
  </si>
  <si>
    <t>SKANDIA GREENPOWER</t>
  </si>
  <si>
    <t>NO0010859580</t>
  </si>
  <si>
    <t xml:space="preserve">0002423926  </t>
  </si>
  <si>
    <t xml:space="preserve">ABS         </t>
  </si>
  <si>
    <t>ARCTIC BIOSCIENCE</t>
  </si>
  <si>
    <t>NO0010907389</t>
  </si>
  <si>
    <t xml:space="preserve">0002426968  </t>
  </si>
  <si>
    <t xml:space="preserve">RANA        </t>
  </si>
  <si>
    <t>RANA GRUBER</t>
  </si>
  <si>
    <t>55102010</t>
  </si>
  <si>
    <t>NO0010931918</t>
  </si>
  <si>
    <t xml:space="preserve">0002433747  </t>
  </si>
  <si>
    <t xml:space="preserve">HAV         </t>
  </si>
  <si>
    <t>HAV GROUP</t>
  </si>
  <si>
    <t>NO0010907744</t>
  </si>
  <si>
    <t xml:space="preserve">0002456742  </t>
  </si>
  <si>
    <t xml:space="preserve">GEM         </t>
  </si>
  <si>
    <t>GREEN MINERALS</t>
  </si>
  <si>
    <t>NO0013461350</t>
  </si>
  <si>
    <t xml:space="preserve">0004147959  </t>
  </si>
  <si>
    <t xml:space="preserve">IWS         </t>
  </si>
  <si>
    <t>INTEGRATED WIND SO</t>
  </si>
  <si>
    <t>NO0010951577</t>
  </si>
  <si>
    <t xml:space="preserve">0002465090  </t>
  </si>
  <si>
    <t xml:space="preserve">TEKNA       </t>
  </si>
  <si>
    <t>TEKNA HOLDING</t>
  </si>
  <si>
    <t>55101000</t>
  </si>
  <si>
    <t>NO0012885252</t>
  </si>
  <si>
    <t xml:space="preserve">0003408529  </t>
  </si>
  <si>
    <t xml:space="preserve">NORSE       </t>
  </si>
  <si>
    <t>NORSE ATLANTIC</t>
  </si>
  <si>
    <t>NO0010963275</t>
  </si>
  <si>
    <t xml:space="preserve">0002479164  </t>
  </si>
  <si>
    <t xml:space="preserve">DSRT        </t>
  </si>
  <si>
    <t>DESERT CONTROL</t>
  </si>
  <si>
    <t>NO0010920945</t>
  </si>
  <si>
    <t xml:space="preserve">0002481330  </t>
  </si>
  <si>
    <t xml:space="preserve">HYN         </t>
  </si>
  <si>
    <t>HYNION</t>
  </si>
  <si>
    <t>NO0010950249</t>
  </si>
  <si>
    <t xml:space="preserve">0002482646  </t>
  </si>
  <si>
    <t xml:space="preserve">BCS         </t>
  </si>
  <si>
    <t>BERGEN CARBON SOL</t>
  </si>
  <si>
    <t>55201010</t>
  </si>
  <si>
    <t>NO0013257410</t>
  </si>
  <si>
    <t xml:space="preserve">0003899721  </t>
  </si>
  <si>
    <t xml:space="preserve">ARGEO       </t>
  </si>
  <si>
    <t>ARGEO</t>
  </si>
  <si>
    <t>NO0003058109</t>
  </si>
  <si>
    <t xml:space="preserve">0002489509  </t>
  </si>
  <si>
    <t xml:space="preserve">NOHAL       </t>
  </si>
  <si>
    <t>NORDIC HALIBUT</t>
  </si>
  <si>
    <t>NO0010955917</t>
  </si>
  <si>
    <t xml:space="preserve">0002498477  </t>
  </si>
  <si>
    <t xml:space="preserve">DVD         </t>
  </si>
  <si>
    <t>DEEP VALUE DRILLER</t>
  </si>
  <si>
    <t>NO0010969108</t>
  </si>
  <si>
    <t xml:space="preserve">0002510984  </t>
  </si>
  <si>
    <t xml:space="preserve">NTI         </t>
  </si>
  <si>
    <t>NORSK TITANIUM</t>
  </si>
  <si>
    <t>55102015</t>
  </si>
  <si>
    <t>NO0010921299</t>
  </si>
  <si>
    <t xml:space="preserve">0002513877  </t>
  </si>
  <si>
    <t xml:space="preserve">LOKO        </t>
  </si>
  <si>
    <t>LOKOTECH GROUP</t>
  </si>
  <si>
    <t>AU000000CSS3</t>
  </si>
  <si>
    <t xml:space="preserve">0002516590  </t>
  </si>
  <si>
    <t xml:space="preserve">CSS         </t>
  </si>
  <si>
    <t>CLEAN SEAS SEAFOOD</t>
  </si>
  <si>
    <t>NO0010976343</t>
  </si>
  <si>
    <t xml:space="preserve">0002524382  </t>
  </si>
  <si>
    <t xml:space="preserve">MVW         </t>
  </si>
  <si>
    <t>M VEST WATER</t>
  </si>
  <si>
    <t>65102030</t>
  </si>
  <si>
    <t>NO0011012502</t>
  </si>
  <si>
    <t xml:space="preserve">0002530149  </t>
  </si>
  <si>
    <t xml:space="preserve">SMOP        </t>
  </si>
  <si>
    <t>SMARTOPTICS GROUP</t>
  </si>
  <si>
    <t>NO0011002651</t>
  </si>
  <si>
    <t xml:space="preserve">0002530162  </t>
  </si>
  <si>
    <t xml:space="preserve">NORDH       </t>
  </si>
  <si>
    <t>NORDHEALTH A-AKSJE</t>
  </si>
  <si>
    <t>NO0010405780</t>
  </si>
  <si>
    <t xml:space="preserve">0002539668  </t>
  </si>
  <si>
    <t xml:space="preserve">LYTIX       </t>
  </si>
  <si>
    <t>LYTIX BIOPHARMA</t>
  </si>
  <si>
    <t>NO0011002586</t>
  </si>
  <si>
    <t xml:space="preserve">0002543336  </t>
  </si>
  <si>
    <t xml:space="preserve">ELO         </t>
  </si>
  <si>
    <t>ELOPAK</t>
  </si>
  <si>
    <t>NO0010974983</t>
  </si>
  <si>
    <t xml:space="preserve">0002543337  </t>
  </si>
  <si>
    <t xml:space="preserve">MAS         </t>
  </si>
  <si>
    <t>MÅSØVAL</t>
  </si>
  <si>
    <t>NO0011016040</t>
  </si>
  <si>
    <t xml:space="preserve">0002545540  </t>
  </si>
  <si>
    <t xml:space="preserve">KOMPL       </t>
  </si>
  <si>
    <t>KOMPLETT</t>
  </si>
  <si>
    <t>NO0011008971</t>
  </si>
  <si>
    <t xml:space="preserve">0002551834  </t>
  </si>
  <si>
    <t xml:space="preserve">SMCRT       </t>
  </si>
  <si>
    <t>SMARTCRAFT</t>
  </si>
  <si>
    <t>IE00BLRPRP89</t>
  </si>
  <si>
    <t xml:space="preserve">0002557063  </t>
  </si>
  <si>
    <t xml:space="preserve">ALT         </t>
  </si>
  <si>
    <t>ALTERNUS ENERGY GR</t>
  </si>
  <si>
    <t>NO0011013765</t>
  </si>
  <si>
    <t xml:space="preserve">0002560560  </t>
  </si>
  <si>
    <t xml:space="preserve">GIGA        </t>
  </si>
  <si>
    <t>GIGANTE SALMON</t>
  </si>
  <si>
    <t>NO0011037483</t>
  </si>
  <si>
    <t xml:space="preserve">0002568234  </t>
  </si>
  <si>
    <t xml:space="preserve">VGM         </t>
  </si>
  <si>
    <t>VOW GREEN METALS</t>
  </si>
  <si>
    <t>SE0015193412</t>
  </si>
  <si>
    <t xml:space="preserve">0002570847  </t>
  </si>
  <si>
    <t xml:space="preserve">AKOBO       </t>
  </si>
  <si>
    <t>AKOBO MINERALS</t>
  </si>
  <si>
    <t>55103025</t>
  </si>
  <si>
    <t>NO0011045429</t>
  </si>
  <si>
    <t xml:space="preserve">0002586851  </t>
  </si>
  <si>
    <t xml:space="preserve">HKY         </t>
  </si>
  <si>
    <t>HAVILA KYSTRUTEN</t>
  </si>
  <si>
    <t>NO0010955198</t>
  </si>
  <si>
    <t xml:space="preserve">0002589872  </t>
  </si>
  <si>
    <t xml:space="preserve">BFISH       </t>
  </si>
  <si>
    <t>BIOFISH HOLDING</t>
  </si>
  <si>
    <t>NO0010887110</t>
  </si>
  <si>
    <t xml:space="preserve">0002601353  </t>
  </si>
  <si>
    <t xml:space="preserve">SB68        </t>
  </si>
  <si>
    <t>SPARBNK 68 GR NORD</t>
  </si>
  <si>
    <t>SGXZ33675836</t>
  </si>
  <si>
    <t xml:space="preserve">0002601647  </t>
  </si>
  <si>
    <t xml:space="preserve">BARRA       </t>
  </si>
  <si>
    <t>BARRAMUNDI GROUP</t>
  </si>
  <si>
    <t>NO0010768096</t>
  </si>
  <si>
    <t xml:space="preserve">0002636171  </t>
  </si>
  <si>
    <t xml:space="preserve">WEST        </t>
  </si>
  <si>
    <t>WESTERN BULK CHART</t>
  </si>
  <si>
    <t>DE000A2G8ZX8</t>
  </si>
  <si>
    <t xml:space="preserve">0002647727  </t>
  </si>
  <si>
    <t xml:space="preserve">PYRUM       </t>
  </si>
  <si>
    <t>PYRUM INNOVATIONS</t>
  </si>
  <si>
    <t>BMG0670A1099</t>
  </si>
  <si>
    <t xml:space="preserve">0002670303  </t>
  </si>
  <si>
    <t xml:space="preserve">AUTO        </t>
  </si>
  <si>
    <t>AUTOSTORE HOLDINGS</t>
  </si>
  <si>
    <t>NO0010998529</t>
  </si>
  <si>
    <t xml:space="preserve">0002717382  </t>
  </si>
  <si>
    <t xml:space="preserve">EWIND       </t>
  </si>
  <si>
    <t>EDDA WIND</t>
  </si>
  <si>
    <t>NO0011082075</t>
  </si>
  <si>
    <t xml:space="preserve">0002718820  </t>
  </si>
  <si>
    <t xml:space="preserve">HAUTO       </t>
  </si>
  <si>
    <t>HÖEGH AUTOLINERS</t>
  </si>
  <si>
    <t>NO0010984966</t>
  </si>
  <si>
    <t xml:space="preserve">0002737527  </t>
  </si>
  <si>
    <t xml:space="preserve">NBX         </t>
  </si>
  <si>
    <t>NORWEGIAN BLOCK EX</t>
  </si>
  <si>
    <t>30202015</t>
  </si>
  <si>
    <t>NO0011032310</t>
  </si>
  <si>
    <t xml:space="preserve">0002738791  </t>
  </si>
  <si>
    <t xml:space="preserve">AURA        </t>
  </si>
  <si>
    <t>AURORA EIENDOM</t>
  </si>
  <si>
    <t>NO0010923121</t>
  </si>
  <si>
    <t xml:space="preserve">0002742683  </t>
  </si>
  <si>
    <t xml:space="preserve">CAPSL       </t>
  </si>
  <si>
    <t>CAPSOL TECHNOLOGI</t>
  </si>
  <si>
    <t>BMG4660A1036</t>
  </si>
  <si>
    <t xml:space="preserve">0002745164  </t>
  </si>
  <si>
    <t xml:space="preserve">HSHP        </t>
  </si>
  <si>
    <t>HIMALAYA SHIPPING</t>
  </si>
  <si>
    <t>NO0011202772</t>
  </si>
  <si>
    <t xml:space="preserve">0002821213  </t>
  </si>
  <si>
    <t xml:space="preserve">VAR         </t>
  </si>
  <si>
    <t>VÅR ENERGI</t>
  </si>
  <si>
    <t>BMG2415A1137</t>
  </si>
  <si>
    <t xml:space="preserve">0002829904  </t>
  </si>
  <si>
    <t xml:space="preserve">CLCO        </t>
  </si>
  <si>
    <t>COOL COMPANY</t>
  </si>
  <si>
    <t>NO0012942525</t>
  </si>
  <si>
    <t xml:space="preserve">0003455807  </t>
  </si>
  <si>
    <t xml:space="preserve">PNOR        </t>
  </si>
  <si>
    <t>PETRONOR E&amp;P</t>
  </si>
  <si>
    <t>NO0010914641</t>
  </si>
  <si>
    <t xml:space="preserve">0002857246  </t>
  </si>
  <si>
    <t xml:space="preserve">OCEAN       </t>
  </si>
  <si>
    <t>OCEAN GEOLOOP</t>
  </si>
  <si>
    <t>BMG6716L1081</t>
  </si>
  <si>
    <t xml:space="preserve">0002898470  </t>
  </si>
  <si>
    <t xml:space="preserve">OTL         </t>
  </si>
  <si>
    <t>ODFJELL TECHNOLOGY</t>
  </si>
  <si>
    <t>DK0061676400</t>
  </si>
  <si>
    <t xml:space="preserve">0002927567  </t>
  </si>
  <si>
    <t xml:space="preserve">WPU         </t>
  </si>
  <si>
    <t>WPU - WASTE PLASTI</t>
  </si>
  <si>
    <t>SE0017486103</t>
  </si>
  <si>
    <t xml:space="preserve">0003013427  </t>
  </si>
  <si>
    <t xml:space="preserve">INIFY       </t>
  </si>
  <si>
    <t>INIFY LABORATORIES</t>
  </si>
  <si>
    <t>NO0011018434</t>
  </si>
  <si>
    <t xml:space="preserve">0003036242  </t>
  </si>
  <si>
    <t xml:space="preserve">NTG         </t>
  </si>
  <si>
    <t>NORDIC TECHNOLOGY</t>
  </si>
  <si>
    <t>NO0013384651</t>
  </si>
  <si>
    <t xml:space="preserve">0004045179  </t>
  </si>
  <si>
    <t xml:space="preserve">STSU        </t>
  </si>
  <si>
    <t>STANDARD SUPPLY</t>
  </si>
  <si>
    <t>NO0010360019</t>
  </si>
  <si>
    <t xml:space="preserve">0003169181  </t>
  </si>
  <si>
    <t xml:space="preserve">NORAM       </t>
  </si>
  <si>
    <t>NORAM DRILLING</t>
  </si>
  <si>
    <t>BMG236541170</t>
  </si>
  <si>
    <t xml:space="preserve">0004030062  </t>
  </si>
  <si>
    <t xml:space="preserve">SDNS        </t>
  </si>
  <si>
    <t>SHELF DRILLING NO</t>
  </si>
  <si>
    <t>NO0012595950</t>
  </si>
  <si>
    <t xml:space="preserve">0003199999  </t>
  </si>
  <si>
    <t xml:space="preserve">DDRIL       </t>
  </si>
  <si>
    <t>DOLPHIN DRILLING</t>
  </si>
  <si>
    <t>NO0012697715</t>
  </si>
  <si>
    <t xml:space="preserve">0003259673  </t>
  </si>
  <si>
    <t xml:space="preserve">ENERG       </t>
  </si>
  <si>
    <t>ENERGEIA</t>
  </si>
  <si>
    <t>NO0012706763</t>
  </si>
  <si>
    <t xml:space="preserve">0003262232  </t>
  </si>
  <si>
    <t xml:space="preserve">BIEN        </t>
  </si>
  <si>
    <t>BIEN SPAREBANK</t>
  </si>
  <si>
    <t>GB00BGHPT808</t>
  </si>
  <si>
    <t xml:space="preserve">0003263088  </t>
  </si>
  <si>
    <t xml:space="preserve">BMK         </t>
  </si>
  <si>
    <t>BENCHMARK HOLDINGS</t>
  </si>
  <si>
    <t>BMG7947V2045</t>
  </si>
  <si>
    <t xml:space="preserve">0003384957  </t>
  </si>
  <si>
    <t xml:space="preserve">SEAPT       </t>
  </si>
  <si>
    <t>SEACREST PETROLEO</t>
  </si>
  <si>
    <t>NO0012780958</t>
  </si>
  <si>
    <t xml:space="preserve">0003408523  </t>
  </si>
  <si>
    <t xml:space="preserve">STST        </t>
  </si>
  <si>
    <t>STAINLESS TANKERS</t>
  </si>
  <si>
    <t>NL0015001BF4</t>
  </si>
  <si>
    <t xml:space="preserve">0003419658  </t>
  </si>
  <si>
    <t xml:space="preserve">REFL        </t>
  </si>
  <si>
    <t>REFUELS</t>
  </si>
  <si>
    <t>65102020</t>
  </si>
  <si>
    <t>NO0012851874</t>
  </si>
  <si>
    <t xml:space="preserve">0003464753  </t>
  </si>
  <si>
    <t xml:space="preserve">DOFG        </t>
  </si>
  <si>
    <t>DOF GROUP</t>
  </si>
  <si>
    <t>NO0013008664</t>
  </si>
  <si>
    <t xml:space="preserve">0003594719  </t>
  </si>
  <si>
    <t xml:space="preserve">MVE         </t>
  </si>
  <si>
    <t>MATVAREEXPRESSEN</t>
  </si>
  <si>
    <t>45201010</t>
  </si>
  <si>
    <t>NO0013052209</t>
  </si>
  <si>
    <t xml:space="preserve">0003642587  </t>
  </si>
  <si>
    <t xml:space="preserve">NORCO       </t>
  </si>
  <si>
    <t>NORCONSULT</t>
  </si>
  <si>
    <t>NO0013178616</t>
  </si>
  <si>
    <t xml:space="preserve">0003840066  </t>
  </si>
  <si>
    <t xml:space="preserve">PUBLI       </t>
  </si>
  <si>
    <t>PUBLIC PROPERTY IN</t>
  </si>
  <si>
    <t>NO0013209858</t>
  </si>
  <si>
    <t xml:space="preserve">0003867029  </t>
  </si>
  <si>
    <t xml:space="preserve">FFSB        </t>
  </si>
  <si>
    <t>FLEKKEFJORD SPAREB</t>
  </si>
  <si>
    <t>BMG730931091</t>
  </si>
  <si>
    <t xml:space="preserve">0003880521  </t>
  </si>
  <si>
    <t xml:space="preserve">VTURA       </t>
  </si>
  <si>
    <t>VENTURA OFFSHORE</t>
  </si>
  <si>
    <t>NO0013219535</t>
  </si>
  <si>
    <t xml:space="preserve">0003889291  </t>
  </si>
  <si>
    <t xml:space="preserve">CAVEN       </t>
  </si>
  <si>
    <t>CAVENDISH HYDROGEN</t>
  </si>
  <si>
    <t>NO0013401380</t>
  </si>
  <si>
    <t xml:space="preserve">0004071540  </t>
  </si>
  <si>
    <t xml:space="preserve">HERMA       </t>
  </si>
  <si>
    <t>HERMANA HOLDING</t>
  </si>
  <si>
    <t>NO0013250589</t>
  </si>
  <si>
    <t xml:space="preserve">0003909568  </t>
  </si>
  <si>
    <t xml:space="preserve">LIFES       </t>
  </si>
  <si>
    <t>OY</t>
  </si>
  <si>
    <t>LIFECARE TR</t>
  </si>
  <si>
    <t xml:space="preserve">049               </t>
  </si>
  <si>
    <t>BMG6904D1083</t>
  </si>
  <si>
    <t xml:space="preserve">0003909585  </t>
  </si>
  <si>
    <t xml:space="preserve">PLSV        </t>
  </si>
  <si>
    <t>PARATUS ENERGY SER</t>
  </si>
  <si>
    <t>NO0010764053</t>
  </si>
  <si>
    <t xml:space="preserve">0003917914  </t>
  </si>
  <si>
    <t xml:space="preserve">HGSB        </t>
  </si>
  <si>
    <t>HAUGESUND SPB</t>
  </si>
  <si>
    <t>NO0010713571</t>
  </si>
  <si>
    <t xml:space="preserve">0003994180  </t>
  </si>
  <si>
    <t xml:space="preserve">STECH       </t>
  </si>
  <si>
    <t>SOILTECH</t>
  </si>
  <si>
    <t>NO0013340802</t>
  </si>
  <si>
    <t xml:space="preserve">0004035743  </t>
  </si>
  <si>
    <t xml:space="preserve">ASAS        </t>
  </si>
  <si>
    <t>OW</t>
  </si>
  <si>
    <t>ATLANTIC SAPPHI TR</t>
  </si>
  <si>
    <t>BMG9551V1081</t>
  </si>
  <si>
    <t xml:space="preserve">0004035762  </t>
  </si>
  <si>
    <t xml:space="preserve">VDI         </t>
  </si>
  <si>
    <t>VANTAGE DRILLING I</t>
  </si>
  <si>
    <t>NO0013036814</t>
  </si>
  <si>
    <t xml:space="preserve">0004078666  </t>
  </si>
  <si>
    <t xml:space="preserve">BRUT        </t>
  </si>
  <si>
    <t>BRUTON</t>
  </si>
  <si>
    <t>NO0010779341</t>
  </si>
  <si>
    <t xml:space="preserve">0004093478  </t>
  </si>
  <si>
    <t xml:space="preserve">ONCIN       </t>
  </si>
  <si>
    <t>ONCOINVENT</t>
  </si>
  <si>
    <t>NO0013380055</t>
  </si>
  <si>
    <t xml:space="preserve">0004093599  </t>
  </si>
  <si>
    <t xml:space="preserve">IDEXS       </t>
  </si>
  <si>
    <t>IDEX BIOMETRICS TR</t>
  </si>
  <si>
    <t>NO0013380048</t>
  </si>
  <si>
    <t xml:space="preserve">0004093600  </t>
  </si>
  <si>
    <t xml:space="preserve">IDEXJ       </t>
  </si>
  <si>
    <t>NO0010788268</t>
  </si>
  <si>
    <t xml:space="preserve">0004097528  </t>
  </si>
  <si>
    <t xml:space="preserve">TRSB        </t>
  </si>
  <si>
    <t>TRØNDELAG SPBK</t>
  </si>
  <si>
    <t>NO0013325506</t>
  </si>
  <si>
    <t xml:space="preserve">0004099192  </t>
  </si>
  <si>
    <t xml:space="preserve">MORLD       </t>
  </si>
  <si>
    <t>MORELD</t>
  </si>
  <si>
    <t>NO0013409763</t>
  </si>
  <si>
    <t xml:space="preserve">0004132203  </t>
  </si>
  <si>
    <t xml:space="preserve">ZWIPJ       </t>
  </si>
  <si>
    <t>ZWIPE 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</si>
</sst>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#,##0"/>
    <numFmt numFmtId="165" formatCode="[$-10409]#,##0.00"/>
    <numFmt numFmtId="166" formatCode="[$-409]d/mmm/yyyy;@"/>
    <numFmt numFmtId="167" formatCode="0.000"/>
  </numFmts>
  <fonts count="5" x14ac:knownFonts="1">
    <font>
      <sz val="11"/>
      <color rgb="FF000000"/>
      <name val="Aptos Narrow"/>
      <family val="2"/>
      <scheme val="minor"/>
    </font>
    <font>
      <b/>
      <sz val="12"/>
      <color rgb="FF000000"/>
      <name val="Calibri"/>
      <family val="2"/>
    </font>
    <font>
      <sz val="11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8D7F"/>
        <bgColor rgb="FF008D7F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 wrapText="1" readingOrder="1"/>
    </xf>
    <xf numFmtId="0" fontId="2" fillId="0" borderId="0" xfId="0" applyFont="1"/>
    <xf numFmtId="0" fontId="1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2" fillId="0" borderId="0" xfId="0" applyFont="1"/>
    <xf numFmtId="0" fontId="3" fillId="2" borderId="1" xfId="0" applyFont="1" applyFill="1" applyBorder="1" applyAlignment="1">
      <alignment wrapText="1" readingOrder="1"/>
    </xf>
    <xf numFmtId="0" fontId="3" fillId="2" borderId="1" xfId="0" applyFont="1" applyFill="1" applyBorder="1" applyAlignment="1">
      <alignment horizontal="center" wrapText="1" readingOrder="1"/>
    </xf>
    <xf numFmtId="0" fontId="4" fillId="0" borderId="1" xfId="0" applyFont="1" applyBorder="1" applyAlignment="1">
      <alignment vertical="top" wrapText="1" readingOrder="1"/>
    </xf>
    <xf numFmtId="164" fontId="4" fillId="0" borderId="1" xfId="0" applyNumberFormat="1" applyFont="1" applyBorder="1" applyAlignment="1">
      <alignment vertical="top" wrapText="1" readingOrder="1"/>
    </xf>
    <xf numFmtId="165" fontId="4" fillId="0" borderId="1" xfId="0" applyNumberFormat="1" applyFont="1" applyBorder="1" applyAlignment="1">
      <alignment vertical="top" wrapText="1" readingOrder="1"/>
    </xf>
    <xf numFmtId="166" fontId="2" fillId="0" borderId="0" xfId="0" applyNumberFormat="1" applyFont="1"/>
    <xf numFmtId="167" fontId="2" fillId="0" borderId="0" xfId="0" applyNumberFormat="1" applyFont="1"/>
    <xf numFmtId="0" fontId="4" fillId="3" borderId="1" xfId="0" applyFont="1" applyFill="1" applyBorder="1" applyAlignment="1">
      <alignment vertical="top" wrapText="1" readingOrder="1"/>
    </xf>
    <xf numFmtId="164" fontId="4" fillId="3" borderId="1" xfId="0" applyNumberFormat="1" applyFont="1" applyFill="1" applyBorder="1" applyAlignment="1">
      <alignment vertical="top" wrapText="1" readingOrder="1"/>
    </xf>
    <xf numFmtId="165" fontId="4" fillId="3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Indices\Oslo%20Bors%20Indices\Reviews\2025\202503\Ken\Oslo%20Review%20Report%20RAW.xlsx" TargetMode="External"/><Relationship Id="rId1" Type="http://schemas.openxmlformats.org/officeDocument/2006/relationships/externalLinkPath" Target="/PM-Indices-IndexOperations/Indices/Oslo%20Bors%20Indices/Reviews/2025/202503/Ken/Oslo%20Review%20Report%20RA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cument map"/>
      <sheetName val="Referential"/>
      <sheetName val="MIC"/>
      <sheetName val="Days Listed"/>
      <sheetName val="Days With Trades"/>
      <sheetName val="Value Traded"/>
    </sheetNames>
    <sheetDataSet>
      <sheetData sheetId="0"/>
      <sheetData sheetId="1"/>
      <sheetData sheetId="2">
        <row r="1">
          <cell r="A1" t="str">
            <v>Oslo Shares - MIC</v>
          </cell>
          <cell r="C1" t="str">
            <v/>
          </cell>
          <cell r="D1" t="str">
            <v/>
          </cell>
        </row>
        <row r="2">
          <cell r="A2" t="str">
            <v>CVALBDM</v>
          </cell>
          <cell r="C2" t="str">
            <v>Minimum date</v>
          </cell>
          <cell r="D2" t="str">
            <v>Maximum date</v>
          </cell>
        </row>
        <row r="3">
          <cell r="A3">
            <v>2010600</v>
          </cell>
          <cell r="C3">
            <v>45344</v>
          </cell>
          <cell r="D3">
            <v>45709</v>
          </cell>
        </row>
        <row r="4">
          <cell r="A4">
            <v>2015579</v>
          </cell>
          <cell r="C4">
            <v>45344</v>
          </cell>
          <cell r="D4">
            <v>45709</v>
          </cell>
        </row>
        <row r="5">
          <cell r="A5">
            <v>2014121</v>
          </cell>
          <cell r="C5">
            <v>45344</v>
          </cell>
          <cell r="D5">
            <v>45709</v>
          </cell>
        </row>
        <row r="6">
          <cell r="A6">
            <v>2015611</v>
          </cell>
          <cell r="C6">
            <v>45344</v>
          </cell>
          <cell r="D6">
            <v>45709</v>
          </cell>
        </row>
        <row r="7">
          <cell r="A7">
            <v>2015585</v>
          </cell>
          <cell r="C7">
            <v>45344</v>
          </cell>
          <cell r="D7">
            <v>45709</v>
          </cell>
        </row>
        <row r="8">
          <cell r="A8">
            <v>2014094</v>
          </cell>
          <cell r="C8">
            <v>45344</v>
          </cell>
          <cell r="D8">
            <v>45709</v>
          </cell>
        </row>
        <row r="9">
          <cell r="A9">
            <v>2905643</v>
          </cell>
          <cell r="C9">
            <v>45344</v>
          </cell>
          <cell r="D9">
            <v>45709</v>
          </cell>
        </row>
        <row r="10">
          <cell r="A10">
            <v>2043485</v>
          </cell>
          <cell r="C10">
            <v>45344</v>
          </cell>
          <cell r="D10">
            <v>45657</v>
          </cell>
        </row>
        <row r="11">
          <cell r="A11">
            <v>2289519</v>
          </cell>
          <cell r="C11">
            <v>45344</v>
          </cell>
          <cell r="D11">
            <v>45709</v>
          </cell>
        </row>
        <row r="12">
          <cell r="A12">
            <v>2014092</v>
          </cell>
          <cell r="C12">
            <v>45344</v>
          </cell>
          <cell r="D12">
            <v>45709</v>
          </cell>
        </row>
        <row r="13">
          <cell r="A13">
            <v>9503914</v>
          </cell>
          <cell r="C13">
            <v>45623</v>
          </cell>
          <cell r="D13">
            <v>45709</v>
          </cell>
        </row>
        <row r="14">
          <cell r="A14">
            <v>9522879</v>
          </cell>
          <cell r="C14">
            <v>45643</v>
          </cell>
          <cell r="D14">
            <v>45709</v>
          </cell>
        </row>
        <row r="15">
          <cell r="A15">
            <v>9430647</v>
          </cell>
          <cell r="C15">
            <v>45555</v>
          </cell>
          <cell r="D15">
            <v>45565</v>
          </cell>
        </row>
        <row r="16">
          <cell r="A16">
            <v>2015574</v>
          </cell>
          <cell r="C16">
            <v>45344</v>
          </cell>
          <cell r="D16">
            <v>45709</v>
          </cell>
        </row>
        <row r="17">
          <cell r="A17">
            <v>2015631</v>
          </cell>
          <cell r="C17">
            <v>45344</v>
          </cell>
          <cell r="D17">
            <v>45709</v>
          </cell>
        </row>
        <row r="18">
          <cell r="A18">
            <v>2015653</v>
          </cell>
          <cell r="C18">
            <v>45344</v>
          </cell>
          <cell r="D18">
            <v>45709</v>
          </cell>
        </row>
        <row r="19">
          <cell r="A19">
            <v>2015664</v>
          </cell>
          <cell r="C19">
            <v>45344</v>
          </cell>
          <cell r="D19">
            <v>45709</v>
          </cell>
        </row>
        <row r="20">
          <cell r="A20">
            <v>2015552</v>
          </cell>
          <cell r="C20">
            <v>45344</v>
          </cell>
          <cell r="D20">
            <v>45709</v>
          </cell>
        </row>
        <row r="21">
          <cell r="A21">
            <v>2030553</v>
          </cell>
          <cell r="C21">
            <v>45344</v>
          </cell>
          <cell r="D21">
            <v>45709</v>
          </cell>
        </row>
        <row r="22">
          <cell r="A22">
            <v>2015622</v>
          </cell>
          <cell r="C22">
            <v>45344</v>
          </cell>
          <cell r="D22">
            <v>45709</v>
          </cell>
        </row>
        <row r="23">
          <cell r="A23">
            <v>2010594</v>
          </cell>
          <cell r="C23">
            <v>45344</v>
          </cell>
          <cell r="D23">
            <v>45709</v>
          </cell>
        </row>
        <row r="24">
          <cell r="A24">
            <v>2014131</v>
          </cell>
          <cell r="C24">
            <v>45344</v>
          </cell>
          <cell r="D24">
            <v>45709</v>
          </cell>
        </row>
        <row r="25">
          <cell r="A25">
            <v>2015556</v>
          </cell>
          <cell r="C25">
            <v>45344</v>
          </cell>
          <cell r="D25">
            <v>45709</v>
          </cell>
        </row>
        <row r="26">
          <cell r="A26">
            <v>2014125</v>
          </cell>
          <cell r="C26">
            <v>45344</v>
          </cell>
          <cell r="D26">
            <v>45709</v>
          </cell>
        </row>
        <row r="27">
          <cell r="A27">
            <v>2015513</v>
          </cell>
          <cell r="C27">
            <v>45344</v>
          </cell>
          <cell r="D27">
            <v>45709</v>
          </cell>
        </row>
        <row r="28">
          <cell r="A28">
            <v>2184211</v>
          </cell>
          <cell r="C28">
            <v>45344</v>
          </cell>
          <cell r="D28">
            <v>45709</v>
          </cell>
        </row>
        <row r="29">
          <cell r="A29">
            <v>2106825</v>
          </cell>
          <cell r="C29">
            <v>45344</v>
          </cell>
          <cell r="D29">
            <v>45708</v>
          </cell>
        </row>
        <row r="30">
          <cell r="A30">
            <v>2593875</v>
          </cell>
          <cell r="C30">
            <v>45344</v>
          </cell>
          <cell r="D30">
            <v>45709</v>
          </cell>
        </row>
        <row r="31">
          <cell r="A31">
            <v>2664170</v>
          </cell>
          <cell r="C31">
            <v>45344</v>
          </cell>
          <cell r="D31">
            <v>45709</v>
          </cell>
        </row>
        <row r="32">
          <cell r="A32">
            <v>2170823</v>
          </cell>
          <cell r="C32">
            <v>45344</v>
          </cell>
          <cell r="D32">
            <v>45709</v>
          </cell>
        </row>
        <row r="33">
          <cell r="A33">
            <v>2210092</v>
          </cell>
          <cell r="C33">
            <v>45344</v>
          </cell>
          <cell r="D33">
            <v>45688</v>
          </cell>
        </row>
        <row r="34">
          <cell r="A34">
            <v>2348848</v>
          </cell>
          <cell r="C34">
            <v>45344</v>
          </cell>
          <cell r="D34">
            <v>45709</v>
          </cell>
        </row>
        <row r="35">
          <cell r="A35">
            <v>2015667</v>
          </cell>
          <cell r="C35">
            <v>45344</v>
          </cell>
          <cell r="D35">
            <v>45447</v>
          </cell>
        </row>
        <row r="36">
          <cell r="A36">
            <v>9383030</v>
          </cell>
          <cell r="C36">
            <v>45510</v>
          </cell>
          <cell r="D36">
            <v>45523</v>
          </cell>
        </row>
        <row r="37">
          <cell r="A37">
            <v>9552715</v>
          </cell>
          <cell r="C37">
            <v>45672</v>
          </cell>
          <cell r="D37">
            <v>45680</v>
          </cell>
        </row>
        <row r="38">
          <cell r="A38">
            <v>2015628</v>
          </cell>
          <cell r="C38">
            <v>45344</v>
          </cell>
          <cell r="D38">
            <v>45709</v>
          </cell>
        </row>
        <row r="39">
          <cell r="A39">
            <v>2014178</v>
          </cell>
          <cell r="C39">
            <v>45344</v>
          </cell>
          <cell r="D39">
            <v>45709</v>
          </cell>
        </row>
        <row r="40">
          <cell r="A40">
            <v>2014144</v>
          </cell>
          <cell r="C40">
            <v>45344</v>
          </cell>
          <cell r="D40">
            <v>45709</v>
          </cell>
        </row>
        <row r="41">
          <cell r="A41">
            <v>2015509</v>
          </cell>
          <cell r="C41">
            <v>45344</v>
          </cell>
          <cell r="D41">
            <v>45709</v>
          </cell>
        </row>
        <row r="42">
          <cell r="A42">
            <v>2015532</v>
          </cell>
          <cell r="C42">
            <v>45344</v>
          </cell>
          <cell r="D42">
            <v>45709</v>
          </cell>
        </row>
        <row r="43">
          <cell r="A43">
            <v>2015668</v>
          </cell>
          <cell r="C43">
            <v>45344</v>
          </cell>
          <cell r="D43">
            <v>45709</v>
          </cell>
        </row>
        <row r="44">
          <cell r="A44">
            <v>2023235</v>
          </cell>
          <cell r="C44">
            <v>45344</v>
          </cell>
          <cell r="D44">
            <v>45709</v>
          </cell>
        </row>
        <row r="45">
          <cell r="A45">
            <v>2004834</v>
          </cell>
          <cell r="C45">
            <v>45344</v>
          </cell>
          <cell r="D45">
            <v>45709</v>
          </cell>
        </row>
        <row r="46">
          <cell r="A46">
            <v>2015666</v>
          </cell>
          <cell r="C46">
            <v>45344</v>
          </cell>
          <cell r="D46">
            <v>45709</v>
          </cell>
        </row>
        <row r="47">
          <cell r="A47">
            <v>2015539</v>
          </cell>
          <cell r="C47">
            <v>45344</v>
          </cell>
          <cell r="D47">
            <v>45709</v>
          </cell>
        </row>
        <row r="48">
          <cell r="A48">
            <v>2015567</v>
          </cell>
          <cell r="C48">
            <v>45344</v>
          </cell>
          <cell r="D48">
            <v>45709</v>
          </cell>
        </row>
        <row r="49">
          <cell r="A49">
            <v>2015612</v>
          </cell>
          <cell r="C49">
            <v>45344</v>
          </cell>
          <cell r="D49">
            <v>45709</v>
          </cell>
        </row>
        <row r="50">
          <cell r="A50">
            <v>2394972</v>
          </cell>
          <cell r="C50">
            <v>45344</v>
          </cell>
          <cell r="D50">
            <v>45709</v>
          </cell>
        </row>
        <row r="51">
          <cell r="A51">
            <v>2749986</v>
          </cell>
          <cell r="C51">
            <v>45344</v>
          </cell>
          <cell r="D51">
            <v>45709</v>
          </cell>
        </row>
        <row r="52">
          <cell r="A52">
            <v>2474162</v>
          </cell>
          <cell r="C52">
            <v>45344</v>
          </cell>
          <cell r="D52">
            <v>45709</v>
          </cell>
        </row>
        <row r="53">
          <cell r="A53">
            <v>2014087</v>
          </cell>
          <cell r="C53">
            <v>45344</v>
          </cell>
          <cell r="D53">
            <v>45709</v>
          </cell>
        </row>
        <row r="54">
          <cell r="A54">
            <v>2362799</v>
          </cell>
          <cell r="C54">
            <v>45344</v>
          </cell>
          <cell r="D54">
            <v>45523</v>
          </cell>
        </row>
        <row r="55">
          <cell r="A55">
            <v>9518990</v>
          </cell>
          <cell r="C55">
            <v>45638</v>
          </cell>
          <cell r="D55">
            <v>45709</v>
          </cell>
        </row>
        <row r="56">
          <cell r="A56">
            <v>2015683</v>
          </cell>
          <cell r="C56">
            <v>45344</v>
          </cell>
          <cell r="D56">
            <v>45517</v>
          </cell>
        </row>
        <row r="57">
          <cell r="A57">
            <v>2210092</v>
          </cell>
          <cell r="C57">
            <v>45691</v>
          </cell>
          <cell r="D57">
            <v>45709</v>
          </cell>
        </row>
        <row r="58">
          <cell r="A58">
            <v>2014119</v>
          </cell>
          <cell r="C58">
            <v>45344</v>
          </cell>
          <cell r="D58">
            <v>45709</v>
          </cell>
        </row>
        <row r="59">
          <cell r="A59">
            <v>2033384</v>
          </cell>
          <cell r="C59">
            <v>45344</v>
          </cell>
          <cell r="D59">
            <v>45709</v>
          </cell>
        </row>
        <row r="60">
          <cell r="A60">
            <v>2015519</v>
          </cell>
          <cell r="C60">
            <v>45344</v>
          </cell>
          <cell r="D60">
            <v>45709</v>
          </cell>
        </row>
        <row r="61">
          <cell r="A61">
            <v>2015543</v>
          </cell>
          <cell r="C61">
            <v>45344</v>
          </cell>
          <cell r="D61">
            <v>45709</v>
          </cell>
        </row>
        <row r="62">
          <cell r="A62">
            <v>2015655</v>
          </cell>
          <cell r="C62">
            <v>45344</v>
          </cell>
          <cell r="D62">
            <v>45709</v>
          </cell>
        </row>
        <row r="63">
          <cell r="A63">
            <v>2177916</v>
          </cell>
          <cell r="C63">
            <v>45344</v>
          </cell>
          <cell r="D63">
            <v>45709</v>
          </cell>
        </row>
        <row r="64">
          <cell r="A64">
            <v>2015654</v>
          </cell>
          <cell r="C64">
            <v>45344</v>
          </cell>
          <cell r="D64">
            <v>45709</v>
          </cell>
        </row>
        <row r="65">
          <cell r="A65">
            <v>2015657</v>
          </cell>
          <cell r="C65">
            <v>45344</v>
          </cell>
          <cell r="D65">
            <v>45709</v>
          </cell>
        </row>
        <row r="66">
          <cell r="A66">
            <v>2015623</v>
          </cell>
          <cell r="C66">
            <v>45344</v>
          </cell>
          <cell r="D66">
            <v>45709</v>
          </cell>
        </row>
        <row r="67">
          <cell r="A67">
            <v>2015506</v>
          </cell>
          <cell r="C67">
            <v>45344</v>
          </cell>
          <cell r="D67">
            <v>45709</v>
          </cell>
        </row>
        <row r="68">
          <cell r="A68">
            <v>2015561</v>
          </cell>
          <cell r="C68">
            <v>45344</v>
          </cell>
          <cell r="D68">
            <v>45709</v>
          </cell>
        </row>
        <row r="69">
          <cell r="A69">
            <v>2015650</v>
          </cell>
          <cell r="C69">
            <v>45344</v>
          </cell>
          <cell r="D69">
            <v>45709</v>
          </cell>
        </row>
        <row r="70">
          <cell r="A70">
            <v>2015669</v>
          </cell>
          <cell r="C70">
            <v>45344</v>
          </cell>
          <cell r="D70">
            <v>45709</v>
          </cell>
        </row>
        <row r="71">
          <cell r="A71">
            <v>2014113</v>
          </cell>
          <cell r="C71">
            <v>45344</v>
          </cell>
          <cell r="D71">
            <v>45709</v>
          </cell>
        </row>
        <row r="72">
          <cell r="A72">
            <v>2337459</v>
          </cell>
          <cell r="C72">
            <v>45344</v>
          </cell>
          <cell r="D72">
            <v>45709</v>
          </cell>
        </row>
        <row r="73">
          <cell r="A73">
            <v>2293140</v>
          </cell>
          <cell r="C73">
            <v>45344</v>
          </cell>
          <cell r="D73">
            <v>45709</v>
          </cell>
        </row>
        <row r="74">
          <cell r="A74">
            <v>2010592</v>
          </cell>
          <cell r="C74">
            <v>45344</v>
          </cell>
          <cell r="D74">
            <v>45709</v>
          </cell>
        </row>
        <row r="75">
          <cell r="A75">
            <v>2014114</v>
          </cell>
          <cell r="C75">
            <v>45344</v>
          </cell>
          <cell r="D75">
            <v>45709</v>
          </cell>
        </row>
        <row r="76">
          <cell r="A76">
            <v>2207118</v>
          </cell>
          <cell r="C76">
            <v>45344</v>
          </cell>
          <cell r="D76">
            <v>45709</v>
          </cell>
        </row>
        <row r="77">
          <cell r="A77">
            <v>2936563</v>
          </cell>
          <cell r="C77">
            <v>45344</v>
          </cell>
          <cell r="D77">
            <v>45709</v>
          </cell>
        </row>
        <row r="78">
          <cell r="A78">
            <v>2674090</v>
          </cell>
          <cell r="C78">
            <v>45344</v>
          </cell>
          <cell r="D78">
            <v>45544</v>
          </cell>
        </row>
        <row r="79">
          <cell r="A79">
            <v>9260449</v>
          </cell>
          <cell r="C79">
            <v>45405</v>
          </cell>
          <cell r="D79">
            <v>45412</v>
          </cell>
        </row>
        <row r="80">
          <cell r="A80">
            <v>2208242</v>
          </cell>
          <cell r="C80">
            <v>45344</v>
          </cell>
          <cell r="D80">
            <v>45505</v>
          </cell>
        </row>
        <row r="81">
          <cell r="A81">
            <v>2015565</v>
          </cell>
          <cell r="C81">
            <v>45344</v>
          </cell>
          <cell r="D81">
            <v>45709</v>
          </cell>
        </row>
        <row r="82">
          <cell r="A82">
            <v>2014096</v>
          </cell>
          <cell r="C82">
            <v>45587</v>
          </cell>
          <cell r="D82">
            <v>45709</v>
          </cell>
        </row>
        <row r="83">
          <cell r="A83">
            <v>2014139</v>
          </cell>
          <cell r="C83">
            <v>45344</v>
          </cell>
          <cell r="D83">
            <v>45709</v>
          </cell>
        </row>
        <row r="84">
          <cell r="A84">
            <v>2015554</v>
          </cell>
          <cell r="C84">
            <v>45344</v>
          </cell>
          <cell r="D84">
            <v>45709</v>
          </cell>
        </row>
        <row r="85">
          <cell r="A85">
            <v>2015595</v>
          </cell>
          <cell r="C85">
            <v>45344</v>
          </cell>
          <cell r="D85">
            <v>45709</v>
          </cell>
        </row>
        <row r="86">
          <cell r="A86">
            <v>2015555</v>
          </cell>
          <cell r="C86">
            <v>45344</v>
          </cell>
          <cell r="D86">
            <v>45709</v>
          </cell>
        </row>
        <row r="87">
          <cell r="A87">
            <v>2014117</v>
          </cell>
          <cell r="C87">
            <v>45344</v>
          </cell>
          <cell r="D87">
            <v>45709</v>
          </cell>
        </row>
        <row r="88">
          <cell r="A88">
            <v>2299617</v>
          </cell>
          <cell r="C88">
            <v>45344</v>
          </cell>
          <cell r="D88">
            <v>45709</v>
          </cell>
        </row>
        <row r="89">
          <cell r="A89">
            <v>2015572</v>
          </cell>
          <cell r="C89">
            <v>45344</v>
          </cell>
          <cell r="D89">
            <v>45709</v>
          </cell>
        </row>
        <row r="90">
          <cell r="A90">
            <v>2014109</v>
          </cell>
          <cell r="C90">
            <v>45344</v>
          </cell>
          <cell r="D90">
            <v>45709</v>
          </cell>
        </row>
        <row r="91">
          <cell r="A91">
            <v>2481795</v>
          </cell>
          <cell r="C91">
            <v>45344</v>
          </cell>
          <cell r="D91">
            <v>45709</v>
          </cell>
        </row>
        <row r="92">
          <cell r="A92">
            <v>2015538</v>
          </cell>
          <cell r="C92">
            <v>45344</v>
          </cell>
          <cell r="D92">
            <v>45709</v>
          </cell>
        </row>
        <row r="93">
          <cell r="A93">
            <v>2084787</v>
          </cell>
          <cell r="C93">
            <v>45344</v>
          </cell>
          <cell r="D93">
            <v>45709</v>
          </cell>
        </row>
        <row r="94">
          <cell r="A94">
            <v>2280070</v>
          </cell>
          <cell r="C94">
            <v>45344</v>
          </cell>
          <cell r="D94">
            <v>45709</v>
          </cell>
        </row>
        <row r="95">
          <cell r="A95">
            <v>2015613</v>
          </cell>
          <cell r="C95">
            <v>45344</v>
          </cell>
          <cell r="D95">
            <v>45709</v>
          </cell>
        </row>
        <row r="96">
          <cell r="A96">
            <v>2014118</v>
          </cell>
          <cell r="C96">
            <v>45344</v>
          </cell>
          <cell r="D96">
            <v>45709</v>
          </cell>
        </row>
        <row r="97">
          <cell r="A97">
            <v>2015618</v>
          </cell>
          <cell r="C97">
            <v>45344</v>
          </cell>
          <cell r="D97">
            <v>45709</v>
          </cell>
        </row>
        <row r="98">
          <cell r="A98">
            <v>2015575</v>
          </cell>
          <cell r="C98">
            <v>45344</v>
          </cell>
          <cell r="D98">
            <v>45709</v>
          </cell>
        </row>
        <row r="99">
          <cell r="A99">
            <v>2015679</v>
          </cell>
          <cell r="C99">
            <v>45344</v>
          </cell>
          <cell r="D99">
            <v>45709</v>
          </cell>
        </row>
        <row r="100">
          <cell r="A100">
            <v>9265190</v>
          </cell>
          <cell r="C100">
            <v>45408</v>
          </cell>
          <cell r="D100">
            <v>45709</v>
          </cell>
        </row>
        <row r="101">
          <cell r="A101">
            <v>2293139</v>
          </cell>
          <cell r="C101">
            <v>45344</v>
          </cell>
          <cell r="D101">
            <v>45709</v>
          </cell>
        </row>
        <row r="102">
          <cell r="A102">
            <v>2015520</v>
          </cell>
          <cell r="C102">
            <v>45344</v>
          </cell>
          <cell r="D102">
            <v>45709</v>
          </cell>
        </row>
        <row r="103">
          <cell r="A103">
            <v>2015600</v>
          </cell>
          <cell r="C103">
            <v>45344</v>
          </cell>
          <cell r="D103">
            <v>45709</v>
          </cell>
        </row>
        <row r="104">
          <cell r="A104">
            <v>2105565</v>
          </cell>
          <cell r="C104">
            <v>45344</v>
          </cell>
          <cell r="D104">
            <v>45709</v>
          </cell>
        </row>
        <row r="105">
          <cell r="A105">
            <v>2266597</v>
          </cell>
          <cell r="C105">
            <v>45344</v>
          </cell>
          <cell r="D105">
            <v>45709</v>
          </cell>
        </row>
        <row r="106">
          <cell r="A106">
            <v>2261100</v>
          </cell>
          <cell r="C106">
            <v>45344</v>
          </cell>
          <cell r="D106">
            <v>45709</v>
          </cell>
        </row>
        <row r="107">
          <cell r="A107">
            <v>2349142</v>
          </cell>
          <cell r="C107">
            <v>45344</v>
          </cell>
          <cell r="D107">
            <v>45709</v>
          </cell>
        </row>
        <row r="108">
          <cell r="A108">
            <v>2229423</v>
          </cell>
          <cell r="C108">
            <v>45344</v>
          </cell>
          <cell r="D108">
            <v>45709</v>
          </cell>
        </row>
        <row r="109">
          <cell r="A109">
            <v>2280083</v>
          </cell>
          <cell r="C109">
            <v>45344</v>
          </cell>
          <cell r="D109">
            <v>45709</v>
          </cell>
        </row>
        <row r="110">
          <cell r="A110">
            <v>2145327</v>
          </cell>
          <cell r="C110">
            <v>45344</v>
          </cell>
          <cell r="D110">
            <v>45709</v>
          </cell>
        </row>
        <row r="111">
          <cell r="A111">
            <v>9513251</v>
          </cell>
          <cell r="C111">
            <v>45632</v>
          </cell>
          <cell r="D111">
            <v>45642</v>
          </cell>
        </row>
        <row r="112">
          <cell r="A112">
            <v>2015578</v>
          </cell>
          <cell r="C112">
            <v>45344</v>
          </cell>
          <cell r="D112">
            <v>45709</v>
          </cell>
        </row>
        <row r="113">
          <cell r="A113">
            <v>2998824</v>
          </cell>
          <cell r="C113">
            <v>45344</v>
          </cell>
          <cell r="D113">
            <v>45709</v>
          </cell>
        </row>
        <row r="114">
          <cell r="A114">
            <v>2015525</v>
          </cell>
          <cell r="C114">
            <v>45344</v>
          </cell>
          <cell r="D114">
            <v>45709</v>
          </cell>
        </row>
        <row r="115">
          <cell r="A115">
            <v>2015534</v>
          </cell>
          <cell r="C115">
            <v>45344</v>
          </cell>
          <cell r="D115">
            <v>45657</v>
          </cell>
        </row>
        <row r="116">
          <cell r="A116">
            <v>2215442</v>
          </cell>
          <cell r="C116">
            <v>45344</v>
          </cell>
          <cell r="D116">
            <v>45709</v>
          </cell>
        </row>
        <row r="117">
          <cell r="A117">
            <v>2015603</v>
          </cell>
          <cell r="C117">
            <v>45344</v>
          </cell>
          <cell r="D117">
            <v>45709</v>
          </cell>
        </row>
        <row r="118">
          <cell r="A118">
            <v>2014173</v>
          </cell>
          <cell r="C118">
            <v>45344</v>
          </cell>
          <cell r="D118">
            <v>45709</v>
          </cell>
        </row>
        <row r="119">
          <cell r="A119">
            <v>2239800</v>
          </cell>
          <cell r="C119">
            <v>45589</v>
          </cell>
          <cell r="D119">
            <v>45709</v>
          </cell>
        </row>
        <row r="120">
          <cell r="A120">
            <v>2043486</v>
          </cell>
          <cell r="C120">
            <v>45344</v>
          </cell>
          <cell r="D120">
            <v>45709</v>
          </cell>
        </row>
        <row r="121">
          <cell r="A121">
            <v>9026814</v>
          </cell>
          <cell r="C121">
            <v>45344</v>
          </cell>
          <cell r="D121">
            <v>45624</v>
          </cell>
        </row>
        <row r="122">
          <cell r="A122">
            <v>2010595</v>
          </cell>
          <cell r="C122">
            <v>45344</v>
          </cell>
          <cell r="D122">
            <v>45709</v>
          </cell>
        </row>
        <row r="123">
          <cell r="A123">
            <v>9518991</v>
          </cell>
          <cell r="C123">
            <v>45638</v>
          </cell>
          <cell r="D123">
            <v>45709</v>
          </cell>
        </row>
        <row r="124">
          <cell r="A124">
            <v>6054667</v>
          </cell>
          <cell r="C124">
            <v>45344</v>
          </cell>
          <cell r="D124">
            <v>45390</v>
          </cell>
        </row>
        <row r="125">
          <cell r="A125">
            <v>9500512</v>
          </cell>
          <cell r="C125">
            <v>45621</v>
          </cell>
          <cell r="D125">
            <v>45629</v>
          </cell>
        </row>
        <row r="126">
          <cell r="A126">
            <v>2285454</v>
          </cell>
          <cell r="C126">
            <v>45344</v>
          </cell>
          <cell r="D126">
            <v>45576</v>
          </cell>
        </row>
        <row r="127">
          <cell r="A127">
            <v>2015540</v>
          </cell>
          <cell r="C127">
            <v>45344</v>
          </cell>
          <cell r="D127">
            <v>45709</v>
          </cell>
        </row>
        <row r="128">
          <cell r="A128">
            <v>2014107</v>
          </cell>
          <cell r="C128">
            <v>45344</v>
          </cell>
          <cell r="D128">
            <v>45709</v>
          </cell>
        </row>
        <row r="129">
          <cell r="A129">
            <v>2010588</v>
          </cell>
          <cell r="C129">
            <v>45344</v>
          </cell>
          <cell r="D129">
            <v>45709</v>
          </cell>
        </row>
        <row r="130">
          <cell r="A130">
            <v>2015560</v>
          </cell>
          <cell r="C130">
            <v>45344</v>
          </cell>
          <cell r="D130">
            <v>45709</v>
          </cell>
        </row>
        <row r="131">
          <cell r="A131">
            <v>2015598</v>
          </cell>
          <cell r="C131">
            <v>45344</v>
          </cell>
          <cell r="D131">
            <v>45709</v>
          </cell>
        </row>
        <row r="132">
          <cell r="A132">
            <v>2479320</v>
          </cell>
          <cell r="C132">
            <v>45462</v>
          </cell>
          <cell r="D132">
            <v>45709</v>
          </cell>
        </row>
        <row r="133">
          <cell r="A133">
            <v>2015545</v>
          </cell>
          <cell r="C133">
            <v>45344</v>
          </cell>
          <cell r="D133">
            <v>45709</v>
          </cell>
        </row>
        <row r="134">
          <cell r="A134">
            <v>2014177</v>
          </cell>
          <cell r="C134">
            <v>45344</v>
          </cell>
          <cell r="D134">
            <v>45709</v>
          </cell>
        </row>
        <row r="135">
          <cell r="A135">
            <v>9314427</v>
          </cell>
          <cell r="C135">
            <v>45454</v>
          </cell>
          <cell r="D135">
            <v>45709</v>
          </cell>
        </row>
        <row r="136">
          <cell r="A136">
            <v>2580754</v>
          </cell>
          <cell r="C136">
            <v>45344</v>
          </cell>
          <cell r="D136">
            <v>45709</v>
          </cell>
        </row>
        <row r="137">
          <cell r="A137">
            <v>2078419</v>
          </cell>
          <cell r="C137">
            <v>45344</v>
          </cell>
          <cell r="D137">
            <v>45709</v>
          </cell>
        </row>
        <row r="138">
          <cell r="A138">
            <v>2014091</v>
          </cell>
          <cell r="C138">
            <v>45344</v>
          </cell>
          <cell r="D138">
            <v>45709</v>
          </cell>
        </row>
        <row r="139">
          <cell r="A139">
            <v>2318527</v>
          </cell>
          <cell r="C139">
            <v>45344</v>
          </cell>
          <cell r="D139">
            <v>45709</v>
          </cell>
        </row>
        <row r="140">
          <cell r="A140">
            <v>2014101</v>
          </cell>
          <cell r="C140">
            <v>45344</v>
          </cell>
          <cell r="D140">
            <v>45709</v>
          </cell>
        </row>
        <row r="141">
          <cell r="A141">
            <v>2043488</v>
          </cell>
          <cell r="C141">
            <v>45344</v>
          </cell>
          <cell r="D141">
            <v>45709</v>
          </cell>
        </row>
        <row r="142">
          <cell r="A142">
            <v>2308304</v>
          </cell>
          <cell r="C142">
            <v>45344</v>
          </cell>
          <cell r="D142">
            <v>45709</v>
          </cell>
        </row>
        <row r="143">
          <cell r="A143">
            <v>2910735</v>
          </cell>
          <cell r="C143">
            <v>45344</v>
          </cell>
          <cell r="D143">
            <v>45709</v>
          </cell>
        </row>
        <row r="144">
          <cell r="A144">
            <v>2015599</v>
          </cell>
          <cell r="C144">
            <v>45344</v>
          </cell>
          <cell r="D144">
            <v>45709</v>
          </cell>
        </row>
        <row r="145">
          <cell r="A145">
            <v>2015508</v>
          </cell>
          <cell r="C145">
            <v>45344</v>
          </cell>
          <cell r="D145">
            <v>45709</v>
          </cell>
        </row>
        <row r="146">
          <cell r="A146">
            <v>2014128</v>
          </cell>
          <cell r="C146">
            <v>45344</v>
          </cell>
          <cell r="D146">
            <v>45709</v>
          </cell>
        </row>
        <row r="147">
          <cell r="A147">
            <v>2015592</v>
          </cell>
          <cell r="C147">
            <v>45344</v>
          </cell>
          <cell r="D147">
            <v>45709</v>
          </cell>
        </row>
        <row r="148">
          <cell r="A148">
            <v>2015531</v>
          </cell>
          <cell r="C148">
            <v>45344</v>
          </cell>
          <cell r="D148">
            <v>45709</v>
          </cell>
        </row>
        <row r="149">
          <cell r="A149">
            <v>2015521</v>
          </cell>
          <cell r="C149">
            <v>45344</v>
          </cell>
          <cell r="D149">
            <v>45709</v>
          </cell>
        </row>
        <row r="150">
          <cell r="A150">
            <v>2015478</v>
          </cell>
          <cell r="C150">
            <v>45344</v>
          </cell>
          <cell r="D150">
            <v>45709</v>
          </cell>
        </row>
        <row r="151">
          <cell r="A151">
            <v>6053259</v>
          </cell>
          <cell r="C151">
            <v>45344</v>
          </cell>
          <cell r="D151">
            <v>45709</v>
          </cell>
        </row>
        <row r="152">
          <cell r="A152">
            <v>2015537</v>
          </cell>
          <cell r="C152">
            <v>45344</v>
          </cell>
          <cell r="D152">
            <v>45709</v>
          </cell>
        </row>
        <row r="153">
          <cell r="A153">
            <v>2015593</v>
          </cell>
          <cell r="C153">
            <v>45344</v>
          </cell>
          <cell r="D153">
            <v>45709</v>
          </cell>
        </row>
        <row r="154">
          <cell r="A154">
            <v>3075841</v>
          </cell>
          <cell r="C154">
            <v>45344</v>
          </cell>
          <cell r="D154">
            <v>45709</v>
          </cell>
        </row>
        <row r="155">
          <cell r="A155">
            <v>2015633</v>
          </cell>
          <cell r="C155">
            <v>45344</v>
          </cell>
          <cell r="D155">
            <v>45709</v>
          </cell>
        </row>
        <row r="156">
          <cell r="A156">
            <v>2015602</v>
          </cell>
          <cell r="C156">
            <v>45344</v>
          </cell>
          <cell r="D156">
            <v>45709</v>
          </cell>
        </row>
        <row r="157">
          <cell r="A157">
            <v>2015569</v>
          </cell>
          <cell r="C157">
            <v>45344</v>
          </cell>
          <cell r="D157">
            <v>45709</v>
          </cell>
        </row>
        <row r="158">
          <cell r="A158">
            <v>2172325</v>
          </cell>
          <cell r="C158">
            <v>45344</v>
          </cell>
          <cell r="D158">
            <v>45709</v>
          </cell>
        </row>
        <row r="159">
          <cell r="A159">
            <v>2169558</v>
          </cell>
          <cell r="C159">
            <v>45344</v>
          </cell>
          <cell r="D159">
            <v>45644</v>
          </cell>
        </row>
        <row r="160">
          <cell r="A160">
            <v>2014099</v>
          </cell>
          <cell r="C160">
            <v>45344</v>
          </cell>
          <cell r="D160">
            <v>45709</v>
          </cell>
        </row>
        <row r="161">
          <cell r="A161">
            <v>2014111</v>
          </cell>
          <cell r="C161">
            <v>45344</v>
          </cell>
          <cell r="D161">
            <v>45709</v>
          </cell>
        </row>
        <row r="162">
          <cell r="A162">
            <v>9460944</v>
          </cell>
          <cell r="C162">
            <v>45583</v>
          </cell>
          <cell r="D162">
            <v>45709</v>
          </cell>
        </row>
        <row r="163">
          <cell r="A163">
            <v>9212350</v>
          </cell>
          <cell r="C163">
            <v>45364</v>
          </cell>
          <cell r="D163">
            <v>45372</v>
          </cell>
        </row>
        <row r="164">
          <cell r="A164">
            <v>9557492</v>
          </cell>
          <cell r="C164">
            <v>45677</v>
          </cell>
          <cell r="D164">
            <v>45709</v>
          </cell>
        </row>
        <row r="165">
          <cell r="A165">
            <v>2015563</v>
          </cell>
          <cell r="C165">
            <v>45344</v>
          </cell>
          <cell r="D165">
            <v>45709</v>
          </cell>
        </row>
        <row r="166">
          <cell r="A166">
            <v>2015558</v>
          </cell>
          <cell r="C166">
            <v>45344</v>
          </cell>
          <cell r="D166">
            <v>45709</v>
          </cell>
        </row>
        <row r="167">
          <cell r="A167">
            <v>9343035</v>
          </cell>
          <cell r="C167">
            <v>45477</v>
          </cell>
          <cell r="D167">
            <v>45709</v>
          </cell>
        </row>
        <row r="168">
          <cell r="A168">
            <v>2014175</v>
          </cell>
          <cell r="C168">
            <v>45344</v>
          </cell>
          <cell r="D168">
            <v>45709</v>
          </cell>
        </row>
        <row r="169">
          <cell r="A169">
            <v>2079575</v>
          </cell>
          <cell r="C169">
            <v>45344</v>
          </cell>
          <cell r="D169">
            <v>45709</v>
          </cell>
        </row>
        <row r="170">
          <cell r="A170">
            <v>2014186</v>
          </cell>
          <cell r="C170">
            <v>45344</v>
          </cell>
          <cell r="D170">
            <v>45709</v>
          </cell>
        </row>
        <row r="171">
          <cell r="A171">
            <v>2014134</v>
          </cell>
          <cell r="C171">
            <v>45344</v>
          </cell>
          <cell r="D171">
            <v>45709</v>
          </cell>
        </row>
        <row r="172">
          <cell r="A172">
            <v>2149724</v>
          </cell>
          <cell r="C172">
            <v>45344</v>
          </cell>
          <cell r="D172">
            <v>45709</v>
          </cell>
        </row>
        <row r="173">
          <cell r="A173">
            <v>2454024</v>
          </cell>
          <cell r="C173">
            <v>45344</v>
          </cell>
          <cell r="D173">
            <v>45709</v>
          </cell>
        </row>
        <row r="174">
          <cell r="A174">
            <v>2015663</v>
          </cell>
          <cell r="C174">
            <v>45344</v>
          </cell>
          <cell r="D174">
            <v>45709</v>
          </cell>
        </row>
        <row r="175">
          <cell r="A175">
            <v>2015541</v>
          </cell>
          <cell r="C175">
            <v>45344</v>
          </cell>
          <cell r="D175">
            <v>45709</v>
          </cell>
        </row>
        <row r="176">
          <cell r="A176">
            <v>2015682</v>
          </cell>
          <cell r="C176">
            <v>45344</v>
          </cell>
          <cell r="D176">
            <v>45709</v>
          </cell>
        </row>
        <row r="177">
          <cell r="A177">
            <v>2010589</v>
          </cell>
          <cell r="C177">
            <v>45344</v>
          </cell>
          <cell r="D177">
            <v>45709</v>
          </cell>
        </row>
        <row r="178">
          <cell r="A178">
            <v>2015661</v>
          </cell>
          <cell r="C178">
            <v>45344</v>
          </cell>
          <cell r="D178">
            <v>45709</v>
          </cell>
        </row>
        <row r="179">
          <cell r="A179">
            <v>2015614</v>
          </cell>
          <cell r="C179">
            <v>45344</v>
          </cell>
          <cell r="D179">
            <v>45709</v>
          </cell>
        </row>
        <row r="180">
          <cell r="A180">
            <v>2023241</v>
          </cell>
          <cell r="C180">
            <v>45344</v>
          </cell>
          <cell r="D180">
            <v>45709</v>
          </cell>
        </row>
        <row r="181">
          <cell r="A181">
            <v>2167902</v>
          </cell>
          <cell r="C181">
            <v>45344</v>
          </cell>
          <cell r="D181">
            <v>45709</v>
          </cell>
        </row>
        <row r="182">
          <cell r="A182">
            <v>9019935</v>
          </cell>
          <cell r="C182">
            <v>45344</v>
          </cell>
          <cell r="D182">
            <v>45709</v>
          </cell>
        </row>
        <row r="183">
          <cell r="A183">
            <v>2239800</v>
          </cell>
          <cell r="C183">
            <v>45344</v>
          </cell>
          <cell r="D183">
            <v>45588</v>
          </cell>
        </row>
        <row r="184">
          <cell r="A184">
            <v>9236486</v>
          </cell>
          <cell r="C184">
            <v>45385</v>
          </cell>
          <cell r="D184">
            <v>45393</v>
          </cell>
        </row>
        <row r="185">
          <cell r="A185">
            <v>9199282</v>
          </cell>
          <cell r="C185">
            <v>45355</v>
          </cell>
          <cell r="D185">
            <v>45622</v>
          </cell>
        </row>
        <row r="186">
          <cell r="A186">
            <v>2015568</v>
          </cell>
          <cell r="C186">
            <v>45344</v>
          </cell>
          <cell r="D186">
            <v>45709</v>
          </cell>
        </row>
        <row r="187">
          <cell r="A187">
            <v>2015583</v>
          </cell>
          <cell r="C187">
            <v>45344</v>
          </cell>
          <cell r="D187">
            <v>45709</v>
          </cell>
        </row>
        <row r="188">
          <cell r="A188">
            <v>2014174</v>
          </cell>
          <cell r="C188">
            <v>45344</v>
          </cell>
          <cell r="D188">
            <v>45709</v>
          </cell>
        </row>
        <row r="189">
          <cell r="A189">
            <v>2015670</v>
          </cell>
          <cell r="C189">
            <v>45344</v>
          </cell>
          <cell r="D189">
            <v>45709</v>
          </cell>
        </row>
        <row r="190">
          <cell r="A190">
            <v>2014090</v>
          </cell>
          <cell r="C190">
            <v>45344</v>
          </cell>
          <cell r="D190">
            <v>45709</v>
          </cell>
        </row>
        <row r="191">
          <cell r="A191">
            <v>2014106</v>
          </cell>
          <cell r="C191">
            <v>45344</v>
          </cell>
          <cell r="D191">
            <v>45709</v>
          </cell>
        </row>
        <row r="192">
          <cell r="A192">
            <v>2015632</v>
          </cell>
          <cell r="C192">
            <v>45344</v>
          </cell>
          <cell r="D192">
            <v>45709</v>
          </cell>
        </row>
        <row r="193">
          <cell r="A193">
            <v>2015662</v>
          </cell>
          <cell r="C193">
            <v>45344</v>
          </cell>
          <cell r="D193">
            <v>45709</v>
          </cell>
        </row>
        <row r="194">
          <cell r="A194">
            <v>2014127</v>
          </cell>
          <cell r="C194">
            <v>45344</v>
          </cell>
          <cell r="D194">
            <v>45709</v>
          </cell>
        </row>
        <row r="195">
          <cell r="A195">
            <v>2015553</v>
          </cell>
          <cell r="C195">
            <v>45344</v>
          </cell>
          <cell r="D195">
            <v>45709</v>
          </cell>
        </row>
        <row r="196">
          <cell r="A196">
            <v>9419292</v>
          </cell>
          <cell r="C196">
            <v>45545</v>
          </cell>
          <cell r="D196">
            <v>45709</v>
          </cell>
        </row>
        <row r="197">
          <cell r="A197">
            <v>2015527</v>
          </cell>
          <cell r="C197">
            <v>45344</v>
          </cell>
          <cell r="D197">
            <v>45709</v>
          </cell>
        </row>
        <row r="198">
          <cell r="A198">
            <v>2014120</v>
          </cell>
          <cell r="C198">
            <v>45344</v>
          </cell>
          <cell r="D198">
            <v>45709</v>
          </cell>
        </row>
        <row r="199">
          <cell r="A199">
            <v>2014123</v>
          </cell>
          <cell r="C199">
            <v>45344</v>
          </cell>
          <cell r="D199">
            <v>45709</v>
          </cell>
        </row>
        <row r="200">
          <cell r="A200">
            <v>2030554</v>
          </cell>
          <cell r="C200">
            <v>45344</v>
          </cell>
          <cell r="D200">
            <v>45674</v>
          </cell>
        </row>
        <row r="201">
          <cell r="A201">
            <v>2169558</v>
          </cell>
          <cell r="C201">
            <v>45645</v>
          </cell>
          <cell r="D201">
            <v>45709</v>
          </cell>
        </row>
        <row r="202">
          <cell r="A202">
            <v>2015587</v>
          </cell>
          <cell r="C202">
            <v>45344</v>
          </cell>
          <cell r="D202">
            <v>45709</v>
          </cell>
        </row>
        <row r="203">
          <cell r="A203">
            <v>2015615</v>
          </cell>
          <cell r="C203">
            <v>45344</v>
          </cell>
          <cell r="D203">
            <v>45709</v>
          </cell>
        </row>
        <row r="204">
          <cell r="A204">
            <v>2015605</v>
          </cell>
          <cell r="C204">
            <v>45344</v>
          </cell>
          <cell r="D204">
            <v>45709</v>
          </cell>
        </row>
        <row r="205">
          <cell r="A205">
            <v>2417486</v>
          </cell>
          <cell r="C205">
            <v>45344</v>
          </cell>
          <cell r="D205">
            <v>45709</v>
          </cell>
        </row>
        <row r="206">
          <cell r="A206">
            <v>2015573</v>
          </cell>
          <cell r="C206">
            <v>45344</v>
          </cell>
          <cell r="D206">
            <v>45709</v>
          </cell>
        </row>
        <row r="207">
          <cell r="A207">
            <v>2014183</v>
          </cell>
          <cell r="C207">
            <v>45344</v>
          </cell>
          <cell r="D207">
            <v>45709</v>
          </cell>
        </row>
        <row r="208">
          <cell r="A208">
            <v>2015590</v>
          </cell>
          <cell r="C208">
            <v>45344</v>
          </cell>
          <cell r="D208">
            <v>45709</v>
          </cell>
        </row>
        <row r="209">
          <cell r="A209">
            <v>2014129</v>
          </cell>
          <cell r="C209">
            <v>45344</v>
          </cell>
          <cell r="D209">
            <v>45709</v>
          </cell>
        </row>
        <row r="210">
          <cell r="A210">
            <v>2014096</v>
          </cell>
          <cell r="C210">
            <v>45344</v>
          </cell>
          <cell r="D210">
            <v>45586</v>
          </cell>
        </row>
        <row r="211">
          <cell r="A211">
            <v>2160148</v>
          </cell>
          <cell r="C211">
            <v>45344</v>
          </cell>
          <cell r="D211">
            <v>45709</v>
          </cell>
        </row>
        <row r="212">
          <cell r="A212">
            <v>2014006</v>
          </cell>
          <cell r="C212">
            <v>45344</v>
          </cell>
          <cell r="D212">
            <v>45709</v>
          </cell>
        </row>
        <row r="213">
          <cell r="A213">
            <v>2315915</v>
          </cell>
          <cell r="C213">
            <v>45344</v>
          </cell>
          <cell r="D213">
            <v>45709</v>
          </cell>
        </row>
        <row r="214">
          <cell r="A214">
            <v>2334436</v>
          </cell>
          <cell r="C214">
            <v>45344</v>
          </cell>
          <cell r="D214">
            <v>45709</v>
          </cell>
        </row>
        <row r="215">
          <cell r="A215">
            <v>2013917</v>
          </cell>
          <cell r="C215">
            <v>45344</v>
          </cell>
          <cell r="D215">
            <v>45709</v>
          </cell>
        </row>
        <row r="216">
          <cell r="A216">
            <v>2014115</v>
          </cell>
          <cell r="C216">
            <v>45344</v>
          </cell>
          <cell r="D216">
            <v>45709</v>
          </cell>
        </row>
        <row r="217">
          <cell r="A217">
            <v>2110369</v>
          </cell>
          <cell r="C217">
            <v>45344</v>
          </cell>
          <cell r="D217">
            <v>45709</v>
          </cell>
        </row>
        <row r="218">
          <cell r="A218">
            <v>2014108</v>
          </cell>
          <cell r="C218">
            <v>45344</v>
          </cell>
          <cell r="D218">
            <v>45709</v>
          </cell>
        </row>
        <row r="219">
          <cell r="A219">
            <v>9125325</v>
          </cell>
          <cell r="C219">
            <v>45344</v>
          </cell>
          <cell r="D219">
            <v>45635</v>
          </cell>
        </row>
        <row r="220">
          <cell r="A220">
            <v>9301553</v>
          </cell>
          <cell r="C220">
            <v>45442</v>
          </cell>
          <cell r="D220">
            <v>45450</v>
          </cell>
        </row>
        <row r="221">
          <cell r="A221">
            <v>9524495</v>
          </cell>
          <cell r="C221">
            <v>45644</v>
          </cell>
          <cell r="D221">
            <v>45709</v>
          </cell>
        </row>
        <row r="222">
          <cell r="A222">
            <v>2015530</v>
          </cell>
          <cell r="C222">
            <v>45344</v>
          </cell>
          <cell r="D222">
            <v>45709</v>
          </cell>
        </row>
        <row r="223">
          <cell r="A223">
            <v>2015564</v>
          </cell>
          <cell r="C223">
            <v>45344</v>
          </cell>
          <cell r="D223">
            <v>45709</v>
          </cell>
        </row>
        <row r="224">
          <cell r="A224">
            <v>2455465</v>
          </cell>
          <cell r="C224">
            <v>45344</v>
          </cell>
          <cell r="D224">
            <v>45709</v>
          </cell>
        </row>
        <row r="225">
          <cell r="A225">
            <v>2015676</v>
          </cell>
          <cell r="C225">
            <v>45344</v>
          </cell>
          <cell r="D225">
            <v>45709</v>
          </cell>
        </row>
        <row r="226">
          <cell r="A226">
            <v>2015620</v>
          </cell>
          <cell r="C226">
            <v>45344</v>
          </cell>
          <cell r="D226">
            <v>45709</v>
          </cell>
        </row>
        <row r="227">
          <cell r="A227">
            <v>2015566</v>
          </cell>
          <cell r="C227">
            <v>45344</v>
          </cell>
          <cell r="D227">
            <v>45709</v>
          </cell>
        </row>
        <row r="228">
          <cell r="A228">
            <v>2015547</v>
          </cell>
          <cell r="C228">
            <v>45344</v>
          </cell>
          <cell r="D228">
            <v>45709</v>
          </cell>
        </row>
        <row r="229">
          <cell r="A229">
            <v>2023237</v>
          </cell>
          <cell r="C229">
            <v>45344</v>
          </cell>
          <cell r="D229">
            <v>45709</v>
          </cell>
        </row>
        <row r="230">
          <cell r="A230">
            <v>2015656</v>
          </cell>
          <cell r="C230">
            <v>45344</v>
          </cell>
          <cell r="D230">
            <v>45709</v>
          </cell>
        </row>
        <row r="231">
          <cell r="A231">
            <v>2014176</v>
          </cell>
          <cell r="C231">
            <v>45344</v>
          </cell>
          <cell r="D231">
            <v>45709</v>
          </cell>
        </row>
        <row r="232">
          <cell r="A232">
            <v>2015544</v>
          </cell>
          <cell r="C232">
            <v>45344</v>
          </cell>
          <cell r="D232">
            <v>45709</v>
          </cell>
        </row>
        <row r="233">
          <cell r="A233">
            <v>2015629</v>
          </cell>
          <cell r="C233">
            <v>45344</v>
          </cell>
          <cell r="D233">
            <v>45709</v>
          </cell>
        </row>
        <row r="234">
          <cell r="A234">
            <v>2023236</v>
          </cell>
          <cell r="C234">
            <v>45344</v>
          </cell>
          <cell r="D234">
            <v>45709</v>
          </cell>
        </row>
        <row r="235">
          <cell r="A235">
            <v>2030555</v>
          </cell>
          <cell r="C235">
            <v>45344</v>
          </cell>
          <cell r="D235">
            <v>45709</v>
          </cell>
        </row>
        <row r="236">
          <cell r="A236">
            <v>2153253</v>
          </cell>
          <cell r="C236">
            <v>45344</v>
          </cell>
          <cell r="D236">
            <v>45709</v>
          </cell>
        </row>
        <row r="237">
          <cell r="A237">
            <v>2030556</v>
          </cell>
          <cell r="C237">
            <v>45344</v>
          </cell>
          <cell r="D237">
            <v>45709</v>
          </cell>
        </row>
        <row r="238">
          <cell r="A238">
            <v>2475427</v>
          </cell>
          <cell r="C238">
            <v>45344</v>
          </cell>
          <cell r="D238">
            <v>45709</v>
          </cell>
        </row>
        <row r="239">
          <cell r="A239">
            <v>2023243</v>
          </cell>
          <cell r="C239">
            <v>45344</v>
          </cell>
          <cell r="D239">
            <v>45657</v>
          </cell>
        </row>
        <row r="240">
          <cell r="A240">
            <v>2383499</v>
          </cell>
          <cell r="C240">
            <v>45344</v>
          </cell>
          <cell r="D240">
            <v>45709</v>
          </cell>
        </row>
        <row r="241">
          <cell r="A241">
            <v>2180881</v>
          </cell>
          <cell r="C241">
            <v>45344</v>
          </cell>
          <cell r="D241">
            <v>45639</v>
          </cell>
        </row>
        <row r="242">
          <cell r="A242">
            <v>2108509</v>
          </cell>
          <cell r="C242">
            <v>45344</v>
          </cell>
          <cell r="D242">
            <v>45709</v>
          </cell>
        </row>
        <row r="243">
          <cell r="A243">
            <v>2015610</v>
          </cell>
          <cell r="C243">
            <v>45344</v>
          </cell>
          <cell r="D243">
            <v>45709</v>
          </cell>
        </row>
        <row r="244">
          <cell r="A244">
            <v>2015522</v>
          </cell>
          <cell r="C244">
            <v>45344</v>
          </cell>
          <cell r="D244">
            <v>45709</v>
          </cell>
        </row>
        <row r="245">
          <cell r="A245">
            <v>2015517</v>
          </cell>
          <cell r="C245">
            <v>45344</v>
          </cell>
          <cell r="D245">
            <v>45709</v>
          </cell>
        </row>
        <row r="246">
          <cell r="A246">
            <v>2015616</v>
          </cell>
          <cell r="C246">
            <v>45344</v>
          </cell>
          <cell r="D246">
            <v>45709</v>
          </cell>
        </row>
        <row r="247">
          <cell r="A247">
            <v>2015671</v>
          </cell>
          <cell r="C247">
            <v>45344</v>
          </cell>
          <cell r="D247">
            <v>45709</v>
          </cell>
        </row>
        <row r="248">
          <cell r="A248">
            <v>2010591</v>
          </cell>
          <cell r="C248">
            <v>45344</v>
          </cell>
          <cell r="D248">
            <v>45709</v>
          </cell>
        </row>
        <row r="249">
          <cell r="A249">
            <v>2014137</v>
          </cell>
          <cell r="C249">
            <v>45344</v>
          </cell>
          <cell r="D249">
            <v>45709</v>
          </cell>
        </row>
        <row r="250">
          <cell r="A250">
            <v>2014143</v>
          </cell>
          <cell r="C250">
            <v>45344</v>
          </cell>
          <cell r="D250">
            <v>45709</v>
          </cell>
        </row>
        <row r="251">
          <cell r="A251">
            <v>2015606</v>
          </cell>
          <cell r="C251">
            <v>45344</v>
          </cell>
          <cell r="D251">
            <v>45709</v>
          </cell>
        </row>
        <row r="252">
          <cell r="A252">
            <v>2015608</v>
          </cell>
          <cell r="C252">
            <v>45344</v>
          </cell>
          <cell r="D252">
            <v>45709</v>
          </cell>
        </row>
        <row r="253">
          <cell r="A253">
            <v>2015652</v>
          </cell>
          <cell r="C253">
            <v>45344</v>
          </cell>
          <cell r="D253">
            <v>45709</v>
          </cell>
        </row>
        <row r="254">
          <cell r="A254">
            <v>2014138</v>
          </cell>
          <cell r="C254">
            <v>45344</v>
          </cell>
          <cell r="D254">
            <v>45709</v>
          </cell>
        </row>
        <row r="255">
          <cell r="A255">
            <v>2015516</v>
          </cell>
          <cell r="C255">
            <v>45344</v>
          </cell>
          <cell r="D255">
            <v>45709</v>
          </cell>
        </row>
        <row r="256">
          <cell r="A256">
            <v>2015582</v>
          </cell>
          <cell r="C256">
            <v>45344</v>
          </cell>
          <cell r="D256">
            <v>45709</v>
          </cell>
        </row>
        <row r="257">
          <cell r="A257">
            <v>2033385</v>
          </cell>
          <cell r="C257">
            <v>45344</v>
          </cell>
          <cell r="D257">
            <v>45602</v>
          </cell>
        </row>
        <row r="258">
          <cell r="A258">
            <v>2231612</v>
          </cell>
          <cell r="C258">
            <v>45344</v>
          </cell>
          <cell r="D258">
            <v>45709</v>
          </cell>
        </row>
        <row r="259">
          <cell r="A259">
            <v>2014097</v>
          </cell>
          <cell r="C259">
            <v>45344</v>
          </cell>
          <cell r="D259">
            <v>45709</v>
          </cell>
        </row>
        <row r="260">
          <cell r="A260">
            <v>2566536</v>
          </cell>
          <cell r="C260">
            <v>45344</v>
          </cell>
          <cell r="D260">
            <v>45709</v>
          </cell>
        </row>
        <row r="261">
          <cell r="A261">
            <v>2014112</v>
          </cell>
          <cell r="C261">
            <v>45344</v>
          </cell>
          <cell r="D261">
            <v>45709</v>
          </cell>
        </row>
        <row r="262">
          <cell r="A262">
            <v>2304817</v>
          </cell>
          <cell r="C262">
            <v>45344</v>
          </cell>
          <cell r="D262">
            <v>45709</v>
          </cell>
        </row>
        <row r="263">
          <cell r="A263">
            <v>2015529</v>
          </cell>
          <cell r="C263">
            <v>45344</v>
          </cell>
          <cell r="D263">
            <v>45709</v>
          </cell>
        </row>
        <row r="264">
          <cell r="A264">
            <v>2015533</v>
          </cell>
          <cell r="C264">
            <v>45344</v>
          </cell>
          <cell r="D264">
            <v>45709</v>
          </cell>
        </row>
        <row r="265">
          <cell r="A265">
            <v>2015597</v>
          </cell>
          <cell r="C265">
            <v>45344</v>
          </cell>
          <cell r="D265">
            <v>45709</v>
          </cell>
        </row>
        <row r="266">
          <cell r="A266">
            <v>2635090</v>
          </cell>
          <cell r="C266">
            <v>45344</v>
          </cell>
          <cell r="D266">
            <v>45709</v>
          </cell>
        </row>
        <row r="267">
          <cell r="A267">
            <v>2171403</v>
          </cell>
          <cell r="C267">
            <v>45344</v>
          </cell>
          <cell r="D267">
            <v>45709</v>
          </cell>
        </row>
        <row r="268">
          <cell r="A268">
            <v>2015580</v>
          </cell>
          <cell r="C268">
            <v>45344</v>
          </cell>
          <cell r="D268">
            <v>45630</v>
          </cell>
        </row>
        <row r="269">
          <cell r="A269">
            <v>2015588</v>
          </cell>
          <cell r="C269">
            <v>45344</v>
          </cell>
          <cell r="D269">
            <v>45709</v>
          </cell>
        </row>
        <row r="270">
          <cell r="A270">
            <v>2014104</v>
          </cell>
          <cell r="C270">
            <v>45344</v>
          </cell>
          <cell r="D270">
            <v>45709</v>
          </cell>
        </row>
        <row r="271">
          <cell r="A271">
            <v>2015596</v>
          </cell>
          <cell r="C271">
            <v>45344</v>
          </cell>
          <cell r="D271">
            <v>45709</v>
          </cell>
        </row>
        <row r="272">
          <cell r="A272">
            <v>2015584</v>
          </cell>
          <cell r="C272">
            <v>45344</v>
          </cell>
          <cell r="D272">
            <v>45709</v>
          </cell>
        </row>
        <row r="273">
          <cell r="A273">
            <v>2015677</v>
          </cell>
          <cell r="C273">
            <v>45344</v>
          </cell>
          <cell r="D273">
            <v>45709</v>
          </cell>
        </row>
        <row r="274">
          <cell r="A274">
            <v>2174920</v>
          </cell>
          <cell r="C274">
            <v>45344</v>
          </cell>
          <cell r="D274">
            <v>45709</v>
          </cell>
        </row>
        <row r="275">
          <cell r="A275">
            <v>2239804</v>
          </cell>
          <cell r="C275">
            <v>45344</v>
          </cell>
          <cell r="D275">
            <v>45709</v>
          </cell>
        </row>
        <row r="276">
          <cell r="A276">
            <v>9292146</v>
          </cell>
          <cell r="C276">
            <v>45434</v>
          </cell>
          <cell r="D276">
            <v>45709</v>
          </cell>
        </row>
        <row r="277">
          <cell r="A277">
            <v>2996249</v>
          </cell>
          <cell r="C277">
            <v>45344</v>
          </cell>
          <cell r="D277">
            <v>45709</v>
          </cell>
        </row>
        <row r="278">
          <cell r="A278">
            <v>2166226</v>
          </cell>
          <cell r="C278">
            <v>45344</v>
          </cell>
          <cell r="D278">
            <v>45709</v>
          </cell>
        </row>
        <row r="279">
          <cell r="A279">
            <v>2248695</v>
          </cell>
          <cell r="C279">
            <v>45344</v>
          </cell>
          <cell r="D279">
            <v>45709</v>
          </cell>
        </row>
        <row r="280">
          <cell r="A280">
            <v>2266508</v>
          </cell>
          <cell r="C280">
            <v>45344</v>
          </cell>
          <cell r="D280">
            <v>45621</v>
          </cell>
        </row>
        <row r="281">
          <cell r="A281">
            <v>2014185</v>
          </cell>
          <cell r="C281">
            <v>45344</v>
          </cell>
          <cell r="D281">
            <v>45565</v>
          </cell>
        </row>
        <row r="282">
          <cell r="A282">
            <v>2015577</v>
          </cell>
          <cell r="C282">
            <v>45344</v>
          </cell>
          <cell r="D282">
            <v>45709</v>
          </cell>
        </row>
        <row r="283">
          <cell r="A283">
            <v>2014187</v>
          </cell>
          <cell r="C283">
            <v>45344</v>
          </cell>
          <cell r="D283">
            <v>45709</v>
          </cell>
        </row>
        <row r="284">
          <cell r="A284">
            <v>2015542</v>
          </cell>
          <cell r="C284">
            <v>45344</v>
          </cell>
          <cell r="D284">
            <v>45709</v>
          </cell>
        </row>
        <row r="285">
          <cell r="A285">
            <v>9322454</v>
          </cell>
          <cell r="C285">
            <v>45460</v>
          </cell>
          <cell r="D285">
            <v>45709</v>
          </cell>
        </row>
        <row r="286">
          <cell r="A286">
            <v>2014116</v>
          </cell>
          <cell r="C286">
            <v>45344</v>
          </cell>
          <cell r="D286">
            <v>45709</v>
          </cell>
        </row>
        <row r="287">
          <cell r="A287">
            <v>2015665</v>
          </cell>
          <cell r="C287">
            <v>45344</v>
          </cell>
          <cell r="D287">
            <v>45709</v>
          </cell>
        </row>
        <row r="288">
          <cell r="A288">
            <v>2014133</v>
          </cell>
          <cell r="C288">
            <v>45344</v>
          </cell>
          <cell r="D288">
            <v>45709</v>
          </cell>
        </row>
        <row r="289">
          <cell r="A289">
            <v>2015536</v>
          </cell>
          <cell r="C289">
            <v>45344</v>
          </cell>
          <cell r="D289">
            <v>45709</v>
          </cell>
        </row>
        <row r="290">
          <cell r="A290">
            <v>9334661</v>
          </cell>
          <cell r="C290">
            <v>45470</v>
          </cell>
          <cell r="D290">
            <v>45608</v>
          </cell>
        </row>
        <row r="291">
          <cell r="A291">
            <v>2110265</v>
          </cell>
          <cell r="C291">
            <v>45344</v>
          </cell>
          <cell r="D291">
            <v>45709</v>
          </cell>
        </row>
        <row r="292">
          <cell r="A292">
            <v>2014093</v>
          </cell>
          <cell r="C292">
            <v>45344</v>
          </cell>
          <cell r="D292">
            <v>45709</v>
          </cell>
        </row>
        <row r="293">
          <cell r="A293">
            <v>2102993</v>
          </cell>
          <cell r="C293">
            <v>45344</v>
          </cell>
          <cell r="D293">
            <v>45709</v>
          </cell>
        </row>
        <row r="294">
          <cell r="A294">
            <v>2014102</v>
          </cell>
          <cell r="C294">
            <v>45344</v>
          </cell>
          <cell r="D294">
            <v>45709</v>
          </cell>
        </row>
        <row r="295">
          <cell r="A295">
            <v>9305632</v>
          </cell>
          <cell r="C295">
            <v>45447</v>
          </cell>
          <cell r="D295">
            <v>45709</v>
          </cell>
        </row>
        <row r="296">
          <cell r="A296">
            <v>2015624</v>
          </cell>
          <cell r="C296">
            <v>45344</v>
          </cell>
          <cell r="D296">
            <v>45709</v>
          </cell>
        </row>
        <row r="297">
          <cell r="A297">
            <v>2557856</v>
          </cell>
          <cell r="C297">
            <v>45344</v>
          </cell>
          <cell r="D297">
            <v>45709</v>
          </cell>
        </row>
        <row r="298">
          <cell r="A298">
            <v>2015658</v>
          </cell>
          <cell r="C298">
            <v>45344</v>
          </cell>
          <cell r="D298">
            <v>45709</v>
          </cell>
        </row>
        <row r="299">
          <cell r="A299">
            <v>2015559</v>
          </cell>
          <cell r="C299">
            <v>45344</v>
          </cell>
          <cell r="D299">
            <v>45709</v>
          </cell>
        </row>
        <row r="300">
          <cell r="A300">
            <v>2015523</v>
          </cell>
          <cell r="C300">
            <v>45344</v>
          </cell>
          <cell r="D300">
            <v>45709</v>
          </cell>
        </row>
        <row r="301">
          <cell r="A301">
            <v>2043489</v>
          </cell>
          <cell r="C301">
            <v>45344</v>
          </cell>
          <cell r="D301">
            <v>45709</v>
          </cell>
        </row>
        <row r="302">
          <cell r="A302">
            <v>2015548</v>
          </cell>
          <cell r="C302">
            <v>45344</v>
          </cell>
          <cell r="D302">
            <v>45709</v>
          </cell>
        </row>
        <row r="303">
          <cell r="A303">
            <v>2014190</v>
          </cell>
          <cell r="C303">
            <v>45344</v>
          </cell>
          <cell r="D303">
            <v>45709</v>
          </cell>
        </row>
        <row r="304">
          <cell r="A304">
            <v>2014179</v>
          </cell>
          <cell r="C304">
            <v>45344</v>
          </cell>
          <cell r="D304">
            <v>45709</v>
          </cell>
        </row>
        <row r="305">
          <cell r="A305">
            <v>2015659</v>
          </cell>
          <cell r="C305">
            <v>45344</v>
          </cell>
          <cell r="D305">
            <v>45709</v>
          </cell>
        </row>
        <row r="306">
          <cell r="A306">
            <v>2014095</v>
          </cell>
          <cell r="C306">
            <v>45344</v>
          </cell>
          <cell r="D306">
            <v>45709</v>
          </cell>
        </row>
        <row r="307">
          <cell r="A307">
            <v>2079576</v>
          </cell>
          <cell r="C307">
            <v>45344</v>
          </cell>
          <cell r="D307">
            <v>45709</v>
          </cell>
        </row>
        <row r="308">
          <cell r="A308">
            <v>2232929</v>
          </cell>
          <cell r="C308">
            <v>45344</v>
          </cell>
          <cell r="D308">
            <v>45693</v>
          </cell>
        </row>
        <row r="309">
          <cell r="A309">
            <v>2033386</v>
          </cell>
          <cell r="C309">
            <v>45344</v>
          </cell>
          <cell r="D309">
            <v>45709</v>
          </cell>
        </row>
        <row r="310">
          <cell r="A310">
            <v>2010598</v>
          </cell>
          <cell r="C310">
            <v>45344</v>
          </cell>
          <cell r="D310">
            <v>45709</v>
          </cell>
        </row>
        <row r="311">
          <cell r="A311">
            <v>6008296</v>
          </cell>
          <cell r="C311">
            <v>45344</v>
          </cell>
          <cell r="D311">
            <v>45709</v>
          </cell>
        </row>
        <row r="312">
          <cell r="A312">
            <v>5997180</v>
          </cell>
          <cell r="C312">
            <v>45344</v>
          </cell>
          <cell r="D312">
            <v>45709</v>
          </cell>
        </row>
        <row r="313">
          <cell r="A313">
            <v>9500511</v>
          </cell>
          <cell r="C313">
            <v>45621</v>
          </cell>
          <cell r="D313">
            <v>45629</v>
          </cell>
        </row>
        <row r="314">
          <cell r="A314">
            <v>9460925</v>
          </cell>
          <cell r="C314">
            <v>45583</v>
          </cell>
          <cell r="D314">
            <v>45709</v>
          </cell>
        </row>
        <row r="315">
          <cell r="A315">
            <v>2015589</v>
          </cell>
          <cell r="C315">
            <v>45344</v>
          </cell>
          <cell r="D315">
            <v>45709</v>
          </cell>
        </row>
        <row r="316">
          <cell r="A316">
            <v>2015515</v>
          </cell>
          <cell r="C316">
            <v>45344</v>
          </cell>
          <cell r="D316">
            <v>45709</v>
          </cell>
        </row>
        <row r="317">
          <cell r="A317">
            <v>2014181</v>
          </cell>
          <cell r="C317">
            <v>45344</v>
          </cell>
          <cell r="D317">
            <v>45709</v>
          </cell>
        </row>
        <row r="318">
          <cell r="A318">
            <v>2015507</v>
          </cell>
          <cell r="C318">
            <v>45344</v>
          </cell>
          <cell r="D318">
            <v>45709</v>
          </cell>
        </row>
        <row r="319">
          <cell r="A319">
            <v>2010599</v>
          </cell>
          <cell r="C319">
            <v>45344</v>
          </cell>
          <cell r="D319">
            <v>45709</v>
          </cell>
        </row>
        <row r="320">
          <cell r="A320">
            <v>2014135</v>
          </cell>
          <cell r="C320">
            <v>45344</v>
          </cell>
          <cell r="D320">
            <v>45709</v>
          </cell>
        </row>
        <row r="321">
          <cell r="A321">
            <v>2015591</v>
          </cell>
          <cell r="C321">
            <v>45344</v>
          </cell>
          <cell r="D321">
            <v>45709</v>
          </cell>
        </row>
        <row r="322">
          <cell r="A322">
            <v>2014124</v>
          </cell>
          <cell r="C322">
            <v>45344</v>
          </cell>
          <cell r="D322">
            <v>45621</v>
          </cell>
        </row>
        <row r="323">
          <cell r="A323">
            <v>2015551</v>
          </cell>
          <cell r="C323">
            <v>45344</v>
          </cell>
          <cell r="D323">
            <v>45709</v>
          </cell>
        </row>
        <row r="324">
          <cell r="A324">
            <v>2015571</v>
          </cell>
          <cell r="C324">
            <v>45344</v>
          </cell>
          <cell r="D324">
            <v>45709</v>
          </cell>
        </row>
        <row r="325">
          <cell r="A325">
            <v>2015535</v>
          </cell>
          <cell r="C325">
            <v>45344</v>
          </cell>
          <cell r="D325">
            <v>45709</v>
          </cell>
        </row>
        <row r="326">
          <cell r="A326">
            <v>2015604</v>
          </cell>
          <cell r="C326">
            <v>45344</v>
          </cell>
          <cell r="D326">
            <v>45709</v>
          </cell>
        </row>
        <row r="327">
          <cell r="A327">
            <v>2015660</v>
          </cell>
          <cell r="C327">
            <v>45344</v>
          </cell>
          <cell r="D327">
            <v>45709</v>
          </cell>
        </row>
        <row r="328">
          <cell r="A328">
            <v>2263917</v>
          </cell>
          <cell r="C328">
            <v>45344</v>
          </cell>
          <cell r="D328">
            <v>45709</v>
          </cell>
        </row>
        <row r="329">
          <cell r="A329">
            <v>2796142</v>
          </cell>
          <cell r="C329">
            <v>45344</v>
          </cell>
          <cell r="D329">
            <v>45709</v>
          </cell>
        </row>
        <row r="330">
          <cell r="A330">
            <v>2772804</v>
          </cell>
          <cell r="C330">
            <v>45344</v>
          </cell>
          <cell r="D330">
            <v>45709</v>
          </cell>
        </row>
        <row r="331">
          <cell r="A331">
            <v>2015526</v>
          </cell>
          <cell r="C331">
            <v>45344</v>
          </cell>
          <cell r="D331">
            <v>45411</v>
          </cell>
        </row>
        <row r="332">
          <cell r="A332">
            <v>2015518</v>
          </cell>
          <cell r="C332">
            <v>45344</v>
          </cell>
          <cell r="D332">
            <v>45377</v>
          </cell>
        </row>
        <row r="333">
          <cell r="A333">
            <v>2014124</v>
          </cell>
          <cell r="C333">
            <v>45622</v>
          </cell>
          <cell r="D333">
            <v>45709</v>
          </cell>
        </row>
        <row r="334">
          <cell r="A334">
            <v>9329652</v>
          </cell>
          <cell r="C334">
            <v>45467</v>
          </cell>
          <cell r="D334">
            <v>45475</v>
          </cell>
        </row>
        <row r="335">
          <cell r="A335">
            <v>2014188</v>
          </cell>
          <cell r="C335">
            <v>45344</v>
          </cell>
          <cell r="D335">
            <v>45593</v>
          </cell>
        </row>
        <row r="336">
          <cell r="A336">
            <v>2015511</v>
          </cell>
          <cell r="C336">
            <v>45344</v>
          </cell>
          <cell r="D336">
            <v>45709</v>
          </cell>
        </row>
        <row r="337">
          <cell r="A337">
            <v>9334661</v>
          </cell>
          <cell r="C337">
            <v>45609</v>
          </cell>
          <cell r="D337">
            <v>45709</v>
          </cell>
        </row>
        <row r="338">
          <cell r="A338">
            <v>2014110</v>
          </cell>
          <cell r="C338">
            <v>45344</v>
          </cell>
          <cell r="D338">
            <v>45709</v>
          </cell>
        </row>
        <row r="339">
          <cell r="A339">
            <v>2015557</v>
          </cell>
          <cell r="C339">
            <v>45344</v>
          </cell>
          <cell r="D339">
            <v>45709</v>
          </cell>
        </row>
        <row r="340">
          <cell r="A340">
            <v>2015581</v>
          </cell>
          <cell r="C340">
            <v>45344</v>
          </cell>
          <cell r="D340">
            <v>45709</v>
          </cell>
        </row>
        <row r="341">
          <cell r="A341">
            <v>9067757</v>
          </cell>
          <cell r="C341">
            <v>45344</v>
          </cell>
          <cell r="D341">
            <v>45709</v>
          </cell>
        </row>
        <row r="342">
          <cell r="A342">
            <v>2015630</v>
          </cell>
          <cell r="C342">
            <v>45344</v>
          </cell>
          <cell r="D342">
            <v>45709</v>
          </cell>
        </row>
        <row r="343">
          <cell r="A343">
            <v>2295383</v>
          </cell>
          <cell r="C343">
            <v>45344</v>
          </cell>
          <cell r="D343">
            <v>45709</v>
          </cell>
        </row>
        <row r="344">
          <cell r="A344">
            <v>2014180</v>
          </cell>
          <cell r="C344">
            <v>45344</v>
          </cell>
          <cell r="D344">
            <v>45709</v>
          </cell>
        </row>
        <row r="345">
          <cell r="A345">
            <v>2015546</v>
          </cell>
          <cell r="C345">
            <v>45344</v>
          </cell>
          <cell r="D345">
            <v>45709</v>
          </cell>
        </row>
        <row r="346">
          <cell r="A346">
            <v>2015570</v>
          </cell>
          <cell r="C346">
            <v>45344</v>
          </cell>
          <cell r="D346">
            <v>45709</v>
          </cell>
        </row>
        <row r="347">
          <cell r="A347">
            <v>2014182</v>
          </cell>
          <cell r="C347">
            <v>45344</v>
          </cell>
          <cell r="D347">
            <v>45596</v>
          </cell>
        </row>
        <row r="348">
          <cell r="A348">
            <v>2015619</v>
          </cell>
          <cell r="C348">
            <v>45344</v>
          </cell>
          <cell r="D348">
            <v>45709</v>
          </cell>
        </row>
        <row r="349">
          <cell r="A349">
            <v>2999678</v>
          </cell>
          <cell r="C349">
            <v>45344</v>
          </cell>
          <cell r="D349">
            <v>45709</v>
          </cell>
        </row>
        <row r="350">
          <cell r="A350">
            <v>2141214</v>
          </cell>
          <cell r="C350">
            <v>45344</v>
          </cell>
          <cell r="D350">
            <v>45709</v>
          </cell>
        </row>
        <row r="351">
          <cell r="A351">
            <v>2550151</v>
          </cell>
          <cell r="C351">
            <v>45344</v>
          </cell>
          <cell r="D351">
            <v>45621</v>
          </cell>
        </row>
        <row r="352">
          <cell r="A352">
            <v>2232931</v>
          </cell>
          <cell r="C352">
            <v>45344</v>
          </cell>
          <cell r="D352">
            <v>45709</v>
          </cell>
        </row>
        <row r="353">
          <cell r="A353">
            <v>2073756</v>
          </cell>
          <cell r="C353">
            <v>45344</v>
          </cell>
          <cell r="D353">
            <v>45709</v>
          </cell>
        </row>
        <row r="354">
          <cell r="A354">
            <v>9334645</v>
          </cell>
          <cell r="C354">
            <v>45470</v>
          </cell>
          <cell r="D354">
            <v>45709</v>
          </cell>
        </row>
        <row r="355">
          <cell r="A355">
            <v>2532391</v>
          </cell>
          <cell r="C355">
            <v>45344</v>
          </cell>
          <cell r="D355">
            <v>45509</v>
          </cell>
        </row>
        <row r="356">
          <cell r="A356">
            <v>2015576</v>
          </cell>
          <cell r="C356">
            <v>45344</v>
          </cell>
          <cell r="D356">
            <v>45474</v>
          </cell>
        </row>
        <row r="357">
          <cell r="A357">
            <v>9518926</v>
          </cell>
          <cell r="C357">
            <v>45638</v>
          </cell>
          <cell r="D357">
            <v>45709</v>
          </cell>
        </row>
        <row r="358">
          <cell r="A358">
            <v>2010593</v>
          </cell>
          <cell r="C358">
            <v>45344</v>
          </cell>
          <cell r="D358">
            <v>45709</v>
          </cell>
        </row>
        <row r="359">
          <cell r="A359">
            <v>2014132</v>
          </cell>
          <cell r="C359">
            <v>45344</v>
          </cell>
          <cell r="D359">
            <v>45709</v>
          </cell>
        </row>
        <row r="360">
          <cell r="A360">
            <v>2015621</v>
          </cell>
          <cell r="C360">
            <v>45344</v>
          </cell>
          <cell r="D360">
            <v>45709</v>
          </cell>
        </row>
        <row r="361">
          <cell r="A361">
            <v>2023239</v>
          </cell>
          <cell r="C361">
            <v>45344</v>
          </cell>
          <cell r="D361">
            <v>45709</v>
          </cell>
        </row>
        <row r="362">
          <cell r="A362">
            <v>2015594</v>
          </cell>
          <cell r="C362">
            <v>45344</v>
          </cell>
          <cell r="D362">
            <v>45709</v>
          </cell>
        </row>
        <row r="363">
          <cell r="A363">
            <v>2015680</v>
          </cell>
          <cell r="C363">
            <v>45344</v>
          </cell>
          <cell r="D363">
            <v>45709</v>
          </cell>
        </row>
        <row r="364">
          <cell r="A364">
            <v>2226853</v>
          </cell>
          <cell r="C364">
            <v>45344</v>
          </cell>
          <cell r="D364">
            <v>45709</v>
          </cell>
        </row>
        <row r="365">
          <cell r="A365">
            <v>2014184</v>
          </cell>
          <cell r="C365">
            <v>45344</v>
          </cell>
          <cell r="D365">
            <v>45709</v>
          </cell>
        </row>
        <row r="366">
          <cell r="A366">
            <v>2014122</v>
          </cell>
          <cell r="C366">
            <v>45344</v>
          </cell>
          <cell r="D366">
            <v>45709</v>
          </cell>
        </row>
        <row r="367">
          <cell r="A367">
            <v>2166227</v>
          </cell>
          <cell r="C367">
            <v>45344</v>
          </cell>
          <cell r="D367">
            <v>45709</v>
          </cell>
        </row>
        <row r="368">
          <cell r="A368">
            <v>2013915</v>
          </cell>
          <cell r="C368">
            <v>45344</v>
          </cell>
          <cell r="D368">
            <v>45709</v>
          </cell>
        </row>
        <row r="369">
          <cell r="A369">
            <v>2274327</v>
          </cell>
          <cell r="C369">
            <v>45344</v>
          </cell>
          <cell r="D369">
            <v>45709</v>
          </cell>
        </row>
        <row r="370">
          <cell r="A370">
            <v>2479320</v>
          </cell>
          <cell r="C370">
            <v>45344</v>
          </cell>
          <cell r="D370">
            <v>45461</v>
          </cell>
        </row>
        <row r="371">
          <cell r="A371">
            <v>2015627</v>
          </cell>
          <cell r="C371">
            <v>45344</v>
          </cell>
          <cell r="D371">
            <v>45545</v>
          </cell>
        </row>
      </sheetData>
      <sheetData sheetId="3">
        <row r="1">
          <cell r="A1" t="str">
            <v>Oslo Shares - Days listed</v>
          </cell>
          <cell r="C1" t="str">
            <v/>
          </cell>
        </row>
        <row r="2">
          <cell r="A2" t="str">
            <v xml:space="preserve">Including Oslo non-trading days </v>
          </cell>
          <cell r="C2" t="str">
            <v/>
          </cell>
        </row>
        <row r="3">
          <cell r="A3" t="str">
            <v>Dependent on creation in Matrix</v>
          </cell>
          <cell r="C3" t="str">
            <v/>
          </cell>
        </row>
        <row r="4">
          <cell r="A4" t="str">
            <v>CVALBDM</v>
          </cell>
          <cell r="B4" t="str">
            <v>Days listed 12 months
22-Feb-2024 / 21-Feb-2025</v>
          </cell>
          <cell r="C4" t="str">
            <v>Days listed 6 months
22-Aug-2024 / 21-Feb-2025</v>
          </cell>
        </row>
        <row r="5">
          <cell r="A5">
            <v>2015541</v>
          </cell>
          <cell r="B5">
            <v>256</v>
          </cell>
          <cell r="C5">
            <v>129</v>
          </cell>
        </row>
        <row r="6">
          <cell r="A6">
            <v>2015665</v>
          </cell>
          <cell r="B6">
            <v>256</v>
          </cell>
          <cell r="C6">
            <v>129</v>
          </cell>
        </row>
        <row r="7">
          <cell r="A7">
            <v>2014109</v>
          </cell>
          <cell r="B7">
            <v>256</v>
          </cell>
          <cell r="C7">
            <v>129</v>
          </cell>
        </row>
        <row r="8">
          <cell r="A8">
            <v>2015567</v>
          </cell>
          <cell r="B8">
            <v>256</v>
          </cell>
          <cell r="C8">
            <v>129</v>
          </cell>
        </row>
        <row r="9">
          <cell r="A9">
            <v>2015570</v>
          </cell>
          <cell r="B9">
            <v>256</v>
          </cell>
          <cell r="C9">
            <v>129</v>
          </cell>
        </row>
        <row r="10">
          <cell r="A10">
            <v>2015602</v>
          </cell>
          <cell r="B10">
            <v>256</v>
          </cell>
          <cell r="C10">
            <v>129</v>
          </cell>
        </row>
        <row r="11">
          <cell r="A11">
            <v>9292146</v>
          </cell>
          <cell r="B11">
            <v>195</v>
          </cell>
          <cell r="C11">
            <v>129</v>
          </cell>
        </row>
        <row r="12">
          <cell r="A12">
            <v>2014115</v>
          </cell>
          <cell r="B12">
            <v>256</v>
          </cell>
          <cell r="C12">
            <v>129</v>
          </cell>
        </row>
        <row r="13">
          <cell r="A13">
            <v>2145327</v>
          </cell>
          <cell r="B13">
            <v>256</v>
          </cell>
          <cell r="C13">
            <v>129</v>
          </cell>
        </row>
        <row r="14">
          <cell r="A14">
            <v>2566536</v>
          </cell>
          <cell r="B14">
            <v>256</v>
          </cell>
          <cell r="C14">
            <v>129</v>
          </cell>
        </row>
        <row r="15">
          <cell r="A15">
            <v>2015683</v>
          </cell>
          <cell r="B15">
            <v>121</v>
          </cell>
        </row>
        <row r="16">
          <cell r="A16">
            <v>2015568</v>
          </cell>
          <cell r="B16">
            <v>256</v>
          </cell>
          <cell r="C16">
            <v>129</v>
          </cell>
        </row>
        <row r="17">
          <cell r="A17">
            <v>2015597</v>
          </cell>
          <cell r="B17">
            <v>256</v>
          </cell>
          <cell r="C17">
            <v>129</v>
          </cell>
        </row>
        <row r="18">
          <cell r="A18">
            <v>2015599</v>
          </cell>
          <cell r="B18">
            <v>256</v>
          </cell>
          <cell r="C18">
            <v>129</v>
          </cell>
        </row>
        <row r="19">
          <cell r="A19">
            <v>2015577</v>
          </cell>
          <cell r="B19">
            <v>256</v>
          </cell>
          <cell r="C19">
            <v>129</v>
          </cell>
        </row>
        <row r="20">
          <cell r="A20">
            <v>2015613</v>
          </cell>
          <cell r="B20">
            <v>256</v>
          </cell>
          <cell r="C20">
            <v>129</v>
          </cell>
        </row>
        <row r="21">
          <cell r="A21">
            <v>2015666</v>
          </cell>
          <cell r="B21">
            <v>256</v>
          </cell>
          <cell r="C21">
            <v>129</v>
          </cell>
        </row>
        <row r="22">
          <cell r="A22">
            <v>2014117</v>
          </cell>
          <cell r="B22">
            <v>256</v>
          </cell>
          <cell r="C22">
            <v>129</v>
          </cell>
        </row>
        <row r="23">
          <cell r="A23">
            <v>2215442</v>
          </cell>
          <cell r="B23">
            <v>256</v>
          </cell>
          <cell r="C23">
            <v>129</v>
          </cell>
        </row>
        <row r="24">
          <cell r="A24">
            <v>2015590</v>
          </cell>
          <cell r="B24">
            <v>256</v>
          </cell>
          <cell r="C24">
            <v>129</v>
          </cell>
        </row>
        <row r="25">
          <cell r="A25">
            <v>2015650</v>
          </cell>
          <cell r="B25">
            <v>256</v>
          </cell>
          <cell r="C25">
            <v>129</v>
          </cell>
        </row>
        <row r="26">
          <cell r="A26">
            <v>2015660</v>
          </cell>
          <cell r="B26">
            <v>256</v>
          </cell>
          <cell r="C26">
            <v>129</v>
          </cell>
        </row>
        <row r="27">
          <cell r="A27">
            <v>2014129</v>
          </cell>
          <cell r="B27">
            <v>256</v>
          </cell>
          <cell r="C27">
            <v>129</v>
          </cell>
        </row>
        <row r="28">
          <cell r="A28">
            <v>2015538</v>
          </cell>
          <cell r="B28">
            <v>256</v>
          </cell>
          <cell r="C28">
            <v>129</v>
          </cell>
        </row>
        <row r="29">
          <cell r="A29">
            <v>2180881</v>
          </cell>
          <cell r="B29">
            <v>209</v>
          </cell>
          <cell r="C29">
            <v>82</v>
          </cell>
        </row>
        <row r="30">
          <cell r="A30">
            <v>2749986</v>
          </cell>
          <cell r="B30">
            <v>256</v>
          </cell>
          <cell r="C30">
            <v>129</v>
          </cell>
        </row>
        <row r="31">
          <cell r="A31">
            <v>6008296</v>
          </cell>
          <cell r="B31">
            <v>256</v>
          </cell>
          <cell r="C31">
            <v>129</v>
          </cell>
        </row>
        <row r="32">
          <cell r="A32">
            <v>2010595</v>
          </cell>
          <cell r="B32">
            <v>256</v>
          </cell>
          <cell r="C32">
            <v>129</v>
          </cell>
        </row>
        <row r="33">
          <cell r="A33">
            <v>2073756</v>
          </cell>
          <cell r="B33">
            <v>256</v>
          </cell>
          <cell r="C33">
            <v>129</v>
          </cell>
        </row>
        <row r="34">
          <cell r="A34">
            <v>2532391</v>
          </cell>
          <cell r="B34">
            <v>115</v>
          </cell>
        </row>
        <row r="35">
          <cell r="A35">
            <v>2014185</v>
          </cell>
          <cell r="B35">
            <v>155</v>
          </cell>
          <cell r="C35">
            <v>28</v>
          </cell>
        </row>
        <row r="36">
          <cell r="A36">
            <v>9524495</v>
          </cell>
          <cell r="B36">
            <v>45</v>
          </cell>
          <cell r="C36">
            <v>45</v>
          </cell>
        </row>
        <row r="37">
          <cell r="A37">
            <v>9518990</v>
          </cell>
          <cell r="B37">
            <v>49</v>
          </cell>
          <cell r="C37">
            <v>49</v>
          </cell>
        </row>
        <row r="38">
          <cell r="A38">
            <v>9199282</v>
          </cell>
          <cell r="B38">
            <v>189</v>
          </cell>
          <cell r="C38">
            <v>69</v>
          </cell>
        </row>
        <row r="39">
          <cell r="A39">
            <v>2015610</v>
          </cell>
          <cell r="B39">
            <v>256</v>
          </cell>
          <cell r="C39">
            <v>129</v>
          </cell>
        </row>
        <row r="40">
          <cell r="A40">
            <v>2177916</v>
          </cell>
          <cell r="B40">
            <v>256</v>
          </cell>
          <cell r="C40">
            <v>129</v>
          </cell>
        </row>
        <row r="41">
          <cell r="A41">
            <v>2015668</v>
          </cell>
          <cell r="B41">
            <v>256</v>
          </cell>
          <cell r="C41">
            <v>129</v>
          </cell>
        </row>
        <row r="42">
          <cell r="A42">
            <v>2023235</v>
          </cell>
          <cell r="B42">
            <v>256</v>
          </cell>
          <cell r="C42">
            <v>129</v>
          </cell>
        </row>
        <row r="43">
          <cell r="A43">
            <v>2043489</v>
          </cell>
          <cell r="B43">
            <v>256</v>
          </cell>
          <cell r="C43">
            <v>129</v>
          </cell>
        </row>
        <row r="44">
          <cell r="A44">
            <v>2454024</v>
          </cell>
          <cell r="B44">
            <v>256</v>
          </cell>
          <cell r="C44">
            <v>129</v>
          </cell>
        </row>
        <row r="45">
          <cell r="A45">
            <v>2014104</v>
          </cell>
          <cell r="B45">
            <v>256</v>
          </cell>
          <cell r="C45">
            <v>129</v>
          </cell>
        </row>
        <row r="46">
          <cell r="A46">
            <v>2014180</v>
          </cell>
          <cell r="B46">
            <v>256</v>
          </cell>
          <cell r="C46">
            <v>129</v>
          </cell>
        </row>
        <row r="47">
          <cell r="A47">
            <v>2015553</v>
          </cell>
          <cell r="B47">
            <v>256</v>
          </cell>
          <cell r="C47">
            <v>129</v>
          </cell>
        </row>
        <row r="48">
          <cell r="A48">
            <v>2015654</v>
          </cell>
          <cell r="B48">
            <v>256</v>
          </cell>
          <cell r="C48">
            <v>129</v>
          </cell>
        </row>
        <row r="49">
          <cell r="A49">
            <v>2015663</v>
          </cell>
          <cell r="B49">
            <v>256</v>
          </cell>
          <cell r="C49">
            <v>129</v>
          </cell>
        </row>
        <row r="50">
          <cell r="A50">
            <v>9265190</v>
          </cell>
          <cell r="B50">
            <v>212</v>
          </cell>
          <cell r="C50">
            <v>129</v>
          </cell>
        </row>
        <row r="51">
          <cell r="A51">
            <v>2010594</v>
          </cell>
          <cell r="B51">
            <v>256</v>
          </cell>
          <cell r="C51">
            <v>129</v>
          </cell>
        </row>
        <row r="52">
          <cell r="A52">
            <v>2014131</v>
          </cell>
          <cell r="B52">
            <v>256</v>
          </cell>
          <cell r="C52">
            <v>129</v>
          </cell>
        </row>
        <row r="53">
          <cell r="A53">
            <v>2014177</v>
          </cell>
          <cell r="B53">
            <v>256</v>
          </cell>
          <cell r="C53">
            <v>129</v>
          </cell>
        </row>
        <row r="54">
          <cell r="A54">
            <v>2014190</v>
          </cell>
          <cell r="B54">
            <v>256</v>
          </cell>
          <cell r="C54">
            <v>129</v>
          </cell>
        </row>
        <row r="55">
          <cell r="A55">
            <v>2015536</v>
          </cell>
          <cell r="B55">
            <v>256</v>
          </cell>
          <cell r="C55">
            <v>129</v>
          </cell>
        </row>
        <row r="56">
          <cell r="A56">
            <v>2015603</v>
          </cell>
          <cell r="B56">
            <v>256</v>
          </cell>
          <cell r="C56">
            <v>129</v>
          </cell>
        </row>
        <row r="57">
          <cell r="A57">
            <v>2015611</v>
          </cell>
          <cell r="B57">
            <v>256</v>
          </cell>
          <cell r="C57">
            <v>129</v>
          </cell>
        </row>
        <row r="58">
          <cell r="A58">
            <v>2030555</v>
          </cell>
          <cell r="B58">
            <v>256</v>
          </cell>
          <cell r="C58">
            <v>129</v>
          </cell>
        </row>
        <row r="59">
          <cell r="A59">
            <v>2580754</v>
          </cell>
          <cell r="B59">
            <v>256</v>
          </cell>
          <cell r="C59">
            <v>129</v>
          </cell>
        </row>
        <row r="60">
          <cell r="A60">
            <v>2010592</v>
          </cell>
          <cell r="B60">
            <v>256</v>
          </cell>
          <cell r="C60">
            <v>129</v>
          </cell>
        </row>
        <row r="61">
          <cell r="A61">
            <v>2169558</v>
          </cell>
          <cell r="B61">
            <v>256</v>
          </cell>
          <cell r="C61">
            <v>129</v>
          </cell>
        </row>
        <row r="62">
          <cell r="A62">
            <v>2475427</v>
          </cell>
          <cell r="B62">
            <v>256</v>
          </cell>
          <cell r="C62">
            <v>129</v>
          </cell>
        </row>
        <row r="63">
          <cell r="A63">
            <v>2023243</v>
          </cell>
          <cell r="B63">
            <v>219</v>
          </cell>
          <cell r="C63">
            <v>92</v>
          </cell>
        </row>
        <row r="64">
          <cell r="A64">
            <v>2033386</v>
          </cell>
          <cell r="B64">
            <v>256</v>
          </cell>
          <cell r="C64">
            <v>129</v>
          </cell>
        </row>
        <row r="65">
          <cell r="A65">
            <v>2014087</v>
          </cell>
          <cell r="B65">
            <v>256</v>
          </cell>
          <cell r="C65">
            <v>129</v>
          </cell>
        </row>
        <row r="66">
          <cell r="A66">
            <v>2170823</v>
          </cell>
          <cell r="B66">
            <v>256</v>
          </cell>
          <cell r="C66">
            <v>129</v>
          </cell>
        </row>
        <row r="67">
          <cell r="A67">
            <v>2015526</v>
          </cell>
          <cell r="B67">
            <v>46</v>
          </cell>
        </row>
        <row r="68">
          <cell r="A68">
            <v>2015667</v>
          </cell>
          <cell r="B68">
            <v>71</v>
          </cell>
        </row>
        <row r="69">
          <cell r="A69">
            <v>9500511</v>
          </cell>
          <cell r="B69">
            <v>7</v>
          </cell>
          <cell r="C69">
            <v>7</v>
          </cell>
        </row>
        <row r="70">
          <cell r="A70">
            <v>2015627</v>
          </cell>
          <cell r="B70">
            <v>141</v>
          </cell>
          <cell r="C70">
            <v>14</v>
          </cell>
        </row>
        <row r="71">
          <cell r="A71">
            <v>2455465</v>
          </cell>
          <cell r="B71">
            <v>256</v>
          </cell>
          <cell r="C71">
            <v>129</v>
          </cell>
        </row>
        <row r="72">
          <cell r="A72">
            <v>2015623</v>
          </cell>
          <cell r="B72">
            <v>256</v>
          </cell>
          <cell r="C72">
            <v>129</v>
          </cell>
        </row>
        <row r="73">
          <cell r="A73">
            <v>2226853</v>
          </cell>
          <cell r="B73">
            <v>256</v>
          </cell>
          <cell r="C73">
            <v>129</v>
          </cell>
        </row>
        <row r="74">
          <cell r="A74">
            <v>2299617</v>
          </cell>
          <cell r="B74">
            <v>256</v>
          </cell>
          <cell r="C74">
            <v>129</v>
          </cell>
        </row>
        <row r="75">
          <cell r="A75">
            <v>2014120</v>
          </cell>
          <cell r="B75">
            <v>256</v>
          </cell>
          <cell r="C75">
            <v>129</v>
          </cell>
        </row>
        <row r="76">
          <cell r="A76">
            <v>2014182</v>
          </cell>
          <cell r="B76">
            <v>178</v>
          </cell>
          <cell r="C76">
            <v>51</v>
          </cell>
        </row>
        <row r="77">
          <cell r="A77">
            <v>2015506</v>
          </cell>
          <cell r="B77">
            <v>256</v>
          </cell>
          <cell r="C77">
            <v>129</v>
          </cell>
        </row>
        <row r="78">
          <cell r="A78">
            <v>2015516</v>
          </cell>
          <cell r="B78">
            <v>256</v>
          </cell>
          <cell r="C78">
            <v>129</v>
          </cell>
        </row>
        <row r="79">
          <cell r="A79">
            <v>2015551</v>
          </cell>
          <cell r="B79">
            <v>256</v>
          </cell>
          <cell r="C79">
            <v>129</v>
          </cell>
        </row>
        <row r="80">
          <cell r="A80">
            <v>2015556</v>
          </cell>
          <cell r="B80">
            <v>256</v>
          </cell>
          <cell r="C80">
            <v>129</v>
          </cell>
        </row>
        <row r="81">
          <cell r="A81">
            <v>2015571</v>
          </cell>
          <cell r="B81">
            <v>256</v>
          </cell>
          <cell r="C81">
            <v>129</v>
          </cell>
        </row>
        <row r="82">
          <cell r="A82">
            <v>2015584</v>
          </cell>
          <cell r="B82">
            <v>256</v>
          </cell>
          <cell r="C82">
            <v>129</v>
          </cell>
        </row>
        <row r="83">
          <cell r="A83">
            <v>2015612</v>
          </cell>
          <cell r="B83">
            <v>256</v>
          </cell>
          <cell r="C83">
            <v>129</v>
          </cell>
        </row>
        <row r="84">
          <cell r="A84">
            <v>9314427</v>
          </cell>
          <cell r="B84">
            <v>181</v>
          </cell>
          <cell r="C84">
            <v>129</v>
          </cell>
        </row>
        <row r="85">
          <cell r="A85">
            <v>2210092</v>
          </cell>
          <cell r="B85">
            <v>256</v>
          </cell>
          <cell r="C85">
            <v>129</v>
          </cell>
        </row>
        <row r="86">
          <cell r="A86">
            <v>2232931</v>
          </cell>
          <cell r="B86">
            <v>256</v>
          </cell>
          <cell r="C86">
            <v>129</v>
          </cell>
        </row>
        <row r="87">
          <cell r="A87">
            <v>2308304</v>
          </cell>
          <cell r="B87">
            <v>256</v>
          </cell>
          <cell r="C87">
            <v>129</v>
          </cell>
        </row>
        <row r="88">
          <cell r="A88">
            <v>9212350</v>
          </cell>
          <cell r="B88">
            <v>7</v>
          </cell>
        </row>
        <row r="89">
          <cell r="A89">
            <v>9503914</v>
          </cell>
          <cell r="B89">
            <v>60</v>
          </cell>
          <cell r="C89">
            <v>60</v>
          </cell>
        </row>
        <row r="90">
          <cell r="A90">
            <v>9236486</v>
          </cell>
          <cell r="B90">
            <v>7</v>
          </cell>
        </row>
        <row r="91">
          <cell r="A91">
            <v>9343035</v>
          </cell>
          <cell r="B91">
            <v>164</v>
          </cell>
          <cell r="C91">
            <v>129</v>
          </cell>
        </row>
        <row r="92">
          <cell r="A92">
            <v>2014107</v>
          </cell>
          <cell r="B92">
            <v>256</v>
          </cell>
          <cell r="C92">
            <v>129</v>
          </cell>
        </row>
        <row r="93">
          <cell r="A93">
            <v>2014128</v>
          </cell>
          <cell r="B93">
            <v>256</v>
          </cell>
          <cell r="C93">
            <v>129</v>
          </cell>
        </row>
        <row r="94">
          <cell r="A94">
            <v>2015578</v>
          </cell>
          <cell r="B94">
            <v>256</v>
          </cell>
          <cell r="C94">
            <v>129</v>
          </cell>
        </row>
        <row r="95">
          <cell r="A95">
            <v>2015592</v>
          </cell>
          <cell r="B95">
            <v>256</v>
          </cell>
          <cell r="C95">
            <v>129</v>
          </cell>
        </row>
        <row r="96">
          <cell r="A96">
            <v>2015631</v>
          </cell>
          <cell r="B96">
            <v>256</v>
          </cell>
          <cell r="C96">
            <v>129</v>
          </cell>
        </row>
        <row r="97">
          <cell r="A97">
            <v>2015653</v>
          </cell>
          <cell r="B97">
            <v>256</v>
          </cell>
          <cell r="C97">
            <v>129</v>
          </cell>
        </row>
        <row r="98">
          <cell r="A98">
            <v>2635090</v>
          </cell>
          <cell r="B98">
            <v>256</v>
          </cell>
          <cell r="C98">
            <v>129</v>
          </cell>
        </row>
        <row r="99">
          <cell r="A99">
            <v>2014110</v>
          </cell>
          <cell r="B99">
            <v>256</v>
          </cell>
          <cell r="C99">
            <v>129</v>
          </cell>
        </row>
        <row r="100">
          <cell r="A100">
            <v>2014144</v>
          </cell>
          <cell r="B100">
            <v>256</v>
          </cell>
          <cell r="C100">
            <v>129</v>
          </cell>
        </row>
        <row r="101">
          <cell r="A101">
            <v>2014181</v>
          </cell>
          <cell r="B101">
            <v>256</v>
          </cell>
          <cell r="C101">
            <v>129</v>
          </cell>
        </row>
        <row r="102">
          <cell r="A102">
            <v>2015542</v>
          </cell>
          <cell r="B102">
            <v>256</v>
          </cell>
          <cell r="C102">
            <v>129</v>
          </cell>
        </row>
        <row r="103">
          <cell r="A103">
            <v>2015575</v>
          </cell>
          <cell r="B103">
            <v>256</v>
          </cell>
          <cell r="C103">
            <v>129</v>
          </cell>
        </row>
        <row r="104">
          <cell r="A104">
            <v>2079575</v>
          </cell>
          <cell r="B104">
            <v>256</v>
          </cell>
          <cell r="C104">
            <v>129</v>
          </cell>
        </row>
        <row r="105">
          <cell r="A105">
            <v>2999678</v>
          </cell>
          <cell r="B105">
            <v>256</v>
          </cell>
          <cell r="C105">
            <v>129</v>
          </cell>
        </row>
        <row r="106">
          <cell r="A106">
            <v>2014091</v>
          </cell>
          <cell r="B106">
            <v>256</v>
          </cell>
          <cell r="C106">
            <v>129</v>
          </cell>
        </row>
        <row r="107">
          <cell r="A107">
            <v>2160148</v>
          </cell>
          <cell r="B107">
            <v>256</v>
          </cell>
          <cell r="C107">
            <v>129</v>
          </cell>
        </row>
        <row r="108">
          <cell r="A108">
            <v>2014113</v>
          </cell>
          <cell r="B108">
            <v>256</v>
          </cell>
          <cell r="C108">
            <v>129</v>
          </cell>
        </row>
        <row r="109">
          <cell r="A109">
            <v>2030556</v>
          </cell>
          <cell r="B109">
            <v>256</v>
          </cell>
          <cell r="C109">
            <v>129</v>
          </cell>
        </row>
        <row r="110">
          <cell r="A110">
            <v>2079576</v>
          </cell>
          <cell r="B110">
            <v>256</v>
          </cell>
          <cell r="C110">
            <v>129</v>
          </cell>
        </row>
        <row r="111">
          <cell r="A111">
            <v>9430647</v>
          </cell>
          <cell r="B111">
            <v>7</v>
          </cell>
          <cell r="C111">
            <v>7</v>
          </cell>
        </row>
        <row r="112">
          <cell r="A112">
            <v>2015624</v>
          </cell>
          <cell r="B112">
            <v>256</v>
          </cell>
          <cell r="C112">
            <v>129</v>
          </cell>
        </row>
        <row r="113">
          <cell r="A113">
            <v>2014187</v>
          </cell>
          <cell r="B113">
            <v>256</v>
          </cell>
          <cell r="C113">
            <v>129</v>
          </cell>
        </row>
        <row r="114">
          <cell r="A114">
            <v>2014188</v>
          </cell>
          <cell r="B114">
            <v>175</v>
          </cell>
          <cell r="C114">
            <v>48</v>
          </cell>
        </row>
        <row r="115">
          <cell r="A115">
            <v>2998824</v>
          </cell>
          <cell r="B115">
            <v>256</v>
          </cell>
          <cell r="C115">
            <v>129</v>
          </cell>
        </row>
        <row r="116">
          <cell r="A116">
            <v>2014096</v>
          </cell>
          <cell r="B116">
            <v>256</v>
          </cell>
          <cell r="C116">
            <v>129</v>
          </cell>
        </row>
        <row r="117">
          <cell r="A117">
            <v>2015521</v>
          </cell>
          <cell r="B117">
            <v>256</v>
          </cell>
          <cell r="C117">
            <v>129</v>
          </cell>
        </row>
        <row r="118">
          <cell r="A118">
            <v>2078419</v>
          </cell>
          <cell r="B118">
            <v>256</v>
          </cell>
          <cell r="C118">
            <v>129</v>
          </cell>
        </row>
        <row r="119">
          <cell r="A119">
            <v>2166227</v>
          </cell>
          <cell r="B119">
            <v>256</v>
          </cell>
          <cell r="C119">
            <v>129</v>
          </cell>
        </row>
        <row r="120">
          <cell r="A120">
            <v>2153253</v>
          </cell>
          <cell r="B120">
            <v>256</v>
          </cell>
          <cell r="C120">
            <v>129</v>
          </cell>
        </row>
        <row r="121">
          <cell r="A121">
            <v>9518991</v>
          </cell>
          <cell r="B121">
            <v>49</v>
          </cell>
          <cell r="C121">
            <v>49</v>
          </cell>
        </row>
        <row r="122">
          <cell r="A122">
            <v>2362799</v>
          </cell>
          <cell r="B122">
            <v>125</v>
          </cell>
        </row>
        <row r="123">
          <cell r="A123">
            <v>2014134</v>
          </cell>
          <cell r="B123">
            <v>256</v>
          </cell>
          <cell r="C123">
            <v>129</v>
          </cell>
        </row>
        <row r="124">
          <cell r="A124">
            <v>2015559</v>
          </cell>
          <cell r="B124">
            <v>256</v>
          </cell>
          <cell r="C124">
            <v>129</v>
          </cell>
        </row>
        <row r="125">
          <cell r="A125">
            <v>2015620</v>
          </cell>
          <cell r="B125">
            <v>256</v>
          </cell>
          <cell r="C125">
            <v>129</v>
          </cell>
        </row>
        <row r="126">
          <cell r="A126">
            <v>2023239</v>
          </cell>
          <cell r="B126">
            <v>256</v>
          </cell>
          <cell r="C126">
            <v>129</v>
          </cell>
        </row>
        <row r="127">
          <cell r="A127">
            <v>9067757</v>
          </cell>
          <cell r="B127">
            <v>256</v>
          </cell>
          <cell r="C127">
            <v>129</v>
          </cell>
        </row>
        <row r="128">
          <cell r="A128">
            <v>2014116</v>
          </cell>
          <cell r="B128">
            <v>256</v>
          </cell>
          <cell r="C128">
            <v>129</v>
          </cell>
        </row>
        <row r="129">
          <cell r="A129">
            <v>2015517</v>
          </cell>
          <cell r="B129">
            <v>256</v>
          </cell>
          <cell r="C129">
            <v>129</v>
          </cell>
        </row>
        <row r="130">
          <cell r="A130">
            <v>2015555</v>
          </cell>
          <cell r="B130">
            <v>256</v>
          </cell>
          <cell r="C130">
            <v>129</v>
          </cell>
        </row>
        <row r="131">
          <cell r="A131">
            <v>2015616</v>
          </cell>
          <cell r="B131">
            <v>256</v>
          </cell>
          <cell r="C131">
            <v>129</v>
          </cell>
        </row>
        <row r="132">
          <cell r="A132">
            <v>2015671</v>
          </cell>
          <cell r="B132">
            <v>256</v>
          </cell>
          <cell r="C132">
            <v>129</v>
          </cell>
        </row>
        <row r="133">
          <cell r="A133">
            <v>2149724</v>
          </cell>
          <cell r="B133">
            <v>256</v>
          </cell>
          <cell r="C133">
            <v>129</v>
          </cell>
        </row>
        <row r="134">
          <cell r="A134">
            <v>2013915</v>
          </cell>
          <cell r="B134">
            <v>256</v>
          </cell>
          <cell r="C134">
            <v>129</v>
          </cell>
        </row>
        <row r="135">
          <cell r="A135">
            <v>2023241</v>
          </cell>
          <cell r="B135">
            <v>256</v>
          </cell>
          <cell r="C135">
            <v>129</v>
          </cell>
        </row>
        <row r="136">
          <cell r="A136">
            <v>2172325</v>
          </cell>
          <cell r="B136">
            <v>256</v>
          </cell>
          <cell r="C136">
            <v>129</v>
          </cell>
        </row>
        <row r="137">
          <cell r="A137">
            <v>9125325</v>
          </cell>
          <cell r="B137">
            <v>205</v>
          </cell>
          <cell r="C137">
            <v>78</v>
          </cell>
        </row>
        <row r="138">
          <cell r="A138">
            <v>9552715</v>
          </cell>
          <cell r="B138">
            <v>7</v>
          </cell>
          <cell r="C138">
            <v>7</v>
          </cell>
        </row>
        <row r="139">
          <cell r="A139">
            <v>9500512</v>
          </cell>
          <cell r="B139">
            <v>7</v>
          </cell>
          <cell r="C139">
            <v>7</v>
          </cell>
        </row>
        <row r="140">
          <cell r="A140">
            <v>9513251</v>
          </cell>
          <cell r="B140">
            <v>7</v>
          </cell>
          <cell r="C140">
            <v>7</v>
          </cell>
        </row>
        <row r="141">
          <cell r="A141">
            <v>2015558</v>
          </cell>
          <cell r="B141">
            <v>256</v>
          </cell>
          <cell r="C141">
            <v>129</v>
          </cell>
        </row>
        <row r="142">
          <cell r="A142">
            <v>2557856</v>
          </cell>
          <cell r="B142">
            <v>256</v>
          </cell>
          <cell r="C142">
            <v>129</v>
          </cell>
        </row>
        <row r="143">
          <cell r="A143">
            <v>2010589</v>
          </cell>
          <cell r="B143">
            <v>256</v>
          </cell>
          <cell r="C143">
            <v>129</v>
          </cell>
        </row>
        <row r="144">
          <cell r="A144">
            <v>2014184</v>
          </cell>
          <cell r="B144">
            <v>256</v>
          </cell>
          <cell r="C144">
            <v>129</v>
          </cell>
        </row>
        <row r="145">
          <cell r="A145">
            <v>2015520</v>
          </cell>
          <cell r="B145">
            <v>256</v>
          </cell>
          <cell r="C145">
            <v>129</v>
          </cell>
        </row>
        <row r="146">
          <cell r="A146">
            <v>2015527</v>
          </cell>
          <cell r="B146">
            <v>256</v>
          </cell>
          <cell r="C146">
            <v>129</v>
          </cell>
        </row>
        <row r="147">
          <cell r="A147">
            <v>2015544</v>
          </cell>
          <cell r="B147">
            <v>256</v>
          </cell>
          <cell r="C147">
            <v>129</v>
          </cell>
        </row>
        <row r="148">
          <cell r="A148">
            <v>2015572</v>
          </cell>
          <cell r="B148">
            <v>256</v>
          </cell>
          <cell r="C148">
            <v>129</v>
          </cell>
        </row>
        <row r="149">
          <cell r="A149">
            <v>2015596</v>
          </cell>
          <cell r="B149">
            <v>256</v>
          </cell>
          <cell r="C149">
            <v>129</v>
          </cell>
        </row>
        <row r="150">
          <cell r="A150">
            <v>2015608</v>
          </cell>
          <cell r="B150">
            <v>256</v>
          </cell>
          <cell r="C150">
            <v>129</v>
          </cell>
        </row>
        <row r="151">
          <cell r="A151">
            <v>2015661</v>
          </cell>
          <cell r="B151">
            <v>256</v>
          </cell>
          <cell r="C151">
            <v>129</v>
          </cell>
        </row>
        <row r="152">
          <cell r="A152">
            <v>2014123</v>
          </cell>
          <cell r="B152">
            <v>256</v>
          </cell>
          <cell r="C152">
            <v>129</v>
          </cell>
        </row>
        <row r="153">
          <cell r="A153">
            <v>2015582</v>
          </cell>
          <cell r="B153">
            <v>256</v>
          </cell>
          <cell r="C153">
            <v>129</v>
          </cell>
        </row>
        <row r="154">
          <cell r="A154">
            <v>2481795</v>
          </cell>
          <cell r="B154">
            <v>256</v>
          </cell>
          <cell r="C154">
            <v>129</v>
          </cell>
        </row>
        <row r="155">
          <cell r="A155">
            <v>2239800</v>
          </cell>
          <cell r="B155">
            <v>256</v>
          </cell>
          <cell r="C155">
            <v>129</v>
          </cell>
        </row>
        <row r="156">
          <cell r="A156">
            <v>2280070</v>
          </cell>
          <cell r="B156">
            <v>256</v>
          </cell>
          <cell r="C156">
            <v>129</v>
          </cell>
        </row>
        <row r="157">
          <cell r="A157">
            <v>2280083</v>
          </cell>
          <cell r="B157">
            <v>256</v>
          </cell>
          <cell r="C157">
            <v>129</v>
          </cell>
        </row>
        <row r="158">
          <cell r="A158">
            <v>2593875</v>
          </cell>
          <cell r="B158">
            <v>256</v>
          </cell>
          <cell r="C158">
            <v>129</v>
          </cell>
        </row>
        <row r="159">
          <cell r="A159">
            <v>2013917</v>
          </cell>
          <cell r="B159">
            <v>256</v>
          </cell>
          <cell r="C159">
            <v>129</v>
          </cell>
        </row>
        <row r="160">
          <cell r="A160">
            <v>2043488</v>
          </cell>
          <cell r="B160">
            <v>256</v>
          </cell>
          <cell r="C160">
            <v>129</v>
          </cell>
        </row>
        <row r="161">
          <cell r="A161">
            <v>2015518</v>
          </cell>
          <cell r="B161">
            <v>24</v>
          </cell>
        </row>
        <row r="162">
          <cell r="A162">
            <v>9460925</v>
          </cell>
          <cell r="B162">
            <v>88</v>
          </cell>
          <cell r="C162">
            <v>88</v>
          </cell>
        </row>
        <row r="163">
          <cell r="A163">
            <v>2015622</v>
          </cell>
          <cell r="B163">
            <v>256</v>
          </cell>
          <cell r="C163">
            <v>129</v>
          </cell>
        </row>
        <row r="164">
          <cell r="A164">
            <v>2015573</v>
          </cell>
          <cell r="B164">
            <v>256</v>
          </cell>
          <cell r="C164">
            <v>129</v>
          </cell>
        </row>
        <row r="165">
          <cell r="A165">
            <v>2015600</v>
          </cell>
          <cell r="B165">
            <v>256</v>
          </cell>
          <cell r="C165">
            <v>129</v>
          </cell>
        </row>
        <row r="166">
          <cell r="A166">
            <v>2015629</v>
          </cell>
          <cell r="B166">
            <v>256</v>
          </cell>
          <cell r="C166">
            <v>129</v>
          </cell>
        </row>
        <row r="167">
          <cell r="A167">
            <v>2015633</v>
          </cell>
          <cell r="B167">
            <v>256</v>
          </cell>
          <cell r="C167">
            <v>129</v>
          </cell>
        </row>
        <row r="168">
          <cell r="A168">
            <v>2015652</v>
          </cell>
          <cell r="B168">
            <v>256</v>
          </cell>
          <cell r="C168">
            <v>129</v>
          </cell>
        </row>
        <row r="169">
          <cell r="A169">
            <v>2023236</v>
          </cell>
          <cell r="B169">
            <v>256</v>
          </cell>
          <cell r="C169">
            <v>129</v>
          </cell>
        </row>
        <row r="170">
          <cell r="A170">
            <v>2229423</v>
          </cell>
          <cell r="B170">
            <v>256</v>
          </cell>
          <cell r="C170">
            <v>129</v>
          </cell>
        </row>
        <row r="171">
          <cell r="A171">
            <v>2014094</v>
          </cell>
          <cell r="B171">
            <v>256</v>
          </cell>
          <cell r="C171">
            <v>129</v>
          </cell>
        </row>
        <row r="172">
          <cell r="A172">
            <v>2274327</v>
          </cell>
          <cell r="B172">
            <v>256</v>
          </cell>
          <cell r="C172">
            <v>129</v>
          </cell>
        </row>
        <row r="173">
          <cell r="A173">
            <v>2550151</v>
          </cell>
          <cell r="B173">
            <v>195</v>
          </cell>
          <cell r="C173">
            <v>68</v>
          </cell>
        </row>
        <row r="174">
          <cell r="A174">
            <v>9329652</v>
          </cell>
          <cell r="B174">
            <v>7</v>
          </cell>
        </row>
        <row r="175">
          <cell r="A175">
            <v>9301553</v>
          </cell>
          <cell r="B175">
            <v>7</v>
          </cell>
        </row>
        <row r="176">
          <cell r="A176">
            <v>2285454</v>
          </cell>
          <cell r="B176">
            <v>164</v>
          </cell>
          <cell r="C176">
            <v>37</v>
          </cell>
        </row>
        <row r="177">
          <cell r="A177">
            <v>2015565</v>
          </cell>
          <cell r="B177">
            <v>256</v>
          </cell>
          <cell r="C177">
            <v>129</v>
          </cell>
        </row>
        <row r="178">
          <cell r="A178">
            <v>2014186</v>
          </cell>
          <cell r="B178">
            <v>256</v>
          </cell>
          <cell r="C178">
            <v>129</v>
          </cell>
        </row>
        <row r="179">
          <cell r="A179">
            <v>2015554</v>
          </cell>
          <cell r="B179">
            <v>256</v>
          </cell>
          <cell r="C179">
            <v>129</v>
          </cell>
        </row>
        <row r="180">
          <cell r="A180">
            <v>2015557</v>
          </cell>
          <cell r="B180">
            <v>256</v>
          </cell>
          <cell r="C180">
            <v>129</v>
          </cell>
        </row>
        <row r="181">
          <cell r="A181">
            <v>2015581</v>
          </cell>
          <cell r="B181">
            <v>256</v>
          </cell>
          <cell r="C181">
            <v>129</v>
          </cell>
        </row>
        <row r="182">
          <cell r="A182">
            <v>2014106</v>
          </cell>
          <cell r="B182">
            <v>256</v>
          </cell>
          <cell r="C182">
            <v>129</v>
          </cell>
        </row>
        <row r="183">
          <cell r="A183">
            <v>2171403</v>
          </cell>
          <cell r="B183">
            <v>256</v>
          </cell>
          <cell r="C183">
            <v>129</v>
          </cell>
        </row>
        <row r="184">
          <cell r="A184">
            <v>9322454</v>
          </cell>
          <cell r="B184">
            <v>177</v>
          </cell>
          <cell r="C184">
            <v>129</v>
          </cell>
        </row>
        <row r="185">
          <cell r="A185">
            <v>2015522</v>
          </cell>
          <cell r="B185">
            <v>256</v>
          </cell>
          <cell r="C185">
            <v>129</v>
          </cell>
        </row>
        <row r="186">
          <cell r="A186">
            <v>2015560</v>
          </cell>
          <cell r="B186">
            <v>256</v>
          </cell>
          <cell r="C186">
            <v>129</v>
          </cell>
        </row>
        <row r="187">
          <cell r="A187">
            <v>2015580</v>
          </cell>
          <cell r="B187">
            <v>202</v>
          </cell>
          <cell r="C187">
            <v>75</v>
          </cell>
        </row>
        <row r="188">
          <cell r="A188">
            <v>2015595</v>
          </cell>
          <cell r="B188">
            <v>256</v>
          </cell>
          <cell r="C188">
            <v>129</v>
          </cell>
        </row>
        <row r="189">
          <cell r="A189">
            <v>2337459</v>
          </cell>
          <cell r="B189">
            <v>256</v>
          </cell>
          <cell r="C189">
            <v>129</v>
          </cell>
        </row>
        <row r="190">
          <cell r="A190">
            <v>2141214</v>
          </cell>
          <cell r="B190">
            <v>256</v>
          </cell>
          <cell r="C190">
            <v>129</v>
          </cell>
        </row>
        <row r="191">
          <cell r="A191">
            <v>2174920</v>
          </cell>
          <cell r="B191">
            <v>256</v>
          </cell>
          <cell r="C191">
            <v>129</v>
          </cell>
        </row>
        <row r="192">
          <cell r="A192">
            <v>2293140</v>
          </cell>
          <cell r="B192">
            <v>256</v>
          </cell>
          <cell r="C192">
            <v>129</v>
          </cell>
        </row>
        <row r="193">
          <cell r="A193">
            <v>2674090</v>
          </cell>
          <cell r="B193">
            <v>140</v>
          </cell>
          <cell r="C193">
            <v>13</v>
          </cell>
        </row>
        <row r="194">
          <cell r="A194">
            <v>2015574</v>
          </cell>
          <cell r="B194">
            <v>256</v>
          </cell>
          <cell r="C194">
            <v>129</v>
          </cell>
        </row>
        <row r="195">
          <cell r="A195">
            <v>2015540</v>
          </cell>
          <cell r="B195">
            <v>256</v>
          </cell>
          <cell r="C195">
            <v>129</v>
          </cell>
        </row>
        <row r="196">
          <cell r="A196">
            <v>2014176</v>
          </cell>
          <cell r="B196">
            <v>256</v>
          </cell>
          <cell r="C196">
            <v>129</v>
          </cell>
        </row>
        <row r="197">
          <cell r="A197">
            <v>2015593</v>
          </cell>
          <cell r="B197">
            <v>256</v>
          </cell>
          <cell r="C197">
            <v>129</v>
          </cell>
        </row>
        <row r="198">
          <cell r="A198">
            <v>2015606</v>
          </cell>
          <cell r="B198">
            <v>256</v>
          </cell>
          <cell r="C198">
            <v>129</v>
          </cell>
        </row>
        <row r="199">
          <cell r="A199">
            <v>2014183</v>
          </cell>
          <cell r="B199">
            <v>256</v>
          </cell>
          <cell r="C199">
            <v>129</v>
          </cell>
        </row>
        <row r="200">
          <cell r="A200">
            <v>2015535</v>
          </cell>
          <cell r="B200">
            <v>256</v>
          </cell>
          <cell r="C200">
            <v>129</v>
          </cell>
        </row>
        <row r="201">
          <cell r="A201">
            <v>2015561</v>
          </cell>
          <cell r="B201">
            <v>256</v>
          </cell>
          <cell r="C201">
            <v>129</v>
          </cell>
        </row>
        <row r="202">
          <cell r="A202">
            <v>2015569</v>
          </cell>
          <cell r="B202">
            <v>256</v>
          </cell>
          <cell r="C202">
            <v>129</v>
          </cell>
        </row>
        <row r="203">
          <cell r="A203">
            <v>2015604</v>
          </cell>
          <cell r="B203">
            <v>256</v>
          </cell>
          <cell r="C203">
            <v>129</v>
          </cell>
        </row>
        <row r="204">
          <cell r="A204">
            <v>2015677</v>
          </cell>
          <cell r="B204">
            <v>256</v>
          </cell>
          <cell r="C204">
            <v>129</v>
          </cell>
        </row>
        <row r="205">
          <cell r="A205">
            <v>2014097</v>
          </cell>
          <cell r="B205">
            <v>256</v>
          </cell>
          <cell r="C205">
            <v>129</v>
          </cell>
        </row>
        <row r="206">
          <cell r="A206">
            <v>2014101</v>
          </cell>
          <cell r="B206">
            <v>256</v>
          </cell>
          <cell r="C206">
            <v>129</v>
          </cell>
        </row>
        <row r="207">
          <cell r="A207">
            <v>2166226</v>
          </cell>
          <cell r="B207">
            <v>256</v>
          </cell>
          <cell r="C207">
            <v>129</v>
          </cell>
        </row>
        <row r="208">
          <cell r="A208">
            <v>2167902</v>
          </cell>
          <cell r="B208">
            <v>256</v>
          </cell>
          <cell r="C208">
            <v>129</v>
          </cell>
        </row>
        <row r="209">
          <cell r="A209">
            <v>2248695</v>
          </cell>
          <cell r="B209">
            <v>256</v>
          </cell>
          <cell r="C209">
            <v>129</v>
          </cell>
        </row>
        <row r="210">
          <cell r="A210">
            <v>2266508</v>
          </cell>
          <cell r="B210">
            <v>195</v>
          </cell>
          <cell r="C210">
            <v>68</v>
          </cell>
        </row>
        <row r="211">
          <cell r="A211">
            <v>2348848</v>
          </cell>
          <cell r="B211">
            <v>256</v>
          </cell>
          <cell r="C211">
            <v>129</v>
          </cell>
        </row>
        <row r="212">
          <cell r="A212">
            <v>2910735</v>
          </cell>
          <cell r="B212">
            <v>256</v>
          </cell>
          <cell r="C212">
            <v>129</v>
          </cell>
        </row>
        <row r="213">
          <cell r="A213">
            <v>9019935</v>
          </cell>
          <cell r="B213">
            <v>256</v>
          </cell>
          <cell r="C213">
            <v>129</v>
          </cell>
        </row>
        <row r="214">
          <cell r="A214">
            <v>9522879</v>
          </cell>
          <cell r="B214">
            <v>46</v>
          </cell>
          <cell r="C214">
            <v>46</v>
          </cell>
        </row>
        <row r="215">
          <cell r="A215">
            <v>9518926</v>
          </cell>
          <cell r="B215">
            <v>49</v>
          </cell>
          <cell r="C215">
            <v>49</v>
          </cell>
        </row>
        <row r="216">
          <cell r="A216">
            <v>2015589</v>
          </cell>
          <cell r="B216">
            <v>256</v>
          </cell>
          <cell r="C216">
            <v>129</v>
          </cell>
        </row>
        <row r="217">
          <cell r="A217">
            <v>2014135</v>
          </cell>
          <cell r="B217">
            <v>256</v>
          </cell>
          <cell r="C217">
            <v>129</v>
          </cell>
        </row>
        <row r="218">
          <cell r="A218">
            <v>2015523</v>
          </cell>
          <cell r="B218">
            <v>256</v>
          </cell>
          <cell r="C218">
            <v>129</v>
          </cell>
        </row>
        <row r="219">
          <cell r="A219">
            <v>2015525</v>
          </cell>
          <cell r="B219">
            <v>256</v>
          </cell>
          <cell r="C219">
            <v>129</v>
          </cell>
        </row>
        <row r="220">
          <cell r="A220">
            <v>2015588</v>
          </cell>
          <cell r="B220">
            <v>256</v>
          </cell>
          <cell r="C220">
            <v>129</v>
          </cell>
        </row>
        <row r="221">
          <cell r="A221">
            <v>2015591</v>
          </cell>
          <cell r="B221">
            <v>256</v>
          </cell>
          <cell r="C221">
            <v>129</v>
          </cell>
        </row>
        <row r="222">
          <cell r="A222">
            <v>2015630</v>
          </cell>
          <cell r="B222">
            <v>256</v>
          </cell>
          <cell r="C222">
            <v>129</v>
          </cell>
        </row>
        <row r="223">
          <cell r="A223">
            <v>2015655</v>
          </cell>
          <cell r="B223">
            <v>256</v>
          </cell>
          <cell r="C223">
            <v>129</v>
          </cell>
        </row>
        <row r="224">
          <cell r="A224">
            <v>2295383</v>
          </cell>
          <cell r="B224">
            <v>256</v>
          </cell>
          <cell r="C224">
            <v>129</v>
          </cell>
        </row>
        <row r="225">
          <cell r="A225">
            <v>2015547</v>
          </cell>
          <cell r="B225">
            <v>256</v>
          </cell>
          <cell r="C225">
            <v>129</v>
          </cell>
        </row>
        <row r="226">
          <cell r="A226">
            <v>2015598</v>
          </cell>
          <cell r="B226">
            <v>256</v>
          </cell>
          <cell r="C226">
            <v>129</v>
          </cell>
        </row>
        <row r="227">
          <cell r="A227">
            <v>2015632</v>
          </cell>
          <cell r="B227">
            <v>256</v>
          </cell>
          <cell r="C227">
            <v>129</v>
          </cell>
        </row>
        <row r="228">
          <cell r="A228">
            <v>2015662</v>
          </cell>
          <cell r="B228">
            <v>256</v>
          </cell>
          <cell r="C228">
            <v>129</v>
          </cell>
        </row>
        <row r="229">
          <cell r="A229">
            <v>2023237</v>
          </cell>
          <cell r="B229">
            <v>256</v>
          </cell>
          <cell r="C229">
            <v>129</v>
          </cell>
        </row>
        <row r="230">
          <cell r="A230">
            <v>2015656</v>
          </cell>
          <cell r="B230">
            <v>256</v>
          </cell>
          <cell r="C230">
            <v>129</v>
          </cell>
        </row>
        <row r="231">
          <cell r="A231">
            <v>2033385</v>
          </cell>
          <cell r="B231">
            <v>182</v>
          </cell>
          <cell r="C231">
            <v>55</v>
          </cell>
        </row>
        <row r="232">
          <cell r="A232">
            <v>2231612</v>
          </cell>
          <cell r="B232">
            <v>256</v>
          </cell>
          <cell r="C232">
            <v>129</v>
          </cell>
        </row>
        <row r="233">
          <cell r="A233">
            <v>2315915</v>
          </cell>
          <cell r="B233">
            <v>256</v>
          </cell>
          <cell r="C233">
            <v>129</v>
          </cell>
        </row>
        <row r="234">
          <cell r="A234">
            <v>9026814</v>
          </cell>
          <cell r="B234">
            <v>198</v>
          </cell>
          <cell r="C234">
            <v>71</v>
          </cell>
        </row>
        <row r="235">
          <cell r="A235">
            <v>2015513</v>
          </cell>
          <cell r="B235">
            <v>256</v>
          </cell>
          <cell r="C235">
            <v>129</v>
          </cell>
        </row>
        <row r="236">
          <cell r="A236">
            <v>2084787</v>
          </cell>
          <cell r="B236">
            <v>256</v>
          </cell>
          <cell r="C236">
            <v>129</v>
          </cell>
        </row>
        <row r="237">
          <cell r="A237">
            <v>2232929</v>
          </cell>
          <cell r="B237">
            <v>244</v>
          </cell>
          <cell r="C237">
            <v>117</v>
          </cell>
        </row>
        <row r="238">
          <cell r="A238">
            <v>2239804</v>
          </cell>
          <cell r="B238">
            <v>256</v>
          </cell>
          <cell r="C238">
            <v>129</v>
          </cell>
        </row>
        <row r="239">
          <cell r="A239">
            <v>2334436</v>
          </cell>
          <cell r="B239">
            <v>256</v>
          </cell>
          <cell r="C239">
            <v>129</v>
          </cell>
        </row>
        <row r="240">
          <cell r="A240">
            <v>2349142</v>
          </cell>
          <cell r="B240">
            <v>256</v>
          </cell>
          <cell r="C240">
            <v>129</v>
          </cell>
        </row>
        <row r="241">
          <cell r="A241">
            <v>2015587</v>
          </cell>
          <cell r="B241">
            <v>256</v>
          </cell>
          <cell r="C241">
            <v>129</v>
          </cell>
        </row>
        <row r="242">
          <cell r="A242">
            <v>2010599</v>
          </cell>
          <cell r="B242">
            <v>256</v>
          </cell>
          <cell r="C242">
            <v>129</v>
          </cell>
        </row>
        <row r="243">
          <cell r="A243">
            <v>2014090</v>
          </cell>
          <cell r="B243">
            <v>256</v>
          </cell>
          <cell r="C243">
            <v>129</v>
          </cell>
        </row>
        <row r="244">
          <cell r="A244">
            <v>2015509</v>
          </cell>
          <cell r="B244">
            <v>256</v>
          </cell>
          <cell r="C244">
            <v>129</v>
          </cell>
        </row>
        <row r="245">
          <cell r="A245">
            <v>2015519</v>
          </cell>
          <cell r="B245">
            <v>256</v>
          </cell>
          <cell r="C245">
            <v>129</v>
          </cell>
        </row>
        <row r="246">
          <cell r="A246">
            <v>2015543</v>
          </cell>
          <cell r="B246">
            <v>256</v>
          </cell>
          <cell r="C246">
            <v>129</v>
          </cell>
        </row>
        <row r="247">
          <cell r="A247">
            <v>2015552</v>
          </cell>
          <cell r="B247">
            <v>256</v>
          </cell>
          <cell r="C247">
            <v>129</v>
          </cell>
        </row>
        <row r="248">
          <cell r="A248">
            <v>2015566</v>
          </cell>
          <cell r="B248">
            <v>256</v>
          </cell>
          <cell r="C248">
            <v>129</v>
          </cell>
        </row>
        <row r="249">
          <cell r="A249">
            <v>2010591</v>
          </cell>
          <cell r="B249">
            <v>256</v>
          </cell>
          <cell r="C249">
            <v>129</v>
          </cell>
        </row>
        <row r="250">
          <cell r="A250">
            <v>2014127</v>
          </cell>
          <cell r="B250">
            <v>256</v>
          </cell>
          <cell r="C250">
            <v>129</v>
          </cell>
        </row>
        <row r="251">
          <cell r="A251">
            <v>2014137</v>
          </cell>
          <cell r="B251">
            <v>256</v>
          </cell>
          <cell r="C251">
            <v>129</v>
          </cell>
        </row>
        <row r="252">
          <cell r="A252">
            <v>2015532</v>
          </cell>
          <cell r="B252">
            <v>256</v>
          </cell>
          <cell r="C252">
            <v>129</v>
          </cell>
        </row>
        <row r="253">
          <cell r="A253">
            <v>2015615</v>
          </cell>
          <cell r="B253">
            <v>256</v>
          </cell>
          <cell r="C253">
            <v>129</v>
          </cell>
        </row>
        <row r="254">
          <cell r="A254">
            <v>2263917</v>
          </cell>
          <cell r="B254">
            <v>256</v>
          </cell>
          <cell r="C254">
            <v>129</v>
          </cell>
        </row>
        <row r="255">
          <cell r="A255">
            <v>2030554</v>
          </cell>
          <cell r="B255">
            <v>231</v>
          </cell>
          <cell r="C255">
            <v>104</v>
          </cell>
        </row>
        <row r="256">
          <cell r="A256">
            <v>6054667</v>
          </cell>
          <cell r="B256">
            <v>31</v>
          </cell>
        </row>
        <row r="257">
          <cell r="A257">
            <v>2208242</v>
          </cell>
          <cell r="B257">
            <v>113</v>
          </cell>
        </row>
        <row r="258">
          <cell r="A258">
            <v>2015563</v>
          </cell>
          <cell r="B258">
            <v>256</v>
          </cell>
          <cell r="C258">
            <v>129</v>
          </cell>
        </row>
        <row r="259">
          <cell r="A259">
            <v>2004834</v>
          </cell>
          <cell r="B259">
            <v>256</v>
          </cell>
          <cell r="C259">
            <v>129</v>
          </cell>
        </row>
        <row r="260">
          <cell r="A260">
            <v>2014133</v>
          </cell>
          <cell r="B260">
            <v>256</v>
          </cell>
          <cell r="C260">
            <v>129</v>
          </cell>
        </row>
        <row r="261">
          <cell r="A261">
            <v>2015579</v>
          </cell>
          <cell r="B261">
            <v>256</v>
          </cell>
          <cell r="C261">
            <v>129</v>
          </cell>
        </row>
        <row r="262">
          <cell r="A262">
            <v>2015594</v>
          </cell>
          <cell r="B262">
            <v>256</v>
          </cell>
          <cell r="C262">
            <v>129</v>
          </cell>
        </row>
        <row r="263">
          <cell r="A263">
            <v>2030553</v>
          </cell>
          <cell r="B263">
            <v>256</v>
          </cell>
          <cell r="C263">
            <v>129</v>
          </cell>
        </row>
        <row r="264">
          <cell r="A264">
            <v>2479320</v>
          </cell>
          <cell r="B264">
            <v>256</v>
          </cell>
          <cell r="C264">
            <v>129</v>
          </cell>
        </row>
        <row r="265">
          <cell r="A265">
            <v>2014138</v>
          </cell>
          <cell r="B265">
            <v>256</v>
          </cell>
          <cell r="C265">
            <v>129</v>
          </cell>
        </row>
        <row r="266">
          <cell r="A266">
            <v>2014173</v>
          </cell>
          <cell r="B266">
            <v>256</v>
          </cell>
          <cell r="C266">
            <v>129</v>
          </cell>
        </row>
        <row r="267">
          <cell r="A267">
            <v>2014179</v>
          </cell>
          <cell r="B267">
            <v>256</v>
          </cell>
          <cell r="C267">
            <v>129</v>
          </cell>
        </row>
        <row r="268">
          <cell r="A268">
            <v>2015585</v>
          </cell>
          <cell r="B268">
            <v>256</v>
          </cell>
          <cell r="C268">
            <v>129</v>
          </cell>
        </row>
        <row r="269">
          <cell r="A269">
            <v>2010598</v>
          </cell>
          <cell r="B269">
            <v>256</v>
          </cell>
          <cell r="C269">
            <v>129</v>
          </cell>
        </row>
        <row r="270">
          <cell r="A270">
            <v>2106825</v>
          </cell>
          <cell r="B270">
            <v>255</v>
          </cell>
          <cell r="C270">
            <v>128</v>
          </cell>
        </row>
        <row r="271">
          <cell r="A271">
            <v>2207118</v>
          </cell>
          <cell r="B271">
            <v>256</v>
          </cell>
          <cell r="C271">
            <v>129</v>
          </cell>
        </row>
        <row r="272">
          <cell r="A272">
            <v>2996249</v>
          </cell>
          <cell r="B272">
            <v>256</v>
          </cell>
          <cell r="C272">
            <v>129</v>
          </cell>
        </row>
        <row r="273">
          <cell r="A273">
            <v>2905643</v>
          </cell>
          <cell r="B273">
            <v>256</v>
          </cell>
          <cell r="C273">
            <v>129</v>
          </cell>
        </row>
        <row r="274">
          <cell r="A274">
            <v>2936563</v>
          </cell>
          <cell r="B274">
            <v>256</v>
          </cell>
          <cell r="C274">
            <v>129</v>
          </cell>
        </row>
        <row r="275">
          <cell r="A275">
            <v>2014111</v>
          </cell>
          <cell r="B275">
            <v>256</v>
          </cell>
          <cell r="C275">
            <v>129</v>
          </cell>
        </row>
        <row r="276">
          <cell r="A276">
            <v>2043485</v>
          </cell>
          <cell r="B276">
            <v>219</v>
          </cell>
          <cell r="C276">
            <v>92</v>
          </cell>
        </row>
        <row r="277">
          <cell r="A277">
            <v>2110369</v>
          </cell>
          <cell r="B277">
            <v>256</v>
          </cell>
          <cell r="C277">
            <v>129</v>
          </cell>
        </row>
        <row r="278">
          <cell r="A278">
            <v>9383030</v>
          </cell>
          <cell r="B278">
            <v>10</v>
          </cell>
        </row>
        <row r="279">
          <cell r="A279">
            <v>2015583</v>
          </cell>
          <cell r="B279">
            <v>256</v>
          </cell>
          <cell r="C279">
            <v>129</v>
          </cell>
        </row>
        <row r="280">
          <cell r="A280">
            <v>2293139</v>
          </cell>
          <cell r="B280">
            <v>256</v>
          </cell>
          <cell r="C280">
            <v>129</v>
          </cell>
        </row>
        <row r="281">
          <cell r="A281">
            <v>2014121</v>
          </cell>
          <cell r="B281">
            <v>256</v>
          </cell>
          <cell r="C281">
            <v>129</v>
          </cell>
        </row>
        <row r="282">
          <cell r="A282">
            <v>2015537</v>
          </cell>
          <cell r="B282">
            <v>256</v>
          </cell>
          <cell r="C282">
            <v>129</v>
          </cell>
        </row>
        <row r="283">
          <cell r="A283">
            <v>2015614</v>
          </cell>
          <cell r="B283">
            <v>256</v>
          </cell>
          <cell r="C283">
            <v>129</v>
          </cell>
        </row>
        <row r="284">
          <cell r="A284">
            <v>2015669</v>
          </cell>
          <cell r="B284">
            <v>256</v>
          </cell>
          <cell r="C284">
            <v>129</v>
          </cell>
        </row>
        <row r="285">
          <cell r="A285">
            <v>2383499</v>
          </cell>
          <cell r="B285">
            <v>256</v>
          </cell>
          <cell r="C285">
            <v>129</v>
          </cell>
        </row>
        <row r="286">
          <cell r="A286">
            <v>2014108</v>
          </cell>
          <cell r="B286">
            <v>256</v>
          </cell>
          <cell r="C286">
            <v>129</v>
          </cell>
        </row>
        <row r="287">
          <cell r="A287">
            <v>2108509</v>
          </cell>
          <cell r="B287">
            <v>256</v>
          </cell>
          <cell r="C287">
            <v>129</v>
          </cell>
        </row>
        <row r="288">
          <cell r="A288">
            <v>2289519</v>
          </cell>
          <cell r="B288">
            <v>256</v>
          </cell>
          <cell r="C288">
            <v>129</v>
          </cell>
        </row>
        <row r="289">
          <cell r="A289">
            <v>9260449</v>
          </cell>
          <cell r="B289">
            <v>6</v>
          </cell>
        </row>
        <row r="290">
          <cell r="A290">
            <v>2015508</v>
          </cell>
          <cell r="B290">
            <v>256</v>
          </cell>
          <cell r="C290">
            <v>129</v>
          </cell>
        </row>
        <row r="291">
          <cell r="A291">
            <v>2014124</v>
          </cell>
          <cell r="B291">
            <v>256</v>
          </cell>
          <cell r="C291">
            <v>129</v>
          </cell>
        </row>
        <row r="292">
          <cell r="A292">
            <v>2015534</v>
          </cell>
          <cell r="B292">
            <v>219</v>
          </cell>
          <cell r="C292">
            <v>92</v>
          </cell>
        </row>
        <row r="293">
          <cell r="A293">
            <v>2015657</v>
          </cell>
          <cell r="B293">
            <v>256</v>
          </cell>
          <cell r="C293">
            <v>129</v>
          </cell>
        </row>
        <row r="294">
          <cell r="A294">
            <v>2015680</v>
          </cell>
          <cell r="B294">
            <v>256</v>
          </cell>
          <cell r="C294">
            <v>129</v>
          </cell>
        </row>
        <row r="295">
          <cell r="A295">
            <v>2015682</v>
          </cell>
          <cell r="B295">
            <v>256</v>
          </cell>
          <cell r="C295">
            <v>129</v>
          </cell>
        </row>
        <row r="296">
          <cell r="A296">
            <v>9419292</v>
          </cell>
          <cell r="B296">
            <v>116</v>
          </cell>
          <cell r="C296">
            <v>116</v>
          </cell>
        </row>
        <row r="297">
          <cell r="A297">
            <v>2014122</v>
          </cell>
          <cell r="B297">
            <v>256</v>
          </cell>
          <cell r="C297">
            <v>129</v>
          </cell>
        </row>
        <row r="298">
          <cell r="A298">
            <v>2014125</v>
          </cell>
          <cell r="B298">
            <v>256</v>
          </cell>
          <cell r="C298">
            <v>129</v>
          </cell>
        </row>
        <row r="299">
          <cell r="A299">
            <v>2014099</v>
          </cell>
          <cell r="B299">
            <v>256</v>
          </cell>
          <cell r="C299">
            <v>129</v>
          </cell>
        </row>
        <row r="300">
          <cell r="A300">
            <v>2014102</v>
          </cell>
          <cell r="B300">
            <v>256</v>
          </cell>
          <cell r="C300">
            <v>129</v>
          </cell>
        </row>
        <row r="301">
          <cell r="A301">
            <v>9557492</v>
          </cell>
          <cell r="B301">
            <v>25</v>
          </cell>
          <cell r="C301">
            <v>25</v>
          </cell>
        </row>
        <row r="302">
          <cell r="A302">
            <v>2015576</v>
          </cell>
          <cell r="B302">
            <v>90</v>
          </cell>
        </row>
        <row r="303">
          <cell r="A303">
            <v>2010593</v>
          </cell>
          <cell r="B303">
            <v>256</v>
          </cell>
          <cell r="C303">
            <v>129</v>
          </cell>
        </row>
        <row r="304">
          <cell r="A304">
            <v>2015539</v>
          </cell>
          <cell r="B304">
            <v>256</v>
          </cell>
          <cell r="C304">
            <v>129</v>
          </cell>
        </row>
        <row r="305">
          <cell r="A305">
            <v>2015545</v>
          </cell>
          <cell r="B305">
            <v>256</v>
          </cell>
          <cell r="C305">
            <v>129</v>
          </cell>
        </row>
        <row r="306">
          <cell r="A306">
            <v>2015605</v>
          </cell>
          <cell r="B306">
            <v>256</v>
          </cell>
          <cell r="C306">
            <v>129</v>
          </cell>
        </row>
        <row r="307">
          <cell r="A307">
            <v>2417486</v>
          </cell>
          <cell r="B307">
            <v>256</v>
          </cell>
          <cell r="C307">
            <v>129</v>
          </cell>
        </row>
        <row r="308">
          <cell r="A308">
            <v>3075841</v>
          </cell>
          <cell r="B308">
            <v>256</v>
          </cell>
          <cell r="C308">
            <v>129</v>
          </cell>
        </row>
        <row r="309">
          <cell r="A309">
            <v>2015619</v>
          </cell>
          <cell r="B309">
            <v>256</v>
          </cell>
          <cell r="C309">
            <v>129</v>
          </cell>
        </row>
        <row r="310">
          <cell r="A310">
            <v>2015659</v>
          </cell>
          <cell r="B310">
            <v>256</v>
          </cell>
          <cell r="C310">
            <v>129</v>
          </cell>
        </row>
        <row r="311">
          <cell r="A311">
            <v>2105565</v>
          </cell>
          <cell r="B311">
            <v>256</v>
          </cell>
          <cell r="C311">
            <v>129</v>
          </cell>
        </row>
        <row r="312">
          <cell r="A312">
            <v>2474162</v>
          </cell>
          <cell r="B312">
            <v>256</v>
          </cell>
          <cell r="C312">
            <v>129</v>
          </cell>
        </row>
        <row r="313">
          <cell r="A313">
            <v>2664170</v>
          </cell>
          <cell r="B313">
            <v>256</v>
          </cell>
          <cell r="C313">
            <v>129</v>
          </cell>
        </row>
        <row r="314">
          <cell r="A314">
            <v>9460944</v>
          </cell>
          <cell r="B314">
            <v>88</v>
          </cell>
          <cell r="C314">
            <v>88</v>
          </cell>
        </row>
        <row r="315">
          <cell r="A315">
            <v>9305632</v>
          </cell>
          <cell r="B315">
            <v>186</v>
          </cell>
          <cell r="C315">
            <v>129</v>
          </cell>
        </row>
        <row r="316">
          <cell r="A316">
            <v>2014112</v>
          </cell>
          <cell r="B316">
            <v>256</v>
          </cell>
          <cell r="C316">
            <v>129</v>
          </cell>
        </row>
        <row r="317">
          <cell r="A317">
            <v>2304817</v>
          </cell>
          <cell r="B317">
            <v>256</v>
          </cell>
          <cell r="C317">
            <v>129</v>
          </cell>
        </row>
        <row r="318">
          <cell r="A318">
            <v>2014143</v>
          </cell>
          <cell r="B318">
            <v>256</v>
          </cell>
          <cell r="C318">
            <v>129</v>
          </cell>
        </row>
        <row r="319">
          <cell r="A319">
            <v>2015546</v>
          </cell>
          <cell r="B319">
            <v>256</v>
          </cell>
          <cell r="C319">
            <v>129</v>
          </cell>
        </row>
        <row r="320">
          <cell r="A320">
            <v>2015548</v>
          </cell>
          <cell r="B320">
            <v>256</v>
          </cell>
          <cell r="C320">
            <v>129</v>
          </cell>
        </row>
        <row r="321">
          <cell r="A321">
            <v>6053259</v>
          </cell>
          <cell r="B321">
            <v>256</v>
          </cell>
          <cell r="C321">
            <v>129</v>
          </cell>
        </row>
        <row r="322">
          <cell r="A322">
            <v>2184211</v>
          </cell>
          <cell r="B322">
            <v>256</v>
          </cell>
          <cell r="C322">
            <v>129</v>
          </cell>
        </row>
        <row r="323">
          <cell r="A323">
            <v>2014093</v>
          </cell>
          <cell r="B323">
            <v>256</v>
          </cell>
          <cell r="C323">
            <v>129</v>
          </cell>
        </row>
        <row r="324">
          <cell r="A324">
            <v>2014114</v>
          </cell>
          <cell r="B324">
            <v>256</v>
          </cell>
          <cell r="C324">
            <v>129</v>
          </cell>
        </row>
        <row r="325">
          <cell r="A325">
            <v>2102993</v>
          </cell>
          <cell r="B325">
            <v>256</v>
          </cell>
          <cell r="C325">
            <v>129</v>
          </cell>
        </row>
        <row r="326">
          <cell r="A326">
            <v>5997180</v>
          </cell>
          <cell r="B326">
            <v>256</v>
          </cell>
          <cell r="C326">
            <v>129</v>
          </cell>
        </row>
        <row r="327">
          <cell r="A327">
            <v>2796142</v>
          </cell>
          <cell r="B327">
            <v>256</v>
          </cell>
          <cell r="C327">
            <v>129</v>
          </cell>
        </row>
        <row r="328">
          <cell r="A328">
            <v>2014092</v>
          </cell>
          <cell r="B328">
            <v>256</v>
          </cell>
          <cell r="C328">
            <v>129</v>
          </cell>
        </row>
        <row r="329">
          <cell r="A329">
            <v>2015530</v>
          </cell>
          <cell r="B329">
            <v>256</v>
          </cell>
          <cell r="C329">
            <v>129</v>
          </cell>
        </row>
        <row r="330">
          <cell r="A330">
            <v>2015564</v>
          </cell>
          <cell r="B330">
            <v>256</v>
          </cell>
          <cell r="C330">
            <v>129</v>
          </cell>
        </row>
        <row r="331">
          <cell r="A331">
            <v>2015529</v>
          </cell>
          <cell r="B331">
            <v>256</v>
          </cell>
          <cell r="C331">
            <v>129</v>
          </cell>
        </row>
        <row r="332">
          <cell r="A332">
            <v>2015533</v>
          </cell>
          <cell r="B332">
            <v>256</v>
          </cell>
          <cell r="C332">
            <v>129</v>
          </cell>
        </row>
        <row r="333">
          <cell r="A333">
            <v>2015628</v>
          </cell>
          <cell r="B333">
            <v>256</v>
          </cell>
          <cell r="C333">
            <v>129</v>
          </cell>
        </row>
        <row r="334">
          <cell r="A334">
            <v>2014132</v>
          </cell>
          <cell r="B334">
            <v>256</v>
          </cell>
          <cell r="C334">
            <v>129</v>
          </cell>
        </row>
        <row r="335">
          <cell r="A335">
            <v>2015511</v>
          </cell>
          <cell r="B335">
            <v>256</v>
          </cell>
          <cell r="C335">
            <v>129</v>
          </cell>
        </row>
        <row r="336">
          <cell r="A336">
            <v>2015515</v>
          </cell>
          <cell r="B336">
            <v>256</v>
          </cell>
          <cell r="C336">
            <v>129</v>
          </cell>
        </row>
        <row r="337">
          <cell r="A337">
            <v>2015531</v>
          </cell>
          <cell r="B337">
            <v>256</v>
          </cell>
          <cell r="C337">
            <v>129</v>
          </cell>
        </row>
        <row r="338">
          <cell r="A338">
            <v>2014118</v>
          </cell>
          <cell r="B338">
            <v>256</v>
          </cell>
          <cell r="C338">
            <v>129</v>
          </cell>
        </row>
        <row r="339">
          <cell r="A339">
            <v>2014178</v>
          </cell>
          <cell r="B339">
            <v>256</v>
          </cell>
          <cell r="C339">
            <v>129</v>
          </cell>
        </row>
        <row r="340">
          <cell r="A340">
            <v>2015618</v>
          </cell>
          <cell r="B340">
            <v>256</v>
          </cell>
          <cell r="C340">
            <v>129</v>
          </cell>
        </row>
        <row r="341">
          <cell r="A341">
            <v>9334661</v>
          </cell>
          <cell r="B341">
            <v>169</v>
          </cell>
          <cell r="C341">
            <v>129</v>
          </cell>
        </row>
        <row r="342">
          <cell r="A342">
            <v>2015621</v>
          </cell>
          <cell r="B342">
            <v>256</v>
          </cell>
          <cell r="C342">
            <v>129</v>
          </cell>
        </row>
        <row r="343">
          <cell r="A343">
            <v>2015658</v>
          </cell>
          <cell r="B343">
            <v>256</v>
          </cell>
          <cell r="C343">
            <v>129</v>
          </cell>
        </row>
        <row r="344">
          <cell r="A344">
            <v>2033384</v>
          </cell>
          <cell r="B344">
            <v>256</v>
          </cell>
          <cell r="C344">
            <v>129</v>
          </cell>
        </row>
        <row r="345">
          <cell r="A345">
            <v>2266597</v>
          </cell>
          <cell r="B345">
            <v>256</v>
          </cell>
          <cell r="C345">
            <v>129</v>
          </cell>
        </row>
        <row r="346">
          <cell r="A346">
            <v>2261100</v>
          </cell>
          <cell r="B346">
            <v>256</v>
          </cell>
          <cell r="C346">
            <v>129</v>
          </cell>
        </row>
        <row r="347">
          <cell r="A347">
            <v>2318527</v>
          </cell>
          <cell r="B347">
            <v>256</v>
          </cell>
          <cell r="C347">
            <v>129</v>
          </cell>
        </row>
        <row r="348">
          <cell r="A348">
            <v>2772804</v>
          </cell>
          <cell r="B348">
            <v>256</v>
          </cell>
          <cell r="C348">
            <v>129</v>
          </cell>
        </row>
        <row r="349">
          <cell r="A349">
            <v>9334645</v>
          </cell>
          <cell r="B349">
            <v>169</v>
          </cell>
          <cell r="C349">
            <v>129</v>
          </cell>
        </row>
        <row r="350">
          <cell r="A350">
            <v>2010600</v>
          </cell>
          <cell r="B350">
            <v>256</v>
          </cell>
          <cell r="C350">
            <v>129</v>
          </cell>
        </row>
        <row r="351">
          <cell r="A351">
            <v>2010588</v>
          </cell>
          <cell r="B351">
            <v>256</v>
          </cell>
          <cell r="C351">
            <v>129</v>
          </cell>
        </row>
        <row r="352">
          <cell r="A352">
            <v>2014119</v>
          </cell>
          <cell r="B352">
            <v>256</v>
          </cell>
          <cell r="C352">
            <v>129</v>
          </cell>
        </row>
        <row r="353">
          <cell r="A353">
            <v>2014174</v>
          </cell>
          <cell r="B353">
            <v>256</v>
          </cell>
          <cell r="C353">
            <v>129</v>
          </cell>
        </row>
        <row r="354">
          <cell r="A354">
            <v>2015670</v>
          </cell>
          <cell r="B354">
            <v>256</v>
          </cell>
          <cell r="C354">
            <v>129</v>
          </cell>
        </row>
        <row r="355">
          <cell r="A355">
            <v>2015676</v>
          </cell>
          <cell r="B355">
            <v>256</v>
          </cell>
          <cell r="C355">
            <v>129</v>
          </cell>
        </row>
        <row r="356">
          <cell r="A356">
            <v>2014139</v>
          </cell>
          <cell r="B356">
            <v>256</v>
          </cell>
          <cell r="C356">
            <v>129</v>
          </cell>
        </row>
        <row r="357">
          <cell r="A357">
            <v>2014175</v>
          </cell>
          <cell r="B357">
            <v>256</v>
          </cell>
          <cell r="C357">
            <v>129</v>
          </cell>
        </row>
        <row r="358">
          <cell r="A358">
            <v>2015478</v>
          </cell>
          <cell r="B358">
            <v>256</v>
          </cell>
          <cell r="C358">
            <v>129</v>
          </cell>
        </row>
        <row r="359">
          <cell r="A359">
            <v>2015507</v>
          </cell>
          <cell r="B359">
            <v>256</v>
          </cell>
          <cell r="C359">
            <v>129</v>
          </cell>
        </row>
        <row r="360">
          <cell r="A360">
            <v>2015664</v>
          </cell>
          <cell r="B360">
            <v>256</v>
          </cell>
          <cell r="C360">
            <v>129</v>
          </cell>
        </row>
        <row r="361">
          <cell r="A361">
            <v>2015679</v>
          </cell>
          <cell r="B361">
            <v>256</v>
          </cell>
          <cell r="C361">
            <v>129</v>
          </cell>
        </row>
        <row r="362">
          <cell r="A362">
            <v>2014006</v>
          </cell>
          <cell r="B362">
            <v>256</v>
          </cell>
          <cell r="C362">
            <v>129</v>
          </cell>
        </row>
        <row r="363">
          <cell r="A363">
            <v>2014095</v>
          </cell>
          <cell r="B363">
            <v>256</v>
          </cell>
          <cell r="C363">
            <v>129</v>
          </cell>
        </row>
        <row r="364">
          <cell r="A364">
            <v>2394972</v>
          </cell>
          <cell r="B364">
            <v>256</v>
          </cell>
          <cell r="C364">
            <v>129</v>
          </cell>
        </row>
        <row r="365">
          <cell r="A365">
            <v>2043486</v>
          </cell>
          <cell r="B365">
            <v>256</v>
          </cell>
          <cell r="C365">
            <v>129</v>
          </cell>
        </row>
        <row r="366">
          <cell r="A366">
            <v>2110265</v>
          </cell>
          <cell r="B366">
            <v>256</v>
          </cell>
          <cell r="C366">
            <v>129</v>
          </cell>
        </row>
      </sheetData>
      <sheetData sheetId="4">
        <row r="1">
          <cell r="A1" t="str">
            <v>Oslo Shares - Days with trades</v>
          </cell>
          <cell r="C1" t="str">
            <v/>
          </cell>
        </row>
        <row r="2">
          <cell r="A2" t="str">
            <v>CVALBDM</v>
          </cell>
          <cell r="B2" t="str">
            <v>12 months
22-Feb-2024 / 21-Feb-2025</v>
          </cell>
          <cell r="C2" t="str">
            <v>6 months
22-Aug-2024 / 21-Feb-2025</v>
          </cell>
        </row>
        <row r="3">
          <cell r="A3">
            <v>2015666</v>
          </cell>
          <cell r="B3">
            <v>250</v>
          </cell>
          <cell r="C3">
            <v>127</v>
          </cell>
        </row>
        <row r="4">
          <cell r="A4">
            <v>2015599</v>
          </cell>
          <cell r="B4">
            <v>250</v>
          </cell>
          <cell r="C4">
            <v>127</v>
          </cell>
        </row>
        <row r="5">
          <cell r="A5">
            <v>2015597</v>
          </cell>
          <cell r="B5">
            <v>250</v>
          </cell>
          <cell r="C5">
            <v>127</v>
          </cell>
        </row>
        <row r="6">
          <cell r="A6">
            <v>2014185</v>
          </cell>
          <cell r="B6">
            <v>151</v>
          </cell>
          <cell r="C6">
            <v>28</v>
          </cell>
        </row>
        <row r="7">
          <cell r="A7">
            <v>2014117</v>
          </cell>
          <cell r="B7">
            <v>248</v>
          </cell>
          <cell r="C7">
            <v>127</v>
          </cell>
        </row>
        <row r="8">
          <cell r="A8">
            <v>2532391</v>
          </cell>
          <cell r="B8">
            <v>104</v>
          </cell>
        </row>
        <row r="9">
          <cell r="A9">
            <v>2014129</v>
          </cell>
          <cell r="B9">
            <v>218</v>
          </cell>
          <cell r="C9">
            <v>107</v>
          </cell>
        </row>
        <row r="10">
          <cell r="A10">
            <v>2180881</v>
          </cell>
          <cell r="B10">
            <v>155</v>
          </cell>
          <cell r="C10">
            <v>32</v>
          </cell>
        </row>
        <row r="11">
          <cell r="A11">
            <v>2749986</v>
          </cell>
          <cell r="B11">
            <v>224</v>
          </cell>
          <cell r="C11">
            <v>112</v>
          </cell>
        </row>
        <row r="12">
          <cell r="A12">
            <v>2015538</v>
          </cell>
          <cell r="B12">
            <v>250</v>
          </cell>
          <cell r="C12">
            <v>127</v>
          </cell>
        </row>
        <row r="13">
          <cell r="A13">
            <v>6008296</v>
          </cell>
          <cell r="B13">
            <v>94</v>
          </cell>
          <cell r="C13">
            <v>38</v>
          </cell>
        </row>
        <row r="14">
          <cell r="A14">
            <v>2015568</v>
          </cell>
          <cell r="B14">
            <v>250</v>
          </cell>
          <cell r="C14">
            <v>127</v>
          </cell>
        </row>
        <row r="15">
          <cell r="A15">
            <v>2010595</v>
          </cell>
          <cell r="B15">
            <v>217</v>
          </cell>
          <cell r="C15">
            <v>109</v>
          </cell>
        </row>
        <row r="16">
          <cell r="A16">
            <v>2215442</v>
          </cell>
          <cell r="B16">
            <v>250</v>
          </cell>
          <cell r="C16">
            <v>127</v>
          </cell>
        </row>
        <row r="17">
          <cell r="A17">
            <v>9518990</v>
          </cell>
          <cell r="B17">
            <v>24</v>
          </cell>
          <cell r="C17">
            <v>24</v>
          </cell>
        </row>
        <row r="18">
          <cell r="A18">
            <v>9524495</v>
          </cell>
          <cell r="B18">
            <v>42</v>
          </cell>
          <cell r="C18">
            <v>42</v>
          </cell>
        </row>
        <row r="19">
          <cell r="A19">
            <v>2015577</v>
          </cell>
          <cell r="B19">
            <v>250</v>
          </cell>
          <cell r="C19">
            <v>127</v>
          </cell>
        </row>
        <row r="20">
          <cell r="A20">
            <v>2073756</v>
          </cell>
          <cell r="B20">
            <v>250</v>
          </cell>
          <cell r="C20">
            <v>127</v>
          </cell>
        </row>
        <row r="21">
          <cell r="A21">
            <v>2015613</v>
          </cell>
          <cell r="B21">
            <v>250</v>
          </cell>
          <cell r="C21">
            <v>127</v>
          </cell>
        </row>
        <row r="22">
          <cell r="A22">
            <v>2015590</v>
          </cell>
          <cell r="B22">
            <v>250</v>
          </cell>
          <cell r="C22">
            <v>127</v>
          </cell>
        </row>
        <row r="23">
          <cell r="A23">
            <v>2015660</v>
          </cell>
          <cell r="B23">
            <v>250</v>
          </cell>
          <cell r="C23">
            <v>127</v>
          </cell>
        </row>
        <row r="24">
          <cell r="A24">
            <v>2015650</v>
          </cell>
          <cell r="B24">
            <v>250</v>
          </cell>
          <cell r="C24">
            <v>127</v>
          </cell>
        </row>
        <row r="25">
          <cell r="A25">
            <v>9199282</v>
          </cell>
          <cell r="B25">
            <v>177</v>
          </cell>
          <cell r="C25">
            <v>67</v>
          </cell>
        </row>
        <row r="26">
          <cell r="A26">
            <v>2394972</v>
          </cell>
          <cell r="B26">
            <v>207</v>
          </cell>
          <cell r="C26">
            <v>103</v>
          </cell>
        </row>
        <row r="27">
          <cell r="A27">
            <v>2014119</v>
          </cell>
          <cell r="B27">
            <v>249</v>
          </cell>
          <cell r="C27">
            <v>127</v>
          </cell>
        </row>
        <row r="28">
          <cell r="A28">
            <v>2014006</v>
          </cell>
          <cell r="B28">
            <v>245</v>
          </cell>
          <cell r="C28">
            <v>125</v>
          </cell>
        </row>
        <row r="29">
          <cell r="A29">
            <v>2015676</v>
          </cell>
          <cell r="B29">
            <v>248</v>
          </cell>
          <cell r="C29">
            <v>126</v>
          </cell>
        </row>
        <row r="30">
          <cell r="A30">
            <v>2015670</v>
          </cell>
          <cell r="B30">
            <v>250</v>
          </cell>
          <cell r="C30">
            <v>127</v>
          </cell>
        </row>
        <row r="31">
          <cell r="A31">
            <v>2014174</v>
          </cell>
          <cell r="B31">
            <v>108</v>
          </cell>
          <cell r="C31">
            <v>54</v>
          </cell>
        </row>
        <row r="32">
          <cell r="A32">
            <v>2010588</v>
          </cell>
          <cell r="B32">
            <v>248</v>
          </cell>
          <cell r="C32">
            <v>125</v>
          </cell>
        </row>
        <row r="33">
          <cell r="A33">
            <v>2014095</v>
          </cell>
          <cell r="B33">
            <v>161</v>
          </cell>
          <cell r="C33">
            <v>84</v>
          </cell>
        </row>
        <row r="34">
          <cell r="A34">
            <v>2010600</v>
          </cell>
          <cell r="B34">
            <v>248</v>
          </cell>
          <cell r="C34">
            <v>127</v>
          </cell>
        </row>
        <row r="35">
          <cell r="A35">
            <v>2110265</v>
          </cell>
          <cell r="B35">
            <v>227</v>
          </cell>
          <cell r="C35">
            <v>112</v>
          </cell>
        </row>
        <row r="36">
          <cell r="A36">
            <v>2015507</v>
          </cell>
          <cell r="B36">
            <v>250</v>
          </cell>
          <cell r="C36">
            <v>127</v>
          </cell>
        </row>
        <row r="37">
          <cell r="A37">
            <v>2043486</v>
          </cell>
          <cell r="B37">
            <v>234</v>
          </cell>
          <cell r="C37">
            <v>117</v>
          </cell>
        </row>
        <row r="38">
          <cell r="A38">
            <v>2015478</v>
          </cell>
          <cell r="B38">
            <v>250</v>
          </cell>
          <cell r="C38">
            <v>127</v>
          </cell>
        </row>
        <row r="39">
          <cell r="A39">
            <v>2015664</v>
          </cell>
          <cell r="B39">
            <v>250</v>
          </cell>
          <cell r="C39">
            <v>127</v>
          </cell>
        </row>
        <row r="40">
          <cell r="A40">
            <v>2014139</v>
          </cell>
          <cell r="B40">
            <v>236</v>
          </cell>
          <cell r="C40">
            <v>124</v>
          </cell>
        </row>
        <row r="41">
          <cell r="A41">
            <v>2015679</v>
          </cell>
          <cell r="B41">
            <v>250</v>
          </cell>
          <cell r="C41">
            <v>127</v>
          </cell>
        </row>
        <row r="42">
          <cell r="A42">
            <v>2014175</v>
          </cell>
          <cell r="B42">
            <v>227</v>
          </cell>
          <cell r="C42">
            <v>117</v>
          </cell>
        </row>
        <row r="43">
          <cell r="A43">
            <v>2015541</v>
          </cell>
          <cell r="B43">
            <v>250</v>
          </cell>
          <cell r="C43">
            <v>127</v>
          </cell>
        </row>
        <row r="44">
          <cell r="A44">
            <v>2015665</v>
          </cell>
          <cell r="B44">
            <v>250</v>
          </cell>
          <cell r="C44">
            <v>127</v>
          </cell>
        </row>
        <row r="45">
          <cell r="A45">
            <v>9292146</v>
          </cell>
          <cell r="B45">
            <v>176</v>
          </cell>
          <cell r="C45">
            <v>113</v>
          </cell>
        </row>
        <row r="46">
          <cell r="A46">
            <v>2014109</v>
          </cell>
          <cell r="B46">
            <v>243</v>
          </cell>
          <cell r="C46">
            <v>121</v>
          </cell>
        </row>
        <row r="47">
          <cell r="A47">
            <v>2015570</v>
          </cell>
          <cell r="B47">
            <v>250</v>
          </cell>
          <cell r="C47">
            <v>127</v>
          </cell>
        </row>
        <row r="48">
          <cell r="A48">
            <v>2014115</v>
          </cell>
          <cell r="B48">
            <v>248</v>
          </cell>
          <cell r="C48">
            <v>127</v>
          </cell>
        </row>
        <row r="49">
          <cell r="A49">
            <v>2015683</v>
          </cell>
          <cell r="B49">
            <v>117</v>
          </cell>
        </row>
        <row r="50">
          <cell r="A50">
            <v>2015567</v>
          </cell>
          <cell r="B50">
            <v>250</v>
          </cell>
          <cell r="C50">
            <v>127</v>
          </cell>
        </row>
        <row r="51">
          <cell r="A51">
            <v>2015602</v>
          </cell>
          <cell r="B51">
            <v>250</v>
          </cell>
          <cell r="C51">
            <v>127</v>
          </cell>
        </row>
        <row r="52">
          <cell r="A52">
            <v>2566536</v>
          </cell>
          <cell r="B52">
            <v>250</v>
          </cell>
          <cell r="C52">
            <v>127</v>
          </cell>
        </row>
        <row r="53">
          <cell r="A53">
            <v>2145327</v>
          </cell>
          <cell r="B53">
            <v>249</v>
          </cell>
          <cell r="C53">
            <v>126</v>
          </cell>
        </row>
        <row r="54">
          <cell r="A54">
            <v>2014188</v>
          </cell>
          <cell r="B54">
            <v>132</v>
          </cell>
          <cell r="C54">
            <v>38</v>
          </cell>
        </row>
        <row r="55">
          <cell r="A55">
            <v>2998824</v>
          </cell>
          <cell r="B55">
            <v>212</v>
          </cell>
          <cell r="C55">
            <v>114</v>
          </cell>
        </row>
        <row r="56">
          <cell r="A56">
            <v>2078419</v>
          </cell>
          <cell r="B56">
            <v>230</v>
          </cell>
          <cell r="C56">
            <v>116</v>
          </cell>
        </row>
        <row r="57">
          <cell r="A57">
            <v>2014096</v>
          </cell>
          <cell r="B57">
            <v>250</v>
          </cell>
          <cell r="C57">
            <v>127</v>
          </cell>
        </row>
        <row r="58">
          <cell r="A58">
            <v>2166227</v>
          </cell>
          <cell r="B58">
            <v>244</v>
          </cell>
          <cell r="C58">
            <v>125</v>
          </cell>
        </row>
        <row r="59">
          <cell r="A59">
            <v>2014187</v>
          </cell>
          <cell r="B59">
            <v>222</v>
          </cell>
          <cell r="C59">
            <v>117</v>
          </cell>
        </row>
        <row r="60">
          <cell r="A60">
            <v>9518991</v>
          </cell>
          <cell r="B60">
            <v>16</v>
          </cell>
          <cell r="C60">
            <v>16</v>
          </cell>
        </row>
        <row r="61">
          <cell r="A61">
            <v>2015521</v>
          </cell>
          <cell r="B61">
            <v>250</v>
          </cell>
          <cell r="C61">
            <v>127</v>
          </cell>
        </row>
        <row r="62">
          <cell r="A62">
            <v>2153253</v>
          </cell>
          <cell r="B62">
            <v>250</v>
          </cell>
          <cell r="C62">
            <v>127</v>
          </cell>
        </row>
        <row r="63">
          <cell r="A63">
            <v>2015624</v>
          </cell>
          <cell r="B63">
            <v>250</v>
          </cell>
          <cell r="C63">
            <v>127</v>
          </cell>
        </row>
        <row r="64">
          <cell r="A64">
            <v>2362799</v>
          </cell>
          <cell r="B64">
            <v>108</v>
          </cell>
        </row>
        <row r="65">
          <cell r="A65">
            <v>2014176</v>
          </cell>
          <cell r="B65">
            <v>250</v>
          </cell>
          <cell r="C65">
            <v>127</v>
          </cell>
        </row>
        <row r="66">
          <cell r="A66">
            <v>2014101</v>
          </cell>
          <cell r="B66">
            <v>213</v>
          </cell>
          <cell r="C66">
            <v>99</v>
          </cell>
        </row>
        <row r="67">
          <cell r="A67">
            <v>2014097</v>
          </cell>
          <cell r="B67">
            <v>206</v>
          </cell>
          <cell r="C67">
            <v>109</v>
          </cell>
        </row>
        <row r="68">
          <cell r="A68">
            <v>2015606</v>
          </cell>
          <cell r="B68">
            <v>250</v>
          </cell>
          <cell r="C68">
            <v>127</v>
          </cell>
        </row>
        <row r="69">
          <cell r="A69">
            <v>2015593</v>
          </cell>
          <cell r="B69">
            <v>250</v>
          </cell>
          <cell r="C69">
            <v>127</v>
          </cell>
        </row>
        <row r="70">
          <cell r="A70">
            <v>2015574</v>
          </cell>
          <cell r="B70">
            <v>250</v>
          </cell>
          <cell r="C70">
            <v>127</v>
          </cell>
        </row>
        <row r="71">
          <cell r="A71">
            <v>9522879</v>
          </cell>
          <cell r="B71">
            <v>39</v>
          </cell>
          <cell r="C71">
            <v>39</v>
          </cell>
        </row>
        <row r="72">
          <cell r="A72">
            <v>2015540</v>
          </cell>
          <cell r="B72">
            <v>250</v>
          </cell>
          <cell r="C72">
            <v>127</v>
          </cell>
        </row>
        <row r="73">
          <cell r="A73">
            <v>2015569</v>
          </cell>
          <cell r="B73">
            <v>250</v>
          </cell>
          <cell r="C73">
            <v>127</v>
          </cell>
        </row>
        <row r="74">
          <cell r="A74">
            <v>2015604</v>
          </cell>
          <cell r="B74">
            <v>250</v>
          </cell>
          <cell r="C74">
            <v>127</v>
          </cell>
        </row>
        <row r="75">
          <cell r="A75">
            <v>2266508</v>
          </cell>
          <cell r="B75">
            <v>184</v>
          </cell>
          <cell r="C75">
            <v>61</v>
          </cell>
        </row>
        <row r="76">
          <cell r="A76">
            <v>2015535</v>
          </cell>
          <cell r="B76">
            <v>250</v>
          </cell>
          <cell r="C76">
            <v>127</v>
          </cell>
        </row>
        <row r="77">
          <cell r="A77">
            <v>2166226</v>
          </cell>
          <cell r="B77">
            <v>250</v>
          </cell>
          <cell r="C77">
            <v>127</v>
          </cell>
        </row>
        <row r="78">
          <cell r="A78">
            <v>2015677</v>
          </cell>
          <cell r="B78">
            <v>250</v>
          </cell>
          <cell r="C78">
            <v>127</v>
          </cell>
        </row>
        <row r="79">
          <cell r="A79">
            <v>2014183</v>
          </cell>
          <cell r="B79">
            <v>250</v>
          </cell>
          <cell r="C79">
            <v>127</v>
          </cell>
        </row>
        <row r="80">
          <cell r="A80">
            <v>2167902</v>
          </cell>
          <cell r="B80">
            <v>104</v>
          </cell>
          <cell r="C80">
            <v>64</v>
          </cell>
        </row>
        <row r="81">
          <cell r="A81">
            <v>2248695</v>
          </cell>
          <cell r="B81">
            <v>250</v>
          </cell>
          <cell r="C81">
            <v>127</v>
          </cell>
        </row>
        <row r="82">
          <cell r="A82">
            <v>2348848</v>
          </cell>
          <cell r="B82">
            <v>127</v>
          </cell>
          <cell r="C82">
            <v>63</v>
          </cell>
        </row>
        <row r="83">
          <cell r="A83">
            <v>9019935</v>
          </cell>
          <cell r="B83">
            <v>100</v>
          </cell>
          <cell r="C83">
            <v>50</v>
          </cell>
        </row>
        <row r="84">
          <cell r="A84">
            <v>2910735</v>
          </cell>
          <cell r="B84">
            <v>117</v>
          </cell>
          <cell r="C84">
            <v>26</v>
          </cell>
        </row>
        <row r="85">
          <cell r="A85">
            <v>2015561</v>
          </cell>
          <cell r="B85">
            <v>250</v>
          </cell>
          <cell r="C85">
            <v>127</v>
          </cell>
        </row>
        <row r="86">
          <cell r="A86">
            <v>9518926</v>
          </cell>
          <cell r="B86">
            <v>44</v>
          </cell>
          <cell r="C86">
            <v>44</v>
          </cell>
        </row>
        <row r="87">
          <cell r="A87">
            <v>2015667</v>
          </cell>
          <cell r="B87">
            <v>64</v>
          </cell>
        </row>
        <row r="88">
          <cell r="A88">
            <v>2014180</v>
          </cell>
          <cell r="B88">
            <v>217</v>
          </cell>
          <cell r="C88">
            <v>110</v>
          </cell>
        </row>
        <row r="89">
          <cell r="A89">
            <v>2023235</v>
          </cell>
          <cell r="B89">
            <v>250</v>
          </cell>
          <cell r="C89">
            <v>127</v>
          </cell>
        </row>
        <row r="90">
          <cell r="A90">
            <v>2015553</v>
          </cell>
          <cell r="B90">
            <v>250</v>
          </cell>
          <cell r="C90">
            <v>127</v>
          </cell>
        </row>
        <row r="91">
          <cell r="A91">
            <v>2015668</v>
          </cell>
          <cell r="B91">
            <v>250</v>
          </cell>
          <cell r="C91">
            <v>127</v>
          </cell>
        </row>
        <row r="92">
          <cell r="A92">
            <v>2177916</v>
          </cell>
          <cell r="B92">
            <v>250</v>
          </cell>
          <cell r="C92">
            <v>127</v>
          </cell>
        </row>
        <row r="93">
          <cell r="A93">
            <v>2015654</v>
          </cell>
          <cell r="B93">
            <v>250</v>
          </cell>
          <cell r="C93">
            <v>127</v>
          </cell>
        </row>
        <row r="94">
          <cell r="A94">
            <v>2043489</v>
          </cell>
          <cell r="B94">
            <v>249</v>
          </cell>
          <cell r="C94">
            <v>126</v>
          </cell>
        </row>
        <row r="95">
          <cell r="A95">
            <v>2010592</v>
          </cell>
          <cell r="B95">
            <v>168</v>
          </cell>
          <cell r="C95">
            <v>85</v>
          </cell>
        </row>
        <row r="96">
          <cell r="A96">
            <v>2475427</v>
          </cell>
          <cell r="B96">
            <v>222</v>
          </cell>
          <cell r="C96">
            <v>113</v>
          </cell>
        </row>
        <row r="97">
          <cell r="A97">
            <v>2014104</v>
          </cell>
          <cell r="B97">
            <v>250</v>
          </cell>
          <cell r="C97">
            <v>127</v>
          </cell>
        </row>
        <row r="98">
          <cell r="A98">
            <v>2023243</v>
          </cell>
          <cell r="B98">
            <v>207</v>
          </cell>
          <cell r="C98">
            <v>90</v>
          </cell>
        </row>
        <row r="99">
          <cell r="A99">
            <v>2015663</v>
          </cell>
          <cell r="B99">
            <v>250</v>
          </cell>
          <cell r="C99">
            <v>127</v>
          </cell>
        </row>
        <row r="100">
          <cell r="A100">
            <v>2033386</v>
          </cell>
          <cell r="B100">
            <v>250</v>
          </cell>
          <cell r="C100">
            <v>127</v>
          </cell>
        </row>
        <row r="101">
          <cell r="A101">
            <v>2015526</v>
          </cell>
          <cell r="B101">
            <v>45</v>
          </cell>
        </row>
        <row r="102">
          <cell r="A102">
            <v>2169558</v>
          </cell>
          <cell r="B102">
            <v>249</v>
          </cell>
          <cell r="C102">
            <v>126</v>
          </cell>
        </row>
        <row r="103">
          <cell r="A103">
            <v>2454024</v>
          </cell>
          <cell r="B103">
            <v>250</v>
          </cell>
          <cell r="C103">
            <v>127</v>
          </cell>
        </row>
        <row r="104">
          <cell r="A104">
            <v>9265190</v>
          </cell>
          <cell r="B104">
            <v>206</v>
          </cell>
          <cell r="C104">
            <v>127</v>
          </cell>
        </row>
        <row r="105">
          <cell r="A105">
            <v>9500511</v>
          </cell>
          <cell r="B105">
            <v>7</v>
          </cell>
          <cell r="C105">
            <v>7</v>
          </cell>
        </row>
        <row r="106">
          <cell r="A106">
            <v>2014131</v>
          </cell>
          <cell r="B106">
            <v>250</v>
          </cell>
          <cell r="C106">
            <v>127</v>
          </cell>
        </row>
        <row r="107">
          <cell r="A107">
            <v>2014190</v>
          </cell>
          <cell r="B107">
            <v>250</v>
          </cell>
          <cell r="C107">
            <v>127</v>
          </cell>
        </row>
        <row r="108">
          <cell r="A108">
            <v>2010594</v>
          </cell>
          <cell r="B108">
            <v>250</v>
          </cell>
          <cell r="C108">
            <v>127</v>
          </cell>
        </row>
        <row r="109">
          <cell r="A109">
            <v>2015536</v>
          </cell>
          <cell r="B109">
            <v>250</v>
          </cell>
          <cell r="C109">
            <v>127</v>
          </cell>
        </row>
        <row r="110">
          <cell r="A110">
            <v>2015610</v>
          </cell>
          <cell r="B110">
            <v>250</v>
          </cell>
          <cell r="C110">
            <v>127</v>
          </cell>
        </row>
        <row r="111">
          <cell r="A111">
            <v>2030555</v>
          </cell>
          <cell r="B111">
            <v>250</v>
          </cell>
          <cell r="C111">
            <v>127</v>
          </cell>
        </row>
        <row r="112">
          <cell r="A112">
            <v>2580754</v>
          </cell>
          <cell r="B112">
            <v>250</v>
          </cell>
          <cell r="C112">
            <v>127</v>
          </cell>
        </row>
        <row r="113">
          <cell r="A113">
            <v>2015611</v>
          </cell>
          <cell r="B113">
            <v>250</v>
          </cell>
          <cell r="C113">
            <v>127</v>
          </cell>
        </row>
        <row r="114">
          <cell r="A114">
            <v>2015627</v>
          </cell>
          <cell r="B114">
            <v>133</v>
          </cell>
          <cell r="C114">
            <v>12</v>
          </cell>
        </row>
        <row r="115">
          <cell r="A115">
            <v>2170823</v>
          </cell>
          <cell r="B115">
            <v>217</v>
          </cell>
          <cell r="C115">
            <v>116</v>
          </cell>
        </row>
        <row r="116">
          <cell r="A116">
            <v>2014087</v>
          </cell>
          <cell r="B116">
            <v>140</v>
          </cell>
          <cell r="C116">
            <v>66</v>
          </cell>
        </row>
        <row r="117">
          <cell r="A117">
            <v>2015603</v>
          </cell>
          <cell r="B117">
            <v>250</v>
          </cell>
          <cell r="C117">
            <v>127</v>
          </cell>
        </row>
        <row r="118">
          <cell r="A118">
            <v>2014177</v>
          </cell>
          <cell r="B118">
            <v>250</v>
          </cell>
          <cell r="C118">
            <v>127</v>
          </cell>
        </row>
        <row r="119">
          <cell r="A119">
            <v>2014132</v>
          </cell>
          <cell r="B119">
            <v>250</v>
          </cell>
          <cell r="C119">
            <v>127</v>
          </cell>
        </row>
        <row r="120">
          <cell r="A120">
            <v>2015515</v>
          </cell>
          <cell r="B120">
            <v>250</v>
          </cell>
          <cell r="C120">
            <v>127</v>
          </cell>
        </row>
        <row r="121">
          <cell r="A121">
            <v>2015530</v>
          </cell>
          <cell r="B121">
            <v>250</v>
          </cell>
          <cell r="C121">
            <v>127</v>
          </cell>
        </row>
        <row r="122">
          <cell r="A122">
            <v>2015621</v>
          </cell>
          <cell r="B122">
            <v>250</v>
          </cell>
          <cell r="C122">
            <v>127</v>
          </cell>
        </row>
        <row r="123">
          <cell r="A123">
            <v>2015531</v>
          </cell>
          <cell r="B123">
            <v>250</v>
          </cell>
          <cell r="C123">
            <v>127</v>
          </cell>
        </row>
        <row r="124">
          <cell r="A124">
            <v>2015658</v>
          </cell>
          <cell r="B124">
            <v>250</v>
          </cell>
          <cell r="C124">
            <v>127</v>
          </cell>
        </row>
        <row r="125">
          <cell r="A125">
            <v>2772804</v>
          </cell>
          <cell r="B125">
            <v>125</v>
          </cell>
          <cell r="C125">
            <v>47</v>
          </cell>
        </row>
        <row r="126">
          <cell r="A126">
            <v>2266597</v>
          </cell>
          <cell r="B126">
            <v>35</v>
          </cell>
          <cell r="C126">
            <v>19</v>
          </cell>
        </row>
        <row r="127">
          <cell r="A127">
            <v>2015564</v>
          </cell>
          <cell r="B127">
            <v>250</v>
          </cell>
          <cell r="C127">
            <v>127</v>
          </cell>
        </row>
        <row r="128">
          <cell r="A128">
            <v>2015511</v>
          </cell>
          <cell r="B128">
            <v>250</v>
          </cell>
          <cell r="C128">
            <v>127</v>
          </cell>
        </row>
        <row r="129">
          <cell r="A129">
            <v>9334661</v>
          </cell>
          <cell r="B129">
            <v>166</v>
          </cell>
          <cell r="C129">
            <v>127</v>
          </cell>
        </row>
        <row r="130">
          <cell r="A130">
            <v>2015529</v>
          </cell>
          <cell r="B130">
            <v>250</v>
          </cell>
          <cell r="C130">
            <v>127</v>
          </cell>
        </row>
        <row r="131">
          <cell r="A131">
            <v>2015533</v>
          </cell>
          <cell r="B131">
            <v>250</v>
          </cell>
          <cell r="C131">
            <v>127</v>
          </cell>
        </row>
        <row r="132">
          <cell r="A132">
            <v>2015628</v>
          </cell>
          <cell r="B132">
            <v>250</v>
          </cell>
          <cell r="C132">
            <v>127</v>
          </cell>
        </row>
        <row r="133">
          <cell r="A133">
            <v>2033384</v>
          </cell>
          <cell r="B133">
            <v>250</v>
          </cell>
          <cell r="C133">
            <v>127</v>
          </cell>
        </row>
        <row r="134">
          <cell r="A134">
            <v>2014118</v>
          </cell>
          <cell r="B134">
            <v>250</v>
          </cell>
          <cell r="C134">
            <v>127</v>
          </cell>
        </row>
        <row r="135">
          <cell r="A135">
            <v>2261100</v>
          </cell>
          <cell r="B135">
            <v>250</v>
          </cell>
          <cell r="C135">
            <v>127</v>
          </cell>
        </row>
        <row r="136">
          <cell r="A136">
            <v>2318527</v>
          </cell>
          <cell r="B136">
            <v>249</v>
          </cell>
          <cell r="C136">
            <v>126</v>
          </cell>
        </row>
        <row r="137">
          <cell r="A137">
            <v>2015618</v>
          </cell>
          <cell r="B137">
            <v>250</v>
          </cell>
          <cell r="C137">
            <v>127</v>
          </cell>
        </row>
        <row r="138">
          <cell r="A138">
            <v>2014178</v>
          </cell>
          <cell r="B138">
            <v>197</v>
          </cell>
          <cell r="C138">
            <v>98</v>
          </cell>
        </row>
        <row r="139">
          <cell r="A139">
            <v>9334645</v>
          </cell>
          <cell r="B139">
            <v>122</v>
          </cell>
          <cell r="C139">
            <v>86</v>
          </cell>
        </row>
        <row r="140">
          <cell r="A140">
            <v>2015682</v>
          </cell>
          <cell r="B140">
            <v>250</v>
          </cell>
          <cell r="C140">
            <v>127</v>
          </cell>
        </row>
        <row r="141">
          <cell r="A141">
            <v>2014124</v>
          </cell>
          <cell r="B141">
            <v>250</v>
          </cell>
          <cell r="C141">
            <v>127</v>
          </cell>
        </row>
        <row r="142">
          <cell r="A142">
            <v>2015657</v>
          </cell>
          <cell r="B142">
            <v>250</v>
          </cell>
          <cell r="C142">
            <v>127</v>
          </cell>
        </row>
        <row r="143">
          <cell r="A143">
            <v>2014099</v>
          </cell>
          <cell r="B143">
            <v>229</v>
          </cell>
          <cell r="C143">
            <v>123</v>
          </cell>
        </row>
        <row r="144">
          <cell r="A144">
            <v>2015534</v>
          </cell>
          <cell r="B144">
            <v>213</v>
          </cell>
          <cell r="C144">
            <v>90</v>
          </cell>
        </row>
        <row r="145">
          <cell r="A145">
            <v>2015680</v>
          </cell>
          <cell r="B145">
            <v>250</v>
          </cell>
          <cell r="C145">
            <v>127</v>
          </cell>
        </row>
        <row r="146">
          <cell r="A146">
            <v>9419292</v>
          </cell>
          <cell r="B146">
            <v>112</v>
          </cell>
          <cell r="C146">
            <v>112</v>
          </cell>
        </row>
        <row r="147">
          <cell r="A147">
            <v>9557492</v>
          </cell>
          <cell r="B147">
            <v>10</v>
          </cell>
          <cell r="C147">
            <v>10</v>
          </cell>
        </row>
        <row r="148">
          <cell r="A148">
            <v>2015508</v>
          </cell>
          <cell r="B148">
            <v>250</v>
          </cell>
          <cell r="C148">
            <v>127</v>
          </cell>
        </row>
        <row r="149">
          <cell r="A149">
            <v>2014125</v>
          </cell>
          <cell r="B149">
            <v>250</v>
          </cell>
          <cell r="C149">
            <v>127</v>
          </cell>
        </row>
        <row r="150">
          <cell r="A150">
            <v>2014122</v>
          </cell>
          <cell r="B150">
            <v>250</v>
          </cell>
          <cell r="C150">
            <v>127</v>
          </cell>
        </row>
        <row r="151">
          <cell r="A151">
            <v>2014102</v>
          </cell>
          <cell r="B151">
            <v>250</v>
          </cell>
          <cell r="C151">
            <v>127</v>
          </cell>
        </row>
        <row r="152">
          <cell r="A152">
            <v>2015576</v>
          </cell>
          <cell r="B152">
            <v>86</v>
          </cell>
        </row>
        <row r="153">
          <cell r="A153">
            <v>2015622</v>
          </cell>
          <cell r="B153">
            <v>250</v>
          </cell>
          <cell r="C153">
            <v>127</v>
          </cell>
        </row>
        <row r="154">
          <cell r="A154">
            <v>2014094</v>
          </cell>
          <cell r="B154">
            <v>173</v>
          </cell>
          <cell r="C154">
            <v>86</v>
          </cell>
        </row>
        <row r="155">
          <cell r="A155">
            <v>2229423</v>
          </cell>
          <cell r="B155">
            <v>250</v>
          </cell>
          <cell r="C155">
            <v>127</v>
          </cell>
        </row>
        <row r="156">
          <cell r="A156">
            <v>9301553</v>
          </cell>
          <cell r="B156">
            <v>7</v>
          </cell>
        </row>
        <row r="157">
          <cell r="A157">
            <v>9329652</v>
          </cell>
          <cell r="B157">
            <v>7</v>
          </cell>
        </row>
        <row r="158">
          <cell r="A158">
            <v>2285454</v>
          </cell>
          <cell r="B158">
            <v>22</v>
          </cell>
          <cell r="C158">
            <v>0</v>
          </cell>
        </row>
        <row r="159">
          <cell r="A159">
            <v>2015629</v>
          </cell>
          <cell r="B159">
            <v>249</v>
          </cell>
          <cell r="C159">
            <v>126</v>
          </cell>
        </row>
        <row r="160">
          <cell r="A160">
            <v>2015573</v>
          </cell>
          <cell r="B160">
            <v>250</v>
          </cell>
          <cell r="C160">
            <v>127</v>
          </cell>
        </row>
        <row r="161">
          <cell r="A161">
            <v>2550151</v>
          </cell>
          <cell r="B161">
            <v>165</v>
          </cell>
          <cell r="C161">
            <v>47</v>
          </cell>
        </row>
        <row r="162">
          <cell r="A162">
            <v>2015652</v>
          </cell>
          <cell r="B162">
            <v>250</v>
          </cell>
          <cell r="C162">
            <v>127</v>
          </cell>
        </row>
        <row r="163">
          <cell r="A163">
            <v>2015600</v>
          </cell>
          <cell r="B163">
            <v>250</v>
          </cell>
          <cell r="C163">
            <v>127</v>
          </cell>
        </row>
        <row r="164">
          <cell r="A164">
            <v>2023236</v>
          </cell>
          <cell r="B164">
            <v>250</v>
          </cell>
          <cell r="C164">
            <v>127</v>
          </cell>
        </row>
        <row r="165">
          <cell r="A165">
            <v>2274327</v>
          </cell>
          <cell r="B165">
            <v>240</v>
          </cell>
          <cell r="C165">
            <v>126</v>
          </cell>
        </row>
        <row r="166">
          <cell r="A166">
            <v>2015633</v>
          </cell>
          <cell r="B166">
            <v>250</v>
          </cell>
          <cell r="C166">
            <v>127</v>
          </cell>
        </row>
        <row r="167">
          <cell r="A167">
            <v>2015653</v>
          </cell>
          <cell r="B167">
            <v>250</v>
          </cell>
          <cell r="C167">
            <v>127</v>
          </cell>
        </row>
        <row r="168">
          <cell r="A168">
            <v>2014128</v>
          </cell>
          <cell r="B168">
            <v>250</v>
          </cell>
          <cell r="C168">
            <v>127</v>
          </cell>
        </row>
        <row r="169">
          <cell r="A169">
            <v>2015592</v>
          </cell>
          <cell r="B169">
            <v>250</v>
          </cell>
          <cell r="C169">
            <v>127</v>
          </cell>
        </row>
        <row r="170">
          <cell r="A170">
            <v>2160148</v>
          </cell>
          <cell r="B170">
            <v>250</v>
          </cell>
          <cell r="C170">
            <v>127</v>
          </cell>
        </row>
        <row r="171">
          <cell r="A171">
            <v>2014107</v>
          </cell>
          <cell r="B171">
            <v>250</v>
          </cell>
          <cell r="C171">
            <v>127</v>
          </cell>
        </row>
        <row r="172">
          <cell r="A172">
            <v>2014091</v>
          </cell>
          <cell r="B172">
            <v>133</v>
          </cell>
          <cell r="C172">
            <v>69</v>
          </cell>
        </row>
        <row r="173">
          <cell r="A173">
            <v>2015631</v>
          </cell>
          <cell r="B173">
            <v>249</v>
          </cell>
          <cell r="C173">
            <v>127</v>
          </cell>
        </row>
        <row r="174">
          <cell r="A174">
            <v>2015578</v>
          </cell>
          <cell r="B174">
            <v>250</v>
          </cell>
          <cell r="C174">
            <v>127</v>
          </cell>
        </row>
        <row r="175">
          <cell r="A175">
            <v>2999678</v>
          </cell>
          <cell r="B175">
            <v>59</v>
          </cell>
          <cell r="C175">
            <v>41</v>
          </cell>
        </row>
        <row r="176">
          <cell r="A176">
            <v>9343035</v>
          </cell>
          <cell r="B176">
            <v>121</v>
          </cell>
          <cell r="C176">
            <v>91</v>
          </cell>
        </row>
        <row r="177">
          <cell r="A177">
            <v>9430647</v>
          </cell>
          <cell r="B177">
            <v>7</v>
          </cell>
          <cell r="C177">
            <v>7</v>
          </cell>
        </row>
        <row r="178">
          <cell r="A178">
            <v>2014113</v>
          </cell>
          <cell r="B178">
            <v>250</v>
          </cell>
          <cell r="C178">
            <v>127</v>
          </cell>
        </row>
        <row r="179">
          <cell r="A179">
            <v>2079575</v>
          </cell>
          <cell r="B179">
            <v>250</v>
          </cell>
          <cell r="C179">
            <v>127</v>
          </cell>
        </row>
        <row r="180">
          <cell r="A180">
            <v>2014144</v>
          </cell>
          <cell r="B180">
            <v>250</v>
          </cell>
          <cell r="C180">
            <v>127</v>
          </cell>
        </row>
        <row r="181">
          <cell r="A181">
            <v>2635090</v>
          </cell>
          <cell r="B181">
            <v>250</v>
          </cell>
          <cell r="C181">
            <v>127</v>
          </cell>
        </row>
        <row r="182">
          <cell r="A182">
            <v>2079576</v>
          </cell>
          <cell r="B182">
            <v>250</v>
          </cell>
          <cell r="C182">
            <v>127</v>
          </cell>
        </row>
        <row r="183">
          <cell r="A183">
            <v>2015575</v>
          </cell>
          <cell r="B183">
            <v>250</v>
          </cell>
          <cell r="C183">
            <v>127</v>
          </cell>
        </row>
        <row r="184">
          <cell r="A184">
            <v>2014181</v>
          </cell>
          <cell r="B184">
            <v>250</v>
          </cell>
          <cell r="C184">
            <v>127</v>
          </cell>
        </row>
        <row r="185">
          <cell r="A185">
            <v>2015542</v>
          </cell>
          <cell r="B185">
            <v>250</v>
          </cell>
          <cell r="C185">
            <v>127</v>
          </cell>
        </row>
        <row r="186">
          <cell r="A186">
            <v>2030556</v>
          </cell>
          <cell r="B186">
            <v>247</v>
          </cell>
          <cell r="C186">
            <v>124</v>
          </cell>
        </row>
        <row r="187">
          <cell r="A187">
            <v>2014110</v>
          </cell>
          <cell r="B187">
            <v>250</v>
          </cell>
          <cell r="C187">
            <v>127</v>
          </cell>
        </row>
        <row r="188">
          <cell r="A188">
            <v>2015623</v>
          </cell>
          <cell r="B188">
            <v>250</v>
          </cell>
          <cell r="C188">
            <v>127</v>
          </cell>
        </row>
        <row r="189">
          <cell r="A189">
            <v>2455465</v>
          </cell>
          <cell r="B189">
            <v>250</v>
          </cell>
          <cell r="C189">
            <v>127</v>
          </cell>
        </row>
        <row r="190">
          <cell r="A190">
            <v>2299617</v>
          </cell>
          <cell r="B190">
            <v>250</v>
          </cell>
          <cell r="C190">
            <v>127</v>
          </cell>
        </row>
        <row r="191">
          <cell r="A191">
            <v>2226853</v>
          </cell>
          <cell r="B191">
            <v>250</v>
          </cell>
          <cell r="C191">
            <v>127</v>
          </cell>
        </row>
        <row r="192">
          <cell r="A192">
            <v>9212350</v>
          </cell>
          <cell r="B192">
            <v>7</v>
          </cell>
        </row>
        <row r="193">
          <cell r="A193">
            <v>9236486</v>
          </cell>
          <cell r="B193">
            <v>7</v>
          </cell>
        </row>
        <row r="194">
          <cell r="A194">
            <v>9503914</v>
          </cell>
          <cell r="B194">
            <v>25</v>
          </cell>
          <cell r="C194">
            <v>25</v>
          </cell>
        </row>
        <row r="195">
          <cell r="A195">
            <v>2232931</v>
          </cell>
          <cell r="B195">
            <v>250</v>
          </cell>
          <cell r="C195">
            <v>127</v>
          </cell>
        </row>
        <row r="196">
          <cell r="A196">
            <v>2015584</v>
          </cell>
          <cell r="B196">
            <v>250</v>
          </cell>
          <cell r="C196">
            <v>127</v>
          </cell>
        </row>
        <row r="197">
          <cell r="A197">
            <v>2014182</v>
          </cell>
          <cell r="B197">
            <v>166</v>
          </cell>
          <cell r="C197">
            <v>49</v>
          </cell>
        </row>
        <row r="198">
          <cell r="A198">
            <v>2015516</v>
          </cell>
          <cell r="B198">
            <v>248</v>
          </cell>
          <cell r="C198">
            <v>125</v>
          </cell>
        </row>
        <row r="199">
          <cell r="A199">
            <v>2015506</v>
          </cell>
          <cell r="B199">
            <v>250</v>
          </cell>
          <cell r="C199">
            <v>127</v>
          </cell>
        </row>
        <row r="200">
          <cell r="A200">
            <v>2015556</v>
          </cell>
          <cell r="B200">
            <v>250</v>
          </cell>
          <cell r="C200">
            <v>127</v>
          </cell>
        </row>
        <row r="201">
          <cell r="A201">
            <v>2308304</v>
          </cell>
          <cell r="B201">
            <v>249</v>
          </cell>
          <cell r="C201">
            <v>126</v>
          </cell>
        </row>
        <row r="202">
          <cell r="A202">
            <v>2015571</v>
          </cell>
          <cell r="B202">
            <v>250</v>
          </cell>
          <cell r="C202">
            <v>127</v>
          </cell>
        </row>
        <row r="203">
          <cell r="A203">
            <v>2015551</v>
          </cell>
          <cell r="B203">
            <v>242</v>
          </cell>
          <cell r="C203">
            <v>123</v>
          </cell>
        </row>
        <row r="204">
          <cell r="A204">
            <v>2015612</v>
          </cell>
          <cell r="B204">
            <v>250</v>
          </cell>
          <cell r="C204">
            <v>127</v>
          </cell>
        </row>
        <row r="205">
          <cell r="A205">
            <v>2014120</v>
          </cell>
          <cell r="B205">
            <v>250</v>
          </cell>
          <cell r="C205">
            <v>127</v>
          </cell>
        </row>
        <row r="206">
          <cell r="A206">
            <v>2210092</v>
          </cell>
          <cell r="B206">
            <v>198</v>
          </cell>
          <cell r="C206">
            <v>105</v>
          </cell>
        </row>
        <row r="207">
          <cell r="A207">
            <v>9314427</v>
          </cell>
          <cell r="B207">
            <v>178</v>
          </cell>
          <cell r="C207">
            <v>127</v>
          </cell>
        </row>
        <row r="208">
          <cell r="A208">
            <v>2014133</v>
          </cell>
          <cell r="B208">
            <v>250</v>
          </cell>
          <cell r="C208">
            <v>127</v>
          </cell>
        </row>
        <row r="209">
          <cell r="A209">
            <v>2030553</v>
          </cell>
          <cell r="B209">
            <v>250</v>
          </cell>
          <cell r="C209">
            <v>127</v>
          </cell>
        </row>
        <row r="210">
          <cell r="A210">
            <v>2010598</v>
          </cell>
          <cell r="B210">
            <v>188</v>
          </cell>
          <cell r="C210">
            <v>94</v>
          </cell>
        </row>
        <row r="211">
          <cell r="A211">
            <v>2996249</v>
          </cell>
          <cell r="B211">
            <v>214</v>
          </cell>
          <cell r="C211">
            <v>107</v>
          </cell>
        </row>
        <row r="212">
          <cell r="A212">
            <v>2004834</v>
          </cell>
          <cell r="B212">
            <v>250</v>
          </cell>
          <cell r="C212">
            <v>127</v>
          </cell>
        </row>
        <row r="213">
          <cell r="A213">
            <v>2015594</v>
          </cell>
          <cell r="B213">
            <v>250</v>
          </cell>
          <cell r="C213">
            <v>127</v>
          </cell>
        </row>
        <row r="214">
          <cell r="A214">
            <v>2106825</v>
          </cell>
          <cell r="B214">
            <v>236</v>
          </cell>
          <cell r="C214">
            <v>113</v>
          </cell>
        </row>
        <row r="215">
          <cell r="A215">
            <v>2015563</v>
          </cell>
          <cell r="B215">
            <v>250</v>
          </cell>
          <cell r="C215">
            <v>127</v>
          </cell>
        </row>
        <row r="216">
          <cell r="A216">
            <v>2207118</v>
          </cell>
          <cell r="B216">
            <v>249</v>
          </cell>
          <cell r="C216">
            <v>127</v>
          </cell>
        </row>
        <row r="217">
          <cell r="A217">
            <v>2479320</v>
          </cell>
          <cell r="B217">
            <v>246</v>
          </cell>
          <cell r="C217">
            <v>126</v>
          </cell>
        </row>
        <row r="218">
          <cell r="A218">
            <v>2015579</v>
          </cell>
          <cell r="B218">
            <v>248</v>
          </cell>
          <cell r="C218">
            <v>127</v>
          </cell>
        </row>
        <row r="219">
          <cell r="A219">
            <v>9383030</v>
          </cell>
          <cell r="B219">
            <v>10</v>
          </cell>
        </row>
        <row r="220">
          <cell r="A220">
            <v>2014179</v>
          </cell>
          <cell r="B220">
            <v>230</v>
          </cell>
          <cell r="C220">
            <v>118</v>
          </cell>
        </row>
        <row r="221">
          <cell r="A221">
            <v>2905643</v>
          </cell>
          <cell r="B221">
            <v>250</v>
          </cell>
          <cell r="C221">
            <v>127</v>
          </cell>
        </row>
        <row r="222">
          <cell r="A222">
            <v>2110369</v>
          </cell>
          <cell r="B222">
            <v>173</v>
          </cell>
          <cell r="C222">
            <v>90</v>
          </cell>
        </row>
        <row r="223">
          <cell r="A223">
            <v>2015585</v>
          </cell>
          <cell r="B223">
            <v>250</v>
          </cell>
          <cell r="C223">
            <v>127</v>
          </cell>
        </row>
        <row r="224">
          <cell r="A224">
            <v>2014173</v>
          </cell>
          <cell r="B224">
            <v>249</v>
          </cell>
          <cell r="C224">
            <v>126</v>
          </cell>
        </row>
        <row r="225">
          <cell r="A225">
            <v>2043485</v>
          </cell>
          <cell r="B225">
            <v>208</v>
          </cell>
          <cell r="C225">
            <v>85</v>
          </cell>
        </row>
        <row r="226">
          <cell r="A226">
            <v>2014111</v>
          </cell>
          <cell r="B226">
            <v>241</v>
          </cell>
          <cell r="C226">
            <v>118</v>
          </cell>
        </row>
        <row r="227">
          <cell r="A227">
            <v>2014138</v>
          </cell>
          <cell r="B227">
            <v>230</v>
          </cell>
          <cell r="C227">
            <v>120</v>
          </cell>
        </row>
        <row r="228">
          <cell r="A228">
            <v>2936563</v>
          </cell>
          <cell r="B228">
            <v>249</v>
          </cell>
          <cell r="C228">
            <v>126</v>
          </cell>
        </row>
        <row r="229">
          <cell r="A229">
            <v>2015572</v>
          </cell>
          <cell r="B229">
            <v>250</v>
          </cell>
          <cell r="C229">
            <v>127</v>
          </cell>
        </row>
        <row r="230">
          <cell r="A230">
            <v>2013917</v>
          </cell>
          <cell r="B230">
            <v>239</v>
          </cell>
          <cell r="C230">
            <v>122</v>
          </cell>
        </row>
        <row r="231">
          <cell r="A231">
            <v>2015608</v>
          </cell>
          <cell r="B231">
            <v>250</v>
          </cell>
          <cell r="C231">
            <v>127</v>
          </cell>
        </row>
        <row r="232">
          <cell r="A232">
            <v>2015661</v>
          </cell>
          <cell r="B232">
            <v>249</v>
          </cell>
          <cell r="C232">
            <v>126</v>
          </cell>
        </row>
        <row r="233">
          <cell r="A233">
            <v>2015518</v>
          </cell>
          <cell r="B233">
            <v>24</v>
          </cell>
        </row>
        <row r="234">
          <cell r="A234">
            <v>2593875</v>
          </cell>
          <cell r="B234">
            <v>171</v>
          </cell>
          <cell r="C234">
            <v>82</v>
          </cell>
        </row>
        <row r="235">
          <cell r="A235">
            <v>2043488</v>
          </cell>
          <cell r="B235">
            <v>246</v>
          </cell>
          <cell r="C235">
            <v>125</v>
          </cell>
        </row>
        <row r="236">
          <cell r="A236">
            <v>2280083</v>
          </cell>
          <cell r="B236">
            <v>231</v>
          </cell>
          <cell r="C236">
            <v>121</v>
          </cell>
        </row>
        <row r="237">
          <cell r="A237">
            <v>2010589</v>
          </cell>
          <cell r="B237">
            <v>250</v>
          </cell>
          <cell r="C237">
            <v>127</v>
          </cell>
        </row>
        <row r="238">
          <cell r="A238">
            <v>2015558</v>
          </cell>
          <cell r="B238">
            <v>250</v>
          </cell>
          <cell r="C238">
            <v>127</v>
          </cell>
        </row>
        <row r="239">
          <cell r="A239">
            <v>2015596</v>
          </cell>
          <cell r="B239">
            <v>250</v>
          </cell>
          <cell r="C239">
            <v>127</v>
          </cell>
        </row>
        <row r="240">
          <cell r="A240">
            <v>2280070</v>
          </cell>
          <cell r="B240">
            <v>241</v>
          </cell>
          <cell r="C240">
            <v>122</v>
          </cell>
        </row>
        <row r="241">
          <cell r="A241">
            <v>2015544</v>
          </cell>
          <cell r="B241">
            <v>250</v>
          </cell>
          <cell r="C241">
            <v>127</v>
          </cell>
        </row>
        <row r="242">
          <cell r="A242">
            <v>2014184</v>
          </cell>
          <cell r="B242">
            <v>227</v>
          </cell>
          <cell r="C242">
            <v>119</v>
          </cell>
        </row>
        <row r="243">
          <cell r="A243">
            <v>2015527</v>
          </cell>
          <cell r="B243">
            <v>250</v>
          </cell>
          <cell r="C243">
            <v>127</v>
          </cell>
        </row>
        <row r="244">
          <cell r="A244">
            <v>2015520</v>
          </cell>
          <cell r="B244">
            <v>248</v>
          </cell>
          <cell r="C244">
            <v>126</v>
          </cell>
        </row>
        <row r="245">
          <cell r="A245">
            <v>9460925</v>
          </cell>
          <cell r="B245">
            <v>77</v>
          </cell>
          <cell r="C245">
            <v>77</v>
          </cell>
        </row>
        <row r="246">
          <cell r="A246">
            <v>2014123</v>
          </cell>
          <cell r="B246">
            <v>248</v>
          </cell>
          <cell r="C246">
            <v>126</v>
          </cell>
        </row>
        <row r="247">
          <cell r="A247">
            <v>2015582</v>
          </cell>
          <cell r="B247">
            <v>250</v>
          </cell>
          <cell r="C247">
            <v>127</v>
          </cell>
        </row>
        <row r="248">
          <cell r="A248">
            <v>2239800</v>
          </cell>
          <cell r="B248">
            <v>250</v>
          </cell>
          <cell r="C248">
            <v>127</v>
          </cell>
        </row>
        <row r="249">
          <cell r="A249">
            <v>2557856</v>
          </cell>
          <cell r="B249">
            <v>250</v>
          </cell>
          <cell r="C249">
            <v>127</v>
          </cell>
        </row>
        <row r="250">
          <cell r="A250">
            <v>2481795</v>
          </cell>
          <cell r="B250">
            <v>250</v>
          </cell>
          <cell r="C250">
            <v>127</v>
          </cell>
        </row>
        <row r="251">
          <cell r="A251">
            <v>2014186</v>
          </cell>
          <cell r="B251">
            <v>80</v>
          </cell>
          <cell r="C251">
            <v>41</v>
          </cell>
        </row>
        <row r="252">
          <cell r="A252">
            <v>2015581</v>
          </cell>
          <cell r="B252">
            <v>250</v>
          </cell>
          <cell r="C252">
            <v>127</v>
          </cell>
        </row>
        <row r="253">
          <cell r="A253">
            <v>2015557</v>
          </cell>
          <cell r="B253">
            <v>250</v>
          </cell>
          <cell r="C253">
            <v>127</v>
          </cell>
        </row>
        <row r="254">
          <cell r="A254">
            <v>2174920</v>
          </cell>
          <cell r="B254">
            <v>231</v>
          </cell>
          <cell r="C254">
            <v>125</v>
          </cell>
        </row>
        <row r="255">
          <cell r="A255">
            <v>2141214</v>
          </cell>
          <cell r="B255">
            <v>246</v>
          </cell>
          <cell r="C255">
            <v>127</v>
          </cell>
        </row>
        <row r="256">
          <cell r="A256">
            <v>2171403</v>
          </cell>
          <cell r="B256">
            <v>250</v>
          </cell>
          <cell r="C256">
            <v>127</v>
          </cell>
        </row>
        <row r="257">
          <cell r="A257">
            <v>2337459</v>
          </cell>
          <cell r="B257">
            <v>243</v>
          </cell>
          <cell r="C257">
            <v>125</v>
          </cell>
        </row>
        <row r="258">
          <cell r="A258">
            <v>2015554</v>
          </cell>
          <cell r="B258">
            <v>250</v>
          </cell>
          <cell r="C258">
            <v>127</v>
          </cell>
        </row>
        <row r="259">
          <cell r="A259">
            <v>2015580</v>
          </cell>
          <cell r="B259">
            <v>198</v>
          </cell>
          <cell r="C259">
            <v>75</v>
          </cell>
        </row>
        <row r="260">
          <cell r="A260">
            <v>2015595</v>
          </cell>
          <cell r="B260">
            <v>250</v>
          </cell>
          <cell r="C260">
            <v>127</v>
          </cell>
        </row>
        <row r="261">
          <cell r="A261">
            <v>2674090</v>
          </cell>
          <cell r="B261">
            <v>136</v>
          </cell>
          <cell r="C261">
            <v>13</v>
          </cell>
        </row>
        <row r="262">
          <cell r="A262">
            <v>2014106</v>
          </cell>
          <cell r="B262">
            <v>250</v>
          </cell>
          <cell r="C262">
            <v>127</v>
          </cell>
        </row>
        <row r="263">
          <cell r="A263">
            <v>2015560</v>
          </cell>
          <cell r="B263">
            <v>250</v>
          </cell>
          <cell r="C263">
            <v>127</v>
          </cell>
        </row>
        <row r="264">
          <cell r="A264">
            <v>2293140</v>
          </cell>
          <cell r="B264">
            <v>249</v>
          </cell>
          <cell r="C264">
            <v>127</v>
          </cell>
        </row>
        <row r="265">
          <cell r="A265">
            <v>2015565</v>
          </cell>
          <cell r="B265">
            <v>250</v>
          </cell>
          <cell r="C265">
            <v>127</v>
          </cell>
        </row>
        <row r="266">
          <cell r="A266">
            <v>2015522</v>
          </cell>
          <cell r="B266">
            <v>250</v>
          </cell>
          <cell r="C266">
            <v>127</v>
          </cell>
        </row>
        <row r="267">
          <cell r="A267">
            <v>9322454</v>
          </cell>
          <cell r="B267">
            <v>174</v>
          </cell>
          <cell r="C267">
            <v>127</v>
          </cell>
        </row>
        <row r="268">
          <cell r="A268">
            <v>2014114</v>
          </cell>
          <cell r="B268">
            <v>248</v>
          </cell>
          <cell r="C268">
            <v>125</v>
          </cell>
        </row>
        <row r="269">
          <cell r="A269">
            <v>2014093</v>
          </cell>
          <cell r="B269">
            <v>244</v>
          </cell>
          <cell r="C269">
            <v>123</v>
          </cell>
        </row>
        <row r="270">
          <cell r="A270">
            <v>2184211</v>
          </cell>
          <cell r="B270">
            <v>250</v>
          </cell>
          <cell r="C270">
            <v>127</v>
          </cell>
        </row>
        <row r="271">
          <cell r="A271">
            <v>2014143</v>
          </cell>
          <cell r="B271">
            <v>238</v>
          </cell>
          <cell r="C271">
            <v>123</v>
          </cell>
        </row>
        <row r="272">
          <cell r="A272">
            <v>2015546</v>
          </cell>
          <cell r="B272">
            <v>243</v>
          </cell>
          <cell r="C272">
            <v>122</v>
          </cell>
        </row>
        <row r="273">
          <cell r="A273">
            <v>2015548</v>
          </cell>
          <cell r="B273">
            <v>250</v>
          </cell>
          <cell r="C273">
            <v>127</v>
          </cell>
        </row>
        <row r="274">
          <cell r="A274">
            <v>6053259</v>
          </cell>
          <cell r="B274">
            <v>250</v>
          </cell>
          <cell r="C274">
            <v>127</v>
          </cell>
        </row>
        <row r="275">
          <cell r="A275">
            <v>2102993</v>
          </cell>
          <cell r="B275">
            <v>189</v>
          </cell>
          <cell r="C275">
            <v>97</v>
          </cell>
        </row>
        <row r="276">
          <cell r="A276">
            <v>2796142</v>
          </cell>
          <cell r="B276">
            <v>250</v>
          </cell>
          <cell r="C276">
            <v>127</v>
          </cell>
        </row>
        <row r="277">
          <cell r="A277">
            <v>2014092</v>
          </cell>
          <cell r="B277">
            <v>139</v>
          </cell>
          <cell r="C277">
            <v>61</v>
          </cell>
        </row>
        <row r="278">
          <cell r="A278">
            <v>5997180</v>
          </cell>
          <cell r="B278">
            <v>250</v>
          </cell>
          <cell r="C278">
            <v>127</v>
          </cell>
        </row>
        <row r="279">
          <cell r="A279">
            <v>2014134</v>
          </cell>
          <cell r="B279">
            <v>250</v>
          </cell>
          <cell r="C279">
            <v>127</v>
          </cell>
        </row>
        <row r="280">
          <cell r="A280">
            <v>9067757</v>
          </cell>
          <cell r="B280">
            <v>250</v>
          </cell>
          <cell r="C280">
            <v>127</v>
          </cell>
        </row>
        <row r="281">
          <cell r="A281">
            <v>2015620</v>
          </cell>
          <cell r="B281">
            <v>250</v>
          </cell>
          <cell r="C281">
            <v>127</v>
          </cell>
        </row>
        <row r="282">
          <cell r="A282">
            <v>2015559</v>
          </cell>
          <cell r="B282">
            <v>250</v>
          </cell>
          <cell r="C282">
            <v>127</v>
          </cell>
        </row>
        <row r="283">
          <cell r="A283">
            <v>2023239</v>
          </cell>
          <cell r="B283">
            <v>250</v>
          </cell>
          <cell r="C283">
            <v>127</v>
          </cell>
        </row>
        <row r="284">
          <cell r="A284">
            <v>9500512</v>
          </cell>
          <cell r="B284">
            <v>7</v>
          </cell>
          <cell r="C284">
            <v>7</v>
          </cell>
        </row>
        <row r="285">
          <cell r="A285">
            <v>9513251</v>
          </cell>
          <cell r="B285">
            <v>7</v>
          </cell>
          <cell r="C285">
            <v>7</v>
          </cell>
        </row>
        <row r="286">
          <cell r="A286">
            <v>2023241</v>
          </cell>
          <cell r="B286">
            <v>239</v>
          </cell>
          <cell r="C286">
            <v>120</v>
          </cell>
        </row>
        <row r="287">
          <cell r="A287">
            <v>2172325</v>
          </cell>
          <cell r="B287">
            <v>250</v>
          </cell>
          <cell r="C287">
            <v>127</v>
          </cell>
        </row>
        <row r="288">
          <cell r="A288">
            <v>9125325</v>
          </cell>
          <cell r="B288">
            <v>27</v>
          </cell>
          <cell r="C288">
            <v>10</v>
          </cell>
        </row>
        <row r="289">
          <cell r="A289">
            <v>2149724</v>
          </cell>
          <cell r="B289">
            <v>250</v>
          </cell>
          <cell r="C289">
            <v>127</v>
          </cell>
        </row>
        <row r="290">
          <cell r="A290">
            <v>2014116</v>
          </cell>
          <cell r="B290">
            <v>249</v>
          </cell>
          <cell r="C290">
            <v>126</v>
          </cell>
        </row>
        <row r="291">
          <cell r="A291">
            <v>2015555</v>
          </cell>
          <cell r="B291">
            <v>244</v>
          </cell>
          <cell r="C291">
            <v>125</v>
          </cell>
        </row>
        <row r="292">
          <cell r="A292">
            <v>2015671</v>
          </cell>
          <cell r="B292">
            <v>250</v>
          </cell>
          <cell r="C292">
            <v>127</v>
          </cell>
        </row>
        <row r="293">
          <cell r="A293">
            <v>2015517</v>
          </cell>
          <cell r="B293">
            <v>250</v>
          </cell>
          <cell r="C293">
            <v>127</v>
          </cell>
        </row>
        <row r="294">
          <cell r="A294">
            <v>2015616</v>
          </cell>
          <cell r="B294">
            <v>250</v>
          </cell>
          <cell r="C294">
            <v>127</v>
          </cell>
        </row>
        <row r="295">
          <cell r="A295">
            <v>2013915</v>
          </cell>
          <cell r="B295">
            <v>30</v>
          </cell>
          <cell r="C295">
            <v>16</v>
          </cell>
        </row>
        <row r="296">
          <cell r="A296">
            <v>9552715</v>
          </cell>
          <cell r="B296">
            <v>7</v>
          </cell>
          <cell r="C296">
            <v>7</v>
          </cell>
        </row>
        <row r="297">
          <cell r="A297">
            <v>2417486</v>
          </cell>
          <cell r="B297">
            <v>250</v>
          </cell>
          <cell r="C297">
            <v>127</v>
          </cell>
        </row>
        <row r="298">
          <cell r="A298">
            <v>3075841</v>
          </cell>
          <cell r="B298">
            <v>250</v>
          </cell>
          <cell r="C298">
            <v>127</v>
          </cell>
        </row>
        <row r="299">
          <cell r="A299">
            <v>2474162</v>
          </cell>
          <cell r="B299">
            <v>249</v>
          </cell>
          <cell r="C299">
            <v>127</v>
          </cell>
        </row>
        <row r="300">
          <cell r="A300">
            <v>2010593</v>
          </cell>
          <cell r="B300">
            <v>250</v>
          </cell>
          <cell r="C300">
            <v>127</v>
          </cell>
        </row>
        <row r="301">
          <cell r="A301">
            <v>2015605</v>
          </cell>
          <cell r="B301">
            <v>250</v>
          </cell>
          <cell r="C301">
            <v>127</v>
          </cell>
        </row>
        <row r="302">
          <cell r="A302">
            <v>2015539</v>
          </cell>
          <cell r="B302">
            <v>250</v>
          </cell>
          <cell r="C302">
            <v>127</v>
          </cell>
        </row>
        <row r="303">
          <cell r="A303">
            <v>2664170</v>
          </cell>
          <cell r="B303">
            <v>238</v>
          </cell>
          <cell r="C303">
            <v>116</v>
          </cell>
        </row>
        <row r="304">
          <cell r="A304">
            <v>2015545</v>
          </cell>
          <cell r="B304">
            <v>250</v>
          </cell>
          <cell r="C304">
            <v>127</v>
          </cell>
        </row>
        <row r="305">
          <cell r="A305">
            <v>2015619</v>
          </cell>
          <cell r="B305">
            <v>250</v>
          </cell>
          <cell r="C305">
            <v>127</v>
          </cell>
        </row>
        <row r="306">
          <cell r="A306">
            <v>2015659</v>
          </cell>
          <cell r="B306">
            <v>250</v>
          </cell>
          <cell r="C306">
            <v>127</v>
          </cell>
        </row>
        <row r="307">
          <cell r="A307">
            <v>2105565</v>
          </cell>
          <cell r="B307">
            <v>250</v>
          </cell>
          <cell r="C307">
            <v>127</v>
          </cell>
        </row>
        <row r="308">
          <cell r="A308">
            <v>2304817</v>
          </cell>
          <cell r="B308">
            <v>249</v>
          </cell>
          <cell r="C308">
            <v>127</v>
          </cell>
        </row>
        <row r="309">
          <cell r="A309">
            <v>2014112</v>
          </cell>
          <cell r="B309">
            <v>140</v>
          </cell>
          <cell r="C309">
            <v>73</v>
          </cell>
        </row>
        <row r="310">
          <cell r="A310">
            <v>9305632</v>
          </cell>
          <cell r="B310">
            <v>177</v>
          </cell>
          <cell r="C310">
            <v>121</v>
          </cell>
        </row>
        <row r="311">
          <cell r="A311">
            <v>9460944</v>
          </cell>
          <cell r="B311">
            <v>6</v>
          </cell>
          <cell r="C311">
            <v>6</v>
          </cell>
        </row>
        <row r="312">
          <cell r="A312">
            <v>2015523</v>
          </cell>
          <cell r="B312">
            <v>250</v>
          </cell>
          <cell r="C312">
            <v>127</v>
          </cell>
        </row>
        <row r="313">
          <cell r="A313">
            <v>2295383</v>
          </cell>
          <cell r="B313">
            <v>250</v>
          </cell>
          <cell r="C313">
            <v>127</v>
          </cell>
        </row>
        <row r="314">
          <cell r="A314">
            <v>2015662</v>
          </cell>
          <cell r="B314">
            <v>250</v>
          </cell>
          <cell r="C314">
            <v>127</v>
          </cell>
        </row>
        <row r="315">
          <cell r="A315">
            <v>2231612</v>
          </cell>
          <cell r="B315">
            <v>250</v>
          </cell>
          <cell r="C315">
            <v>127</v>
          </cell>
        </row>
        <row r="316">
          <cell r="A316">
            <v>2033385</v>
          </cell>
          <cell r="B316">
            <v>172</v>
          </cell>
          <cell r="C316">
            <v>49</v>
          </cell>
        </row>
        <row r="317">
          <cell r="A317">
            <v>2015598</v>
          </cell>
          <cell r="B317">
            <v>250</v>
          </cell>
          <cell r="C317">
            <v>127</v>
          </cell>
        </row>
        <row r="318">
          <cell r="A318">
            <v>2015547</v>
          </cell>
          <cell r="B318">
            <v>250</v>
          </cell>
          <cell r="C318">
            <v>127</v>
          </cell>
        </row>
        <row r="319">
          <cell r="A319">
            <v>2015632</v>
          </cell>
          <cell r="B319">
            <v>250</v>
          </cell>
          <cell r="C319">
            <v>127</v>
          </cell>
        </row>
        <row r="320">
          <cell r="A320">
            <v>2023237</v>
          </cell>
          <cell r="B320">
            <v>250</v>
          </cell>
          <cell r="C320">
            <v>127</v>
          </cell>
        </row>
        <row r="321">
          <cell r="A321">
            <v>2315915</v>
          </cell>
          <cell r="B321">
            <v>250</v>
          </cell>
          <cell r="C321">
            <v>127</v>
          </cell>
        </row>
        <row r="322">
          <cell r="A322">
            <v>2014135</v>
          </cell>
          <cell r="B322">
            <v>250</v>
          </cell>
          <cell r="C322">
            <v>127</v>
          </cell>
        </row>
        <row r="323">
          <cell r="A323">
            <v>2015525</v>
          </cell>
          <cell r="B323">
            <v>250</v>
          </cell>
          <cell r="C323">
            <v>127</v>
          </cell>
        </row>
        <row r="324">
          <cell r="A324">
            <v>2084787</v>
          </cell>
          <cell r="B324">
            <v>249</v>
          </cell>
          <cell r="C324">
            <v>126</v>
          </cell>
        </row>
        <row r="325">
          <cell r="A325">
            <v>2015588</v>
          </cell>
          <cell r="B325">
            <v>249</v>
          </cell>
          <cell r="C325">
            <v>127</v>
          </cell>
        </row>
        <row r="326">
          <cell r="A326">
            <v>2232929</v>
          </cell>
          <cell r="B326">
            <v>229</v>
          </cell>
          <cell r="C326">
            <v>110</v>
          </cell>
        </row>
        <row r="327">
          <cell r="A327">
            <v>2334436</v>
          </cell>
          <cell r="B327">
            <v>250</v>
          </cell>
          <cell r="C327">
            <v>127</v>
          </cell>
        </row>
        <row r="328">
          <cell r="A328">
            <v>9026814</v>
          </cell>
          <cell r="B328">
            <v>188</v>
          </cell>
          <cell r="C328">
            <v>65</v>
          </cell>
        </row>
        <row r="329">
          <cell r="A329">
            <v>2349142</v>
          </cell>
          <cell r="B329">
            <v>238</v>
          </cell>
          <cell r="C329">
            <v>115</v>
          </cell>
        </row>
        <row r="330">
          <cell r="A330">
            <v>2239804</v>
          </cell>
          <cell r="B330">
            <v>210</v>
          </cell>
          <cell r="C330">
            <v>108</v>
          </cell>
        </row>
        <row r="331">
          <cell r="A331">
            <v>2015591</v>
          </cell>
          <cell r="B331">
            <v>247</v>
          </cell>
          <cell r="C331">
            <v>125</v>
          </cell>
        </row>
        <row r="332">
          <cell r="A332">
            <v>2015656</v>
          </cell>
          <cell r="B332">
            <v>250</v>
          </cell>
          <cell r="C332">
            <v>127</v>
          </cell>
        </row>
        <row r="333">
          <cell r="A333">
            <v>2015589</v>
          </cell>
          <cell r="B333">
            <v>250</v>
          </cell>
          <cell r="C333">
            <v>127</v>
          </cell>
        </row>
        <row r="334">
          <cell r="A334">
            <v>2015655</v>
          </cell>
          <cell r="B334">
            <v>249</v>
          </cell>
          <cell r="C334">
            <v>126</v>
          </cell>
        </row>
        <row r="335">
          <cell r="A335">
            <v>2015630</v>
          </cell>
          <cell r="B335">
            <v>210</v>
          </cell>
          <cell r="C335">
            <v>105</v>
          </cell>
        </row>
        <row r="336">
          <cell r="A336">
            <v>2015513</v>
          </cell>
          <cell r="B336">
            <v>201</v>
          </cell>
          <cell r="C336">
            <v>102</v>
          </cell>
        </row>
        <row r="337">
          <cell r="A337">
            <v>2015552</v>
          </cell>
          <cell r="B337">
            <v>250</v>
          </cell>
          <cell r="C337">
            <v>127</v>
          </cell>
        </row>
        <row r="338">
          <cell r="A338">
            <v>2263917</v>
          </cell>
          <cell r="B338">
            <v>250</v>
          </cell>
          <cell r="C338">
            <v>127</v>
          </cell>
        </row>
        <row r="339">
          <cell r="A339">
            <v>2015543</v>
          </cell>
          <cell r="B339">
            <v>250</v>
          </cell>
          <cell r="C339">
            <v>127</v>
          </cell>
        </row>
        <row r="340">
          <cell r="A340">
            <v>2015566</v>
          </cell>
          <cell r="B340">
            <v>250</v>
          </cell>
          <cell r="C340">
            <v>127</v>
          </cell>
        </row>
        <row r="341">
          <cell r="A341">
            <v>2014090</v>
          </cell>
          <cell r="B341">
            <v>240</v>
          </cell>
          <cell r="C341">
            <v>123</v>
          </cell>
        </row>
        <row r="342">
          <cell r="A342">
            <v>2015519</v>
          </cell>
          <cell r="B342">
            <v>248</v>
          </cell>
          <cell r="C342">
            <v>126</v>
          </cell>
        </row>
        <row r="343">
          <cell r="A343">
            <v>2010599</v>
          </cell>
          <cell r="B343">
            <v>250</v>
          </cell>
          <cell r="C343">
            <v>127</v>
          </cell>
        </row>
        <row r="344">
          <cell r="A344">
            <v>2208242</v>
          </cell>
          <cell r="B344">
            <v>97</v>
          </cell>
        </row>
        <row r="345">
          <cell r="A345">
            <v>6054667</v>
          </cell>
          <cell r="B345">
            <v>30</v>
          </cell>
        </row>
        <row r="346">
          <cell r="A346">
            <v>2015509</v>
          </cell>
          <cell r="B346">
            <v>250</v>
          </cell>
          <cell r="C346">
            <v>127</v>
          </cell>
        </row>
        <row r="347">
          <cell r="A347">
            <v>2014127</v>
          </cell>
          <cell r="B347">
            <v>250</v>
          </cell>
          <cell r="C347">
            <v>127</v>
          </cell>
        </row>
        <row r="348">
          <cell r="A348">
            <v>2015587</v>
          </cell>
          <cell r="B348">
            <v>250</v>
          </cell>
          <cell r="C348">
            <v>127</v>
          </cell>
        </row>
        <row r="349">
          <cell r="A349">
            <v>2014137</v>
          </cell>
          <cell r="B349">
            <v>224</v>
          </cell>
          <cell r="C349">
            <v>122</v>
          </cell>
        </row>
        <row r="350">
          <cell r="A350">
            <v>2015615</v>
          </cell>
          <cell r="B350">
            <v>250</v>
          </cell>
          <cell r="C350">
            <v>127</v>
          </cell>
        </row>
        <row r="351">
          <cell r="A351">
            <v>2010591</v>
          </cell>
          <cell r="B351">
            <v>250</v>
          </cell>
          <cell r="C351">
            <v>127</v>
          </cell>
        </row>
        <row r="352">
          <cell r="A352">
            <v>2030554</v>
          </cell>
          <cell r="B352">
            <v>202</v>
          </cell>
          <cell r="C352">
            <v>79</v>
          </cell>
        </row>
        <row r="353">
          <cell r="A353">
            <v>2015532</v>
          </cell>
          <cell r="B353">
            <v>250</v>
          </cell>
          <cell r="C353">
            <v>127</v>
          </cell>
        </row>
        <row r="354">
          <cell r="A354">
            <v>2383499</v>
          </cell>
          <cell r="B354">
            <v>250</v>
          </cell>
          <cell r="C354">
            <v>127</v>
          </cell>
        </row>
        <row r="355">
          <cell r="A355">
            <v>2293139</v>
          </cell>
          <cell r="B355">
            <v>250</v>
          </cell>
          <cell r="C355">
            <v>127</v>
          </cell>
        </row>
        <row r="356">
          <cell r="A356">
            <v>2015583</v>
          </cell>
          <cell r="B356">
            <v>250</v>
          </cell>
          <cell r="C356">
            <v>127</v>
          </cell>
        </row>
        <row r="357">
          <cell r="A357">
            <v>2014121</v>
          </cell>
          <cell r="B357">
            <v>250</v>
          </cell>
          <cell r="C357">
            <v>127</v>
          </cell>
        </row>
        <row r="358">
          <cell r="A358">
            <v>2015537</v>
          </cell>
          <cell r="B358">
            <v>250</v>
          </cell>
          <cell r="C358">
            <v>127</v>
          </cell>
        </row>
        <row r="359">
          <cell r="A359">
            <v>9260449</v>
          </cell>
          <cell r="B359">
            <v>6</v>
          </cell>
        </row>
        <row r="360">
          <cell r="A360">
            <v>2015669</v>
          </cell>
          <cell r="B360">
            <v>250</v>
          </cell>
          <cell r="C360">
            <v>127</v>
          </cell>
        </row>
        <row r="361">
          <cell r="A361">
            <v>2014108</v>
          </cell>
          <cell r="B361">
            <v>221</v>
          </cell>
          <cell r="C361">
            <v>118</v>
          </cell>
        </row>
        <row r="362">
          <cell r="A362">
            <v>2108509</v>
          </cell>
          <cell r="B362">
            <v>248</v>
          </cell>
          <cell r="C362">
            <v>125</v>
          </cell>
        </row>
        <row r="363">
          <cell r="A363">
            <v>2289519</v>
          </cell>
          <cell r="B363">
            <v>250</v>
          </cell>
          <cell r="C363">
            <v>127</v>
          </cell>
        </row>
        <row r="364">
          <cell r="A364">
            <v>2015614</v>
          </cell>
          <cell r="B364">
            <v>250</v>
          </cell>
          <cell r="C364">
            <v>127</v>
          </cell>
        </row>
      </sheetData>
      <sheetData sheetId="5">
        <row r="1">
          <cell r="A1" t="str">
            <v>Oslo Shares - Value Traded</v>
          </cell>
          <cell r="C1" t="str">
            <v/>
          </cell>
          <cell r="E1" t="str">
            <v/>
          </cell>
          <cell r="F1" t="str">
            <v/>
          </cell>
          <cell r="G1" t="str">
            <v/>
          </cell>
          <cell r="H1" t="str">
            <v/>
          </cell>
        </row>
        <row r="2">
          <cell r="A2" t="str">
            <v>Central Order Book</v>
          </cell>
          <cell r="C2" t="str">
            <v/>
          </cell>
          <cell r="E2" t="str">
            <v/>
          </cell>
          <cell r="F2" t="str">
            <v/>
          </cell>
          <cell r="G2" t="str">
            <v/>
          </cell>
          <cell r="H2" t="str">
            <v/>
          </cell>
        </row>
        <row r="3">
          <cell r="A3" t="str">
            <v>Values in Trading Currency</v>
          </cell>
          <cell r="C3" t="str">
            <v/>
          </cell>
          <cell r="E3" t="str">
            <v/>
          </cell>
          <cell r="F3" t="str">
            <v/>
          </cell>
          <cell r="G3" t="str">
            <v/>
          </cell>
          <cell r="H3" t="str">
            <v/>
          </cell>
        </row>
        <row r="4">
          <cell r="A4" t="str">
            <v>CVALBDM</v>
          </cell>
          <cell r="B4" t="str">
            <v>Total value 12 months
(excluding top 12 days)</v>
          </cell>
          <cell r="C4" t="str">
            <v>Total value 6 months
(excluding top 6 days)</v>
          </cell>
          <cell r="E4" t="str">
            <v>Total value 12 months
22-Feb-2024 / 21-Feb-2025</v>
          </cell>
          <cell r="F4" t="str">
            <v>Top 12 days (12 months)</v>
          </cell>
          <cell r="G4" t="str">
            <v>Total value 6 months
22-Aug-2024 / 21-Feb-2025</v>
          </cell>
          <cell r="H4" t="str">
            <v>Top 6 days (6 months)</v>
          </cell>
        </row>
        <row r="5">
          <cell r="A5">
            <v>2015666</v>
          </cell>
          <cell r="B5">
            <v>1683275060.5699999</v>
          </cell>
          <cell r="C5">
            <v>899595105.72000003</v>
          </cell>
          <cell r="E5">
            <v>2167434160.04</v>
          </cell>
          <cell r="F5">
            <v>484159099.47000003</v>
          </cell>
          <cell r="G5">
            <v>1143684246.6199999</v>
          </cell>
          <cell r="H5">
            <v>244089140.90000001</v>
          </cell>
        </row>
        <row r="6">
          <cell r="A6">
            <v>2015599</v>
          </cell>
          <cell r="B6">
            <v>58678153465.230003</v>
          </cell>
          <cell r="C6">
            <v>30704126009.299999</v>
          </cell>
          <cell r="E6">
            <v>65329004628.559998</v>
          </cell>
          <cell r="F6">
            <v>6650851163.3299999</v>
          </cell>
          <cell r="G6">
            <v>33929151890.25</v>
          </cell>
          <cell r="H6">
            <v>3225025880.9499998</v>
          </cell>
        </row>
        <row r="7">
          <cell r="A7">
            <v>2015597</v>
          </cell>
          <cell r="B7">
            <v>10733051690.299999</v>
          </cell>
          <cell r="C7">
            <v>4755343763.6499996</v>
          </cell>
          <cell r="E7">
            <v>12927436069.200001</v>
          </cell>
          <cell r="F7">
            <v>2194384378.9000001</v>
          </cell>
          <cell r="G7">
            <v>5975673327.3500004</v>
          </cell>
          <cell r="H7">
            <v>1220329563.7</v>
          </cell>
        </row>
        <row r="8">
          <cell r="A8">
            <v>2014185</v>
          </cell>
          <cell r="B8">
            <v>112519537.11</v>
          </cell>
          <cell r="C8">
            <v>14152380.65</v>
          </cell>
          <cell r="E8">
            <v>153420545.69999999</v>
          </cell>
          <cell r="F8">
            <v>40901008.590000004</v>
          </cell>
          <cell r="G8">
            <v>33107423</v>
          </cell>
          <cell r="H8">
            <v>18955042.350000001</v>
          </cell>
        </row>
        <row r="9">
          <cell r="A9">
            <v>2014117</v>
          </cell>
          <cell r="B9">
            <v>43027889.130000003</v>
          </cell>
          <cell r="C9">
            <v>59293193.210000001</v>
          </cell>
          <cell r="E9">
            <v>118893706.67</v>
          </cell>
          <cell r="F9">
            <v>75865817.540000007</v>
          </cell>
          <cell r="G9">
            <v>114436530.97</v>
          </cell>
          <cell r="H9">
            <v>55143337.759999998</v>
          </cell>
        </row>
        <row r="10">
          <cell r="A10">
            <v>2532391</v>
          </cell>
          <cell r="B10">
            <v>537075335.29999995</v>
          </cell>
          <cell r="C10">
            <v>0</v>
          </cell>
          <cell r="E10">
            <v>1208628133.3</v>
          </cell>
          <cell r="F10">
            <v>671552798</v>
          </cell>
        </row>
        <row r="11">
          <cell r="A11">
            <v>2014129</v>
          </cell>
          <cell r="B11">
            <v>2701704.87</v>
          </cell>
          <cell r="C11">
            <v>989420.08</v>
          </cell>
          <cell r="E11">
            <v>4763398.99</v>
          </cell>
          <cell r="F11">
            <v>2061694.12</v>
          </cell>
          <cell r="G11">
            <v>1970176.06</v>
          </cell>
          <cell r="H11">
            <v>980755.98</v>
          </cell>
        </row>
        <row r="12">
          <cell r="A12">
            <v>2180881</v>
          </cell>
          <cell r="B12">
            <v>24203069.649999999</v>
          </cell>
          <cell r="C12">
            <v>1784681.53</v>
          </cell>
          <cell r="E12">
            <v>39932365.609999999</v>
          </cell>
          <cell r="F12">
            <v>15729295.960000001</v>
          </cell>
          <cell r="G12">
            <v>3151424.55</v>
          </cell>
          <cell r="H12">
            <v>1366743.02</v>
          </cell>
        </row>
        <row r="13">
          <cell r="A13">
            <v>2749986</v>
          </cell>
          <cell r="B13">
            <v>8254773.6500000004</v>
          </cell>
          <cell r="C13">
            <v>4190894.61</v>
          </cell>
          <cell r="E13">
            <v>14676185.470000001</v>
          </cell>
          <cell r="F13">
            <v>6421411.8200000003</v>
          </cell>
          <cell r="G13">
            <v>8845288.4700000007</v>
          </cell>
          <cell r="H13">
            <v>4654393.8600000003</v>
          </cell>
        </row>
        <row r="14">
          <cell r="A14">
            <v>2015538</v>
          </cell>
          <cell r="B14">
            <v>1408331769.4000001</v>
          </cell>
          <cell r="C14">
            <v>687150431.79999995</v>
          </cell>
          <cell r="E14">
            <v>1703709194.5999999</v>
          </cell>
          <cell r="F14">
            <v>295377425.19999999</v>
          </cell>
          <cell r="G14">
            <v>848492954.60000002</v>
          </cell>
          <cell r="H14">
            <v>161342522.80000001</v>
          </cell>
        </row>
        <row r="15">
          <cell r="A15">
            <v>6008296</v>
          </cell>
          <cell r="B15">
            <v>1042987.73</v>
          </cell>
          <cell r="C15">
            <v>461715.4</v>
          </cell>
          <cell r="E15">
            <v>2917105.33</v>
          </cell>
          <cell r="F15">
            <v>1874117.6</v>
          </cell>
          <cell r="G15">
            <v>925578.5</v>
          </cell>
          <cell r="H15">
            <v>463863.1</v>
          </cell>
        </row>
        <row r="16">
          <cell r="A16">
            <v>2015568</v>
          </cell>
          <cell r="B16">
            <v>50300477787.25</v>
          </cell>
          <cell r="C16">
            <v>31143246264.5</v>
          </cell>
          <cell r="E16">
            <v>57918777521.25</v>
          </cell>
          <cell r="F16">
            <v>7618299734</v>
          </cell>
          <cell r="G16">
            <v>35156253155</v>
          </cell>
          <cell r="H16">
            <v>4013006890.5</v>
          </cell>
        </row>
        <row r="17">
          <cell r="A17">
            <v>2010595</v>
          </cell>
          <cell r="B17">
            <v>3475972.94</v>
          </cell>
          <cell r="C17">
            <v>1554781.36</v>
          </cell>
          <cell r="E17">
            <v>6091756.2599999998</v>
          </cell>
          <cell r="F17">
            <v>2615783.3199999998</v>
          </cell>
          <cell r="G17">
            <v>2568362.79</v>
          </cell>
          <cell r="H17">
            <v>1013581.43</v>
          </cell>
        </row>
        <row r="18">
          <cell r="A18">
            <v>2215442</v>
          </cell>
          <cell r="B18">
            <v>38568102.68</v>
          </cell>
          <cell r="C18">
            <v>19364838.18</v>
          </cell>
          <cell r="E18">
            <v>54069717.460000001</v>
          </cell>
          <cell r="F18">
            <v>15501614.779999999</v>
          </cell>
          <cell r="G18">
            <v>26491227.100000001</v>
          </cell>
          <cell r="H18">
            <v>7126388.9199999999</v>
          </cell>
        </row>
        <row r="19">
          <cell r="A19">
            <v>9518990</v>
          </cell>
          <cell r="B19">
            <v>3484.68</v>
          </cell>
          <cell r="C19">
            <v>26539.88</v>
          </cell>
          <cell r="E19">
            <v>104219.56</v>
          </cell>
          <cell r="F19">
            <v>100734.88</v>
          </cell>
          <cell r="G19">
            <v>104219.56</v>
          </cell>
          <cell r="H19">
            <v>77679.679999999993</v>
          </cell>
        </row>
        <row r="20">
          <cell r="A20">
            <v>9524495</v>
          </cell>
          <cell r="B20">
            <v>32889395.41</v>
          </cell>
          <cell r="C20">
            <v>49529789.130000003</v>
          </cell>
          <cell r="E20">
            <v>127476038.2</v>
          </cell>
          <cell r="F20">
            <v>94586642.790000007</v>
          </cell>
          <cell r="G20">
            <v>127476038.2</v>
          </cell>
          <cell r="H20">
            <v>77946249.069999993</v>
          </cell>
        </row>
        <row r="21">
          <cell r="A21">
            <v>2015577</v>
          </cell>
          <cell r="B21">
            <v>17246821389.509998</v>
          </cell>
          <cell r="C21">
            <v>6189598825.1499996</v>
          </cell>
          <cell r="E21">
            <v>21197037490.41</v>
          </cell>
          <cell r="F21">
            <v>3950216100.9000001</v>
          </cell>
          <cell r="G21">
            <v>7329357493.8100004</v>
          </cell>
          <cell r="H21">
            <v>1139758668.6600001</v>
          </cell>
        </row>
        <row r="22">
          <cell r="A22">
            <v>2073756</v>
          </cell>
          <cell r="B22">
            <v>187025036.25</v>
          </cell>
          <cell r="C22">
            <v>147573930.44999999</v>
          </cell>
          <cell r="E22">
            <v>237724493.75</v>
          </cell>
          <cell r="F22">
            <v>50699457.5</v>
          </cell>
          <cell r="G22">
            <v>177201078.25</v>
          </cell>
          <cell r="H22">
            <v>29627147.800000001</v>
          </cell>
        </row>
        <row r="23">
          <cell r="A23">
            <v>2015613</v>
          </cell>
          <cell r="B23">
            <v>11090764659.76</v>
          </cell>
          <cell r="C23">
            <v>5716951189.5100002</v>
          </cell>
          <cell r="E23">
            <v>12777927545.91</v>
          </cell>
          <cell r="F23">
            <v>1687162886.1500001</v>
          </cell>
          <cell r="G23">
            <v>6610568726.0100002</v>
          </cell>
          <cell r="H23">
            <v>893617536.5</v>
          </cell>
        </row>
        <row r="24">
          <cell r="A24">
            <v>2015590</v>
          </cell>
          <cell r="B24">
            <v>181530626.97999999</v>
          </cell>
          <cell r="C24">
            <v>106666397.95999999</v>
          </cell>
          <cell r="E24">
            <v>257880270.66999999</v>
          </cell>
          <cell r="F24">
            <v>76349643.689999998</v>
          </cell>
          <cell r="G24">
            <v>158309089.13999999</v>
          </cell>
          <cell r="H24">
            <v>51642691.18</v>
          </cell>
        </row>
        <row r="25">
          <cell r="A25">
            <v>2015660</v>
          </cell>
          <cell r="B25">
            <v>173516712.63</v>
          </cell>
          <cell r="C25">
            <v>48793147.380000003</v>
          </cell>
          <cell r="E25">
            <v>266348705.5</v>
          </cell>
          <cell r="F25">
            <v>92831992.870000005</v>
          </cell>
          <cell r="G25">
            <v>75508214.599999994</v>
          </cell>
          <cell r="H25">
            <v>26715067.219999999</v>
          </cell>
        </row>
        <row r="26">
          <cell r="A26">
            <v>2015650</v>
          </cell>
          <cell r="B26">
            <v>2138218038.5</v>
          </cell>
          <cell r="C26">
            <v>1350030049.4000001</v>
          </cell>
          <cell r="E26">
            <v>3089035175.3000002</v>
          </cell>
          <cell r="F26">
            <v>950817136.79999995</v>
          </cell>
          <cell r="G26">
            <v>2163029855.9000001</v>
          </cell>
          <cell r="H26">
            <v>812999806.5</v>
          </cell>
        </row>
        <row r="27">
          <cell r="A27">
            <v>9199282</v>
          </cell>
          <cell r="B27">
            <v>85841740.629999995</v>
          </cell>
          <cell r="C27">
            <v>14023095.550000001</v>
          </cell>
          <cell r="E27">
            <v>160592844.56999999</v>
          </cell>
          <cell r="F27">
            <v>74751103.939999998</v>
          </cell>
          <cell r="G27">
            <v>25504187.18</v>
          </cell>
          <cell r="H27">
            <v>11481091.630000001</v>
          </cell>
        </row>
        <row r="28">
          <cell r="A28">
            <v>2394972</v>
          </cell>
          <cell r="B28">
            <v>37697471</v>
          </cell>
          <cell r="C28">
            <v>16193842</v>
          </cell>
          <cell r="E28">
            <v>51180515</v>
          </cell>
          <cell r="F28">
            <v>13483044</v>
          </cell>
          <cell r="G28">
            <v>22243561</v>
          </cell>
          <cell r="H28">
            <v>6049719</v>
          </cell>
        </row>
        <row r="29">
          <cell r="A29">
            <v>2014119</v>
          </cell>
          <cell r="B29">
            <v>310491591.76999998</v>
          </cell>
          <cell r="C29">
            <v>256286282.87</v>
          </cell>
          <cell r="E29">
            <v>713546895.10000002</v>
          </cell>
          <cell r="F29">
            <v>403055303.32999998</v>
          </cell>
          <cell r="G29">
            <v>510533843.33999997</v>
          </cell>
          <cell r="H29">
            <v>254247560.47</v>
          </cell>
        </row>
        <row r="30">
          <cell r="A30">
            <v>2014006</v>
          </cell>
          <cell r="B30">
            <v>60595204.049999997</v>
          </cell>
          <cell r="C30">
            <v>39558295.020000003</v>
          </cell>
          <cell r="E30">
            <v>78170389.079999998</v>
          </cell>
          <cell r="F30">
            <v>17575185.030000001</v>
          </cell>
          <cell r="G30">
            <v>50068787.859999999</v>
          </cell>
          <cell r="H30">
            <v>10510492.84</v>
          </cell>
        </row>
        <row r="31">
          <cell r="A31">
            <v>2015676</v>
          </cell>
          <cell r="B31">
            <v>35201493.950000003</v>
          </cell>
          <cell r="C31">
            <v>15705001.800000001</v>
          </cell>
          <cell r="E31">
            <v>50853219.350000001</v>
          </cell>
          <cell r="F31">
            <v>15651725.4</v>
          </cell>
          <cell r="G31">
            <v>26268115.199999999</v>
          </cell>
          <cell r="H31">
            <v>10563113.4</v>
          </cell>
        </row>
        <row r="32">
          <cell r="A32">
            <v>2015670</v>
          </cell>
          <cell r="B32">
            <v>4310736591.75</v>
          </cell>
          <cell r="C32">
            <v>2305302669.6700001</v>
          </cell>
          <cell r="E32">
            <v>5358722788.8800001</v>
          </cell>
          <cell r="F32">
            <v>1047986197.13</v>
          </cell>
          <cell r="G32">
            <v>2898394654.9400001</v>
          </cell>
          <cell r="H32">
            <v>593091985.26999998</v>
          </cell>
        </row>
        <row r="33">
          <cell r="A33">
            <v>2014174</v>
          </cell>
          <cell r="B33">
            <v>2371475.58</v>
          </cell>
          <cell r="C33">
            <v>1945262.4</v>
          </cell>
          <cell r="E33">
            <v>5464920.5199999996</v>
          </cell>
          <cell r="F33">
            <v>3093444.94</v>
          </cell>
          <cell r="G33">
            <v>3884537.66</v>
          </cell>
          <cell r="H33">
            <v>1939275.26</v>
          </cell>
        </row>
        <row r="34">
          <cell r="A34">
            <v>2010588</v>
          </cell>
          <cell r="B34">
            <v>19623618.399999999</v>
          </cell>
          <cell r="C34">
            <v>5899499.9900000002</v>
          </cell>
          <cell r="E34">
            <v>28787735.780000001</v>
          </cell>
          <cell r="F34">
            <v>9164117.3800000008</v>
          </cell>
          <cell r="G34">
            <v>9167369.1300000008</v>
          </cell>
          <cell r="H34">
            <v>3267869.14</v>
          </cell>
        </row>
        <row r="35">
          <cell r="A35">
            <v>2014095</v>
          </cell>
          <cell r="B35">
            <v>7135109.8399999999</v>
          </cell>
          <cell r="C35">
            <v>2947406.8</v>
          </cell>
          <cell r="E35">
            <v>12350409.02</v>
          </cell>
          <cell r="F35">
            <v>5215299.18</v>
          </cell>
          <cell r="G35">
            <v>4828125.9400000004</v>
          </cell>
          <cell r="H35">
            <v>1880719.14</v>
          </cell>
        </row>
        <row r="36">
          <cell r="A36">
            <v>2010600</v>
          </cell>
          <cell r="B36">
            <v>18755378297.709999</v>
          </cell>
          <cell r="C36">
            <v>9471172412.3899994</v>
          </cell>
          <cell r="E36">
            <v>21461694773.57</v>
          </cell>
          <cell r="F36">
            <v>2706316475.8600001</v>
          </cell>
          <cell r="G36">
            <v>10618216716.790001</v>
          </cell>
          <cell r="H36">
            <v>1147044304.4000001</v>
          </cell>
        </row>
        <row r="37">
          <cell r="A37">
            <v>2110265</v>
          </cell>
          <cell r="B37">
            <v>56315262.700000003</v>
          </cell>
          <cell r="C37">
            <v>27519975.899999999</v>
          </cell>
          <cell r="E37">
            <v>78423057.200000003</v>
          </cell>
          <cell r="F37">
            <v>22107794.5</v>
          </cell>
          <cell r="G37">
            <v>42108322.399999999</v>
          </cell>
          <cell r="H37">
            <v>14588346.5</v>
          </cell>
        </row>
        <row r="38">
          <cell r="A38">
            <v>2015507</v>
          </cell>
          <cell r="B38">
            <v>323901524</v>
          </cell>
          <cell r="C38">
            <v>156894717.63</v>
          </cell>
          <cell r="E38">
            <v>435277356.25999999</v>
          </cell>
          <cell r="F38">
            <v>111375832.26000001</v>
          </cell>
          <cell r="G38">
            <v>189818373.22</v>
          </cell>
          <cell r="H38">
            <v>32923655.59</v>
          </cell>
        </row>
        <row r="39">
          <cell r="A39">
            <v>2043486</v>
          </cell>
          <cell r="B39">
            <v>65065024</v>
          </cell>
          <cell r="C39">
            <v>31176852</v>
          </cell>
          <cell r="E39">
            <v>89923572</v>
          </cell>
          <cell r="F39">
            <v>24858548</v>
          </cell>
          <cell r="G39">
            <v>43183282</v>
          </cell>
          <cell r="H39">
            <v>12006430</v>
          </cell>
        </row>
        <row r="40">
          <cell r="A40">
            <v>2015478</v>
          </cell>
          <cell r="B40">
            <v>65155277.799999997</v>
          </cell>
          <cell r="C40">
            <v>37679128.600000001</v>
          </cell>
          <cell r="E40">
            <v>82565563.200000003</v>
          </cell>
          <cell r="F40">
            <v>17410285.399999999</v>
          </cell>
          <cell r="G40">
            <v>46391889.799999997</v>
          </cell>
          <cell r="H40">
            <v>8712761.1999999993</v>
          </cell>
        </row>
        <row r="41">
          <cell r="A41">
            <v>2015664</v>
          </cell>
          <cell r="B41">
            <v>1137067617.5599999</v>
          </cell>
          <cell r="C41">
            <v>844549471.40999997</v>
          </cell>
          <cell r="E41">
            <v>1490684050.8499999</v>
          </cell>
          <cell r="F41">
            <v>353616433.29000002</v>
          </cell>
          <cell r="G41">
            <v>1065569925.79</v>
          </cell>
          <cell r="H41">
            <v>221020454.38</v>
          </cell>
        </row>
        <row r="42">
          <cell r="A42">
            <v>2014139</v>
          </cell>
          <cell r="B42">
            <v>21992183.5</v>
          </cell>
          <cell r="C42">
            <v>14835276</v>
          </cell>
          <cell r="E42">
            <v>36524456</v>
          </cell>
          <cell r="F42">
            <v>14532272.5</v>
          </cell>
          <cell r="G42">
            <v>24038525</v>
          </cell>
          <cell r="H42">
            <v>9203249</v>
          </cell>
        </row>
        <row r="43">
          <cell r="A43">
            <v>2015679</v>
          </cell>
          <cell r="B43">
            <v>7986572851.6000004</v>
          </cell>
          <cell r="C43">
            <v>4936784056.3999996</v>
          </cell>
          <cell r="E43">
            <v>9331021814</v>
          </cell>
          <cell r="F43">
            <v>1344448962.4000001</v>
          </cell>
          <cell r="G43">
            <v>5645199135.8000002</v>
          </cell>
          <cell r="H43">
            <v>708415079.39999998</v>
          </cell>
        </row>
        <row r="44">
          <cell r="A44">
            <v>2014175</v>
          </cell>
          <cell r="B44">
            <v>36018037.75</v>
          </cell>
          <cell r="C44">
            <v>21804764.399999999</v>
          </cell>
          <cell r="E44">
            <v>50882533.700000003</v>
          </cell>
          <cell r="F44">
            <v>14864495.949999999</v>
          </cell>
          <cell r="G44">
            <v>30457842.050000001</v>
          </cell>
          <cell r="H44">
            <v>8653077.6500000004</v>
          </cell>
        </row>
        <row r="45">
          <cell r="A45">
            <v>2015541</v>
          </cell>
          <cell r="B45">
            <v>294407116.41000003</v>
          </cell>
          <cell r="C45">
            <v>213809487.94</v>
          </cell>
          <cell r="E45">
            <v>386873559.66000003</v>
          </cell>
          <cell r="F45">
            <v>92466443.25</v>
          </cell>
          <cell r="G45">
            <v>267385145.43000001</v>
          </cell>
          <cell r="H45">
            <v>53575657.490000002</v>
          </cell>
        </row>
        <row r="46">
          <cell r="A46">
            <v>2015665</v>
          </cell>
          <cell r="B46">
            <v>173585766.63999999</v>
          </cell>
          <cell r="C46">
            <v>41325976.710000001</v>
          </cell>
          <cell r="E46">
            <v>261984074.16</v>
          </cell>
          <cell r="F46">
            <v>88398307.519999996</v>
          </cell>
          <cell r="G46">
            <v>61198510.310000002</v>
          </cell>
          <cell r="H46">
            <v>19872533.600000001</v>
          </cell>
        </row>
        <row r="47">
          <cell r="A47">
            <v>9292146</v>
          </cell>
          <cell r="B47">
            <v>20499914.780000001</v>
          </cell>
          <cell r="C47">
            <v>15935190.74</v>
          </cell>
          <cell r="E47">
            <v>34349607.899999999</v>
          </cell>
          <cell r="F47">
            <v>13849693.119999999</v>
          </cell>
          <cell r="G47">
            <v>21107816.920000002</v>
          </cell>
          <cell r="H47">
            <v>5172626.18</v>
          </cell>
        </row>
        <row r="48">
          <cell r="A48">
            <v>2014109</v>
          </cell>
          <cell r="B48">
            <v>58336341</v>
          </cell>
          <cell r="C48">
            <v>16640839.41</v>
          </cell>
          <cell r="E48">
            <v>76492892.480000004</v>
          </cell>
          <cell r="F48">
            <v>18156551.48</v>
          </cell>
          <cell r="G48">
            <v>24451096.039999999</v>
          </cell>
          <cell r="H48">
            <v>7810256.6299999999</v>
          </cell>
        </row>
        <row r="49">
          <cell r="A49">
            <v>2015570</v>
          </cell>
          <cell r="B49">
            <v>66650786.549999997</v>
          </cell>
          <cell r="C49">
            <v>27000434.5</v>
          </cell>
          <cell r="E49">
            <v>118159603.40000001</v>
          </cell>
          <cell r="F49">
            <v>51508816.850000001</v>
          </cell>
          <cell r="G49">
            <v>39182974.350000001</v>
          </cell>
          <cell r="H49">
            <v>12182539.85</v>
          </cell>
        </row>
        <row r="50">
          <cell r="A50">
            <v>2014115</v>
          </cell>
          <cell r="B50">
            <v>39204617.700000003</v>
          </cell>
          <cell r="C50">
            <v>13025828.75</v>
          </cell>
          <cell r="E50">
            <v>71939192.150000006</v>
          </cell>
          <cell r="F50">
            <v>32734574.449999999</v>
          </cell>
          <cell r="G50">
            <v>27811187.030000001</v>
          </cell>
          <cell r="H50">
            <v>14785358.279999999</v>
          </cell>
        </row>
        <row r="51">
          <cell r="A51">
            <v>2015683</v>
          </cell>
          <cell r="B51">
            <v>32467661.84</v>
          </cell>
          <cell r="C51">
            <v>0</v>
          </cell>
          <cell r="E51">
            <v>213182719.28999999</v>
          </cell>
          <cell r="F51">
            <v>180715057.44999999</v>
          </cell>
        </row>
        <row r="52">
          <cell r="A52">
            <v>2015567</v>
          </cell>
          <cell r="B52">
            <v>227417928.41</v>
          </cell>
          <cell r="C52">
            <v>150808882.47999999</v>
          </cell>
          <cell r="E52">
            <v>305300178.25999999</v>
          </cell>
          <cell r="F52">
            <v>77882249.849999994</v>
          </cell>
          <cell r="G52">
            <v>205070672.94999999</v>
          </cell>
          <cell r="H52">
            <v>54261790.469999999</v>
          </cell>
        </row>
        <row r="53">
          <cell r="A53">
            <v>2015602</v>
          </cell>
          <cell r="B53">
            <v>751717266.19000006</v>
          </cell>
          <cell r="C53">
            <v>217148615.41999999</v>
          </cell>
          <cell r="E53">
            <v>1010238097.98</v>
          </cell>
          <cell r="F53">
            <v>258520831.78999999</v>
          </cell>
          <cell r="G53">
            <v>319380359.80000001</v>
          </cell>
          <cell r="H53">
            <v>102231744.38</v>
          </cell>
        </row>
        <row r="54">
          <cell r="A54">
            <v>2566536</v>
          </cell>
          <cell r="B54">
            <v>1258852343.0799999</v>
          </cell>
          <cell r="C54">
            <v>655930279.17999995</v>
          </cell>
          <cell r="E54">
            <v>1543684532.3299999</v>
          </cell>
          <cell r="F54">
            <v>284832189.25</v>
          </cell>
          <cell r="G54">
            <v>825554838.08000004</v>
          </cell>
          <cell r="H54">
            <v>169624558.90000001</v>
          </cell>
        </row>
        <row r="55">
          <cell r="A55">
            <v>2145327</v>
          </cell>
          <cell r="B55">
            <v>24718494.010000002</v>
          </cell>
          <cell r="C55">
            <v>13257632.949999999</v>
          </cell>
          <cell r="E55">
            <v>31643106.359999999</v>
          </cell>
          <cell r="F55">
            <v>6924612.3499999996</v>
          </cell>
          <cell r="G55">
            <v>17117953.309999999</v>
          </cell>
          <cell r="H55">
            <v>3860320.36</v>
          </cell>
        </row>
        <row r="56">
          <cell r="A56">
            <v>2014188</v>
          </cell>
          <cell r="B56">
            <v>5806306</v>
          </cell>
          <cell r="C56">
            <v>1899961.3</v>
          </cell>
          <cell r="E56">
            <v>16919886</v>
          </cell>
          <cell r="F56">
            <v>11113580</v>
          </cell>
          <cell r="G56">
            <v>7091051.7999999998</v>
          </cell>
          <cell r="H56">
            <v>5191090.5</v>
          </cell>
        </row>
        <row r="57">
          <cell r="A57">
            <v>2998824</v>
          </cell>
          <cell r="B57">
            <v>22778978.100000001</v>
          </cell>
          <cell r="C57">
            <v>11365086</v>
          </cell>
          <cell r="E57">
            <v>35953349.100000001</v>
          </cell>
          <cell r="F57">
            <v>13174371</v>
          </cell>
          <cell r="G57">
            <v>18712345</v>
          </cell>
          <cell r="H57">
            <v>7347259</v>
          </cell>
        </row>
        <row r="58">
          <cell r="A58">
            <v>2078419</v>
          </cell>
          <cell r="B58">
            <v>7364638.9000000004</v>
          </cell>
          <cell r="C58">
            <v>3573385.62</v>
          </cell>
          <cell r="E58">
            <v>10570795.17</v>
          </cell>
          <cell r="F58">
            <v>3206156.27</v>
          </cell>
          <cell r="G58">
            <v>4883275.42</v>
          </cell>
          <cell r="H58">
            <v>1309889.8</v>
          </cell>
        </row>
        <row r="59">
          <cell r="A59">
            <v>2014096</v>
          </cell>
          <cell r="B59">
            <v>178075973.80000001</v>
          </cell>
          <cell r="C59">
            <v>55609022.380000003</v>
          </cell>
          <cell r="E59">
            <v>294014085.26999998</v>
          </cell>
          <cell r="F59">
            <v>115938111.47</v>
          </cell>
          <cell r="G59">
            <v>69231708.120000005</v>
          </cell>
          <cell r="H59">
            <v>13622685.74</v>
          </cell>
        </row>
        <row r="60">
          <cell r="A60">
            <v>2166227</v>
          </cell>
          <cell r="B60">
            <v>24875544.719999999</v>
          </cell>
          <cell r="C60">
            <v>17135575.170000002</v>
          </cell>
          <cell r="E60">
            <v>40496357.82</v>
          </cell>
          <cell r="F60">
            <v>15620813.1</v>
          </cell>
          <cell r="G60">
            <v>28764641.289999999</v>
          </cell>
          <cell r="H60">
            <v>11629066.119999999</v>
          </cell>
        </row>
        <row r="61">
          <cell r="A61">
            <v>2014187</v>
          </cell>
          <cell r="B61">
            <v>14221348</v>
          </cell>
          <cell r="C61">
            <v>9665750</v>
          </cell>
          <cell r="E61">
            <v>21254874</v>
          </cell>
          <cell r="F61">
            <v>7033526</v>
          </cell>
          <cell r="G61">
            <v>13411586</v>
          </cell>
          <cell r="H61">
            <v>3745836</v>
          </cell>
        </row>
        <row r="62">
          <cell r="A62">
            <v>9518991</v>
          </cell>
          <cell r="B62">
            <v>309.41000000000003</v>
          </cell>
          <cell r="C62">
            <v>23399.57</v>
          </cell>
          <cell r="E62">
            <v>134062.34</v>
          </cell>
          <cell r="F62">
            <v>133752.93</v>
          </cell>
          <cell r="G62">
            <v>134062.34</v>
          </cell>
          <cell r="H62">
            <v>110662.77</v>
          </cell>
        </row>
        <row r="63">
          <cell r="A63">
            <v>2015521</v>
          </cell>
          <cell r="B63">
            <v>146482567.56999999</v>
          </cell>
          <cell r="C63">
            <v>73209305.200000003</v>
          </cell>
          <cell r="E63">
            <v>194500461.36000001</v>
          </cell>
          <cell r="F63">
            <v>48017893.789999999</v>
          </cell>
          <cell r="G63">
            <v>95541580.040000007</v>
          </cell>
          <cell r="H63">
            <v>22332274.84</v>
          </cell>
        </row>
        <row r="64">
          <cell r="A64">
            <v>2153253</v>
          </cell>
          <cell r="B64">
            <v>115159437.86</v>
          </cell>
          <cell r="C64">
            <v>46619922.759999998</v>
          </cell>
          <cell r="E64">
            <v>149822564.69999999</v>
          </cell>
          <cell r="F64">
            <v>34663126.840000004</v>
          </cell>
          <cell r="G64">
            <v>67060906.079999998</v>
          </cell>
          <cell r="H64">
            <v>20440983.32</v>
          </cell>
        </row>
        <row r="65">
          <cell r="A65">
            <v>2015624</v>
          </cell>
          <cell r="B65">
            <v>61910460030.800003</v>
          </cell>
          <cell r="C65">
            <v>32828978846.200001</v>
          </cell>
          <cell r="E65">
            <v>69213429996.800003</v>
          </cell>
          <cell r="F65">
            <v>7302969966</v>
          </cell>
          <cell r="G65">
            <v>36374548437.099998</v>
          </cell>
          <cell r="H65">
            <v>3545569590.9000001</v>
          </cell>
        </row>
        <row r="66">
          <cell r="A66">
            <v>2362799</v>
          </cell>
          <cell r="B66">
            <v>1946947.86</v>
          </cell>
          <cell r="C66">
            <v>0</v>
          </cell>
          <cell r="E66">
            <v>4182906.27</v>
          </cell>
          <cell r="F66">
            <v>2235958.41</v>
          </cell>
        </row>
        <row r="67">
          <cell r="A67">
            <v>2014176</v>
          </cell>
          <cell r="B67">
            <v>312299665.32999998</v>
          </cell>
          <cell r="C67">
            <v>169562753.34</v>
          </cell>
          <cell r="E67">
            <v>369225301.08999997</v>
          </cell>
          <cell r="F67">
            <v>56925635.759999998</v>
          </cell>
          <cell r="G67">
            <v>198840291</v>
          </cell>
          <cell r="H67">
            <v>29277537.66</v>
          </cell>
        </row>
        <row r="68">
          <cell r="A68">
            <v>2014101</v>
          </cell>
          <cell r="B68">
            <v>19708583.050000001</v>
          </cell>
          <cell r="C68">
            <v>5237231.7699999996</v>
          </cell>
          <cell r="E68">
            <v>37073834.039999999</v>
          </cell>
          <cell r="F68">
            <v>17365250.989999998</v>
          </cell>
          <cell r="G68">
            <v>7467566.5999999996</v>
          </cell>
          <cell r="H68">
            <v>2230334.83</v>
          </cell>
        </row>
        <row r="69">
          <cell r="A69">
            <v>2014097</v>
          </cell>
          <cell r="B69">
            <v>42741930.280000001</v>
          </cell>
          <cell r="C69">
            <v>46355658.229999997</v>
          </cell>
          <cell r="E69">
            <v>77231273.069999993</v>
          </cell>
          <cell r="F69">
            <v>34489342.789999999</v>
          </cell>
          <cell r="G69">
            <v>66900037.130000003</v>
          </cell>
          <cell r="H69">
            <v>20544378.899999999</v>
          </cell>
        </row>
        <row r="70">
          <cell r="A70">
            <v>2015606</v>
          </cell>
          <cell r="B70">
            <v>252143606.11000001</v>
          </cell>
          <cell r="C70">
            <v>132849403.90000001</v>
          </cell>
          <cell r="E70">
            <v>307683656.61000001</v>
          </cell>
          <cell r="F70">
            <v>55540050.5</v>
          </cell>
          <cell r="G70">
            <v>162012405.15000001</v>
          </cell>
          <cell r="H70">
            <v>29163001.25</v>
          </cell>
        </row>
        <row r="71">
          <cell r="A71">
            <v>2015593</v>
          </cell>
          <cell r="B71">
            <v>3271303782.5799999</v>
          </cell>
          <cell r="C71">
            <v>1988812558.04</v>
          </cell>
          <cell r="E71">
            <v>3770051092.96</v>
          </cell>
          <cell r="F71">
            <v>498747310.38</v>
          </cell>
          <cell r="G71">
            <v>2232272420.5999999</v>
          </cell>
          <cell r="H71">
            <v>243459862.56</v>
          </cell>
        </row>
        <row r="72">
          <cell r="A72">
            <v>2015574</v>
          </cell>
          <cell r="B72">
            <v>41932683463.849998</v>
          </cell>
          <cell r="C72">
            <v>18945979832.5</v>
          </cell>
          <cell r="E72">
            <v>49832926556.800003</v>
          </cell>
          <cell r="F72">
            <v>7900243092.9499998</v>
          </cell>
          <cell r="G72">
            <v>21670697322.400002</v>
          </cell>
          <cell r="H72">
            <v>2724717489.9000001</v>
          </cell>
        </row>
        <row r="73">
          <cell r="A73">
            <v>9522879</v>
          </cell>
          <cell r="B73">
            <v>1365731.18</v>
          </cell>
          <cell r="C73">
            <v>3470206.08</v>
          </cell>
          <cell r="E73">
            <v>8937300.1400000006</v>
          </cell>
          <cell r="F73">
            <v>7571568.96</v>
          </cell>
          <cell r="G73">
            <v>8937300.1400000006</v>
          </cell>
          <cell r="H73">
            <v>5467094.0599999996</v>
          </cell>
        </row>
        <row r="74">
          <cell r="A74">
            <v>2015540</v>
          </cell>
          <cell r="B74">
            <v>20506742552.93</v>
          </cell>
          <cell r="C74">
            <v>10788137110.700001</v>
          </cell>
          <cell r="E74">
            <v>23501085007.27</v>
          </cell>
          <cell r="F74">
            <v>2994342454.3400002</v>
          </cell>
          <cell r="G74">
            <v>12199845358.65</v>
          </cell>
          <cell r="H74">
            <v>1411708247.95</v>
          </cell>
        </row>
        <row r="75">
          <cell r="A75">
            <v>2015569</v>
          </cell>
          <cell r="B75">
            <v>1381561020.0899999</v>
          </cell>
          <cell r="C75">
            <v>861626562.96000004</v>
          </cell>
          <cell r="E75">
            <v>1823833268.6900001</v>
          </cell>
          <cell r="F75">
            <v>442272248.60000002</v>
          </cell>
          <cell r="G75">
            <v>1132335461.8399999</v>
          </cell>
          <cell r="H75">
            <v>270708898.88</v>
          </cell>
        </row>
        <row r="76">
          <cell r="A76">
            <v>2015604</v>
          </cell>
          <cell r="B76">
            <v>4429180683.3000002</v>
          </cell>
          <cell r="C76">
            <v>2575876929.4000001</v>
          </cell>
          <cell r="E76">
            <v>5501478801.5</v>
          </cell>
          <cell r="F76">
            <v>1072298118.2</v>
          </cell>
          <cell r="G76">
            <v>3378100411.8000002</v>
          </cell>
          <cell r="H76">
            <v>802223482.39999998</v>
          </cell>
        </row>
        <row r="77">
          <cell r="A77">
            <v>2266508</v>
          </cell>
          <cell r="B77">
            <v>119810187.8</v>
          </cell>
          <cell r="C77">
            <v>34215116.32</v>
          </cell>
          <cell r="E77">
            <v>295250534.08999997</v>
          </cell>
          <cell r="F77">
            <v>175440346.28999999</v>
          </cell>
          <cell r="G77">
            <v>101918579.2</v>
          </cell>
          <cell r="H77">
            <v>67703462.879999995</v>
          </cell>
        </row>
        <row r="78">
          <cell r="A78">
            <v>2015535</v>
          </cell>
          <cell r="B78">
            <v>655071847.60000002</v>
          </cell>
          <cell r="C78">
            <v>298947498.55000001</v>
          </cell>
          <cell r="E78">
            <v>819903170.29999995</v>
          </cell>
          <cell r="F78">
            <v>164831322.69999999</v>
          </cell>
          <cell r="G78">
            <v>382572083.60000002</v>
          </cell>
          <cell r="H78">
            <v>83624585.049999997</v>
          </cell>
        </row>
        <row r="79">
          <cell r="A79">
            <v>2166226</v>
          </cell>
          <cell r="B79">
            <v>69293751.390000001</v>
          </cell>
          <cell r="C79">
            <v>30591101.370000001</v>
          </cell>
          <cell r="E79">
            <v>87490154.319999993</v>
          </cell>
          <cell r="F79">
            <v>18196402.93</v>
          </cell>
          <cell r="G79">
            <v>40596811.340000004</v>
          </cell>
          <cell r="H79">
            <v>10005709.970000001</v>
          </cell>
        </row>
        <row r="80">
          <cell r="A80">
            <v>2015677</v>
          </cell>
          <cell r="B80">
            <v>1109904750.4000001</v>
          </cell>
          <cell r="C80">
            <v>745501396.5</v>
          </cell>
          <cell r="E80">
            <v>1406534016.4000001</v>
          </cell>
          <cell r="F80">
            <v>296629266</v>
          </cell>
          <cell r="G80">
            <v>941992799.29999995</v>
          </cell>
          <cell r="H80">
            <v>196491402.80000001</v>
          </cell>
        </row>
        <row r="81">
          <cell r="A81">
            <v>2014183</v>
          </cell>
          <cell r="B81">
            <v>100417641.89</v>
          </cell>
          <cell r="C81">
            <v>57926871.219999999</v>
          </cell>
          <cell r="E81">
            <v>127769814.76000001</v>
          </cell>
          <cell r="F81">
            <v>27352172.870000001</v>
          </cell>
          <cell r="G81">
            <v>70817703.379999995</v>
          </cell>
          <cell r="H81">
            <v>12890832.16</v>
          </cell>
        </row>
        <row r="82">
          <cell r="A82">
            <v>2167902</v>
          </cell>
          <cell r="B82">
            <v>1470725.3</v>
          </cell>
          <cell r="C82">
            <v>1528589.95</v>
          </cell>
          <cell r="E82">
            <v>2849786.2</v>
          </cell>
          <cell r="F82">
            <v>1379060.9</v>
          </cell>
          <cell r="G82">
            <v>2388240.4500000002</v>
          </cell>
          <cell r="H82">
            <v>859650.5</v>
          </cell>
        </row>
        <row r="83">
          <cell r="A83">
            <v>2248695</v>
          </cell>
          <cell r="B83">
            <v>624964144.23000002</v>
          </cell>
          <cell r="C83">
            <v>348468512.17000002</v>
          </cell>
          <cell r="E83">
            <v>782807449.87</v>
          </cell>
          <cell r="F83">
            <v>157843305.63999999</v>
          </cell>
          <cell r="G83">
            <v>421336339.83999997</v>
          </cell>
          <cell r="H83">
            <v>72867827.670000002</v>
          </cell>
        </row>
        <row r="84">
          <cell r="A84">
            <v>2348848</v>
          </cell>
          <cell r="B84">
            <v>3474031.2</v>
          </cell>
          <cell r="C84">
            <v>2306649.7200000002</v>
          </cell>
          <cell r="E84">
            <v>9641607.6799999997</v>
          </cell>
          <cell r="F84">
            <v>6167576.4800000004</v>
          </cell>
          <cell r="G84">
            <v>5237772.5</v>
          </cell>
          <cell r="H84">
            <v>2931122.78</v>
          </cell>
        </row>
        <row r="85">
          <cell r="A85">
            <v>9019935</v>
          </cell>
          <cell r="B85">
            <v>1378272.54</v>
          </cell>
          <cell r="C85">
            <v>852748.5</v>
          </cell>
          <cell r="E85">
            <v>3016676.67</v>
          </cell>
          <cell r="F85">
            <v>1638404.13</v>
          </cell>
          <cell r="G85">
            <v>1695495.5</v>
          </cell>
          <cell r="H85">
            <v>842747</v>
          </cell>
        </row>
        <row r="86">
          <cell r="A86">
            <v>2910735</v>
          </cell>
          <cell r="B86">
            <v>10158401.199999999</v>
          </cell>
          <cell r="C86">
            <v>1348672.1</v>
          </cell>
          <cell r="E86">
            <v>21590331.600000001</v>
          </cell>
          <cell r="F86">
            <v>11431930.4</v>
          </cell>
          <cell r="G86">
            <v>6473085.4000000004</v>
          </cell>
          <cell r="H86">
            <v>5124413.3</v>
          </cell>
        </row>
        <row r="87">
          <cell r="A87">
            <v>2015561</v>
          </cell>
          <cell r="B87">
            <v>3595129316.2600002</v>
          </cell>
          <cell r="C87">
            <v>2244259126.1300001</v>
          </cell>
          <cell r="E87">
            <v>4709228871.9499998</v>
          </cell>
          <cell r="F87">
            <v>1114099555.6900001</v>
          </cell>
          <cell r="G87">
            <v>2905512618.98</v>
          </cell>
          <cell r="H87">
            <v>661253492.85000002</v>
          </cell>
        </row>
        <row r="88">
          <cell r="A88">
            <v>9518926</v>
          </cell>
          <cell r="B88">
            <v>4994720.71</v>
          </cell>
          <cell r="C88">
            <v>7639988.0300000003</v>
          </cell>
          <cell r="E88">
            <v>15675467.550000001</v>
          </cell>
          <cell r="F88">
            <v>10680746.84</v>
          </cell>
          <cell r="G88">
            <v>15675467.550000001</v>
          </cell>
          <cell r="H88">
            <v>8035479.5199999996</v>
          </cell>
        </row>
        <row r="89">
          <cell r="A89">
            <v>2015667</v>
          </cell>
          <cell r="B89">
            <v>600259842.5</v>
          </cell>
          <cell r="C89">
            <v>0</v>
          </cell>
          <cell r="E89">
            <v>2182887261.3000002</v>
          </cell>
          <cell r="F89">
            <v>1582627418.8</v>
          </cell>
        </row>
        <row r="90">
          <cell r="A90">
            <v>2014180</v>
          </cell>
          <cell r="B90">
            <v>24098736.199999999</v>
          </cell>
          <cell r="C90">
            <v>10438022.300000001</v>
          </cell>
          <cell r="E90">
            <v>39950646.25</v>
          </cell>
          <cell r="F90">
            <v>15851910.050000001</v>
          </cell>
          <cell r="G90">
            <v>19147283.149999999</v>
          </cell>
          <cell r="H90">
            <v>8709260.8499999996</v>
          </cell>
        </row>
        <row r="91">
          <cell r="A91">
            <v>2023235</v>
          </cell>
          <cell r="B91">
            <v>943642022.90999997</v>
          </cell>
          <cell r="C91">
            <v>480330312.58999997</v>
          </cell>
          <cell r="E91">
            <v>1244802836.98</v>
          </cell>
          <cell r="F91">
            <v>301160814.06999999</v>
          </cell>
          <cell r="G91">
            <v>653538504.64999998</v>
          </cell>
          <cell r="H91">
            <v>173208192.06</v>
          </cell>
        </row>
        <row r="92">
          <cell r="A92">
            <v>2015553</v>
          </cell>
          <cell r="B92">
            <v>84979336.239999995</v>
          </cell>
          <cell r="C92">
            <v>38093867.350000001</v>
          </cell>
          <cell r="E92">
            <v>111322574.87</v>
          </cell>
          <cell r="F92">
            <v>26343238.629999999</v>
          </cell>
          <cell r="G92">
            <v>48512994.799999997</v>
          </cell>
          <cell r="H92">
            <v>10419127.449999999</v>
          </cell>
        </row>
        <row r="93">
          <cell r="A93">
            <v>2015668</v>
          </cell>
          <cell r="B93">
            <v>192642747.41</v>
          </cell>
          <cell r="C93">
            <v>88340281.969999999</v>
          </cell>
          <cell r="E93">
            <v>251589441.13</v>
          </cell>
          <cell r="F93">
            <v>58946693.719999999</v>
          </cell>
          <cell r="G93">
            <v>115287853.72</v>
          </cell>
          <cell r="H93">
            <v>26947571.75</v>
          </cell>
        </row>
        <row r="94">
          <cell r="A94">
            <v>2177916</v>
          </cell>
          <cell r="B94">
            <v>1402467967.1500001</v>
          </cell>
          <cell r="C94">
            <v>697525159.95000005</v>
          </cell>
          <cell r="E94">
            <v>1653613023.95</v>
          </cell>
          <cell r="F94">
            <v>251145056.80000001</v>
          </cell>
          <cell r="G94">
            <v>803107364.04999995</v>
          </cell>
          <cell r="H94">
            <v>105582204.09999999</v>
          </cell>
        </row>
        <row r="95">
          <cell r="A95">
            <v>2015654</v>
          </cell>
          <cell r="B95">
            <v>28720663.379999999</v>
          </cell>
          <cell r="C95">
            <v>15763148.42</v>
          </cell>
          <cell r="E95">
            <v>40636505.829999998</v>
          </cell>
          <cell r="F95">
            <v>11915842.449999999</v>
          </cell>
          <cell r="G95">
            <v>22549176.859999999</v>
          </cell>
          <cell r="H95">
            <v>6786028.4400000004</v>
          </cell>
        </row>
        <row r="96">
          <cell r="A96">
            <v>2043489</v>
          </cell>
          <cell r="B96">
            <v>37383464.549999997</v>
          </cell>
          <cell r="C96">
            <v>21709083.100000001</v>
          </cell>
          <cell r="E96">
            <v>50358393.630000003</v>
          </cell>
          <cell r="F96">
            <v>12974929.08</v>
          </cell>
          <cell r="G96">
            <v>28352435.280000001</v>
          </cell>
          <cell r="H96">
            <v>6643352.1799999997</v>
          </cell>
        </row>
        <row r="97">
          <cell r="A97">
            <v>2010592</v>
          </cell>
          <cell r="B97">
            <v>6937994.4199999999</v>
          </cell>
          <cell r="C97">
            <v>4246003</v>
          </cell>
          <cell r="E97">
            <v>10417989.880000001</v>
          </cell>
          <cell r="F97">
            <v>3479995.46</v>
          </cell>
          <cell r="G97">
            <v>5963858.4199999999</v>
          </cell>
          <cell r="H97">
            <v>1717855.42</v>
          </cell>
        </row>
        <row r="98">
          <cell r="A98">
            <v>2475427</v>
          </cell>
          <cell r="B98">
            <v>33834110</v>
          </cell>
          <cell r="C98">
            <v>21259029.5</v>
          </cell>
          <cell r="E98">
            <v>55371316.5</v>
          </cell>
          <cell r="F98">
            <v>21537206.5</v>
          </cell>
          <cell r="G98">
            <v>28891307</v>
          </cell>
          <cell r="H98">
            <v>7632277.5</v>
          </cell>
        </row>
        <row r="99">
          <cell r="A99">
            <v>2014104</v>
          </cell>
          <cell r="B99">
            <v>211861456.05000001</v>
          </cell>
          <cell r="C99">
            <v>75440737.900000006</v>
          </cell>
          <cell r="E99">
            <v>269692828.05000001</v>
          </cell>
          <cell r="F99">
            <v>57831372</v>
          </cell>
          <cell r="G99">
            <v>103876275.40000001</v>
          </cell>
          <cell r="H99">
            <v>28435537.5</v>
          </cell>
        </row>
        <row r="100">
          <cell r="A100">
            <v>2023243</v>
          </cell>
          <cell r="B100">
            <v>52789323.659999996</v>
          </cell>
          <cell r="C100">
            <v>40557408.700000003</v>
          </cell>
          <cell r="E100">
            <v>88653860.609999999</v>
          </cell>
          <cell r="F100">
            <v>35864536.950000003</v>
          </cell>
          <cell r="G100">
            <v>56740166.450000003</v>
          </cell>
          <cell r="H100">
            <v>16182757.75</v>
          </cell>
        </row>
        <row r="101">
          <cell r="A101">
            <v>2015663</v>
          </cell>
          <cell r="B101">
            <v>2500719173.5</v>
          </cell>
          <cell r="C101">
            <v>1187321456.25</v>
          </cell>
          <cell r="E101">
            <v>3183246290.0799999</v>
          </cell>
          <cell r="F101">
            <v>682527116.58000004</v>
          </cell>
          <cell r="G101">
            <v>1482794436.28</v>
          </cell>
          <cell r="H101">
            <v>295472980.02999997</v>
          </cell>
        </row>
        <row r="102">
          <cell r="A102">
            <v>2033386</v>
          </cell>
          <cell r="B102">
            <v>83972389.930000007</v>
          </cell>
          <cell r="C102">
            <v>27398058.789999999</v>
          </cell>
          <cell r="E102">
            <v>216184691.19</v>
          </cell>
          <cell r="F102">
            <v>132212301.26000001</v>
          </cell>
          <cell r="G102">
            <v>42138633.149999999</v>
          </cell>
          <cell r="H102">
            <v>14740574.359999999</v>
          </cell>
        </row>
        <row r="103">
          <cell r="A103">
            <v>2015526</v>
          </cell>
          <cell r="B103">
            <v>4318369.0999999996</v>
          </cell>
          <cell r="C103">
            <v>0</v>
          </cell>
          <cell r="E103">
            <v>12714425.1</v>
          </cell>
          <cell r="F103">
            <v>8396056</v>
          </cell>
        </row>
        <row r="104">
          <cell r="A104">
            <v>2169558</v>
          </cell>
          <cell r="B104">
            <v>393288150.30000001</v>
          </cell>
          <cell r="C104">
            <v>227203580</v>
          </cell>
          <cell r="E104">
            <v>571502782.29999995</v>
          </cell>
          <cell r="F104">
            <v>178214632</v>
          </cell>
          <cell r="G104">
            <v>330153377</v>
          </cell>
          <cell r="H104">
            <v>102949797</v>
          </cell>
        </row>
        <row r="105">
          <cell r="A105">
            <v>2454024</v>
          </cell>
          <cell r="B105">
            <v>124996147.5</v>
          </cell>
          <cell r="C105">
            <v>54412459.799999997</v>
          </cell>
          <cell r="E105">
            <v>170359277.69999999</v>
          </cell>
          <cell r="F105">
            <v>45363130.200000003</v>
          </cell>
          <cell r="G105">
            <v>66011412.899999999</v>
          </cell>
          <cell r="H105">
            <v>11598953.1</v>
          </cell>
        </row>
        <row r="106">
          <cell r="A106">
            <v>9265190</v>
          </cell>
          <cell r="B106">
            <v>687584083.50999999</v>
          </cell>
          <cell r="C106">
            <v>407682526.00999999</v>
          </cell>
          <cell r="E106">
            <v>1168799396.79</v>
          </cell>
          <cell r="F106">
            <v>481215313.27999997</v>
          </cell>
          <cell r="G106">
            <v>513016833.04000002</v>
          </cell>
          <cell r="H106">
            <v>105334307.03</v>
          </cell>
        </row>
        <row r="107">
          <cell r="A107">
            <v>9500511</v>
          </cell>
          <cell r="B107">
            <v>0</v>
          </cell>
          <cell r="C107">
            <v>164856.46</v>
          </cell>
          <cell r="E107">
            <v>1726345.31</v>
          </cell>
          <cell r="F107">
            <v>1726345.31</v>
          </cell>
          <cell r="G107">
            <v>1726345.31</v>
          </cell>
          <cell r="H107">
            <v>1561488.85</v>
          </cell>
        </row>
        <row r="108">
          <cell r="A108">
            <v>2014131</v>
          </cell>
          <cell r="B108">
            <v>1132389061.75</v>
          </cell>
          <cell r="C108">
            <v>573474559.39999998</v>
          </cell>
          <cell r="E108">
            <v>1450664653.8499999</v>
          </cell>
          <cell r="F108">
            <v>318275592.10000002</v>
          </cell>
          <cell r="G108">
            <v>698144593.29999995</v>
          </cell>
          <cell r="H108">
            <v>124670033.90000001</v>
          </cell>
        </row>
        <row r="109">
          <cell r="A109">
            <v>2014190</v>
          </cell>
          <cell r="B109">
            <v>279260754.30000001</v>
          </cell>
          <cell r="C109">
            <v>81101010.359999999</v>
          </cell>
          <cell r="E109">
            <v>393907808.10000002</v>
          </cell>
          <cell r="F109">
            <v>114647053.8</v>
          </cell>
          <cell r="G109">
            <v>112578216.81</v>
          </cell>
          <cell r="H109">
            <v>31477206.449999999</v>
          </cell>
        </row>
        <row r="110">
          <cell r="A110">
            <v>2010594</v>
          </cell>
          <cell r="B110">
            <v>354535370.31999999</v>
          </cell>
          <cell r="C110">
            <v>127725107.44</v>
          </cell>
          <cell r="E110">
            <v>496063468.14999998</v>
          </cell>
          <cell r="F110">
            <v>141528097.83000001</v>
          </cell>
          <cell r="G110">
            <v>191494865.93000001</v>
          </cell>
          <cell r="H110">
            <v>63769758.490000002</v>
          </cell>
        </row>
        <row r="111">
          <cell r="A111">
            <v>2015536</v>
          </cell>
          <cell r="B111">
            <v>4533068975.9899998</v>
          </cell>
          <cell r="C111">
            <v>2133007884.3900001</v>
          </cell>
          <cell r="E111">
            <v>5567431280.0100002</v>
          </cell>
          <cell r="F111">
            <v>1034362304.02</v>
          </cell>
          <cell r="G111">
            <v>2501434727.0599999</v>
          </cell>
          <cell r="H111">
            <v>368426842.67000002</v>
          </cell>
        </row>
        <row r="112">
          <cell r="A112">
            <v>2015610</v>
          </cell>
          <cell r="B112">
            <v>11046127421.299999</v>
          </cell>
          <cell r="C112">
            <v>5763847182</v>
          </cell>
          <cell r="E112">
            <v>13467195675.6</v>
          </cell>
          <cell r="F112">
            <v>2421068254.3000002</v>
          </cell>
          <cell r="G112">
            <v>7094968356.8000002</v>
          </cell>
          <cell r="H112">
            <v>1331121174.8</v>
          </cell>
        </row>
        <row r="113">
          <cell r="A113">
            <v>2030555</v>
          </cell>
          <cell r="B113">
            <v>142780787.46000001</v>
          </cell>
          <cell r="C113">
            <v>44557414.43</v>
          </cell>
          <cell r="E113">
            <v>195388250.06</v>
          </cell>
          <cell r="F113">
            <v>52607462.600000001</v>
          </cell>
          <cell r="G113">
            <v>56622569.07</v>
          </cell>
          <cell r="H113">
            <v>12065154.640000001</v>
          </cell>
        </row>
        <row r="114">
          <cell r="A114">
            <v>2580754</v>
          </cell>
          <cell r="B114">
            <v>607847836.03999996</v>
          </cell>
          <cell r="C114">
            <v>306331357.61000001</v>
          </cell>
          <cell r="E114">
            <v>772103220.02999997</v>
          </cell>
          <cell r="F114">
            <v>164255383.99000001</v>
          </cell>
          <cell r="G114">
            <v>377678187.13999999</v>
          </cell>
          <cell r="H114">
            <v>71346829.530000001</v>
          </cell>
        </row>
        <row r="115">
          <cell r="A115">
            <v>2015611</v>
          </cell>
          <cell r="B115">
            <v>456436682.5</v>
          </cell>
          <cell r="C115">
            <v>316466308.5</v>
          </cell>
          <cell r="E115">
            <v>557490808.5</v>
          </cell>
          <cell r="F115">
            <v>101054126</v>
          </cell>
          <cell r="G115">
            <v>368757655.5</v>
          </cell>
          <cell r="H115">
            <v>52291347</v>
          </cell>
        </row>
        <row r="116">
          <cell r="A116">
            <v>2015627</v>
          </cell>
          <cell r="B116">
            <v>6908581.0099999998</v>
          </cell>
          <cell r="C116">
            <v>97866.35</v>
          </cell>
          <cell r="E116">
            <v>14466993.98</v>
          </cell>
          <cell r="F116">
            <v>7558412.9699999997</v>
          </cell>
          <cell r="G116">
            <v>486509.99</v>
          </cell>
          <cell r="H116">
            <v>388643.64</v>
          </cell>
        </row>
        <row r="117">
          <cell r="A117">
            <v>2170823</v>
          </cell>
          <cell r="B117">
            <v>57413063.5</v>
          </cell>
          <cell r="C117">
            <v>31696783.699999999</v>
          </cell>
          <cell r="E117">
            <v>76121314.799999997</v>
          </cell>
          <cell r="F117">
            <v>18708251.300000001</v>
          </cell>
          <cell r="G117">
            <v>42321123.5</v>
          </cell>
          <cell r="H117">
            <v>10624339.800000001</v>
          </cell>
        </row>
        <row r="118">
          <cell r="A118">
            <v>2014087</v>
          </cell>
          <cell r="B118">
            <v>3720448.48</v>
          </cell>
          <cell r="C118">
            <v>2356891.04</v>
          </cell>
          <cell r="E118">
            <v>8880100.9600000009</v>
          </cell>
          <cell r="F118">
            <v>5159652.4800000004</v>
          </cell>
          <cell r="G118">
            <v>5841021.4000000004</v>
          </cell>
          <cell r="H118">
            <v>3484130.36</v>
          </cell>
        </row>
        <row r="119">
          <cell r="A119">
            <v>2015603</v>
          </cell>
          <cell r="B119">
            <v>495560139.30000001</v>
          </cell>
          <cell r="C119">
            <v>238568636.36000001</v>
          </cell>
          <cell r="E119">
            <v>610984274.00999999</v>
          </cell>
          <cell r="F119">
            <v>115424134.70999999</v>
          </cell>
          <cell r="G119">
            <v>294119539.22000003</v>
          </cell>
          <cell r="H119">
            <v>55550902.859999999</v>
          </cell>
        </row>
        <row r="120">
          <cell r="A120">
            <v>2014177</v>
          </cell>
          <cell r="B120">
            <v>152062095.50999999</v>
          </cell>
          <cell r="C120">
            <v>88766888.989999995</v>
          </cell>
          <cell r="E120">
            <v>176903500.22999999</v>
          </cell>
          <cell r="F120">
            <v>24841404.719999999</v>
          </cell>
          <cell r="G120">
            <v>102740670.83</v>
          </cell>
          <cell r="H120">
            <v>13973781.84</v>
          </cell>
        </row>
        <row r="121">
          <cell r="A121">
            <v>2014132</v>
          </cell>
          <cell r="B121">
            <v>682193811.42999995</v>
          </cell>
          <cell r="C121">
            <v>75657069.060000002</v>
          </cell>
          <cell r="E121">
            <v>1429113828.4300001</v>
          </cell>
          <cell r="F121">
            <v>746920017</v>
          </cell>
          <cell r="G121">
            <v>110645796.94</v>
          </cell>
          <cell r="H121">
            <v>34988727.880000003</v>
          </cell>
        </row>
        <row r="122">
          <cell r="A122">
            <v>2015515</v>
          </cell>
          <cell r="B122">
            <v>8441150239</v>
          </cell>
          <cell r="C122">
            <v>4396006480</v>
          </cell>
          <cell r="E122">
            <v>9779518239.5</v>
          </cell>
          <cell r="F122">
            <v>1338368000.5</v>
          </cell>
          <cell r="G122">
            <v>5167623238</v>
          </cell>
          <cell r="H122">
            <v>771616758</v>
          </cell>
        </row>
        <row r="123">
          <cell r="A123">
            <v>2015530</v>
          </cell>
          <cell r="B123">
            <v>50283292806.449997</v>
          </cell>
          <cell r="C123">
            <v>26996101608.650002</v>
          </cell>
          <cell r="E123">
            <v>59264623116.800003</v>
          </cell>
          <cell r="F123">
            <v>8981330310.3500004</v>
          </cell>
          <cell r="G123">
            <v>31579454900.049999</v>
          </cell>
          <cell r="H123">
            <v>4583353291.3999996</v>
          </cell>
        </row>
        <row r="124">
          <cell r="A124">
            <v>2015621</v>
          </cell>
          <cell r="B124">
            <v>461245580</v>
          </cell>
          <cell r="C124">
            <v>285148238</v>
          </cell>
          <cell r="E124">
            <v>569149807.95000005</v>
          </cell>
          <cell r="F124">
            <v>107904227.95</v>
          </cell>
          <cell r="G124">
            <v>354654205.44999999</v>
          </cell>
          <cell r="H124">
            <v>69505967.450000003</v>
          </cell>
        </row>
        <row r="125">
          <cell r="A125">
            <v>2015531</v>
          </cell>
          <cell r="B125">
            <v>1147671270.9000001</v>
          </cell>
          <cell r="C125">
            <v>602452871.10000002</v>
          </cell>
          <cell r="E125">
            <v>1340833301.7</v>
          </cell>
          <cell r="F125">
            <v>193162030.80000001</v>
          </cell>
          <cell r="G125">
            <v>701067690.70000005</v>
          </cell>
          <cell r="H125">
            <v>98614819.599999994</v>
          </cell>
        </row>
        <row r="126">
          <cell r="A126">
            <v>2015658</v>
          </cell>
          <cell r="B126">
            <v>2252326212.4000001</v>
          </cell>
          <cell r="C126">
            <v>1158497437</v>
          </cell>
          <cell r="E126">
            <v>2709423579.0999999</v>
          </cell>
          <cell r="F126">
            <v>457097366.69999999</v>
          </cell>
          <cell r="G126">
            <v>1424393102.4000001</v>
          </cell>
          <cell r="H126">
            <v>265895665.40000001</v>
          </cell>
        </row>
        <row r="127">
          <cell r="A127">
            <v>2772804</v>
          </cell>
          <cell r="B127">
            <v>3786988.66</v>
          </cell>
          <cell r="C127">
            <v>812991.02</v>
          </cell>
          <cell r="E127">
            <v>12636914.09</v>
          </cell>
          <cell r="F127">
            <v>8849925.4299999997</v>
          </cell>
          <cell r="G127">
            <v>5417323.9900000002</v>
          </cell>
          <cell r="H127">
            <v>4604332.97</v>
          </cell>
        </row>
        <row r="128">
          <cell r="A128">
            <v>2266597</v>
          </cell>
          <cell r="B128">
            <v>16170.4</v>
          </cell>
          <cell r="C128">
            <v>35688.25</v>
          </cell>
          <cell r="E128">
            <v>206430.85</v>
          </cell>
          <cell r="F128">
            <v>190260.45</v>
          </cell>
          <cell r="G128">
            <v>161177.35</v>
          </cell>
          <cell r="H128">
            <v>125489.1</v>
          </cell>
        </row>
        <row r="129">
          <cell r="A129">
            <v>2015564</v>
          </cell>
          <cell r="B129">
            <v>36234784011</v>
          </cell>
          <cell r="C129">
            <v>19252365633.450001</v>
          </cell>
          <cell r="E129">
            <v>41176637591.550003</v>
          </cell>
          <cell r="F129">
            <v>4941853580.5500002</v>
          </cell>
          <cell r="G129">
            <v>21653961414.450001</v>
          </cell>
          <cell r="H129">
            <v>2401595781</v>
          </cell>
        </row>
        <row r="130">
          <cell r="A130">
            <v>2015511</v>
          </cell>
          <cell r="B130">
            <v>2262662315.8200002</v>
          </cell>
          <cell r="C130">
            <v>986574165.79999995</v>
          </cell>
          <cell r="E130">
            <v>2944778875.54</v>
          </cell>
          <cell r="F130">
            <v>682116559.72000003</v>
          </cell>
          <cell r="G130">
            <v>1331957822.8800001</v>
          </cell>
          <cell r="H130">
            <v>345383657.07999998</v>
          </cell>
        </row>
        <row r="131">
          <cell r="A131">
            <v>9334661</v>
          </cell>
          <cell r="B131">
            <v>1787097708.98</v>
          </cell>
          <cell r="C131">
            <v>1306011809.2</v>
          </cell>
          <cell r="E131">
            <v>2543193083.02</v>
          </cell>
          <cell r="F131">
            <v>756095374.03999996</v>
          </cell>
          <cell r="G131">
            <v>1691472581.54</v>
          </cell>
          <cell r="H131">
            <v>385460772.33999997</v>
          </cell>
        </row>
        <row r="132">
          <cell r="A132">
            <v>2015529</v>
          </cell>
          <cell r="B132">
            <v>12784208872.92</v>
          </cell>
          <cell r="C132">
            <v>5479000321.6999998</v>
          </cell>
          <cell r="E132">
            <v>15556650498.370001</v>
          </cell>
          <cell r="F132">
            <v>2772441625.4499998</v>
          </cell>
          <cell r="G132">
            <v>6196864006.3299999</v>
          </cell>
          <cell r="H132">
            <v>717863684.63</v>
          </cell>
        </row>
        <row r="133">
          <cell r="A133">
            <v>2015533</v>
          </cell>
          <cell r="B133">
            <v>12952690279.25</v>
          </cell>
          <cell r="C133">
            <v>5592830989.75</v>
          </cell>
          <cell r="E133">
            <v>15333280814.65</v>
          </cell>
          <cell r="F133">
            <v>2380590535.4000001</v>
          </cell>
          <cell r="G133">
            <v>6250573691.4499998</v>
          </cell>
          <cell r="H133">
            <v>657742701.70000005</v>
          </cell>
        </row>
        <row r="134">
          <cell r="A134">
            <v>2015628</v>
          </cell>
          <cell r="B134">
            <v>20557745313.099998</v>
          </cell>
          <cell r="C134">
            <v>10762856591.5</v>
          </cell>
          <cell r="E134">
            <v>23969720381.400002</v>
          </cell>
          <cell r="F134">
            <v>3411975068.3000002</v>
          </cell>
          <cell r="G134">
            <v>12059475502.75</v>
          </cell>
          <cell r="H134">
            <v>1296618911.25</v>
          </cell>
        </row>
        <row r="135">
          <cell r="A135">
            <v>2033384</v>
          </cell>
          <cell r="B135">
            <v>2265570776.6300001</v>
          </cell>
          <cell r="C135">
            <v>1157850247.55</v>
          </cell>
          <cell r="E135">
            <v>2699984274.8600001</v>
          </cell>
          <cell r="F135">
            <v>434413498.23000002</v>
          </cell>
          <cell r="G135">
            <v>1385256257.0999999</v>
          </cell>
          <cell r="H135">
            <v>227406009.55000001</v>
          </cell>
        </row>
        <row r="136">
          <cell r="A136">
            <v>2014118</v>
          </cell>
          <cell r="B136">
            <v>389590921.04000002</v>
          </cell>
          <cell r="C136">
            <v>138935433.78</v>
          </cell>
          <cell r="E136">
            <v>471787136.87</v>
          </cell>
          <cell r="F136">
            <v>82196215.829999998</v>
          </cell>
          <cell r="G136">
            <v>167698431.53999999</v>
          </cell>
          <cell r="H136">
            <v>28762997.760000002</v>
          </cell>
        </row>
        <row r="137">
          <cell r="A137">
            <v>2261100</v>
          </cell>
          <cell r="B137">
            <v>1319665775.5</v>
          </cell>
          <cell r="C137">
            <v>574532481.20000005</v>
          </cell>
          <cell r="E137">
            <v>1877140852.5</v>
          </cell>
          <cell r="F137">
            <v>557475077</v>
          </cell>
          <cell r="G137">
            <v>740120450.38</v>
          </cell>
          <cell r="H137">
            <v>165587969.18000001</v>
          </cell>
        </row>
        <row r="138">
          <cell r="A138">
            <v>2318527</v>
          </cell>
          <cell r="B138">
            <v>59348517.590000004</v>
          </cell>
          <cell r="C138">
            <v>34948182.689999998</v>
          </cell>
          <cell r="E138">
            <v>79664882.040000007</v>
          </cell>
          <cell r="F138">
            <v>20316364.449999999</v>
          </cell>
          <cell r="G138">
            <v>44624697.020000003</v>
          </cell>
          <cell r="H138">
            <v>9676514.3300000001</v>
          </cell>
        </row>
        <row r="139">
          <cell r="A139">
            <v>2015618</v>
          </cell>
          <cell r="B139">
            <v>631174214.64999998</v>
          </cell>
          <cell r="C139">
            <v>541727426.25</v>
          </cell>
          <cell r="E139">
            <v>801514090.60000002</v>
          </cell>
          <cell r="F139">
            <v>170339875.94999999</v>
          </cell>
          <cell r="G139">
            <v>648861551.35000002</v>
          </cell>
          <cell r="H139">
            <v>107134125.09999999</v>
          </cell>
        </row>
        <row r="140">
          <cell r="A140">
            <v>2014178</v>
          </cell>
          <cell r="B140">
            <v>11165297.4</v>
          </cell>
          <cell r="C140">
            <v>6038064.5999999996</v>
          </cell>
          <cell r="E140">
            <v>18425381.379999999</v>
          </cell>
          <cell r="F140">
            <v>7260083.9800000004</v>
          </cell>
          <cell r="G140">
            <v>9818177.4199999999</v>
          </cell>
          <cell r="H140">
            <v>3780112.82</v>
          </cell>
        </row>
        <row r="141">
          <cell r="A141">
            <v>9334645</v>
          </cell>
          <cell r="B141">
            <v>6785783.2800000003</v>
          </cell>
          <cell r="C141">
            <v>3127066.01</v>
          </cell>
          <cell r="E141">
            <v>12047498.1</v>
          </cell>
          <cell r="F141">
            <v>5261714.82</v>
          </cell>
          <cell r="G141">
            <v>5586031.9000000004</v>
          </cell>
          <cell r="H141">
            <v>2458965.89</v>
          </cell>
        </row>
        <row r="142">
          <cell r="A142">
            <v>2015682</v>
          </cell>
          <cell r="B142">
            <v>55173337.350000001</v>
          </cell>
          <cell r="C142">
            <v>24267709.390000001</v>
          </cell>
          <cell r="E142">
            <v>78654804.890000001</v>
          </cell>
          <cell r="F142">
            <v>23481467.539999999</v>
          </cell>
          <cell r="G142">
            <v>38976344.289999999</v>
          </cell>
          <cell r="H142">
            <v>14708634.9</v>
          </cell>
        </row>
        <row r="143">
          <cell r="A143">
            <v>2014124</v>
          </cell>
          <cell r="B143">
            <v>2097293801.1500001</v>
          </cell>
          <cell r="C143">
            <v>1180717524.96</v>
          </cell>
          <cell r="E143">
            <v>2533192684.75</v>
          </cell>
          <cell r="F143">
            <v>435898883.60000002</v>
          </cell>
          <cell r="G143">
            <v>1397321778.1900001</v>
          </cell>
          <cell r="H143">
            <v>216604253.22999999</v>
          </cell>
        </row>
        <row r="144">
          <cell r="A144">
            <v>2015657</v>
          </cell>
          <cell r="B144">
            <v>130924225.37</v>
          </cell>
          <cell r="C144">
            <v>55810819.100000001</v>
          </cell>
          <cell r="E144">
            <v>169859265.66</v>
          </cell>
          <cell r="F144">
            <v>38935040.289999999</v>
          </cell>
          <cell r="G144">
            <v>74880556.810000002</v>
          </cell>
          <cell r="H144">
            <v>19069737.710000001</v>
          </cell>
        </row>
        <row r="145">
          <cell r="A145">
            <v>2014099</v>
          </cell>
          <cell r="B145">
            <v>21482668.300000001</v>
          </cell>
          <cell r="C145">
            <v>11185145.1</v>
          </cell>
          <cell r="E145">
            <v>30067856.699999999</v>
          </cell>
          <cell r="F145">
            <v>8585188.4000000004</v>
          </cell>
          <cell r="G145">
            <v>15403179.1</v>
          </cell>
          <cell r="H145">
            <v>4218034</v>
          </cell>
        </row>
        <row r="146">
          <cell r="A146">
            <v>2015534</v>
          </cell>
          <cell r="B146">
            <v>4802572712.5</v>
          </cell>
          <cell r="C146">
            <v>1607854984.96</v>
          </cell>
          <cell r="E146">
            <v>6636284009.8800001</v>
          </cell>
          <cell r="F146">
            <v>1833711297.3800001</v>
          </cell>
          <cell r="G146">
            <v>2549236119.3000002</v>
          </cell>
          <cell r="H146">
            <v>941381134.34000003</v>
          </cell>
        </row>
        <row r="147">
          <cell r="A147">
            <v>2015680</v>
          </cell>
          <cell r="B147">
            <v>135017175.69999999</v>
          </cell>
          <cell r="C147">
            <v>44722244</v>
          </cell>
          <cell r="E147">
            <v>174710318.34999999</v>
          </cell>
          <cell r="F147">
            <v>39693142.649999999</v>
          </cell>
          <cell r="G147">
            <v>60076292.600000001</v>
          </cell>
          <cell r="H147">
            <v>15354048.6</v>
          </cell>
        </row>
        <row r="148">
          <cell r="A148">
            <v>9419292</v>
          </cell>
          <cell r="B148">
            <v>14640717.67</v>
          </cell>
          <cell r="C148">
            <v>19699193.940000001</v>
          </cell>
          <cell r="E148">
            <v>26152640.239999998</v>
          </cell>
          <cell r="F148">
            <v>11511922.57</v>
          </cell>
          <cell r="G148">
            <v>26152640.239999998</v>
          </cell>
          <cell r="H148">
            <v>6453446.2999999998</v>
          </cell>
        </row>
        <row r="149">
          <cell r="A149">
            <v>9557492</v>
          </cell>
          <cell r="B149">
            <v>0</v>
          </cell>
          <cell r="C149">
            <v>13261.91</v>
          </cell>
          <cell r="E149">
            <v>253159.66</v>
          </cell>
          <cell r="F149">
            <v>253159.66</v>
          </cell>
          <cell r="G149">
            <v>253159.66</v>
          </cell>
          <cell r="H149">
            <v>239897.75</v>
          </cell>
        </row>
        <row r="150">
          <cell r="A150">
            <v>2015508</v>
          </cell>
          <cell r="B150">
            <v>18193501509</v>
          </cell>
          <cell r="C150">
            <v>8701520990.2999992</v>
          </cell>
          <cell r="E150">
            <v>20367051443.099998</v>
          </cell>
          <cell r="F150">
            <v>2173549934.0999999</v>
          </cell>
          <cell r="G150">
            <v>9663145292.7999992</v>
          </cell>
          <cell r="H150">
            <v>961624302.5</v>
          </cell>
        </row>
        <row r="151">
          <cell r="A151">
            <v>2014125</v>
          </cell>
          <cell r="B151">
            <v>94735062.159999996</v>
          </cell>
          <cell r="C151">
            <v>44771632.189999998</v>
          </cell>
          <cell r="E151">
            <v>127777176.16</v>
          </cell>
          <cell r="F151">
            <v>33042114</v>
          </cell>
          <cell r="G151">
            <v>58100016.649999999</v>
          </cell>
          <cell r="H151">
            <v>13328384.460000001</v>
          </cell>
        </row>
        <row r="152">
          <cell r="A152">
            <v>2014122</v>
          </cell>
          <cell r="B152">
            <v>85130362.400000006</v>
          </cell>
          <cell r="C152">
            <v>42418295.609999999</v>
          </cell>
          <cell r="E152">
            <v>116882032.47</v>
          </cell>
          <cell r="F152">
            <v>31751670.07</v>
          </cell>
          <cell r="G152">
            <v>56488868.189999998</v>
          </cell>
          <cell r="H152">
            <v>14070572.58</v>
          </cell>
        </row>
        <row r="153">
          <cell r="A153">
            <v>2014102</v>
          </cell>
          <cell r="B153">
            <v>296492679.61000001</v>
          </cell>
          <cell r="C153">
            <v>414551117.33999997</v>
          </cell>
          <cell r="E153">
            <v>694773891.75</v>
          </cell>
          <cell r="F153">
            <v>398281212.13999999</v>
          </cell>
          <cell r="G153">
            <v>681519202.49000001</v>
          </cell>
          <cell r="H153">
            <v>266968085.15000001</v>
          </cell>
        </row>
        <row r="154">
          <cell r="A154">
            <v>2015576</v>
          </cell>
          <cell r="B154">
            <v>2004792715.6700001</v>
          </cell>
          <cell r="C154">
            <v>0</v>
          </cell>
          <cell r="E154">
            <v>2844601313.96</v>
          </cell>
          <cell r="F154">
            <v>839808598.28999996</v>
          </cell>
        </row>
        <row r="155">
          <cell r="A155">
            <v>2015622</v>
          </cell>
          <cell r="B155">
            <v>124021911.36</v>
          </cell>
          <cell r="C155">
            <v>48910456.859999999</v>
          </cell>
          <cell r="E155">
            <v>291964838.56</v>
          </cell>
          <cell r="F155">
            <v>167942927.19999999</v>
          </cell>
          <cell r="G155">
            <v>142243084.62</v>
          </cell>
          <cell r="H155">
            <v>93332627.760000005</v>
          </cell>
        </row>
        <row r="156">
          <cell r="A156">
            <v>2014094</v>
          </cell>
          <cell r="B156">
            <v>6993591.5599999996</v>
          </cell>
          <cell r="C156">
            <v>3510922.64</v>
          </cell>
          <cell r="E156">
            <v>12214734.380000001</v>
          </cell>
          <cell r="F156">
            <v>5221142.82</v>
          </cell>
          <cell r="G156">
            <v>6087918.1399999997</v>
          </cell>
          <cell r="H156">
            <v>2576995.5</v>
          </cell>
        </row>
        <row r="157">
          <cell r="A157">
            <v>2229423</v>
          </cell>
          <cell r="B157">
            <v>74827547.680000007</v>
          </cell>
          <cell r="C157">
            <v>46500035.100000001</v>
          </cell>
          <cell r="E157">
            <v>112390074.43000001</v>
          </cell>
          <cell r="F157">
            <v>37562526.75</v>
          </cell>
          <cell r="G157">
            <v>73412253.040000007</v>
          </cell>
          <cell r="H157">
            <v>26912217.940000001</v>
          </cell>
        </row>
        <row r="158">
          <cell r="A158">
            <v>9301553</v>
          </cell>
          <cell r="B158">
            <v>0</v>
          </cell>
          <cell r="C158">
            <v>0</v>
          </cell>
          <cell r="E158">
            <v>3543229.33</v>
          </cell>
          <cell r="F158">
            <v>3543229.33</v>
          </cell>
        </row>
        <row r="159">
          <cell r="A159">
            <v>9329652</v>
          </cell>
          <cell r="B159">
            <v>0</v>
          </cell>
          <cell r="C159">
            <v>0</v>
          </cell>
          <cell r="E159">
            <v>248072.22</v>
          </cell>
          <cell r="F159">
            <v>248072.22</v>
          </cell>
        </row>
        <row r="160">
          <cell r="A160">
            <v>2285454</v>
          </cell>
          <cell r="B160">
            <v>19235.87</v>
          </cell>
          <cell r="C160">
            <v>0</v>
          </cell>
          <cell r="E160">
            <v>388483.08</v>
          </cell>
          <cell r="F160">
            <v>369247.21</v>
          </cell>
          <cell r="G160">
            <v>0</v>
          </cell>
          <cell r="H160">
            <v>0</v>
          </cell>
        </row>
        <row r="161">
          <cell r="A161">
            <v>2015629</v>
          </cell>
          <cell r="B161">
            <v>1283575918</v>
          </cell>
          <cell r="C161">
            <v>358058839.56</v>
          </cell>
          <cell r="E161">
            <v>1976233890.25</v>
          </cell>
          <cell r="F161">
            <v>692657972.25</v>
          </cell>
          <cell r="G161">
            <v>433377452.98000002</v>
          </cell>
          <cell r="H161">
            <v>75318613.420000002</v>
          </cell>
        </row>
        <row r="162">
          <cell r="A162">
            <v>2015573</v>
          </cell>
          <cell r="B162">
            <v>3448604701.75</v>
          </cell>
          <cell r="C162">
            <v>1915599027.25</v>
          </cell>
          <cell r="E162">
            <v>4141057797.75</v>
          </cell>
          <cell r="F162">
            <v>692453096</v>
          </cell>
          <cell r="G162">
            <v>2233642555.75</v>
          </cell>
          <cell r="H162">
            <v>318043528.5</v>
          </cell>
        </row>
        <row r="163">
          <cell r="A163">
            <v>2550151</v>
          </cell>
          <cell r="B163">
            <v>13521402.4</v>
          </cell>
          <cell r="C163">
            <v>619263.73</v>
          </cell>
          <cell r="E163">
            <v>26071479.359999999</v>
          </cell>
          <cell r="F163">
            <v>12550076.960000001</v>
          </cell>
          <cell r="G163">
            <v>1100448.46</v>
          </cell>
          <cell r="H163">
            <v>481184.73</v>
          </cell>
        </row>
        <row r="164">
          <cell r="A164">
            <v>2015652</v>
          </cell>
          <cell r="B164">
            <v>128435981.59</v>
          </cell>
          <cell r="C164">
            <v>88481544.469999999</v>
          </cell>
          <cell r="E164">
            <v>289632700.99000001</v>
          </cell>
          <cell r="F164">
            <v>161196719.40000001</v>
          </cell>
          <cell r="G164">
            <v>171049418.75</v>
          </cell>
          <cell r="H164">
            <v>82567874.280000001</v>
          </cell>
        </row>
        <row r="165">
          <cell r="A165">
            <v>2015600</v>
          </cell>
          <cell r="B165">
            <v>61601806.380000003</v>
          </cell>
          <cell r="C165">
            <v>21927825.140000001</v>
          </cell>
          <cell r="E165">
            <v>98137454.420000002</v>
          </cell>
          <cell r="F165">
            <v>36535648.039999999</v>
          </cell>
          <cell r="G165">
            <v>31757349.670000002</v>
          </cell>
          <cell r="H165">
            <v>9829524.5299999993</v>
          </cell>
        </row>
        <row r="166">
          <cell r="A166">
            <v>2023236</v>
          </cell>
          <cell r="B166">
            <v>2096446021.03</v>
          </cell>
          <cell r="C166">
            <v>703841014.60000002</v>
          </cell>
          <cell r="E166">
            <v>2767349780.0500002</v>
          </cell>
          <cell r="F166">
            <v>670903759.01999998</v>
          </cell>
          <cell r="G166">
            <v>959917336.09000003</v>
          </cell>
          <cell r="H166">
            <v>256076321.49000001</v>
          </cell>
        </row>
        <row r="167">
          <cell r="A167">
            <v>2274327</v>
          </cell>
          <cell r="B167">
            <v>26372440.210000001</v>
          </cell>
          <cell r="C167">
            <v>17302974.300000001</v>
          </cell>
          <cell r="E167">
            <v>38523527.909999996</v>
          </cell>
          <cell r="F167">
            <v>12151087.699999999</v>
          </cell>
          <cell r="G167">
            <v>23648370.699999999</v>
          </cell>
          <cell r="H167">
            <v>6345396.4000000004</v>
          </cell>
        </row>
        <row r="168">
          <cell r="A168">
            <v>2015633</v>
          </cell>
          <cell r="B168">
            <v>188315183.96000001</v>
          </cell>
          <cell r="C168">
            <v>60830558.740000002</v>
          </cell>
          <cell r="E168">
            <v>236233390.02000001</v>
          </cell>
          <cell r="F168">
            <v>47918206.060000002</v>
          </cell>
          <cell r="G168">
            <v>75083990.239999995</v>
          </cell>
          <cell r="H168">
            <v>14253431.5</v>
          </cell>
        </row>
        <row r="169">
          <cell r="A169">
            <v>2015653</v>
          </cell>
          <cell r="B169">
            <v>250462099.09999999</v>
          </cell>
          <cell r="C169">
            <v>199279467.25999999</v>
          </cell>
          <cell r="E169">
            <v>322866682.66000003</v>
          </cell>
          <cell r="F169">
            <v>72404583.560000002</v>
          </cell>
          <cell r="G169">
            <v>245602648.22</v>
          </cell>
          <cell r="H169">
            <v>46323180.960000001</v>
          </cell>
        </row>
        <row r="170">
          <cell r="A170">
            <v>2014128</v>
          </cell>
          <cell r="B170">
            <v>2721191045.5500002</v>
          </cell>
          <cell r="C170">
            <v>1312905566.25</v>
          </cell>
          <cell r="E170">
            <v>3165216326.9499998</v>
          </cell>
          <cell r="F170">
            <v>444025281.39999998</v>
          </cell>
          <cell r="G170">
            <v>1483099639.5</v>
          </cell>
          <cell r="H170">
            <v>170194073.25</v>
          </cell>
        </row>
        <row r="171">
          <cell r="A171">
            <v>2015592</v>
          </cell>
          <cell r="B171">
            <v>680599892.39999998</v>
          </cell>
          <cell r="C171">
            <v>325047126.89999998</v>
          </cell>
          <cell r="E171">
            <v>838203483.35000002</v>
          </cell>
          <cell r="F171">
            <v>157603590.94999999</v>
          </cell>
          <cell r="G171">
            <v>390600733.30000001</v>
          </cell>
          <cell r="H171">
            <v>65553606.399999999</v>
          </cell>
        </row>
        <row r="172">
          <cell r="A172">
            <v>2160148</v>
          </cell>
          <cell r="B172">
            <v>138950797.25</v>
          </cell>
          <cell r="C172">
            <v>81709947.280000001</v>
          </cell>
          <cell r="E172">
            <v>183408043.63</v>
          </cell>
          <cell r="F172">
            <v>44457246.380000003</v>
          </cell>
          <cell r="G172">
            <v>102849094.70999999</v>
          </cell>
          <cell r="H172">
            <v>21139147.43</v>
          </cell>
        </row>
        <row r="173">
          <cell r="A173">
            <v>2014107</v>
          </cell>
          <cell r="B173">
            <v>646356551.10000002</v>
          </cell>
          <cell r="C173">
            <v>338323033.35000002</v>
          </cell>
          <cell r="E173">
            <v>872888828.79999995</v>
          </cell>
          <cell r="F173">
            <v>226532277.69999999</v>
          </cell>
          <cell r="G173">
            <v>433894736.55000001</v>
          </cell>
          <cell r="H173">
            <v>95571703.200000003</v>
          </cell>
        </row>
        <row r="174">
          <cell r="A174">
            <v>2014091</v>
          </cell>
          <cell r="B174">
            <v>6249192.3399999999</v>
          </cell>
          <cell r="C174">
            <v>2462592.7200000002</v>
          </cell>
          <cell r="E174">
            <v>16560241.859999999</v>
          </cell>
          <cell r="F174">
            <v>10311049.52</v>
          </cell>
          <cell r="G174">
            <v>6130715.04</v>
          </cell>
          <cell r="H174">
            <v>3668122.32</v>
          </cell>
        </row>
        <row r="175">
          <cell r="A175">
            <v>2015631</v>
          </cell>
          <cell r="B175">
            <v>65550594.700000003</v>
          </cell>
          <cell r="C175">
            <v>17826356.579999998</v>
          </cell>
          <cell r="E175">
            <v>227386419.30000001</v>
          </cell>
          <cell r="F175">
            <v>161835824.59999999</v>
          </cell>
          <cell r="G175">
            <v>25850342.030000001</v>
          </cell>
          <cell r="H175">
            <v>8023985.4500000002</v>
          </cell>
        </row>
        <row r="176">
          <cell r="A176">
            <v>2015578</v>
          </cell>
          <cell r="B176">
            <v>872169577.73000002</v>
          </cell>
          <cell r="C176">
            <v>371528642.14999998</v>
          </cell>
          <cell r="E176">
            <v>1031211327.1799999</v>
          </cell>
          <cell r="F176">
            <v>159041749.44999999</v>
          </cell>
          <cell r="G176">
            <v>434857564.64999998</v>
          </cell>
          <cell r="H176">
            <v>63328922.5</v>
          </cell>
        </row>
        <row r="177">
          <cell r="A177">
            <v>2999678</v>
          </cell>
          <cell r="B177">
            <v>1419100.79</v>
          </cell>
          <cell r="C177">
            <v>2318855.11</v>
          </cell>
          <cell r="E177">
            <v>9962756.75</v>
          </cell>
          <cell r="F177">
            <v>8543655.9600000009</v>
          </cell>
          <cell r="G177">
            <v>9368268.75</v>
          </cell>
          <cell r="H177">
            <v>7049413.6399999997</v>
          </cell>
        </row>
        <row r="178">
          <cell r="A178">
            <v>9343035</v>
          </cell>
          <cell r="B178">
            <v>5993866.46</v>
          </cell>
          <cell r="C178">
            <v>4458306.92</v>
          </cell>
          <cell r="E178">
            <v>12270238.779999999</v>
          </cell>
          <cell r="F178">
            <v>6276372.3200000003</v>
          </cell>
          <cell r="G178">
            <v>5996417.5599999996</v>
          </cell>
          <cell r="H178">
            <v>1538110.64</v>
          </cell>
        </row>
        <row r="179">
          <cell r="A179">
            <v>9430647</v>
          </cell>
          <cell r="B179">
            <v>0</v>
          </cell>
          <cell r="C179">
            <v>48748.92</v>
          </cell>
          <cell r="E179">
            <v>1299574.1100000001</v>
          </cell>
          <cell r="F179">
            <v>1299574.1100000001</v>
          </cell>
          <cell r="G179">
            <v>1299574.1100000001</v>
          </cell>
          <cell r="H179">
            <v>1250825.19</v>
          </cell>
        </row>
        <row r="180">
          <cell r="A180">
            <v>2014113</v>
          </cell>
          <cell r="B180">
            <v>134879031.19999999</v>
          </cell>
          <cell r="C180">
            <v>60636441.5</v>
          </cell>
          <cell r="E180">
            <v>169804125.90000001</v>
          </cell>
          <cell r="F180">
            <v>34925094.700000003</v>
          </cell>
          <cell r="G180">
            <v>76624978.599999994</v>
          </cell>
          <cell r="H180">
            <v>15988537.1</v>
          </cell>
        </row>
        <row r="181">
          <cell r="A181">
            <v>2079575</v>
          </cell>
          <cell r="B181">
            <v>3791702891.9000001</v>
          </cell>
          <cell r="C181">
            <v>1927625949.1500001</v>
          </cell>
          <cell r="E181">
            <v>4991312375.96</v>
          </cell>
          <cell r="F181">
            <v>1199609484.0599999</v>
          </cell>
          <cell r="G181">
            <v>2271313972.5500002</v>
          </cell>
          <cell r="H181">
            <v>343688023.39999998</v>
          </cell>
        </row>
        <row r="182">
          <cell r="A182">
            <v>2014144</v>
          </cell>
          <cell r="B182">
            <v>830406836.84000003</v>
          </cell>
          <cell r="C182">
            <v>373161307.30000001</v>
          </cell>
          <cell r="E182">
            <v>1073354109.38</v>
          </cell>
          <cell r="F182">
            <v>242947272.53999999</v>
          </cell>
          <cell r="G182">
            <v>435610421.37</v>
          </cell>
          <cell r="H182">
            <v>62449114.07</v>
          </cell>
        </row>
        <row r="183">
          <cell r="A183">
            <v>2635090</v>
          </cell>
          <cell r="B183">
            <v>683781939.20000005</v>
          </cell>
          <cell r="C183">
            <v>367887761.30000001</v>
          </cell>
          <cell r="E183">
            <v>860814573.70000005</v>
          </cell>
          <cell r="F183">
            <v>177032634.5</v>
          </cell>
          <cell r="G183">
            <v>473802263.14999998</v>
          </cell>
          <cell r="H183">
            <v>105914501.84999999</v>
          </cell>
        </row>
        <row r="184">
          <cell r="A184">
            <v>2079576</v>
          </cell>
          <cell r="B184">
            <v>86134350.060000002</v>
          </cell>
          <cell r="C184">
            <v>58099553.840000004</v>
          </cell>
          <cell r="E184">
            <v>121292073.92</v>
          </cell>
          <cell r="F184">
            <v>35157723.859999999</v>
          </cell>
          <cell r="G184">
            <v>83928542.930000007</v>
          </cell>
          <cell r="H184">
            <v>25828989.09</v>
          </cell>
        </row>
        <row r="185">
          <cell r="A185">
            <v>2015575</v>
          </cell>
          <cell r="B185">
            <v>81954459.099999994</v>
          </cell>
          <cell r="C185">
            <v>33043422.899999999</v>
          </cell>
          <cell r="E185">
            <v>115549505.59999999</v>
          </cell>
          <cell r="F185">
            <v>33595046.5</v>
          </cell>
          <cell r="G185">
            <v>44181646.100000001</v>
          </cell>
          <cell r="H185">
            <v>11138223.199999999</v>
          </cell>
        </row>
        <row r="186">
          <cell r="A186">
            <v>2014181</v>
          </cell>
          <cell r="B186">
            <v>593701000.08000004</v>
          </cell>
          <cell r="C186">
            <v>398804310.22000003</v>
          </cell>
          <cell r="E186">
            <v>771068372.49000001</v>
          </cell>
          <cell r="F186">
            <v>177367372.41</v>
          </cell>
          <cell r="G186">
            <v>528057986.25999999</v>
          </cell>
          <cell r="H186">
            <v>129253676.04000001</v>
          </cell>
        </row>
        <row r="187">
          <cell r="A187">
            <v>2015542</v>
          </cell>
          <cell r="B187">
            <v>186987648.69999999</v>
          </cell>
          <cell r="C187">
            <v>70579594.099999994</v>
          </cell>
          <cell r="E187">
            <v>282820478.10000002</v>
          </cell>
          <cell r="F187">
            <v>95832829.400000006</v>
          </cell>
          <cell r="G187">
            <v>97358374.099999994</v>
          </cell>
          <cell r="H187">
            <v>26778780</v>
          </cell>
        </row>
        <row r="188">
          <cell r="A188">
            <v>2030556</v>
          </cell>
          <cell r="B188">
            <v>33120516.100000001</v>
          </cell>
          <cell r="C188">
            <v>10459233.35</v>
          </cell>
          <cell r="E188">
            <v>53246350.600000001</v>
          </cell>
          <cell r="F188">
            <v>20125834.5</v>
          </cell>
          <cell r="G188">
            <v>12413230.300000001</v>
          </cell>
          <cell r="H188">
            <v>1953996.95</v>
          </cell>
        </row>
        <row r="189">
          <cell r="A189">
            <v>2014110</v>
          </cell>
          <cell r="B189">
            <v>434297707.44999999</v>
          </cell>
          <cell r="C189">
            <v>173769455.5</v>
          </cell>
          <cell r="E189">
            <v>553303518.88</v>
          </cell>
          <cell r="F189">
            <v>119005811.43000001</v>
          </cell>
          <cell r="G189">
            <v>229055292.74000001</v>
          </cell>
          <cell r="H189">
            <v>55285837.240000002</v>
          </cell>
        </row>
        <row r="190">
          <cell r="A190">
            <v>2015623</v>
          </cell>
          <cell r="B190">
            <v>77630843.920000002</v>
          </cell>
          <cell r="C190">
            <v>30801493.98</v>
          </cell>
          <cell r="E190">
            <v>103980207.81</v>
          </cell>
          <cell r="F190">
            <v>26349363.890000001</v>
          </cell>
          <cell r="G190">
            <v>39331040.560000002</v>
          </cell>
          <cell r="H190">
            <v>8529546.5800000001</v>
          </cell>
        </row>
        <row r="191">
          <cell r="A191">
            <v>2455465</v>
          </cell>
          <cell r="B191">
            <v>19086863124</v>
          </cell>
          <cell r="C191">
            <v>9652611146.5</v>
          </cell>
          <cell r="E191">
            <v>22247697849.98</v>
          </cell>
          <cell r="F191">
            <v>3160834725.98</v>
          </cell>
          <cell r="G191">
            <v>11103511245.530001</v>
          </cell>
          <cell r="H191">
            <v>1450900099.03</v>
          </cell>
        </row>
        <row r="192">
          <cell r="A192">
            <v>2299617</v>
          </cell>
          <cell r="B192">
            <v>199020045.59999999</v>
          </cell>
          <cell r="C192">
            <v>108708509.7</v>
          </cell>
          <cell r="E192">
            <v>252191338.09999999</v>
          </cell>
          <cell r="F192">
            <v>53171292.5</v>
          </cell>
          <cell r="G192">
            <v>136398721.19999999</v>
          </cell>
          <cell r="H192">
            <v>27690211.5</v>
          </cell>
        </row>
        <row r="193">
          <cell r="A193">
            <v>2226853</v>
          </cell>
          <cell r="B193">
            <v>615730427.41999996</v>
          </cell>
          <cell r="C193">
            <v>210110659.77000001</v>
          </cell>
          <cell r="E193">
            <v>918890842.48000002</v>
          </cell>
          <cell r="F193">
            <v>303160415.06</v>
          </cell>
          <cell r="G193">
            <v>314269516.69999999</v>
          </cell>
          <cell r="H193">
            <v>104158856.93000001</v>
          </cell>
        </row>
        <row r="194">
          <cell r="A194">
            <v>9212350</v>
          </cell>
          <cell r="B194">
            <v>0</v>
          </cell>
          <cell r="C194">
            <v>0</v>
          </cell>
          <cell r="E194">
            <v>198052.85</v>
          </cell>
          <cell r="F194">
            <v>198052.85</v>
          </cell>
        </row>
        <row r="195">
          <cell r="A195">
            <v>9236486</v>
          </cell>
          <cell r="B195">
            <v>0</v>
          </cell>
          <cell r="C195">
            <v>0</v>
          </cell>
          <cell r="E195">
            <v>239295.55</v>
          </cell>
          <cell r="F195">
            <v>239295.55</v>
          </cell>
        </row>
        <row r="196">
          <cell r="A196">
            <v>9503914</v>
          </cell>
          <cell r="B196">
            <v>28903.200000000001</v>
          </cell>
          <cell r="C196">
            <v>72721.8</v>
          </cell>
          <cell r="E196">
            <v>497824.76</v>
          </cell>
          <cell r="F196">
            <v>468921.56</v>
          </cell>
          <cell r="G196">
            <v>497824.76</v>
          </cell>
          <cell r="H196">
            <v>425102.96</v>
          </cell>
        </row>
        <row r="197">
          <cell r="A197">
            <v>2232931</v>
          </cell>
          <cell r="B197">
            <v>85657626.420000002</v>
          </cell>
          <cell r="C197">
            <v>31409983.48</v>
          </cell>
          <cell r="E197">
            <v>111015331.12</v>
          </cell>
          <cell r="F197">
            <v>25357704.699999999</v>
          </cell>
          <cell r="G197">
            <v>39911338.549999997</v>
          </cell>
          <cell r="H197">
            <v>8501355.0700000003</v>
          </cell>
        </row>
        <row r="198">
          <cell r="A198">
            <v>2015584</v>
          </cell>
          <cell r="B198">
            <v>6307932612.2299995</v>
          </cell>
          <cell r="C198">
            <v>2211455629.6999998</v>
          </cell>
          <cell r="E198">
            <v>8067042658.8500004</v>
          </cell>
          <cell r="F198">
            <v>1759110046.6199999</v>
          </cell>
          <cell r="G198">
            <v>2722891227.5999999</v>
          </cell>
          <cell r="H198">
            <v>511435597.89999998</v>
          </cell>
        </row>
        <row r="199">
          <cell r="A199">
            <v>2014182</v>
          </cell>
          <cell r="B199">
            <v>24049742.149999999</v>
          </cell>
          <cell r="C199">
            <v>4995669.45</v>
          </cell>
          <cell r="E199">
            <v>39438821.700000003</v>
          </cell>
          <cell r="F199">
            <v>15389079.550000001</v>
          </cell>
          <cell r="G199">
            <v>13537721.199999999</v>
          </cell>
          <cell r="H199">
            <v>8542051.75</v>
          </cell>
        </row>
        <row r="200">
          <cell r="A200">
            <v>2015516</v>
          </cell>
          <cell r="B200">
            <v>40553381.600000001</v>
          </cell>
          <cell r="C200">
            <v>19940242.800000001</v>
          </cell>
          <cell r="E200">
            <v>72292458.799999997</v>
          </cell>
          <cell r="F200">
            <v>31739077.199999999</v>
          </cell>
          <cell r="G200">
            <v>37308801.200000003</v>
          </cell>
          <cell r="H200">
            <v>17368558.399999999</v>
          </cell>
        </row>
        <row r="201">
          <cell r="A201">
            <v>2015506</v>
          </cell>
          <cell r="B201">
            <v>9779862511.7999992</v>
          </cell>
          <cell r="C201">
            <v>5201704486.6000004</v>
          </cell>
          <cell r="E201">
            <v>11524094981</v>
          </cell>
          <cell r="F201">
            <v>1744232469.2</v>
          </cell>
          <cell r="G201">
            <v>5959624029.1999998</v>
          </cell>
          <cell r="H201">
            <v>757919542.60000002</v>
          </cell>
        </row>
        <row r="202">
          <cell r="A202">
            <v>2015556</v>
          </cell>
          <cell r="B202">
            <v>1865321023.3399999</v>
          </cell>
          <cell r="C202">
            <v>735386355.77999997</v>
          </cell>
          <cell r="E202">
            <v>2399245130.2199998</v>
          </cell>
          <cell r="F202">
            <v>533924106.88</v>
          </cell>
          <cell r="G202">
            <v>988773255.34000003</v>
          </cell>
          <cell r="H202">
            <v>253386899.56</v>
          </cell>
        </row>
        <row r="203">
          <cell r="A203">
            <v>2308304</v>
          </cell>
          <cell r="B203">
            <v>45331441.840000004</v>
          </cell>
          <cell r="C203">
            <v>18670548.68</v>
          </cell>
          <cell r="E203">
            <v>60887494.600000001</v>
          </cell>
          <cell r="F203">
            <v>15556052.76</v>
          </cell>
          <cell r="G203">
            <v>23426713.920000002</v>
          </cell>
          <cell r="H203">
            <v>4756165.24</v>
          </cell>
        </row>
        <row r="204">
          <cell r="A204">
            <v>2015571</v>
          </cell>
          <cell r="B204">
            <v>4272302428.5</v>
          </cell>
          <cell r="C204">
            <v>2199034635</v>
          </cell>
          <cell r="E204">
            <v>4854479421.5</v>
          </cell>
          <cell r="F204">
            <v>582176993</v>
          </cell>
          <cell r="G204">
            <v>2519596961</v>
          </cell>
          <cell r="H204">
            <v>320562326</v>
          </cell>
        </row>
        <row r="205">
          <cell r="A205">
            <v>2015551</v>
          </cell>
          <cell r="B205">
            <v>46667063.200000003</v>
          </cell>
          <cell r="C205">
            <v>22301337.600000001</v>
          </cell>
          <cell r="E205">
            <v>61045878.399999999</v>
          </cell>
          <cell r="F205">
            <v>14378815.199999999</v>
          </cell>
          <cell r="G205">
            <v>30509444.800000001</v>
          </cell>
          <cell r="H205">
            <v>8208107.2000000002</v>
          </cell>
        </row>
        <row r="206">
          <cell r="A206">
            <v>2015612</v>
          </cell>
          <cell r="B206">
            <v>1556747513.75</v>
          </cell>
          <cell r="C206">
            <v>1002819676.75</v>
          </cell>
          <cell r="E206">
            <v>2076811356.75</v>
          </cell>
          <cell r="F206">
            <v>520063843</v>
          </cell>
          <cell r="G206">
            <v>1303518804.25</v>
          </cell>
          <cell r="H206">
            <v>300699127.5</v>
          </cell>
        </row>
        <row r="207">
          <cell r="A207">
            <v>2014120</v>
          </cell>
          <cell r="B207">
            <v>38007202.670000002</v>
          </cell>
          <cell r="C207">
            <v>25115307.399999999</v>
          </cell>
          <cell r="E207">
            <v>53733335.780000001</v>
          </cell>
          <cell r="F207">
            <v>15726133.109999999</v>
          </cell>
          <cell r="G207">
            <v>34754910.340000004</v>
          </cell>
          <cell r="H207">
            <v>9639602.9399999995</v>
          </cell>
        </row>
        <row r="208">
          <cell r="A208">
            <v>2210092</v>
          </cell>
          <cell r="B208">
            <v>29820034.829999998</v>
          </cell>
          <cell r="C208">
            <v>23950584.170000002</v>
          </cell>
          <cell r="E208">
            <v>64629358.960000001</v>
          </cell>
          <cell r="F208">
            <v>34809324.130000003</v>
          </cell>
          <cell r="G208">
            <v>42646561.060000002</v>
          </cell>
          <cell r="H208">
            <v>18695976.890000001</v>
          </cell>
        </row>
        <row r="209">
          <cell r="A209">
            <v>9314427</v>
          </cell>
          <cell r="B209">
            <v>337581039.67000002</v>
          </cell>
          <cell r="C209">
            <v>183794625.69999999</v>
          </cell>
          <cell r="E209">
            <v>681227890.25</v>
          </cell>
          <cell r="F209">
            <v>343646850.57999998</v>
          </cell>
          <cell r="G209">
            <v>244015117.28</v>
          </cell>
          <cell r="H209">
            <v>60220491.579999998</v>
          </cell>
        </row>
        <row r="210">
          <cell r="A210">
            <v>2014133</v>
          </cell>
          <cell r="B210">
            <v>1424696401.55</v>
          </cell>
          <cell r="C210">
            <v>585072927.21000004</v>
          </cell>
          <cell r="E210">
            <v>1723645082.3</v>
          </cell>
          <cell r="F210">
            <v>298948680.75</v>
          </cell>
          <cell r="G210">
            <v>692251725.87</v>
          </cell>
          <cell r="H210">
            <v>107178798.66</v>
          </cell>
        </row>
        <row r="211">
          <cell r="A211">
            <v>2030553</v>
          </cell>
          <cell r="B211">
            <v>429180230.18000001</v>
          </cell>
          <cell r="C211">
            <v>198137137.24000001</v>
          </cell>
          <cell r="E211">
            <v>558310814.91999996</v>
          </cell>
          <cell r="F211">
            <v>129130584.73999999</v>
          </cell>
          <cell r="G211">
            <v>256595749.63</v>
          </cell>
          <cell r="H211">
            <v>58458612.390000001</v>
          </cell>
        </row>
        <row r="212">
          <cell r="A212">
            <v>2010598</v>
          </cell>
          <cell r="B212">
            <v>5123010.74</v>
          </cell>
          <cell r="C212">
            <v>2380098.7599999998</v>
          </cell>
          <cell r="E212">
            <v>8900071.5</v>
          </cell>
          <cell r="F212">
            <v>3777060.76</v>
          </cell>
          <cell r="G212">
            <v>4079113.68</v>
          </cell>
          <cell r="H212">
            <v>1699014.92</v>
          </cell>
        </row>
        <row r="213">
          <cell r="A213">
            <v>2996249</v>
          </cell>
          <cell r="B213">
            <v>4426083.67</v>
          </cell>
          <cell r="C213">
            <v>1360794.74</v>
          </cell>
          <cell r="E213">
            <v>7367322.9400000004</v>
          </cell>
          <cell r="F213">
            <v>2941239.27</v>
          </cell>
          <cell r="G213">
            <v>2790053.13</v>
          </cell>
          <cell r="H213">
            <v>1429258.39</v>
          </cell>
        </row>
        <row r="214">
          <cell r="A214">
            <v>2004834</v>
          </cell>
          <cell r="B214">
            <v>237471141.12</v>
          </cell>
          <cell r="C214">
            <v>177928128.53999999</v>
          </cell>
          <cell r="E214">
            <v>426503433.39999998</v>
          </cell>
          <cell r="F214">
            <v>189032292.28</v>
          </cell>
          <cell r="G214">
            <v>310452044.75</v>
          </cell>
          <cell r="H214">
            <v>132523916.20999999</v>
          </cell>
        </row>
        <row r="215">
          <cell r="A215">
            <v>2015594</v>
          </cell>
          <cell r="B215">
            <v>1715062949.3299999</v>
          </cell>
          <cell r="C215">
            <v>1005860948.87</v>
          </cell>
          <cell r="E215">
            <v>2011907109.3199999</v>
          </cell>
          <cell r="F215">
            <v>296844159.99000001</v>
          </cell>
          <cell r="G215">
            <v>1187410579.5799999</v>
          </cell>
          <cell r="H215">
            <v>181549630.71000001</v>
          </cell>
        </row>
        <row r="216">
          <cell r="A216">
            <v>2106825</v>
          </cell>
          <cell r="B216">
            <v>26463366.07</v>
          </cell>
          <cell r="C216">
            <v>15188775.710000001</v>
          </cell>
          <cell r="E216">
            <v>61753960.700000003</v>
          </cell>
          <cell r="F216">
            <v>35290594.630000003</v>
          </cell>
          <cell r="G216">
            <v>43488652.149999999</v>
          </cell>
          <cell r="H216">
            <v>28299876.440000001</v>
          </cell>
        </row>
        <row r="217">
          <cell r="A217">
            <v>2015563</v>
          </cell>
          <cell r="B217">
            <v>15889588923.25</v>
          </cell>
          <cell r="C217">
            <v>8672811682.4899998</v>
          </cell>
          <cell r="E217">
            <v>19598139786.220001</v>
          </cell>
          <cell r="F217">
            <v>3708550862.9699998</v>
          </cell>
          <cell r="G217">
            <v>10739870239.389999</v>
          </cell>
          <cell r="H217">
            <v>2067058556.9000001</v>
          </cell>
        </row>
        <row r="218">
          <cell r="A218">
            <v>2207118</v>
          </cell>
          <cell r="B218">
            <v>31213698.629999999</v>
          </cell>
          <cell r="C218">
            <v>11003470.49</v>
          </cell>
          <cell r="E218">
            <v>46022452.979999997</v>
          </cell>
          <cell r="F218">
            <v>14808754.35</v>
          </cell>
          <cell r="G218">
            <v>15415134.380000001</v>
          </cell>
          <cell r="H218">
            <v>4411663.8899999997</v>
          </cell>
        </row>
        <row r="219">
          <cell r="A219">
            <v>2479320</v>
          </cell>
          <cell r="B219">
            <v>85006005.349999994</v>
          </cell>
          <cell r="C219">
            <v>31703800.199999999</v>
          </cell>
          <cell r="E219">
            <v>123934392.5</v>
          </cell>
          <cell r="F219">
            <v>38928387.149999999</v>
          </cell>
          <cell r="G219">
            <v>41536080.700000003</v>
          </cell>
          <cell r="H219">
            <v>9832280.5</v>
          </cell>
        </row>
        <row r="220">
          <cell r="A220">
            <v>2015579</v>
          </cell>
          <cell r="B220">
            <v>112492901</v>
          </cell>
          <cell r="C220">
            <v>70594362.5</v>
          </cell>
          <cell r="E220">
            <v>145658612.5</v>
          </cell>
          <cell r="F220">
            <v>33165711.5</v>
          </cell>
          <cell r="G220">
            <v>87439494.5</v>
          </cell>
          <cell r="H220">
            <v>16845132</v>
          </cell>
        </row>
        <row r="221">
          <cell r="A221">
            <v>9383030</v>
          </cell>
          <cell r="B221">
            <v>0</v>
          </cell>
          <cell r="C221">
            <v>0</v>
          </cell>
          <cell r="E221">
            <v>761960.97</v>
          </cell>
          <cell r="F221">
            <v>761960.97</v>
          </cell>
        </row>
        <row r="222">
          <cell r="A222">
            <v>2014179</v>
          </cell>
          <cell r="B222">
            <v>27808317.5</v>
          </cell>
          <cell r="C222">
            <v>18744169.649999999</v>
          </cell>
          <cell r="E222">
            <v>42553904.350000001</v>
          </cell>
          <cell r="F222">
            <v>14745586.85</v>
          </cell>
          <cell r="G222">
            <v>27132656.899999999</v>
          </cell>
          <cell r="H222">
            <v>8388487.25</v>
          </cell>
        </row>
        <row r="223">
          <cell r="A223">
            <v>2905643</v>
          </cell>
          <cell r="B223">
            <v>489378347.06</v>
          </cell>
          <cell r="C223">
            <v>230557916.80000001</v>
          </cell>
          <cell r="E223">
            <v>576949068.40999997</v>
          </cell>
          <cell r="F223">
            <v>87570721.349999994</v>
          </cell>
          <cell r="G223">
            <v>265310154.5</v>
          </cell>
          <cell r="H223">
            <v>34752237.700000003</v>
          </cell>
        </row>
        <row r="224">
          <cell r="A224">
            <v>2110369</v>
          </cell>
          <cell r="B224">
            <v>2519950.25</v>
          </cell>
          <cell r="C224">
            <v>796834.93</v>
          </cell>
          <cell r="E224">
            <v>5101744.8499999996</v>
          </cell>
          <cell r="F224">
            <v>2581794.6</v>
          </cell>
          <cell r="G224">
            <v>1423238.49</v>
          </cell>
          <cell r="H224">
            <v>626403.56000000006</v>
          </cell>
        </row>
        <row r="225">
          <cell r="A225">
            <v>2015585</v>
          </cell>
          <cell r="B225">
            <v>2444228351.1900001</v>
          </cell>
          <cell r="C225">
            <v>1161751758.1500001</v>
          </cell>
          <cell r="E225">
            <v>2875120440.8400002</v>
          </cell>
          <cell r="F225">
            <v>430892089.64999998</v>
          </cell>
          <cell r="G225">
            <v>1309410785.3</v>
          </cell>
          <cell r="H225">
            <v>147659027.15000001</v>
          </cell>
        </row>
        <row r="226">
          <cell r="A226">
            <v>2014173</v>
          </cell>
          <cell r="B226">
            <v>99168879.760000005</v>
          </cell>
          <cell r="C226">
            <v>63329804.960000001</v>
          </cell>
          <cell r="E226">
            <v>128224972.02</v>
          </cell>
          <cell r="F226">
            <v>29056092.260000002</v>
          </cell>
          <cell r="G226">
            <v>81000319.680000007</v>
          </cell>
          <cell r="H226">
            <v>17670514.719999999</v>
          </cell>
        </row>
        <row r="227">
          <cell r="A227">
            <v>2043485</v>
          </cell>
          <cell r="B227">
            <v>81801881.890000001</v>
          </cell>
          <cell r="C227">
            <v>39357676.649999999</v>
          </cell>
          <cell r="E227">
            <v>153628528.81</v>
          </cell>
          <cell r="F227">
            <v>71826646.920000002</v>
          </cell>
          <cell r="G227">
            <v>81883418.109999999</v>
          </cell>
          <cell r="H227">
            <v>42525741.460000001</v>
          </cell>
        </row>
        <row r="228">
          <cell r="A228">
            <v>2014111</v>
          </cell>
          <cell r="B228">
            <v>47776909.920000002</v>
          </cell>
          <cell r="C228">
            <v>18692452.940000001</v>
          </cell>
          <cell r="E228">
            <v>75736236.469999999</v>
          </cell>
          <cell r="F228">
            <v>27959326.550000001</v>
          </cell>
          <cell r="G228">
            <v>25174303.27</v>
          </cell>
          <cell r="H228">
            <v>6481850.3300000001</v>
          </cell>
        </row>
        <row r="229">
          <cell r="A229">
            <v>2014138</v>
          </cell>
          <cell r="B229">
            <v>20934384.5</v>
          </cell>
          <cell r="C229">
            <v>14965021.1</v>
          </cell>
          <cell r="E229">
            <v>32904738.300000001</v>
          </cell>
          <cell r="F229">
            <v>11970353.800000001</v>
          </cell>
          <cell r="G229">
            <v>23103437.899999999</v>
          </cell>
          <cell r="H229">
            <v>8138416.7999999998</v>
          </cell>
        </row>
        <row r="230">
          <cell r="A230">
            <v>2936563</v>
          </cell>
          <cell r="B230">
            <v>454427827.35000002</v>
          </cell>
          <cell r="C230">
            <v>128222308.48</v>
          </cell>
          <cell r="E230">
            <v>615986406.46000004</v>
          </cell>
          <cell r="F230">
            <v>161558579.11000001</v>
          </cell>
          <cell r="G230">
            <v>179631966.56999999</v>
          </cell>
          <cell r="H230">
            <v>51409658.090000004</v>
          </cell>
        </row>
        <row r="231">
          <cell r="A231">
            <v>2015572</v>
          </cell>
          <cell r="B231">
            <v>480601600.52999997</v>
          </cell>
          <cell r="C231">
            <v>191234721.16999999</v>
          </cell>
          <cell r="E231">
            <v>641637425.97000003</v>
          </cell>
          <cell r="F231">
            <v>161035825.44</v>
          </cell>
          <cell r="G231">
            <v>235679665.49000001</v>
          </cell>
          <cell r="H231">
            <v>44444944.32</v>
          </cell>
        </row>
        <row r="232">
          <cell r="A232">
            <v>2013917</v>
          </cell>
          <cell r="B232">
            <v>76633723.329999998</v>
          </cell>
          <cell r="C232">
            <v>29278620.66</v>
          </cell>
          <cell r="E232">
            <v>143204783.03999999</v>
          </cell>
          <cell r="F232">
            <v>66571059.710000001</v>
          </cell>
          <cell r="G232">
            <v>49827626.579999998</v>
          </cell>
          <cell r="H232">
            <v>20549005.920000002</v>
          </cell>
        </row>
        <row r="233">
          <cell r="A233">
            <v>2015608</v>
          </cell>
          <cell r="B233">
            <v>507271870.76999998</v>
          </cell>
          <cell r="C233">
            <v>625956089.04999995</v>
          </cell>
          <cell r="E233">
            <v>1183504245.8900001</v>
          </cell>
          <cell r="F233">
            <v>676232375.12</v>
          </cell>
          <cell r="G233">
            <v>1128328393.8699999</v>
          </cell>
          <cell r="H233">
            <v>502372304.81999999</v>
          </cell>
        </row>
        <row r="234">
          <cell r="A234">
            <v>2015661</v>
          </cell>
          <cell r="B234">
            <v>64380519.100000001</v>
          </cell>
          <cell r="C234">
            <v>43938200.600000001</v>
          </cell>
          <cell r="E234">
            <v>95396914.400000006</v>
          </cell>
          <cell r="F234">
            <v>31016395.300000001</v>
          </cell>
          <cell r="G234">
            <v>63476329.899999999</v>
          </cell>
          <cell r="H234">
            <v>19538129.300000001</v>
          </cell>
        </row>
        <row r="235">
          <cell r="A235">
            <v>2015518</v>
          </cell>
          <cell r="B235">
            <v>2440265.34</v>
          </cell>
          <cell r="C235">
            <v>0</v>
          </cell>
          <cell r="E235">
            <v>12536859.74</v>
          </cell>
          <cell r="F235">
            <v>10096594.4</v>
          </cell>
        </row>
        <row r="236">
          <cell r="A236">
            <v>2593875</v>
          </cell>
          <cell r="B236">
            <v>5837297.8099999996</v>
          </cell>
          <cell r="C236">
            <v>1712134.49</v>
          </cell>
          <cell r="E236">
            <v>11306061.359999999</v>
          </cell>
          <cell r="F236">
            <v>5468763.5499999998</v>
          </cell>
          <cell r="G236">
            <v>2592579.23</v>
          </cell>
          <cell r="H236">
            <v>880444.74</v>
          </cell>
        </row>
        <row r="237">
          <cell r="A237">
            <v>2043488</v>
          </cell>
          <cell r="B237">
            <v>20691077.75</v>
          </cell>
          <cell r="C237">
            <v>9658346.1600000001</v>
          </cell>
          <cell r="E237">
            <v>33552626.350000001</v>
          </cell>
          <cell r="F237">
            <v>12861548.6</v>
          </cell>
          <cell r="G237">
            <v>18322645.800000001</v>
          </cell>
          <cell r="H237">
            <v>8664299.6400000006</v>
          </cell>
        </row>
        <row r="238">
          <cell r="A238">
            <v>2280083</v>
          </cell>
          <cell r="B238">
            <v>17800244.699999999</v>
          </cell>
          <cell r="C238">
            <v>9793406.8000000007</v>
          </cell>
          <cell r="E238">
            <v>27607859</v>
          </cell>
          <cell r="F238">
            <v>9807614.3000000007</v>
          </cell>
          <cell r="G238">
            <v>14637491.5</v>
          </cell>
          <cell r="H238">
            <v>4844084.7</v>
          </cell>
        </row>
        <row r="239">
          <cell r="A239">
            <v>2010589</v>
          </cell>
          <cell r="B239">
            <v>1793296926.7</v>
          </cell>
          <cell r="C239">
            <v>937056673.79999995</v>
          </cell>
          <cell r="E239">
            <v>2075734029.0999999</v>
          </cell>
          <cell r="F239">
            <v>282437102.39999998</v>
          </cell>
          <cell r="G239">
            <v>1072716969.2</v>
          </cell>
          <cell r="H239">
            <v>135660295.40000001</v>
          </cell>
        </row>
        <row r="240">
          <cell r="A240">
            <v>2015558</v>
          </cell>
          <cell r="B240">
            <v>11984414882.51</v>
          </cell>
          <cell r="C240">
            <v>5787086835.1099997</v>
          </cell>
          <cell r="E240">
            <v>13936085899.209999</v>
          </cell>
          <cell r="F240">
            <v>1951671016.7</v>
          </cell>
          <cell r="G240">
            <v>6570382430.21</v>
          </cell>
          <cell r="H240">
            <v>783295595.10000002</v>
          </cell>
        </row>
        <row r="241">
          <cell r="A241">
            <v>2015596</v>
          </cell>
          <cell r="B241">
            <v>1564477191.5999999</v>
          </cell>
          <cell r="C241">
            <v>807318033.60000002</v>
          </cell>
          <cell r="E241">
            <v>2224008581.1999998</v>
          </cell>
          <cell r="F241">
            <v>659531389.60000002</v>
          </cell>
          <cell r="G241">
            <v>930014612.79999995</v>
          </cell>
          <cell r="H241">
            <v>122696579.2</v>
          </cell>
        </row>
        <row r="242">
          <cell r="A242">
            <v>2280070</v>
          </cell>
          <cell r="B242">
            <v>35003482.899999999</v>
          </cell>
          <cell r="C242">
            <v>20383146.300000001</v>
          </cell>
          <cell r="E242">
            <v>47872739.399999999</v>
          </cell>
          <cell r="F242">
            <v>12869256.5</v>
          </cell>
          <cell r="G242">
            <v>27513748.399999999</v>
          </cell>
          <cell r="H242">
            <v>7130602.0999999996</v>
          </cell>
        </row>
        <row r="243">
          <cell r="A243">
            <v>2015544</v>
          </cell>
          <cell r="B243">
            <v>1437364247.7</v>
          </cell>
          <cell r="C243">
            <v>748251864.70000005</v>
          </cell>
          <cell r="E243">
            <v>1744010484.0999999</v>
          </cell>
          <cell r="F243">
            <v>306646236.39999998</v>
          </cell>
          <cell r="G243">
            <v>879642256.70000005</v>
          </cell>
          <cell r="H243">
            <v>131390392</v>
          </cell>
        </row>
        <row r="244">
          <cell r="A244">
            <v>2014184</v>
          </cell>
          <cell r="B244">
            <v>29282695.059999999</v>
          </cell>
          <cell r="C244">
            <v>22902176.989999998</v>
          </cell>
          <cell r="E244">
            <v>43370554.140000001</v>
          </cell>
          <cell r="F244">
            <v>14087859.08</v>
          </cell>
          <cell r="G244">
            <v>31335180.690000001</v>
          </cell>
          <cell r="H244">
            <v>8433003.6999999993</v>
          </cell>
        </row>
        <row r="245">
          <cell r="A245">
            <v>2015527</v>
          </cell>
          <cell r="B245">
            <v>56020917.649999999</v>
          </cell>
          <cell r="C245">
            <v>26214266.379999999</v>
          </cell>
          <cell r="E245">
            <v>75517969.780000001</v>
          </cell>
          <cell r="F245">
            <v>19497052.129999999</v>
          </cell>
          <cell r="G245">
            <v>32929522.82</v>
          </cell>
          <cell r="H245">
            <v>6715256.4400000004</v>
          </cell>
        </row>
        <row r="246">
          <cell r="A246">
            <v>2015520</v>
          </cell>
          <cell r="B246">
            <v>130561369.31999999</v>
          </cell>
          <cell r="C246">
            <v>60003609.880000003</v>
          </cell>
          <cell r="E246">
            <v>180006360.53999999</v>
          </cell>
          <cell r="F246">
            <v>49444991.219999999</v>
          </cell>
          <cell r="G246">
            <v>81047839.099999994</v>
          </cell>
          <cell r="H246">
            <v>21044229.219999999</v>
          </cell>
        </row>
        <row r="247">
          <cell r="A247">
            <v>9460925</v>
          </cell>
          <cell r="B247">
            <v>1942937.03</v>
          </cell>
          <cell r="C247">
            <v>3796325.61</v>
          </cell>
          <cell r="E247">
            <v>7588933.8499999996</v>
          </cell>
          <cell r="F247">
            <v>5645996.8200000003</v>
          </cell>
          <cell r="G247">
            <v>7588933.8499999996</v>
          </cell>
          <cell r="H247">
            <v>3792608.24</v>
          </cell>
        </row>
        <row r="248">
          <cell r="A248">
            <v>2014123</v>
          </cell>
          <cell r="B248">
            <v>124758013.45</v>
          </cell>
          <cell r="C248">
            <v>86337377.049999997</v>
          </cell>
          <cell r="E248">
            <v>226269872.25</v>
          </cell>
          <cell r="F248">
            <v>101511858.8</v>
          </cell>
          <cell r="G248">
            <v>128385230.05</v>
          </cell>
          <cell r="H248">
            <v>42047853</v>
          </cell>
        </row>
        <row r="249">
          <cell r="A249">
            <v>2015582</v>
          </cell>
          <cell r="B249">
            <v>99056500.840000004</v>
          </cell>
          <cell r="C249">
            <v>44906885.689999998</v>
          </cell>
          <cell r="E249">
            <v>131204842.18000001</v>
          </cell>
          <cell r="F249">
            <v>32148341.34</v>
          </cell>
          <cell r="G249">
            <v>58192618.979999997</v>
          </cell>
          <cell r="H249">
            <v>13285733.289999999</v>
          </cell>
        </row>
        <row r="250">
          <cell r="A250">
            <v>2239800</v>
          </cell>
          <cell r="B250">
            <v>624083808.28999996</v>
          </cell>
          <cell r="C250">
            <v>310723471.49000001</v>
          </cell>
          <cell r="E250">
            <v>819965327.78999996</v>
          </cell>
          <cell r="F250">
            <v>195881519.5</v>
          </cell>
          <cell r="G250">
            <v>428953329.60000002</v>
          </cell>
          <cell r="H250">
            <v>118229858.11</v>
          </cell>
        </row>
        <row r="251">
          <cell r="A251">
            <v>2557856</v>
          </cell>
          <cell r="B251">
            <v>34300082055.779999</v>
          </cell>
          <cell r="C251">
            <v>17226429668.029999</v>
          </cell>
          <cell r="E251">
            <v>39277467630.629997</v>
          </cell>
          <cell r="F251">
            <v>4977385574.8500004</v>
          </cell>
          <cell r="G251">
            <v>19392174721.93</v>
          </cell>
          <cell r="H251">
            <v>2165745053.9000001</v>
          </cell>
        </row>
        <row r="252">
          <cell r="A252">
            <v>2481795</v>
          </cell>
          <cell r="B252">
            <v>1876423271.8</v>
          </cell>
          <cell r="C252">
            <v>828296486.95000005</v>
          </cell>
          <cell r="E252">
            <v>2203924950.0500002</v>
          </cell>
          <cell r="F252">
            <v>327501678.25</v>
          </cell>
          <cell r="G252">
            <v>940789489.85000002</v>
          </cell>
          <cell r="H252">
            <v>112493002.90000001</v>
          </cell>
        </row>
        <row r="253">
          <cell r="A253">
            <v>2014186</v>
          </cell>
          <cell r="B253">
            <v>619685</v>
          </cell>
          <cell r="C253">
            <v>534798</v>
          </cell>
          <cell r="E253">
            <v>1626587</v>
          </cell>
          <cell r="F253">
            <v>1006902</v>
          </cell>
          <cell r="G253">
            <v>1198080</v>
          </cell>
          <cell r="H253">
            <v>663282</v>
          </cell>
        </row>
        <row r="254">
          <cell r="A254">
            <v>2015581</v>
          </cell>
          <cell r="B254">
            <v>3250722181.27</v>
          </cell>
          <cell r="C254">
            <v>1740519078.8699999</v>
          </cell>
          <cell r="E254">
            <v>4397404744.7200003</v>
          </cell>
          <cell r="F254">
            <v>1146682563.45</v>
          </cell>
          <cell r="G254">
            <v>2527277582.4699998</v>
          </cell>
          <cell r="H254">
            <v>786758503.60000002</v>
          </cell>
        </row>
        <row r="255">
          <cell r="A255">
            <v>2015557</v>
          </cell>
          <cell r="B255">
            <v>3171350571.6900001</v>
          </cell>
          <cell r="C255">
            <v>1626642561.47</v>
          </cell>
          <cell r="E255">
            <v>4055599949.1700001</v>
          </cell>
          <cell r="F255">
            <v>884249377.48000002</v>
          </cell>
          <cell r="G255">
            <v>2065219998.27</v>
          </cell>
          <cell r="H255">
            <v>438577436.80000001</v>
          </cell>
        </row>
        <row r="256">
          <cell r="A256">
            <v>2174920</v>
          </cell>
          <cell r="B256">
            <v>24016235.190000001</v>
          </cell>
          <cell r="C256">
            <v>21860848.73</v>
          </cell>
          <cell r="E256">
            <v>48769882.380000003</v>
          </cell>
          <cell r="F256">
            <v>24753647.190000001</v>
          </cell>
          <cell r="G256">
            <v>39241638.850000001</v>
          </cell>
          <cell r="H256">
            <v>17380790.120000001</v>
          </cell>
        </row>
        <row r="257">
          <cell r="A257">
            <v>2141214</v>
          </cell>
          <cell r="B257">
            <v>66013044.759999998</v>
          </cell>
          <cell r="C257">
            <v>41046166.359999999</v>
          </cell>
          <cell r="E257">
            <v>82434892.709999993</v>
          </cell>
          <cell r="F257">
            <v>16421847.949999999</v>
          </cell>
          <cell r="G257">
            <v>49668496.009999998</v>
          </cell>
          <cell r="H257">
            <v>8622329.6500000004</v>
          </cell>
        </row>
        <row r="258">
          <cell r="A258">
            <v>2171403</v>
          </cell>
          <cell r="B258">
            <v>121627765.87</v>
          </cell>
          <cell r="C258">
            <v>34216072.359999999</v>
          </cell>
          <cell r="E258">
            <v>236307908.88999999</v>
          </cell>
          <cell r="F258">
            <v>114680143.02</v>
          </cell>
          <cell r="G258">
            <v>81233871.790000007</v>
          </cell>
          <cell r="H258">
            <v>47017799.43</v>
          </cell>
        </row>
        <row r="259">
          <cell r="A259">
            <v>2337459</v>
          </cell>
          <cell r="B259">
            <v>42477923.659999996</v>
          </cell>
          <cell r="C259">
            <v>19866887.550000001</v>
          </cell>
          <cell r="E259">
            <v>57858239.259999998</v>
          </cell>
          <cell r="F259">
            <v>15380315.6</v>
          </cell>
          <cell r="G259">
            <v>25917249.140000001</v>
          </cell>
          <cell r="H259">
            <v>6050361.5899999999</v>
          </cell>
        </row>
        <row r="260">
          <cell r="A260">
            <v>2015554</v>
          </cell>
          <cell r="B260">
            <v>1801307015.6400001</v>
          </cell>
          <cell r="C260">
            <v>1018070712.04</v>
          </cell>
          <cell r="E260">
            <v>2484572726.9200001</v>
          </cell>
          <cell r="F260">
            <v>683265711.27999997</v>
          </cell>
          <cell r="G260">
            <v>1544307820.4400001</v>
          </cell>
          <cell r="H260">
            <v>526237108.39999998</v>
          </cell>
        </row>
        <row r="261">
          <cell r="A261">
            <v>2015580</v>
          </cell>
          <cell r="B261">
            <v>220214894.47999999</v>
          </cell>
          <cell r="C261">
            <v>106401764</v>
          </cell>
          <cell r="E261">
            <v>314665255.27999997</v>
          </cell>
          <cell r="F261">
            <v>94450360.799999997</v>
          </cell>
          <cell r="G261">
            <v>147419537.5</v>
          </cell>
          <cell r="H261">
            <v>41017773.5</v>
          </cell>
        </row>
        <row r="262">
          <cell r="A262">
            <v>2015595</v>
          </cell>
          <cell r="B262">
            <v>1952844987.1300001</v>
          </cell>
          <cell r="C262">
            <v>1031900110.04</v>
          </cell>
          <cell r="E262">
            <v>2225483309.6700001</v>
          </cell>
          <cell r="F262">
            <v>272638322.54000002</v>
          </cell>
          <cell r="G262">
            <v>1172493612.98</v>
          </cell>
          <cell r="H262">
            <v>140593502.94</v>
          </cell>
        </row>
        <row r="263">
          <cell r="A263">
            <v>2674090</v>
          </cell>
          <cell r="B263">
            <v>2128480164.9000001</v>
          </cell>
          <cell r="C263">
            <v>90498546.799999997</v>
          </cell>
          <cell r="E263">
            <v>4167885413.9000001</v>
          </cell>
          <cell r="F263">
            <v>2039405249</v>
          </cell>
          <cell r="G263">
            <v>1424753291.4000001</v>
          </cell>
          <cell r="H263">
            <v>1334254744.5999999</v>
          </cell>
        </row>
        <row r="264">
          <cell r="A264">
            <v>2014106</v>
          </cell>
          <cell r="B264">
            <v>3920920216.4000001</v>
          </cell>
          <cell r="C264">
            <v>2245801083.75</v>
          </cell>
          <cell r="E264">
            <v>4832702188.0299997</v>
          </cell>
          <cell r="F264">
            <v>911781971.63</v>
          </cell>
          <cell r="G264">
            <v>2831475431.3600001</v>
          </cell>
          <cell r="H264">
            <v>585674347.61000001</v>
          </cell>
        </row>
        <row r="265">
          <cell r="A265">
            <v>2015560</v>
          </cell>
          <cell r="B265">
            <v>419396366.17000002</v>
          </cell>
          <cell r="C265">
            <v>149122159.97</v>
          </cell>
          <cell r="E265">
            <v>635758333.11000001</v>
          </cell>
          <cell r="F265">
            <v>216361966.94</v>
          </cell>
          <cell r="G265">
            <v>241522497.05000001</v>
          </cell>
          <cell r="H265">
            <v>92400337.079999998</v>
          </cell>
        </row>
        <row r="266">
          <cell r="A266">
            <v>2293140</v>
          </cell>
          <cell r="B266">
            <v>67445951.700000003</v>
          </cell>
          <cell r="C266">
            <v>36019415.399999999</v>
          </cell>
          <cell r="E266">
            <v>85183643.799999997</v>
          </cell>
          <cell r="F266">
            <v>17737692.100000001</v>
          </cell>
          <cell r="G266">
            <v>46231981.799999997</v>
          </cell>
          <cell r="H266">
            <v>10212566.4</v>
          </cell>
        </row>
        <row r="267">
          <cell r="A267">
            <v>2015565</v>
          </cell>
          <cell r="B267">
            <v>16103976034.35</v>
          </cell>
          <cell r="C267">
            <v>8187054295.6000004</v>
          </cell>
          <cell r="E267">
            <v>18812430344.349998</v>
          </cell>
          <cell r="F267">
            <v>2708454310</v>
          </cell>
          <cell r="G267">
            <v>9785125426.0499992</v>
          </cell>
          <cell r="H267">
            <v>1598071130.45</v>
          </cell>
        </row>
        <row r="268">
          <cell r="A268">
            <v>2015522</v>
          </cell>
          <cell r="B268">
            <v>368989392.77999997</v>
          </cell>
          <cell r="C268">
            <v>214515560.36000001</v>
          </cell>
          <cell r="E268">
            <v>606375094.96000004</v>
          </cell>
          <cell r="F268">
            <v>237385702.18000001</v>
          </cell>
          <cell r="G268">
            <v>323820154.73000002</v>
          </cell>
          <cell r="H268">
            <v>109304594.37</v>
          </cell>
        </row>
        <row r="269">
          <cell r="A269">
            <v>9322454</v>
          </cell>
          <cell r="B269">
            <v>41195025.710000001</v>
          </cell>
          <cell r="C269">
            <v>20559728.030000001</v>
          </cell>
          <cell r="E269">
            <v>77196923.700000003</v>
          </cell>
          <cell r="F269">
            <v>36001897.990000002</v>
          </cell>
          <cell r="G269">
            <v>24857191.219999999</v>
          </cell>
          <cell r="H269">
            <v>4297463.1900000004</v>
          </cell>
        </row>
        <row r="270">
          <cell r="A270">
            <v>2014114</v>
          </cell>
          <cell r="B270">
            <v>80219629.310000002</v>
          </cell>
          <cell r="C270">
            <v>34355782.200000003</v>
          </cell>
          <cell r="E270">
            <v>116889985.16</v>
          </cell>
          <cell r="F270">
            <v>36670355.850000001</v>
          </cell>
          <cell r="G270">
            <v>49262109.799999997</v>
          </cell>
          <cell r="H270">
            <v>14906327.6</v>
          </cell>
        </row>
        <row r="271">
          <cell r="A271">
            <v>2014093</v>
          </cell>
          <cell r="B271">
            <v>32970423.07</v>
          </cell>
          <cell r="C271">
            <v>17407115.620000001</v>
          </cell>
          <cell r="E271">
            <v>66873013.670000002</v>
          </cell>
          <cell r="F271">
            <v>33902590.600000001</v>
          </cell>
          <cell r="G271">
            <v>30925867.93</v>
          </cell>
          <cell r="H271">
            <v>13518752.310000001</v>
          </cell>
        </row>
        <row r="272">
          <cell r="A272">
            <v>2184211</v>
          </cell>
          <cell r="B272">
            <v>65504201.350000001</v>
          </cell>
          <cell r="C272">
            <v>33217874.640000001</v>
          </cell>
          <cell r="E272">
            <v>88974660.159999996</v>
          </cell>
          <cell r="F272">
            <v>23470458.809999999</v>
          </cell>
          <cell r="G272">
            <v>44745376.32</v>
          </cell>
          <cell r="H272">
            <v>11527501.68</v>
          </cell>
        </row>
        <row r="273">
          <cell r="A273">
            <v>2014143</v>
          </cell>
          <cell r="B273">
            <v>26000920.399999999</v>
          </cell>
          <cell r="C273">
            <v>17496595.300000001</v>
          </cell>
          <cell r="E273">
            <v>38038254.200000003</v>
          </cell>
          <cell r="F273">
            <v>12037333.800000001</v>
          </cell>
          <cell r="G273">
            <v>25623395.399999999</v>
          </cell>
          <cell r="H273">
            <v>8126800.0999999996</v>
          </cell>
        </row>
        <row r="274">
          <cell r="A274">
            <v>2015546</v>
          </cell>
          <cell r="B274">
            <v>41767411.689999998</v>
          </cell>
          <cell r="C274">
            <v>18458295.539999999</v>
          </cell>
          <cell r="E274">
            <v>57431388.75</v>
          </cell>
          <cell r="F274">
            <v>15663977.060000001</v>
          </cell>
          <cell r="G274">
            <v>28077517.370000001</v>
          </cell>
          <cell r="H274">
            <v>9619221.8300000001</v>
          </cell>
        </row>
        <row r="275">
          <cell r="A275">
            <v>2015548</v>
          </cell>
          <cell r="B275">
            <v>59184357.450000003</v>
          </cell>
          <cell r="C275">
            <v>23622696.960000001</v>
          </cell>
          <cell r="E275">
            <v>84419869.769999996</v>
          </cell>
          <cell r="F275">
            <v>25235512.32</v>
          </cell>
          <cell r="G275">
            <v>36797351.530000001</v>
          </cell>
          <cell r="H275">
            <v>13174654.57</v>
          </cell>
        </row>
        <row r="276">
          <cell r="A276">
            <v>6053259</v>
          </cell>
          <cell r="B276">
            <v>10169352608.809999</v>
          </cell>
          <cell r="C276">
            <v>5030620746.8900003</v>
          </cell>
          <cell r="E276">
            <v>12459326315.24</v>
          </cell>
          <cell r="F276">
            <v>2289973706.4299998</v>
          </cell>
          <cell r="G276">
            <v>6246156453.3999996</v>
          </cell>
          <cell r="H276">
            <v>1215535706.51</v>
          </cell>
        </row>
        <row r="277">
          <cell r="A277">
            <v>2102993</v>
          </cell>
          <cell r="B277">
            <v>13354333.550000001</v>
          </cell>
          <cell r="C277">
            <v>6802464.5499999998</v>
          </cell>
          <cell r="E277">
            <v>24074846.199999999</v>
          </cell>
          <cell r="F277">
            <v>10720512.65</v>
          </cell>
          <cell r="G277">
            <v>12222186.75</v>
          </cell>
          <cell r="H277">
            <v>5419722.2000000002</v>
          </cell>
        </row>
        <row r="278">
          <cell r="A278">
            <v>2796142</v>
          </cell>
          <cell r="B278">
            <v>121702163.92</v>
          </cell>
          <cell r="C278">
            <v>31120606.960000001</v>
          </cell>
          <cell r="E278">
            <v>176232002.27000001</v>
          </cell>
          <cell r="F278">
            <v>54529838.350000001</v>
          </cell>
          <cell r="G278">
            <v>51828877.57</v>
          </cell>
          <cell r="H278">
            <v>20708270.609999999</v>
          </cell>
        </row>
        <row r="279">
          <cell r="A279">
            <v>2014092</v>
          </cell>
          <cell r="B279">
            <v>1872410.78</v>
          </cell>
          <cell r="C279">
            <v>635124.28</v>
          </cell>
          <cell r="E279">
            <v>4104272.3</v>
          </cell>
          <cell r="F279">
            <v>2231861.52</v>
          </cell>
          <cell r="G279">
            <v>1294083.04</v>
          </cell>
          <cell r="H279">
            <v>658958.76</v>
          </cell>
        </row>
        <row r="280">
          <cell r="A280">
            <v>5997180</v>
          </cell>
          <cell r="B280">
            <v>120438950.19</v>
          </cell>
          <cell r="C280">
            <v>52862492.100000001</v>
          </cell>
          <cell r="E280">
            <v>165574359.52000001</v>
          </cell>
          <cell r="F280">
            <v>45135409.329999998</v>
          </cell>
          <cell r="G280">
            <v>65762928.100000001</v>
          </cell>
          <cell r="H280">
            <v>12900436</v>
          </cell>
        </row>
        <row r="281">
          <cell r="A281">
            <v>2014134</v>
          </cell>
          <cell r="B281">
            <v>1036547228.2</v>
          </cell>
          <cell r="C281">
            <v>594729584.66999996</v>
          </cell>
          <cell r="E281">
            <v>1280158319.8499999</v>
          </cell>
          <cell r="F281">
            <v>243611091.65000001</v>
          </cell>
          <cell r="G281">
            <v>716364241.95000005</v>
          </cell>
          <cell r="H281">
            <v>121634657.28</v>
          </cell>
        </row>
        <row r="282">
          <cell r="A282">
            <v>9067757</v>
          </cell>
          <cell r="B282">
            <v>2176570152.9200001</v>
          </cell>
          <cell r="C282">
            <v>1374155009.1500001</v>
          </cell>
          <cell r="E282">
            <v>2612897499.6399999</v>
          </cell>
          <cell r="F282">
            <v>436327346.72000003</v>
          </cell>
          <cell r="G282">
            <v>1575461927.25</v>
          </cell>
          <cell r="H282">
            <v>201306918.09999999</v>
          </cell>
        </row>
        <row r="283">
          <cell r="A283">
            <v>2015620</v>
          </cell>
          <cell r="B283">
            <v>4822336316.4200001</v>
          </cell>
          <cell r="C283">
            <v>2529344963.1700001</v>
          </cell>
          <cell r="E283">
            <v>5900002767.0200005</v>
          </cell>
          <cell r="F283">
            <v>1077666450.5999999</v>
          </cell>
          <cell r="G283">
            <v>3023244846.77</v>
          </cell>
          <cell r="H283">
            <v>493899883.60000002</v>
          </cell>
        </row>
        <row r="284">
          <cell r="A284">
            <v>2015559</v>
          </cell>
          <cell r="B284">
            <v>681123808.60000002</v>
          </cell>
          <cell r="C284">
            <v>409670655.39999998</v>
          </cell>
          <cell r="E284">
            <v>903916575.10000002</v>
          </cell>
          <cell r="F284">
            <v>222792766.5</v>
          </cell>
          <cell r="G284">
            <v>549426283.29999995</v>
          </cell>
          <cell r="H284">
            <v>139755627.90000001</v>
          </cell>
        </row>
        <row r="285">
          <cell r="A285">
            <v>2023239</v>
          </cell>
          <cell r="B285">
            <v>937980598.69000006</v>
          </cell>
          <cell r="C285">
            <v>360126330.05000001</v>
          </cell>
          <cell r="E285">
            <v>1180220093.04</v>
          </cell>
          <cell r="F285">
            <v>242239494.34999999</v>
          </cell>
          <cell r="G285">
            <v>414937642.33999997</v>
          </cell>
          <cell r="H285">
            <v>54811312.289999999</v>
          </cell>
        </row>
        <row r="286">
          <cell r="A286">
            <v>9500512</v>
          </cell>
          <cell r="B286">
            <v>0</v>
          </cell>
          <cell r="C286">
            <v>31805.8</v>
          </cell>
          <cell r="E286">
            <v>445283.8</v>
          </cell>
          <cell r="F286">
            <v>445283.8</v>
          </cell>
          <cell r="G286">
            <v>445283.8</v>
          </cell>
          <cell r="H286">
            <v>413478</v>
          </cell>
        </row>
        <row r="287">
          <cell r="A287">
            <v>9513251</v>
          </cell>
          <cell r="B287">
            <v>0</v>
          </cell>
          <cell r="C287">
            <v>515.01</v>
          </cell>
          <cell r="E287">
            <v>16698.25</v>
          </cell>
          <cell r="F287">
            <v>16698.25</v>
          </cell>
          <cell r="G287">
            <v>16698.25</v>
          </cell>
          <cell r="H287">
            <v>16183.24</v>
          </cell>
        </row>
        <row r="288">
          <cell r="A288">
            <v>2023241</v>
          </cell>
          <cell r="B288">
            <v>65648347.799999997</v>
          </cell>
          <cell r="C288">
            <v>18823980.600000001</v>
          </cell>
          <cell r="E288">
            <v>94236632.400000006</v>
          </cell>
          <cell r="F288">
            <v>28588284.600000001</v>
          </cell>
          <cell r="G288">
            <v>25825613.899999999</v>
          </cell>
          <cell r="H288">
            <v>7001633.2999999998</v>
          </cell>
        </row>
        <row r="289">
          <cell r="A289">
            <v>2172325</v>
          </cell>
          <cell r="B289">
            <v>33012571.52</v>
          </cell>
          <cell r="C289">
            <v>13357822.630000001</v>
          </cell>
          <cell r="E289">
            <v>45881049.390000001</v>
          </cell>
          <cell r="F289">
            <v>12868477.869999999</v>
          </cell>
          <cell r="G289">
            <v>18436677.530000001</v>
          </cell>
          <cell r="H289">
            <v>5078854.9000000004</v>
          </cell>
        </row>
        <row r="290">
          <cell r="A290">
            <v>9125325</v>
          </cell>
          <cell r="B290">
            <v>1442.12</v>
          </cell>
          <cell r="C290">
            <v>208.43</v>
          </cell>
          <cell r="E290">
            <v>135342</v>
          </cell>
          <cell r="F290">
            <v>133899.88</v>
          </cell>
          <cell r="G290">
            <v>5867.38</v>
          </cell>
          <cell r="H290">
            <v>5658.95</v>
          </cell>
        </row>
        <row r="291">
          <cell r="A291">
            <v>2149724</v>
          </cell>
          <cell r="B291">
            <v>1360800386.9400001</v>
          </cell>
          <cell r="C291">
            <v>604545354.61000001</v>
          </cell>
          <cell r="E291">
            <v>1762964345.97</v>
          </cell>
          <cell r="F291">
            <v>402163959.02999997</v>
          </cell>
          <cell r="G291">
            <v>759528361.70000005</v>
          </cell>
          <cell r="H291">
            <v>154983007.09</v>
          </cell>
        </row>
        <row r="292">
          <cell r="A292">
            <v>2014116</v>
          </cell>
          <cell r="B292">
            <v>26562166.350000001</v>
          </cell>
          <cell r="C292">
            <v>8170554.9199999999</v>
          </cell>
          <cell r="E292">
            <v>37922176.109999999</v>
          </cell>
          <cell r="F292">
            <v>11360009.76</v>
          </cell>
          <cell r="G292">
            <v>10385457.02</v>
          </cell>
          <cell r="H292">
            <v>2214902.1</v>
          </cell>
        </row>
        <row r="293">
          <cell r="A293">
            <v>2015555</v>
          </cell>
          <cell r="B293">
            <v>13271863.5</v>
          </cell>
          <cell r="C293">
            <v>8316730.4000000004</v>
          </cell>
          <cell r="E293">
            <v>17594534.100000001</v>
          </cell>
          <cell r="F293">
            <v>4322670.5999999996</v>
          </cell>
          <cell r="G293">
            <v>10322586.449999999</v>
          </cell>
          <cell r="H293">
            <v>2005856.05</v>
          </cell>
        </row>
        <row r="294">
          <cell r="A294">
            <v>2015671</v>
          </cell>
          <cell r="B294">
            <v>6205724738.5</v>
          </cell>
          <cell r="C294">
            <v>3298374955</v>
          </cell>
          <cell r="E294">
            <v>8020398384.8500004</v>
          </cell>
          <cell r="F294">
            <v>1814673646.3499999</v>
          </cell>
          <cell r="G294">
            <v>4291741383.3000002</v>
          </cell>
          <cell r="H294">
            <v>993366428.29999995</v>
          </cell>
        </row>
        <row r="295">
          <cell r="A295">
            <v>2015517</v>
          </cell>
          <cell r="B295">
            <v>323541555.5</v>
          </cell>
          <cell r="C295">
            <v>93011569.400000006</v>
          </cell>
          <cell r="E295">
            <v>447003482.39999998</v>
          </cell>
          <cell r="F295">
            <v>123461926.90000001</v>
          </cell>
          <cell r="G295">
            <v>117074610.7</v>
          </cell>
          <cell r="H295">
            <v>24063041.300000001</v>
          </cell>
        </row>
        <row r="296">
          <cell r="A296">
            <v>2015616</v>
          </cell>
          <cell r="B296">
            <v>307432326.94999999</v>
          </cell>
          <cell r="C296">
            <v>160748332.5</v>
          </cell>
          <cell r="E296">
            <v>385341674.55000001</v>
          </cell>
          <cell r="F296">
            <v>77909347.599999994</v>
          </cell>
          <cell r="G296">
            <v>205052955.5</v>
          </cell>
          <cell r="H296">
            <v>44304623</v>
          </cell>
        </row>
        <row r="297">
          <cell r="A297">
            <v>2013915</v>
          </cell>
          <cell r="B297">
            <v>50126.6</v>
          </cell>
          <cell r="C297">
            <v>93846</v>
          </cell>
          <cell r="E297">
            <v>1256490.2</v>
          </cell>
          <cell r="F297">
            <v>1206363.6000000001</v>
          </cell>
          <cell r="G297">
            <v>900189.6</v>
          </cell>
          <cell r="H297">
            <v>806343.6</v>
          </cell>
        </row>
        <row r="298">
          <cell r="A298">
            <v>9552715</v>
          </cell>
          <cell r="B298">
            <v>0</v>
          </cell>
          <cell r="C298">
            <v>176936.95</v>
          </cell>
          <cell r="E298">
            <v>5214481.5599999996</v>
          </cell>
          <cell r="F298">
            <v>5214481.5599999996</v>
          </cell>
          <cell r="G298">
            <v>5214481.5599999996</v>
          </cell>
          <cell r="H298">
            <v>5037544.6100000003</v>
          </cell>
        </row>
        <row r="299">
          <cell r="A299">
            <v>2417486</v>
          </cell>
          <cell r="B299">
            <v>5645722003.8199997</v>
          </cell>
          <cell r="C299">
            <v>2905162616.8000002</v>
          </cell>
          <cell r="E299">
            <v>7472629145.3699999</v>
          </cell>
          <cell r="F299">
            <v>1826907141.55</v>
          </cell>
          <cell r="G299">
            <v>3861292442.8299999</v>
          </cell>
          <cell r="H299">
            <v>956129826.02999997</v>
          </cell>
        </row>
        <row r="300">
          <cell r="A300">
            <v>3075841</v>
          </cell>
          <cell r="B300">
            <v>105629647.14</v>
          </cell>
          <cell r="C300">
            <v>45198071.009999998</v>
          </cell>
          <cell r="E300">
            <v>199321951.16</v>
          </cell>
          <cell r="F300">
            <v>93692304.019999996</v>
          </cell>
          <cell r="G300">
            <v>111726101.91</v>
          </cell>
          <cell r="H300">
            <v>66528030.899999999</v>
          </cell>
        </row>
        <row r="301">
          <cell r="A301">
            <v>2474162</v>
          </cell>
          <cell r="B301">
            <v>41389894.380000003</v>
          </cell>
          <cell r="C301">
            <v>28839109.52</v>
          </cell>
          <cell r="E301">
            <v>70503521.609999999</v>
          </cell>
          <cell r="F301">
            <v>29113627.23</v>
          </cell>
          <cell r="G301">
            <v>46265591.759999998</v>
          </cell>
          <cell r="H301">
            <v>17426482.239999998</v>
          </cell>
        </row>
        <row r="302">
          <cell r="A302">
            <v>2010593</v>
          </cell>
          <cell r="B302">
            <v>15737151942.09</v>
          </cell>
          <cell r="C302">
            <v>7699778952.3800001</v>
          </cell>
          <cell r="E302">
            <v>18359384115.439999</v>
          </cell>
          <cell r="F302">
            <v>2622232173.3499999</v>
          </cell>
          <cell r="G302">
            <v>9078042821.7199993</v>
          </cell>
          <cell r="H302">
            <v>1378263869.3399999</v>
          </cell>
        </row>
        <row r="303">
          <cell r="A303">
            <v>2015605</v>
          </cell>
          <cell r="B303">
            <v>175264009.63999999</v>
          </cell>
          <cell r="C303">
            <v>86016378.239999995</v>
          </cell>
          <cell r="E303">
            <v>214429852.25999999</v>
          </cell>
          <cell r="F303">
            <v>39165842.619999997</v>
          </cell>
          <cell r="G303">
            <v>100841077.58</v>
          </cell>
          <cell r="H303">
            <v>14824699.34</v>
          </cell>
        </row>
        <row r="304">
          <cell r="A304">
            <v>2015539</v>
          </cell>
          <cell r="B304">
            <v>4942956210.1800003</v>
          </cell>
          <cell r="C304">
            <v>2824523799.79</v>
          </cell>
          <cell r="E304">
            <v>5844213773.1199999</v>
          </cell>
          <cell r="F304">
            <v>901257562.94000006</v>
          </cell>
          <cell r="G304">
            <v>3324254560.8299999</v>
          </cell>
          <cell r="H304">
            <v>499730761.04000002</v>
          </cell>
        </row>
        <row r="305">
          <cell r="A305">
            <v>2664170</v>
          </cell>
          <cell r="B305">
            <v>22088656.859999999</v>
          </cell>
          <cell r="C305">
            <v>21854068.059999999</v>
          </cell>
          <cell r="E305">
            <v>99063023.260000005</v>
          </cell>
          <cell r="F305">
            <v>76974366.400000006</v>
          </cell>
          <cell r="G305">
            <v>88258330.659999996</v>
          </cell>
          <cell r="H305">
            <v>66404262.600000001</v>
          </cell>
        </row>
        <row r="306">
          <cell r="A306">
            <v>2015545</v>
          </cell>
          <cell r="B306">
            <v>484857262.06999999</v>
          </cell>
          <cell r="C306">
            <v>253070402.93000001</v>
          </cell>
          <cell r="E306">
            <v>615829138.86000001</v>
          </cell>
          <cell r="F306">
            <v>130971876.79000001</v>
          </cell>
          <cell r="G306">
            <v>316594066.29000002</v>
          </cell>
          <cell r="H306">
            <v>63523663.359999999</v>
          </cell>
        </row>
        <row r="307">
          <cell r="A307">
            <v>2015619</v>
          </cell>
          <cell r="B307">
            <v>3152750290.25</v>
          </cell>
          <cell r="C307">
            <v>1944424223.25</v>
          </cell>
          <cell r="E307">
            <v>3689811842.75</v>
          </cell>
          <cell r="F307">
            <v>537061552.5</v>
          </cell>
          <cell r="G307">
            <v>2242633199.25</v>
          </cell>
          <cell r="H307">
            <v>298208976</v>
          </cell>
        </row>
        <row r="308">
          <cell r="A308">
            <v>2015659</v>
          </cell>
          <cell r="B308">
            <v>8037400663.4399996</v>
          </cell>
          <cell r="C308">
            <v>4898363518.9399996</v>
          </cell>
          <cell r="E308">
            <v>10164707094.049999</v>
          </cell>
          <cell r="F308">
            <v>2127306430.6099999</v>
          </cell>
          <cell r="G308">
            <v>6170345975.6000004</v>
          </cell>
          <cell r="H308">
            <v>1271982456.6600001</v>
          </cell>
        </row>
        <row r="309">
          <cell r="A309">
            <v>2105565</v>
          </cell>
          <cell r="B309">
            <v>1277263220.25</v>
          </cell>
          <cell r="C309">
            <v>683489771.03999996</v>
          </cell>
          <cell r="E309">
            <v>1601670574.8900001</v>
          </cell>
          <cell r="F309">
            <v>324407354.63999999</v>
          </cell>
          <cell r="G309">
            <v>862288529.50999999</v>
          </cell>
          <cell r="H309">
            <v>178798758.47</v>
          </cell>
        </row>
        <row r="310">
          <cell r="A310">
            <v>2304817</v>
          </cell>
          <cell r="B310">
            <v>28885439.719999999</v>
          </cell>
          <cell r="C310">
            <v>10388656.880000001</v>
          </cell>
          <cell r="E310">
            <v>41170953.25</v>
          </cell>
          <cell r="F310">
            <v>12285513.529999999</v>
          </cell>
          <cell r="G310">
            <v>14602955.99</v>
          </cell>
          <cell r="H310">
            <v>4214299.1100000003</v>
          </cell>
        </row>
        <row r="311">
          <cell r="A311">
            <v>2014112</v>
          </cell>
          <cell r="B311">
            <v>5676537.4100000001</v>
          </cell>
          <cell r="C311">
            <v>5577582.1500000004</v>
          </cell>
          <cell r="E311">
            <v>17552740.09</v>
          </cell>
          <cell r="F311">
            <v>11876202.68</v>
          </cell>
          <cell r="G311">
            <v>15381997.99</v>
          </cell>
          <cell r="H311">
            <v>9804415.8399999999</v>
          </cell>
        </row>
        <row r="312">
          <cell r="A312">
            <v>9305632</v>
          </cell>
          <cell r="B312">
            <v>163312135.47</v>
          </cell>
          <cell r="C312">
            <v>103459058.5</v>
          </cell>
          <cell r="E312">
            <v>272661299.74000001</v>
          </cell>
          <cell r="F312">
            <v>109349164.27</v>
          </cell>
          <cell r="G312">
            <v>135368330.15000001</v>
          </cell>
          <cell r="H312">
            <v>31909271.649999999</v>
          </cell>
        </row>
        <row r="313">
          <cell r="A313">
            <v>9460944</v>
          </cell>
          <cell r="B313">
            <v>0</v>
          </cell>
          <cell r="C313">
            <v>0</v>
          </cell>
          <cell r="E313">
            <v>9881216.5</v>
          </cell>
          <cell r="F313">
            <v>9881216.5</v>
          </cell>
          <cell r="G313">
            <v>9881216.5</v>
          </cell>
          <cell r="H313">
            <v>9881216.5</v>
          </cell>
        </row>
        <row r="314">
          <cell r="A314">
            <v>2015523</v>
          </cell>
          <cell r="B314">
            <v>3664460966.25</v>
          </cell>
          <cell r="C314">
            <v>1944890516.5</v>
          </cell>
          <cell r="E314">
            <v>4367827041.5</v>
          </cell>
          <cell r="F314">
            <v>703366075.25</v>
          </cell>
          <cell r="G314">
            <v>2326359937</v>
          </cell>
          <cell r="H314">
            <v>381469420.5</v>
          </cell>
        </row>
        <row r="315">
          <cell r="A315">
            <v>2295383</v>
          </cell>
          <cell r="B315">
            <v>54321091.630000003</v>
          </cell>
          <cell r="C315">
            <v>24067634.079999998</v>
          </cell>
          <cell r="E315">
            <v>93234789.219999999</v>
          </cell>
          <cell r="F315">
            <v>38913697.590000004</v>
          </cell>
          <cell r="G315">
            <v>31425621.699999999</v>
          </cell>
          <cell r="H315">
            <v>7357987.6200000001</v>
          </cell>
        </row>
        <row r="316">
          <cell r="A316">
            <v>2015662</v>
          </cell>
          <cell r="B316">
            <v>281401502.5</v>
          </cell>
          <cell r="C316">
            <v>192420308.5</v>
          </cell>
          <cell r="E316">
            <v>347166770.5</v>
          </cell>
          <cell r="F316">
            <v>65765268</v>
          </cell>
          <cell r="G316">
            <v>227726895.5</v>
          </cell>
          <cell r="H316">
            <v>35306587</v>
          </cell>
        </row>
        <row r="317">
          <cell r="A317">
            <v>2231612</v>
          </cell>
          <cell r="B317">
            <v>14225929.699999999</v>
          </cell>
          <cell r="C317">
            <v>6388825.3300000001</v>
          </cell>
          <cell r="E317">
            <v>19282049.690000001</v>
          </cell>
          <cell r="F317">
            <v>5056119.99</v>
          </cell>
          <cell r="G317">
            <v>8254757.1900000004</v>
          </cell>
          <cell r="H317">
            <v>1865931.86</v>
          </cell>
        </row>
        <row r="318">
          <cell r="A318">
            <v>2033385</v>
          </cell>
          <cell r="B318">
            <v>418754835.27999997</v>
          </cell>
          <cell r="C318">
            <v>31122285.800000001</v>
          </cell>
          <cell r="E318">
            <v>655685974.33000004</v>
          </cell>
          <cell r="F318">
            <v>236931139.05000001</v>
          </cell>
          <cell r="G318">
            <v>83255733.200000003</v>
          </cell>
          <cell r="H318">
            <v>52133447.399999999</v>
          </cell>
        </row>
        <row r="319">
          <cell r="A319">
            <v>2015598</v>
          </cell>
          <cell r="B319">
            <v>198620662</v>
          </cell>
          <cell r="C319">
            <v>119862692</v>
          </cell>
          <cell r="E319">
            <v>249220960</v>
          </cell>
          <cell r="F319">
            <v>50600298</v>
          </cell>
          <cell r="G319">
            <v>147672305</v>
          </cell>
          <cell r="H319">
            <v>27809613</v>
          </cell>
        </row>
        <row r="320">
          <cell r="A320">
            <v>2015547</v>
          </cell>
          <cell r="B320">
            <v>695867815.25</v>
          </cell>
          <cell r="C320">
            <v>304585240.25</v>
          </cell>
          <cell r="E320">
            <v>860250429.25</v>
          </cell>
          <cell r="F320">
            <v>164382614</v>
          </cell>
          <cell r="G320">
            <v>361983743.75</v>
          </cell>
          <cell r="H320">
            <v>57398503.5</v>
          </cell>
        </row>
        <row r="321">
          <cell r="A321">
            <v>2015632</v>
          </cell>
          <cell r="B321">
            <v>430105309.64999998</v>
          </cell>
          <cell r="C321">
            <v>159670704.90000001</v>
          </cell>
          <cell r="E321">
            <v>523364200</v>
          </cell>
          <cell r="F321">
            <v>93258890.349999994</v>
          </cell>
          <cell r="G321">
            <v>198253143.09999999</v>
          </cell>
          <cell r="H321">
            <v>38582438.200000003</v>
          </cell>
        </row>
        <row r="322">
          <cell r="A322">
            <v>2023237</v>
          </cell>
          <cell r="B322">
            <v>307031805.60000002</v>
          </cell>
          <cell r="C322">
            <v>154978513.34999999</v>
          </cell>
          <cell r="E322">
            <v>411291330.44999999</v>
          </cell>
          <cell r="F322">
            <v>104259524.84999999</v>
          </cell>
          <cell r="G322">
            <v>216292350</v>
          </cell>
          <cell r="H322">
            <v>61313836.649999999</v>
          </cell>
        </row>
        <row r="323">
          <cell r="A323">
            <v>2315915</v>
          </cell>
          <cell r="B323">
            <v>38068804.390000001</v>
          </cell>
          <cell r="C323">
            <v>27545569.93</v>
          </cell>
          <cell r="E323">
            <v>63361366.170000002</v>
          </cell>
          <cell r="F323">
            <v>25292561.780000001</v>
          </cell>
          <cell r="G323">
            <v>39166892.729999997</v>
          </cell>
          <cell r="H323">
            <v>11621322.800000001</v>
          </cell>
        </row>
        <row r="324">
          <cell r="A324">
            <v>2014135</v>
          </cell>
          <cell r="B324">
            <v>265426329.19</v>
          </cell>
          <cell r="C324">
            <v>190789603.19</v>
          </cell>
          <cell r="E324">
            <v>379590424.10000002</v>
          </cell>
          <cell r="F324">
            <v>114164094.91</v>
          </cell>
          <cell r="G324">
            <v>262257375.86000001</v>
          </cell>
          <cell r="H324">
            <v>71467772.670000002</v>
          </cell>
        </row>
        <row r="325">
          <cell r="A325">
            <v>2015525</v>
          </cell>
          <cell r="B325">
            <v>3231909466.5</v>
          </cell>
          <cell r="C325">
            <v>1899505666.8</v>
          </cell>
          <cell r="E325">
            <v>3844563579.1799998</v>
          </cell>
          <cell r="F325">
            <v>612654112.67999995</v>
          </cell>
          <cell r="G325">
            <v>2247414087.6999998</v>
          </cell>
          <cell r="H325">
            <v>347908420.89999998</v>
          </cell>
        </row>
        <row r="326">
          <cell r="A326">
            <v>2084787</v>
          </cell>
          <cell r="B326">
            <v>105883330.5</v>
          </cell>
          <cell r="C326">
            <v>36989619</v>
          </cell>
          <cell r="E326">
            <v>150936135.5</v>
          </cell>
          <cell r="F326">
            <v>45052805</v>
          </cell>
          <cell r="G326">
            <v>51077733.5</v>
          </cell>
          <cell r="H326">
            <v>14088114.5</v>
          </cell>
        </row>
        <row r="327">
          <cell r="A327">
            <v>2015588</v>
          </cell>
          <cell r="B327">
            <v>168235129.19999999</v>
          </cell>
          <cell r="C327">
            <v>132440853.02</v>
          </cell>
          <cell r="E327">
            <v>255802375.78</v>
          </cell>
          <cell r="F327">
            <v>87567246.579999998</v>
          </cell>
          <cell r="G327">
            <v>181003065.5</v>
          </cell>
          <cell r="H327">
            <v>48562212.479999997</v>
          </cell>
        </row>
        <row r="328">
          <cell r="A328">
            <v>2232929</v>
          </cell>
          <cell r="B328">
            <v>5270750.46</v>
          </cell>
          <cell r="C328">
            <v>2267512.87</v>
          </cell>
          <cell r="E328">
            <v>8738168.0500000007</v>
          </cell>
          <cell r="F328">
            <v>3467417.59</v>
          </cell>
          <cell r="G328">
            <v>4582883.26</v>
          </cell>
          <cell r="H328">
            <v>2315370.39</v>
          </cell>
        </row>
        <row r="329">
          <cell r="A329">
            <v>2334436</v>
          </cell>
          <cell r="B329">
            <v>46178758.130000003</v>
          </cell>
          <cell r="C329">
            <v>20749868.359999999</v>
          </cell>
          <cell r="E329">
            <v>71257643.430000007</v>
          </cell>
          <cell r="F329">
            <v>25078885.300000001</v>
          </cell>
          <cell r="G329">
            <v>27265259.300000001</v>
          </cell>
          <cell r="H329">
            <v>6515390.9400000004</v>
          </cell>
        </row>
        <row r="330">
          <cell r="A330">
            <v>9026814</v>
          </cell>
          <cell r="B330">
            <v>177143360.13999999</v>
          </cell>
          <cell r="C330">
            <v>59302556.5</v>
          </cell>
          <cell r="E330">
            <v>390544114.07999998</v>
          </cell>
          <cell r="F330">
            <v>213400753.94</v>
          </cell>
          <cell r="G330">
            <v>137132521</v>
          </cell>
          <cell r="H330">
            <v>77829964.5</v>
          </cell>
        </row>
        <row r="331">
          <cell r="A331">
            <v>2349142</v>
          </cell>
          <cell r="B331">
            <v>31702131.93</v>
          </cell>
          <cell r="C331">
            <v>2937484.37</v>
          </cell>
          <cell r="E331">
            <v>73094605.989999995</v>
          </cell>
          <cell r="F331">
            <v>41392474.060000002</v>
          </cell>
          <cell r="G331">
            <v>4433685.6900000004</v>
          </cell>
          <cell r="H331">
            <v>1496201.32</v>
          </cell>
        </row>
        <row r="332">
          <cell r="A332">
            <v>2239804</v>
          </cell>
          <cell r="B332">
            <v>9499828.0999999996</v>
          </cell>
          <cell r="C332">
            <v>4733538.0999999996</v>
          </cell>
          <cell r="E332">
            <v>15346817.199999999</v>
          </cell>
          <cell r="F332">
            <v>5846989.0999999996</v>
          </cell>
          <cell r="G332">
            <v>7609819.7999999998</v>
          </cell>
          <cell r="H332">
            <v>2876281.7</v>
          </cell>
        </row>
        <row r="333">
          <cell r="A333">
            <v>2015591</v>
          </cell>
          <cell r="B333">
            <v>42137159.609999999</v>
          </cell>
          <cell r="C333">
            <v>26682481.02</v>
          </cell>
          <cell r="E333">
            <v>57590361.859999999</v>
          </cell>
          <cell r="F333">
            <v>15453202.25</v>
          </cell>
          <cell r="G333">
            <v>36998787.159999996</v>
          </cell>
          <cell r="H333">
            <v>10316306.140000001</v>
          </cell>
        </row>
        <row r="334">
          <cell r="A334">
            <v>2015656</v>
          </cell>
          <cell r="B334">
            <v>4805037522.2799997</v>
          </cell>
          <cell r="C334">
            <v>2423672688.4499998</v>
          </cell>
          <cell r="E334">
            <v>5800126413.96</v>
          </cell>
          <cell r="F334">
            <v>995088891.67999995</v>
          </cell>
          <cell r="G334">
            <v>2862714421.8499999</v>
          </cell>
          <cell r="H334">
            <v>439041733.39999998</v>
          </cell>
        </row>
        <row r="335">
          <cell r="A335">
            <v>2015589</v>
          </cell>
          <cell r="B335">
            <v>65641834372.25</v>
          </cell>
          <cell r="C335">
            <v>32977909891.549999</v>
          </cell>
          <cell r="E335">
            <v>75743759260.25</v>
          </cell>
          <cell r="F335">
            <v>10101924888</v>
          </cell>
          <cell r="G335">
            <v>37690274093.949997</v>
          </cell>
          <cell r="H335">
            <v>4712364202.3999996</v>
          </cell>
        </row>
        <row r="336">
          <cell r="A336">
            <v>2015655</v>
          </cell>
          <cell r="B336">
            <v>123675455.40000001</v>
          </cell>
          <cell r="C336">
            <v>61685118</v>
          </cell>
          <cell r="E336">
            <v>158314605.40000001</v>
          </cell>
          <cell r="F336">
            <v>34639150</v>
          </cell>
          <cell r="G336">
            <v>76504390.599999994</v>
          </cell>
          <cell r="H336">
            <v>14819272.6</v>
          </cell>
        </row>
        <row r="337">
          <cell r="A337">
            <v>2015630</v>
          </cell>
          <cell r="B337">
            <v>19201978.600000001</v>
          </cell>
          <cell r="C337">
            <v>13049970.6</v>
          </cell>
          <cell r="E337">
            <v>28634213.850000001</v>
          </cell>
          <cell r="F337">
            <v>9432235.25</v>
          </cell>
          <cell r="G337">
            <v>18350545.850000001</v>
          </cell>
          <cell r="H337">
            <v>5300575.25</v>
          </cell>
        </row>
        <row r="338">
          <cell r="A338">
            <v>2015513</v>
          </cell>
          <cell r="B338">
            <v>4716522.74</v>
          </cell>
          <cell r="C338">
            <v>2428418.7999999998</v>
          </cell>
          <cell r="E338">
            <v>16877360.390000001</v>
          </cell>
          <cell r="F338">
            <v>12160837.65</v>
          </cell>
          <cell r="G338">
            <v>5612756.7999999998</v>
          </cell>
          <cell r="H338">
            <v>3184338</v>
          </cell>
        </row>
        <row r="339">
          <cell r="A339">
            <v>2015552</v>
          </cell>
          <cell r="B339">
            <v>5803270628.5</v>
          </cell>
          <cell r="C339">
            <v>2851306981.9899998</v>
          </cell>
          <cell r="E339">
            <v>6821700150</v>
          </cell>
          <cell r="F339">
            <v>1018429521.5</v>
          </cell>
          <cell r="G339">
            <v>3248136558.98</v>
          </cell>
          <cell r="H339">
            <v>396829576.99000001</v>
          </cell>
        </row>
        <row r="340">
          <cell r="A340">
            <v>2263917</v>
          </cell>
          <cell r="B340">
            <v>187750069.34999999</v>
          </cell>
          <cell r="C340">
            <v>150951700.84</v>
          </cell>
          <cell r="E340">
            <v>271618309.92000002</v>
          </cell>
          <cell r="F340">
            <v>83868240.569999993</v>
          </cell>
          <cell r="G340">
            <v>204294163.33000001</v>
          </cell>
          <cell r="H340">
            <v>53342462.490000002</v>
          </cell>
        </row>
        <row r="341">
          <cell r="A341">
            <v>2015543</v>
          </cell>
          <cell r="B341">
            <v>510106997.69999999</v>
          </cell>
          <cell r="C341">
            <v>240187201.69999999</v>
          </cell>
          <cell r="E341">
            <v>644288029.20000005</v>
          </cell>
          <cell r="F341">
            <v>134181031.5</v>
          </cell>
          <cell r="G341">
            <v>294492026.19999999</v>
          </cell>
          <cell r="H341">
            <v>54304824.5</v>
          </cell>
        </row>
        <row r="342">
          <cell r="A342">
            <v>2015566</v>
          </cell>
          <cell r="B342">
            <v>467361906.74000001</v>
          </cell>
          <cell r="C342">
            <v>282405773.13999999</v>
          </cell>
          <cell r="E342">
            <v>657498648.99000001</v>
          </cell>
          <cell r="F342">
            <v>190136742.25</v>
          </cell>
          <cell r="G342">
            <v>389904202.91000003</v>
          </cell>
          <cell r="H342">
            <v>107498429.77</v>
          </cell>
        </row>
        <row r="343">
          <cell r="A343">
            <v>2014090</v>
          </cell>
          <cell r="B343">
            <v>45245640.5</v>
          </cell>
          <cell r="C343">
            <v>18372164.399999999</v>
          </cell>
          <cell r="E343">
            <v>60753185.5</v>
          </cell>
          <cell r="F343">
            <v>15507545</v>
          </cell>
          <cell r="G343">
            <v>23633499.5</v>
          </cell>
          <cell r="H343">
            <v>5261335.0999999996</v>
          </cell>
        </row>
        <row r="344">
          <cell r="A344">
            <v>2015519</v>
          </cell>
          <cell r="B344">
            <v>21055285.010000002</v>
          </cell>
          <cell r="C344">
            <v>12730697.689999999</v>
          </cell>
          <cell r="E344">
            <v>28449705.07</v>
          </cell>
          <cell r="F344">
            <v>7394420.0599999996</v>
          </cell>
          <cell r="G344">
            <v>17064611.27</v>
          </cell>
          <cell r="H344">
            <v>4333913.58</v>
          </cell>
        </row>
        <row r="345">
          <cell r="A345">
            <v>2010599</v>
          </cell>
          <cell r="B345">
            <v>4119321349</v>
          </cell>
          <cell r="C345">
            <v>2189798776.75</v>
          </cell>
          <cell r="E345">
            <v>4796139291</v>
          </cell>
          <cell r="F345">
            <v>676817942</v>
          </cell>
          <cell r="G345">
            <v>2538549108.75</v>
          </cell>
          <cell r="H345">
            <v>348750332</v>
          </cell>
        </row>
        <row r="346">
          <cell r="A346">
            <v>2208242</v>
          </cell>
          <cell r="B346">
            <v>17248660.75</v>
          </cell>
          <cell r="C346">
            <v>0</v>
          </cell>
          <cell r="E346">
            <v>50889788.200000003</v>
          </cell>
          <cell r="F346">
            <v>33641127.450000003</v>
          </cell>
        </row>
        <row r="347">
          <cell r="A347">
            <v>6054667</v>
          </cell>
          <cell r="B347">
            <v>3586360.59</v>
          </cell>
          <cell r="C347">
            <v>0</v>
          </cell>
          <cell r="E347">
            <v>12082708.42</v>
          </cell>
          <cell r="F347">
            <v>8496347.8300000001</v>
          </cell>
        </row>
        <row r="348">
          <cell r="A348">
            <v>2015509</v>
          </cell>
          <cell r="B348">
            <v>1406700871.6400001</v>
          </cell>
          <cell r="C348">
            <v>607536687.84000003</v>
          </cell>
          <cell r="E348">
            <v>1769419629.6900001</v>
          </cell>
          <cell r="F348">
            <v>362718758.05000001</v>
          </cell>
          <cell r="G348">
            <v>772486677.24000001</v>
          </cell>
          <cell r="H348">
            <v>164949989.40000001</v>
          </cell>
        </row>
        <row r="349">
          <cell r="A349">
            <v>2014127</v>
          </cell>
          <cell r="B349">
            <v>41681201.880000003</v>
          </cell>
          <cell r="C349">
            <v>18425605.100000001</v>
          </cell>
          <cell r="E349">
            <v>55793625.100000001</v>
          </cell>
          <cell r="F349">
            <v>14112423.220000001</v>
          </cell>
          <cell r="G349">
            <v>22484991.510000002</v>
          </cell>
          <cell r="H349">
            <v>4059386.41</v>
          </cell>
        </row>
        <row r="350">
          <cell r="A350">
            <v>2015587</v>
          </cell>
          <cell r="B350">
            <v>36399237214.550003</v>
          </cell>
          <cell r="C350">
            <v>18897683573.349998</v>
          </cell>
          <cell r="E350">
            <v>41686374909.050003</v>
          </cell>
          <cell r="F350">
            <v>5287137694.5</v>
          </cell>
          <cell r="G350">
            <v>21185622623.150002</v>
          </cell>
          <cell r="H350">
            <v>2287939049.8000002</v>
          </cell>
        </row>
        <row r="351">
          <cell r="A351">
            <v>2014137</v>
          </cell>
          <cell r="B351">
            <v>65564811.640000001</v>
          </cell>
          <cell r="C351">
            <v>54856707.340000004</v>
          </cell>
          <cell r="E351">
            <v>96547827.280000001</v>
          </cell>
          <cell r="F351">
            <v>30983015.640000001</v>
          </cell>
          <cell r="G351">
            <v>73128974.519999996</v>
          </cell>
          <cell r="H351">
            <v>18272267.18</v>
          </cell>
        </row>
        <row r="352">
          <cell r="A352">
            <v>2015615</v>
          </cell>
          <cell r="B352">
            <v>32978792.199999999</v>
          </cell>
          <cell r="C352">
            <v>14450017.689999999</v>
          </cell>
          <cell r="E352">
            <v>95730823.219999999</v>
          </cell>
          <cell r="F352">
            <v>62752031.020000003</v>
          </cell>
          <cell r="G352">
            <v>19960439.850000001</v>
          </cell>
          <cell r="H352">
            <v>5510422.1600000001</v>
          </cell>
        </row>
        <row r="353">
          <cell r="A353">
            <v>2010591</v>
          </cell>
          <cell r="B353">
            <v>1132950559.9100001</v>
          </cell>
          <cell r="C353">
            <v>541397273.54999995</v>
          </cell>
          <cell r="E353">
            <v>1492954512.01</v>
          </cell>
          <cell r="F353">
            <v>360003952.10000002</v>
          </cell>
          <cell r="G353">
            <v>781994543.75</v>
          </cell>
          <cell r="H353">
            <v>240597270.19999999</v>
          </cell>
        </row>
        <row r="354">
          <cell r="A354">
            <v>2030554</v>
          </cell>
          <cell r="B354">
            <v>20748378.780000001</v>
          </cell>
          <cell r="C354">
            <v>7961938.8799999999</v>
          </cell>
          <cell r="E354">
            <v>30162124.539999999</v>
          </cell>
          <cell r="F354">
            <v>9413745.7599999998</v>
          </cell>
          <cell r="G354">
            <v>12555586.390000001</v>
          </cell>
          <cell r="H354">
            <v>4593647.51</v>
          </cell>
        </row>
        <row r="355">
          <cell r="A355">
            <v>2015532</v>
          </cell>
          <cell r="B355">
            <v>792034593.27999997</v>
          </cell>
          <cell r="C355">
            <v>351813883.05000001</v>
          </cell>
          <cell r="E355">
            <v>976853808.13</v>
          </cell>
          <cell r="F355">
            <v>184819214.84999999</v>
          </cell>
          <cell r="G355">
            <v>430305146.02999997</v>
          </cell>
          <cell r="H355">
            <v>78491262.980000004</v>
          </cell>
        </row>
        <row r="356">
          <cell r="A356">
            <v>2383499</v>
          </cell>
          <cell r="B356">
            <v>83245372.75</v>
          </cell>
          <cell r="C356">
            <v>40460165.600000001</v>
          </cell>
          <cell r="E356">
            <v>112276903.45</v>
          </cell>
          <cell r="F356">
            <v>29031530.699999999</v>
          </cell>
          <cell r="G356">
            <v>52598974.649999999</v>
          </cell>
          <cell r="H356">
            <v>12138809.050000001</v>
          </cell>
        </row>
        <row r="357">
          <cell r="A357">
            <v>2293139</v>
          </cell>
          <cell r="B357">
            <v>1071274788.12</v>
          </cell>
          <cell r="C357">
            <v>671676119.87</v>
          </cell>
          <cell r="E357">
            <v>1319133829.22</v>
          </cell>
          <cell r="F357">
            <v>247859041.09999999</v>
          </cell>
          <cell r="G357">
            <v>789480141.57000005</v>
          </cell>
          <cell r="H357">
            <v>117804021.7</v>
          </cell>
        </row>
        <row r="358">
          <cell r="A358">
            <v>2015583</v>
          </cell>
          <cell r="B358">
            <v>179220958633.10999</v>
          </cell>
          <cell r="C358">
            <v>97680754945.940002</v>
          </cell>
          <cell r="E358">
            <v>201469307658.13</v>
          </cell>
          <cell r="F358">
            <v>22248349025.02</v>
          </cell>
          <cell r="G358">
            <v>109611531340.86</v>
          </cell>
          <cell r="H358">
            <v>11930776394.92</v>
          </cell>
        </row>
        <row r="359">
          <cell r="A359">
            <v>2014121</v>
          </cell>
          <cell r="B359">
            <v>177258278.24000001</v>
          </cell>
          <cell r="C359">
            <v>98746489.290000007</v>
          </cell>
          <cell r="E359">
            <v>234991061.18000001</v>
          </cell>
          <cell r="F359">
            <v>57732782.939999998</v>
          </cell>
          <cell r="G359">
            <v>137592925.34999999</v>
          </cell>
          <cell r="H359">
            <v>38846436.060000002</v>
          </cell>
        </row>
        <row r="360">
          <cell r="A360">
            <v>2015537</v>
          </cell>
          <cell r="B360">
            <v>713398593.63999999</v>
          </cell>
          <cell r="C360">
            <v>336530550.38</v>
          </cell>
          <cell r="E360">
            <v>998080362.5</v>
          </cell>
          <cell r="F360">
            <v>284681768.86000001</v>
          </cell>
          <cell r="G360">
            <v>435519998.66000003</v>
          </cell>
          <cell r="H360">
            <v>98989448.280000001</v>
          </cell>
        </row>
        <row r="361">
          <cell r="A361">
            <v>9260449</v>
          </cell>
          <cell r="B361">
            <v>0</v>
          </cell>
          <cell r="C361">
            <v>0</v>
          </cell>
          <cell r="E361">
            <v>1978693.9</v>
          </cell>
          <cell r="F361">
            <v>1978693.9</v>
          </cell>
        </row>
        <row r="362">
          <cell r="A362">
            <v>2015669</v>
          </cell>
          <cell r="B362">
            <v>1258753680.97</v>
          </cell>
          <cell r="C362">
            <v>709399833.87</v>
          </cell>
          <cell r="E362">
            <v>1526333645.6199999</v>
          </cell>
          <cell r="F362">
            <v>267579964.65000001</v>
          </cell>
          <cell r="G362">
            <v>836590641.82000005</v>
          </cell>
          <cell r="H362">
            <v>127190807.95</v>
          </cell>
        </row>
        <row r="363">
          <cell r="A363">
            <v>2014108</v>
          </cell>
          <cell r="B363">
            <v>34815158.600000001</v>
          </cell>
          <cell r="C363">
            <v>19763434.199999999</v>
          </cell>
          <cell r="E363">
            <v>62025554.600000001</v>
          </cell>
          <cell r="F363">
            <v>27210396</v>
          </cell>
          <cell r="G363">
            <v>32720172</v>
          </cell>
          <cell r="H363">
            <v>12956737.800000001</v>
          </cell>
        </row>
        <row r="364">
          <cell r="A364">
            <v>2108509</v>
          </cell>
          <cell r="B364">
            <v>100062533.15000001</v>
          </cell>
          <cell r="C364">
            <v>38153047.939999998</v>
          </cell>
          <cell r="E364">
            <v>143107542.43000001</v>
          </cell>
          <cell r="F364">
            <v>43045009.280000001</v>
          </cell>
          <cell r="G364">
            <v>62861559.340000004</v>
          </cell>
          <cell r="H364">
            <v>24708511.399999999</v>
          </cell>
        </row>
        <row r="365">
          <cell r="A365">
            <v>2289519</v>
          </cell>
          <cell r="B365">
            <v>111052193.86</v>
          </cell>
          <cell r="C365">
            <v>63252594.130000003</v>
          </cell>
          <cell r="E365">
            <v>170605883.84999999</v>
          </cell>
          <cell r="F365">
            <v>59553689.990000002</v>
          </cell>
          <cell r="G365">
            <v>86496351.75</v>
          </cell>
          <cell r="H365">
            <v>23243757.620000001</v>
          </cell>
        </row>
        <row r="366">
          <cell r="A366">
            <v>2015614</v>
          </cell>
          <cell r="B366">
            <v>1767203738.47</v>
          </cell>
          <cell r="C366">
            <v>753115544.58000004</v>
          </cell>
          <cell r="E366">
            <v>2139531946.77</v>
          </cell>
          <cell r="F366">
            <v>372328208.30000001</v>
          </cell>
          <cell r="G366">
            <v>887841807.48000002</v>
          </cell>
          <cell r="H366">
            <v>134726262.90000001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AFF7C-4E1C-456E-8BE5-359797BE8A67}">
  <dimension ref="A1:Z326"/>
  <sheetViews>
    <sheetView showGridLines="0" tabSelected="1" workbookViewId="0">
      <selection activeCell="C12" sqref="C12"/>
    </sheetView>
  </sheetViews>
  <sheetFormatPr defaultRowHeight="15" x14ac:dyDescent="0.25"/>
  <cols>
    <col min="1" max="1" width="13.42578125" style="5" customWidth="1"/>
    <col min="2" max="4" width="18.85546875" style="5" customWidth="1"/>
    <col min="5" max="5" width="12.85546875" style="5" customWidth="1"/>
    <col min="6" max="6" width="12.5703125" style="5" customWidth="1"/>
    <col min="7" max="7" width="8.42578125" style="5" customWidth="1"/>
    <col min="8" max="8" width="8.140625" style="5" customWidth="1"/>
    <col min="9" max="9" width="34.42578125" style="5" customWidth="1"/>
    <col min="10" max="10" width="17.85546875" style="5" customWidth="1"/>
    <col min="11" max="11" width="10.42578125" style="5" customWidth="1"/>
    <col min="12" max="12" width="13.42578125" style="5" customWidth="1"/>
    <col min="13" max="13" width="21.85546875" style="5" customWidth="1"/>
    <col min="14" max="14" width="18.85546875" style="5" customWidth="1"/>
    <col min="15" max="15" width="12.140625" style="5" bestFit="1" customWidth="1"/>
    <col min="16" max="16" width="12" style="5" bestFit="1" customWidth="1"/>
    <col min="17" max="17" width="10.85546875" style="5" customWidth="1"/>
    <col min="18" max="20" width="9.140625" style="5"/>
    <col min="21" max="21" width="16.7109375" style="5" bestFit="1" customWidth="1"/>
    <col min="22" max="22" width="15.7109375" style="5" bestFit="1" customWidth="1"/>
    <col min="23" max="23" width="16.7109375" style="5" bestFit="1" customWidth="1"/>
    <col min="24" max="24" width="15.7109375" style="5" bestFit="1" customWidth="1"/>
    <col min="25" max="25" width="16.7109375" style="5" bestFit="1" customWidth="1"/>
    <col min="26" max="26" width="15.7109375" style="5" bestFit="1" customWidth="1"/>
    <col min="27" max="16384" width="9.140625" style="5"/>
  </cols>
  <sheetData>
    <row r="1" spans="1:26" ht="15.75" x14ac:dyDescent="0.25">
      <c r="A1" s="1" t="s">
        <v>0</v>
      </c>
      <c r="B1" s="2"/>
      <c r="C1" s="3" t="s">
        <v>1</v>
      </c>
      <c r="D1" s="3" t="s">
        <v>1</v>
      </c>
      <c r="E1" s="3" t="s">
        <v>1</v>
      </c>
      <c r="F1" s="4" t="s">
        <v>1</v>
      </c>
      <c r="G1" s="4" t="s">
        <v>1</v>
      </c>
      <c r="H1" s="4" t="s">
        <v>1</v>
      </c>
      <c r="I1" s="4" t="s">
        <v>1</v>
      </c>
      <c r="J1" s="4" t="s">
        <v>1</v>
      </c>
      <c r="K1" s="4" t="s">
        <v>1</v>
      </c>
      <c r="L1" s="4" t="s">
        <v>1</v>
      </c>
      <c r="M1" s="4" t="s">
        <v>1</v>
      </c>
      <c r="N1" s="4" t="s">
        <v>1</v>
      </c>
    </row>
    <row r="2" spans="1:26" ht="15.75" x14ac:dyDescent="0.25">
      <c r="A2" s="1" t="s">
        <v>2</v>
      </c>
      <c r="B2" s="2"/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4" t="s">
        <v>1</v>
      </c>
      <c r="J2" s="4" t="s">
        <v>1</v>
      </c>
      <c r="K2" s="4" t="s">
        <v>1</v>
      </c>
      <c r="L2" s="4" t="s">
        <v>1</v>
      </c>
      <c r="M2" s="4" t="s">
        <v>1</v>
      </c>
      <c r="N2" s="4" t="s">
        <v>1</v>
      </c>
    </row>
    <row r="3" spans="1:26" ht="60.75" x14ac:dyDescent="0.25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7" t="s">
        <v>15</v>
      </c>
      <c r="N3" s="7" t="s">
        <v>16</v>
      </c>
      <c r="O3" s="7" t="s">
        <v>17</v>
      </c>
      <c r="P3" s="7" t="s">
        <v>18</v>
      </c>
      <c r="Q3" s="7" t="s">
        <v>19</v>
      </c>
      <c r="R3" s="7" t="s">
        <v>20</v>
      </c>
      <c r="S3" s="7" t="s">
        <v>21</v>
      </c>
      <c r="T3" s="7" t="s">
        <v>22</v>
      </c>
      <c r="U3" s="7" t="s">
        <v>23</v>
      </c>
      <c r="V3" s="7" t="s">
        <v>24</v>
      </c>
      <c r="W3" s="7" t="s">
        <v>25</v>
      </c>
      <c r="X3" s="7" t="s">
        <v>26</v>
      </c>
      <c r="Y3" s="7" t="s">
        <v>27</v>
      </c>
      <c r="Z3" s="7" t="s">
        <v>28</v>
      </c>
    </row>
    <row r="4" spans="1:26" x14ac:dyDescent="0.25">
      <c r="A4" s="8">
        <v>2004834</v>
      </c>
      <c r="B4" s="8" t="s">
        <v>29</v>
      </c>
      <c r="C4" s="8" t="s">
        <v>29</v>
      </c>
      <c r="D4" s="8" t="s">
        <v>30</v>
      </c>
      <c r="E4" s="8" t="s">
        <v>31</v>
      </c>
      <c r="F4" s="8" t="s">
        <v>32</v>
      </c>
      <c r="G4" s="8" t="s">
        <v>33</v>
      </c>
      <c r="H4" s="8" t="s">
        <v>34</v>
      </c>
      <c r="I4" s="8" t="s">
        <v>35</v>
      </c>
      <c r="J4" s="8" t="s">
        <v>36</v>
      </c>
      <c r="K4" s="8" t="s">
        <v>37</v>
      </c>
      <c r="L4" s="8" t="s">
        <v>38</v>
      </c>
      <c r="M4" s="9">
        <v>134825243</v>
      </c>
      <c r="N4" s="10">
        <v>170958408.12</v>
      </c>
      <c r="O4" s="11">
        <f>_xlfn.XLOOKUP(A4,[1]MIC!A:A,[1]MIC!C:C)</f>
        <v>45344</v>
      </c>
      <c r="P4" s="11">
        <f>_xlfn.XLOOKUP(A4,[1]MIC!A:A,[1]MIC!D:D)</f>
        <v>45709</v>
      </c>
      <c r="Q4" s="5">
        <f>_xlfn.XLOOKUP(A4,'[1]Days Listed'!A:A,'[1]Days Listed'!B:B)</f>
        <v>256</v>
      </c>
      <c r="R4" s="5">
        <f>_xlfn.XLOOKUP(A4,'[1]Days Listed'!A:A,'[1]Days Listed'!C:C)</f>
        <v>129</v>
      </c>
      <c r="S4" s="5">
        <f>_xlfn.XLOOKUP(A4,'[1]Days With Trades'!A:A,'[1]Days With Trades'!B:B)</f>
        <v>250</v>
      </c>
      <c r="T4" s="5">
        <f>_xlfn.XLOOKUP(A4,'[1]Days With Trades'!A:A,'[1]Days With Trades'!C:C)</f>
        <v>127</v>
      </c>
      <c r="U4" s="12">
        <f>_xlfn.XLOOKUP(A4,'[1]Value Traded'!A:A,'[1]Value Traded'!B:B)</f>
        <v>237471141.12</v>
      </c>
      <c r="V4" s="12">
        <f>_xlfn.XLOOKUP(A4,'[1]Value Traded'!A:A,'[1]Value Traded'!C:C)</f>
        <v>177928128.53999999</v>
      </c>
      <c r="W4" s="12">
        <f>_xlfn.XLOOKUP(A4,'[1]Value Traded'!A:A,'[1]Value Traded'!E:E)</f>
        <v>426503433.39999998</v>
      </c>
      <c r="X4" s="12">
        <f>_xlfn.XLOOKUP(A4,'[1]Value Traded'!A:A,'[1]Value Traded'!F:F)</f>
        <v>189032292.28</v>
      </c>
      <c r="Y4" s="12">
        <f>_xlfn.XLOOKUP(A4,'[1]Value Traded'!A:A,'[1]Value Traded'!G:G)</f>
        <v>310452044.75</v>
      </c>
      <c r="Z4" s="12">
        <f>_xlfn.XLOOKUP(A4,'[1]Value Traded'!A:A,'[1]Value Traded'!H:H)</f>
        <v>132523916.20999999</v>
      </c>
    </row>
    <row r="5" spans="1:26" x14ac:dyDescent="0.25">
      <c r="A5" s="13">
        <v>2010588</v>
      </c>
      <c r="B5" s="13" t="s">
        <v>39</v>
      </c>
      <c r="C5" s="13" t="s">
        <v>39</v>
      </c>
      <c r="D5" s="13" t="s">
        <v>40</v>
      </c>
      <c r="E5" s="13" t="s">
        <v>41</v>
      </c>
      <c r="F5" s="13" t="s">
        <v>32</v>
      </c>
      <c r="G5" s="13" t="s">
        <v>33</v>
      </c>
      <c r="H5" s="13" t="s">
        <v>34</v>
      </c>
      <c r="I5" s="13" t="s">
        <v>42</v>
      </c>
      <c r="J5" s="13" t="s">
        <v>36</v>
      </c>
      <c r="K5" s="13" t="s">
        <v>37</v>
      </c>
      <c r="L5" s="13" t="s">
        <v>43</v>
      </c>
      <c r="M5" s="14">
        <v>19258412</v>
      </c>
      <c r="N5" s="15">
        <v>77033648</v>
      </c>
      <c r="O5" s="11">
        <f>_xlfn.XLOOKUP(A5,[1]MIC!A:A,[1]MIC!C:C)</f>
        <v>45344</v>
      </c>
      <c r="P5" s="11">
        <f>_xlfn.XLOOKUP(A5,[1]MIC!A:A,[1]MIC!D:D)</f>
        <v>45709</v>
      </c>
      <c r="Q5" s="5">
        <f>_xlfn.XLOOKUP(A5,'[1]Days Listed'!A:A,'[1]Days Listed'!B:B)</f>
        <v>256</v>
      </c>
      <c r="R5" s="5">
        <f>_xlfn.XLOOKUP(A5,'[1]Days Listed'!A:A,'[1]Days Listed'!C:C)</f>
        <v>129</v>
      </c>
      <c r="S5" s="5">
        <f>_xlfn.XLOOKUP(A5,'[1]Days With Trades'!A:A,'[1]Days With Trades'!B:B)</f>
        <v>248</v>
      </c>
      <c r="T5" s="5">
        <f>_xlfn.XLOOKUP(A5,'[1]Days With Trades'!A:A,'[1]Days With Trades'!C:C)</f>
        <v>125</v>
      </c>
      <c r="U5" s="12">
        <f>_xlfn.XLOOKUP(A5,'[1]Value Traded'!A:A,'[1]Value Traded'!B:B)</f>
        <v>19623618.399999999</v>
      </c>
      <c r="V5" s="12">
        <f>_xlfn.XLOOKUP(A5,'[1]Value Traded'!A:A,'[1]Value Traded'!C:C)</f>
        <v>5899499.9900000002</v>
      </c>
      <c r="W5" s="12">
        <f>_xlfn.XLOOKUP(A5,'[1]Value Traded'!A:A,'[1]Value Traded'!E:E)</f>
        <v>28787735.780000001</v>
      </c>
      <c r="X5" s="12">
        <f>_xlfn.XLOOKUP(A5,'[1]Value Traded'!A:A,'[1]Value Traded'!F:F)</f>
        <v>9164117.3800000008</v>
      </c>
      <c r="Y5" s="12">
        <f>_xlfn.XLOOKUP(A5,'[1]Value Traded'!A:A,'[1]Value Traded'!G:G)</f>
        <v>9167369.1300000008</v>
      </c>
      <c r="Z5" s="12">
        <f>_xlfn.XLOOKUP(A5,'[1]Value Traded'!A:A,'[1]Value Traded'!H:H)</f>
        <v>3267869.14</v>
      </c>
    </row>
    <row r="6" spans="1:26" x14ac:dyDescent="0.25">
      <c r="A6" s="8">
        <v>2010589</v>
      </c>
      <c r="B6" s="8" t="s">
        <v>44</v>
      </c>
      <c r="C6" s="8" t="s">
        <v>44</v>
      </c>
      <c r="D6" s="8" t="s">
        <v>45</v>
      </c>
      <c r="E6" s="8" t="s">
        <v>46</v>
      </c>
      <c r="F6" s="8" t="s">
        <v>32</v>
      </c>
      <c r="G6" s="8" t="s">
        <v>47</v>
      </c>
      <c r="H6" s="8" t="s">
        <v>48</v>
      </c>
      <c r="I6" s="8" t="s">
        <v>49</v>
      </c>
      <c r="J6" s="8" t="s">
        <v>36</v>
      </c>
      <c r="K6" s="8" t="s">
        <v>37</v>
      </c>
      <c r="L6" s="8" t="s">
        <v>50</v>
      </c>
      <c r="M6" s="9">
        <v>60458231</v>
      </c>
      <c r="N6" s="10">
        <v>3905601722.5999999</v>
      </c>
      <c r="O6" s="11">
        <f>_xlfn.XLOOKUP(A6,[1]MIC!A:A,[1]MIC!C:C)</f>
        <v>45344</v>
      </c>
      <c r="P6" s="11">
        <f>_xlfn.XLOOKUP(A6,[1]MIC!A:A,[1]MIC!D:D)</f>
        <v>45709</v>
      </c>
      <c r="Q6" s="5">
        <f>_xlfn.XLOOKUP(A6,'[1]Days Listed'!A:A,'[1]Days Listed'!B:B)</f>
        <v>256</v>
      </c>
      <c r="R6" s="5">
        <f>_xlfn.XLOOKUP(A6,'[1]Days Listed'!A:A,'[1]Days Listed'!C:C)</f>
        <v>129</v>
      </c>
      <c r="S6" s="5">
        <f>_xlfn.XLOOKUP(A6,'[1]Days With Trades'!A:A,'[1]Days With Trades'!B:B)</f>
        <v>250</v>
      </c>
      <c r="T6" s="5">
        <f>_xlfn.XLOOKUP(A6,'[1]Days With Trades'!A:A,'[1]Days With Trades'!C:C)</f>
        <v>127</v>
      </c>
      <c r="U6" s="12">
        <f>_xlfn.XLOOKUP(A6,'[1]Value Traded'!A:A,'[1]Value Traded'!B:B)</f>
        <v>1793296926.7</v>
      </c>
      <c r="V6" s="12">
        <f>_xlfn.XLOOKUP(A6,'[1]Value Traded'!A:A,'[1]Value Traded'!C:C)</f>
        <v>937056673.79999995</v>
      </c>
      <c r="W6" s="12">
        <f>_xlfn.XLOOKUP(A6,'[1]Value Traded'!A:A,'[1]Value Traded'!E:E)</f>
        <v>2075734029.0999999</v>
      </c>
      <c r="X6" s="12">
        <f>_xlfn.XLOOKUP(A6,'[1]Value Traded'!A:A,'[1]Value Traded'!F:F)</f>
        <v>282437102.39999998</v>
      </c>
      <c r="Y6" s="12">
        <f>_xlfn.XLOOKUP(A6,'[1]Value Traded'!A:A,'[1]Value Traded'!G:G)</f>
        <v>1072716969.2</v>
      </c>
      <c r="Z6" s="12">
        <f>_xlfn.XLOOKUP(A6,'[1]Value Traded'!A:A,'[1]Value Traded'!H:H)</f>
        <v>135660295.40000001</v>
      </c>
    </row>
    <row r="7" spans="1:26" x14ac:dyDescent="0.25">
      <c r="A7" s="13">
        <v>2010591</v>
      </c>
      <c r="B7" s="13" t="s">
        <v>51</v>
      </c>
      <c r="C7" s="13" t="s">
        <v>51</v>
      </c>
      <c r="D7" s="13" t="s">
        <v>52</v>
      </c>
      <c r="E7" s="13" t="s">
        <v>53</v>
      </c>
      <c r="F7" s="13" t="s">
        <v>32</v>
      </c>
      <c r="G7" s="13" t="s">
        <v>47</v>
      </c>
      <c r="H7" s="13" t="s">
        <v>54</v>
      </c>
      <c r="I7" s="13" t="s">
        <v>55</v>
      </c>
      <c r="J7" s="13" t="s">
        <v>36</v>
      </c>
      <c r="K7" s="13" t="s">
        <v>37</v>
      </c>
      <c r="L7" s="13" t="s">
        <v>56</v>
      </c>
      <c r="M7" s="14">
        <v>114351800</v>
      </c>
      <c r="N7" s="15">
        <v>3682127960</v>
      </c>
      <c r="O7" s="11">
        <f>_xlfn.XLOOKUP(A7,[1]MIC!A:A,[1]MIC!C:C)</f>
        <v>45344</v>
      </c>
      <c r="P7" s="11">
        <f>_xlfn.XLOOKUP(A7,[1]MIC!A:A,[1]MIC!D:D)</f>
        <v>45709</v>
      </c>
      <c r="Q7" s="5">
        <f>_xlfn.XLOOKUP(A7,'[1]Days Listed'!A:A,'[1]Days Listed'!B:B)</f>
        <v>256</v>
      </c>
      <c r="R7" s="5">
        <f>_xlfn.XLOOKUP(A7,'[1]Days Listed'!A:A,'[1]Days Listed'!C:C)</f>
        <v>129</v>
      </c>
      <c r="S7" s="5">
        <f>_xlfn.XLOOKUP(A7,'[1]Days With Trades'!A:A,'[1]Days With Trades'!B:B)</f>
        <v>250</v>
      </c>
      <c r="T7" s="5">
        <f>_xlfn.XLOOKUP(A7,'[1]Days With Trades'!A:A,'[1]Days With Trades'!C:C)</f>
        <v>127</v>
      </c>
      <c r="U7" s="12">
        <f>_xlfn.XLOOKUP(A7,'[1]Value Traded'!A:A,'[1]Value Traded'!B:B)</f>
        <v>1132950559.9100001</v>
      </c>
      <c r="V7" s="12">
        <f>_xlfn.XLOOKUP(A7,'[1]Value Traded'!A:A,'[1]Value Traded'!C:C)</f>
        <v>541397273.54999995</v>
      </c>
      <c r="W7" s="12">
        <f>_xlfn.XLOOKUP(A7,'[1]Value Traded'!A:A,'[1]Value Traded'!E:E)</f>
        <v>1492954512.01</v>
      </c>
      <c r="X7" s="12">
        <f>_xlfn.XLOOKUP(A7,'[1]Value Traded'!A:A,'[1]Value Traded'!F:F)</f>
        <v>360003952.10000002</v>
      </c>
      <c r="Y7" s="12">
        <f>_xlfn.XLOOKUP(A7,'[1]Value Traded'!A:A,'[1]Value Traded'!G:G)</f>
        <v>781994543.75</v>
      </c>
      <c r="Z7" s="12">
        <f>_xlfn.XLOOKUP(A7,'[1]Value Traded'!A:A,'[1]Value Traded'!H:H)</f>
        <v>240597270.19999999</v>
      </c>
    </row>
    <row r="8" spans="1:26" x14ac:dyDescent="0.25">
      <c r="A8" s="8">
        <v>2010592</v>
      </c>
      <c r="B8" s="8" t="s">
        <v>57</v>
      </c>
      <c r="C8" s="8" t="s">
        <v>57</v>
      </c>
      <c r="D8" s="8" t="s">
        <v>58</v>
      </c>
      <c r="E8" s="8" t="s">
        <v>59</v>
      </c>
      <c r="F8" s="8" t="s">
        <v>32</v>
      </c>
      <c r="G8" s="8" t="s">
        <v>60</v>
      </c>
      <c r="H8" s="8" t="s">
        <v>61</v>
      </c>
      <c r="I8" s="8" t="s">
        <v>62</v>
      </c>
      <c r="J8" s="8" t="s">
        <v>63</v>
      </c>
      <c r="K8" s="8" t="s">
        <v>37</v>
      </c>
      <c r="L8" s="8" t="s">
        <v>64</v>
      </c>
      <c r="M8" s="9">
        <v>2836270</v>
      </c>
      <c r="N8" s="10">
        <v>385732720</v>
      </c>
      <c r="O8" s="11">
        <f>_xlfn.XLOOKUP(A8,[1]MIC!A:A,[1]MIC!C:C)</f>
        <v>45344</v>
      </c>
      <c r="P8" s="11">
        <f>_xlfn.XLOOKUP(A8,[1]MIC!A:A,[1]MIC!D:D)</f>
        <v>45709</v>
      </c>
      <c r="Q8" s="5">
        <f>_xlfn.XLOOKUP(A8,'[1]Days Listed'!A:A,'[1]Days Listed'!B:B)</f>
        <v>256</v>
      </c>
      <c r="R8" s="5">
        <f>_xlfn.XLOOKUP(A8,'[1]Days Listed'!A:A,'[1]Days Listed'!C:C)</f>
        <v>129</v>
      </c>
      <c r="S8" s="5">
        <f>_xlfn.XLOOKUP(A8,'[1]Days With Trades'!A:A,'[1]Days With Trades'!B:B)</f>
        <v>168</v>
      </c>
      <c r="T8" s="5">
        <f>_xlfn.XLOOKUP(A8,'[1]Days With Trades'!A:A,'[1]Days With Trades'!C:C)</f>
        <v>85</v>
      </c>
      <c r="U8" s="12">
        <f>_xlfn.XLOOKUP(A8,'[1]Value Traded'!A:A,'[1]Value Traded'!B:B)</f>
        <v>6937994.4199999999</v>
      </c>
      <c r="V8" s="12">
        <f>_xlfn.XLOOKUP(A8,'[1]Value Traded'!A:A,'[1]Value Traded'!C:C)</f>
        <v>4246003</v>
      </c>
      <c r="W8" s="12">
        <f>_xlfn.XLOOKUP(A8,'[1]Value Traded'!A:A,'[1]Value Traded'!E:E)</f>
        <v>10417989.880000001</v>
      </c>
      <c r="X8" s="12">
        <f>_xlfn.XLOOKUP(A8,'[1]Value Traded'!A:A,'[1]Value Traded'!F:F)</f>
        <v>3479995.46</v>
      </c>
      <c r="Y8" s="12">
        <f>_xlfn.XLOOKUP(A8,'[1]Value Traded'!A:A,'[1]Value Traded'!G:G)</f>
        <v>5963858.4199999999</v>
      </c>
      <c r="Z8" s="12">
        <f>_xlfn.XLOOKUP(A8,'[1]Value Traded'!A:A,'[1]Value Traded'!H:H)</f>
        <v>1717855.42</v>
      </c>
    </row>
    <row r="9" spans="1:26" x14ac:dyDescent="0.25">
      <c r="A9" s="13">
        <v>2010593</v>
      </c>
      <c r="B9" s="13" t="s">
        <v>65</v>
      </c>
      <c r="C9" s="13" t="s">
        <v>65</v>
      </c>
      <c r="D9" s="13" t="s">
        <v>66</v>
      </c>
      <c r="E9" s="13" t="s">
        <v>67</v>
      </c>
      <c r="F9" s="13" t="s">
        <v>32</v>
      </c>
      <c r="G9" s="13" t="s">
        <v>47</v>
      </c>
      <c r="H9" s="13" t="s">
        <v>68</v>
      </c>
      <c r="I9" s="13" t="s">
        <v>69</v>
      </c>
      <c r="J9" s="13" t="s">
        <v>36</v>
      </c>
      <c r="K9" s="13" t="s">
        <v>37</v>
      </c>
      <c r="L9" s="13" t="s">
        <v>50</v>
      </c>
      <c r="M9" s="14">
        <v>443700279</v>
      </c>
      <c r="N9" s="15">
        <v>8519045356.8000002</v>
      </c>
      <c r="O9" s="11">
        <f>_xlfn.XLOOKUP(A9,[1]MIC!A:A,[1]MIC!C:C)</f>
        <v>45344</v>
      </c>
      <c r="P9" s="11">
        <f>_xlfn.XLOOKUP(A9,[1]MIC!A:A,[1]MIC!D:D)</f>
        <v>45709</v>
      </c>
      <c r="Q9" s="5">
        <f>_xlfn.XLOOKUP(A9,'[1]Days Listed'!A:A,'[1]Days Listed'!B:B)</f>
        <v>256</v>
      </c>
      <c r="R9" s="5">
        <f>_xlfn.XLOOKUP(A9,'[1]Days Listed'!A:A,'[1]Days Listed'!C:C)</f>
        <v>129</v>
      </c>
      <c r="S9" s="5">
        <f>_xlfn.XLOOKUP(A9,'[1]Days With Trades'!A:A,'[1]Days With Trades'!B:B)</f>
        <v>250</v>
      </c>
      <c r="T9" s="5">
        <f>_xlfn.XLOOKUP(A9,'[1]Days With Trades'!A:A,'[1]Days With Trades'!C:C)</f>
        <v>127</v>
      </c>
      <c r="U9" s="12">
        <f>_xlfn.XLOOKUP(A9,'[1]Value Traded'!A:A,'[1]Value Traded'!B:B)</f>
        <v>15737151942.09</v>
      </c>
      <c r="V9" s="12">
        <f>_xlfn.XLOOKUP(A9,'[1]Value Traded'!A:A,'[1]Value Traded'!C:C)</f>
        <v>7699778952.3800001</v>
      </c>
      <c r="W9" s="12">
        <f>_xlfn.XLOOKUP(A9,'[1]Value Traded'!A:A,'[1]Value Traded'!E:E)</f>
        <v>18359384115.439999</v>
      </c>
      <c r="X9" s="12">
        <f>_xlfn.XLOOKUP(A9,'[1]Value Traded'!A:A,'[1]Value Traded'!F:F)</f>
        <v>2622232173.3499999</v>
      </c>
      <c r="Y9" s="12">
        <f>_xlfn.XLOOKUP(A9,'[1]Value Traded'!A:A,'[1]Value Traded'!G:G)</f>
        <v>9078042821.7199993</v>
      </c>
      <c r="Z9" s="12">
        <f>_xlfn.XLOOKUP(A9,'[1]Value Traded'!A:A,'[1]Value Traded'!H:H)</f>
        <v>1378263869.3399999</v>
      </c>
    </row>
    <row r="10" spans="1:26" x14ac:dyDescent="0.25">
      <c r="A10" s="8">
        <v>2010594</v>
      </c>
      <c r="B10" s="8" t="s">
        <v>70</v>
      </c>
      <c r="C10" s="8" t="s">
        <v>70</v>
      </c>
      <c r="D10" s="8" t="s">
        <v>71</v>
      </c>
      <c r="E10" s="8" t="s">
        <v>72</v>
      </c>
      <c r="F10" s="8" t="s">
        <v>32</v>
      </c>
      <c r="G10" s="8" t="s">
        <v>47</v>
      </c>
      <c r="H10" s="8" t="s">
        <v>48</v>
      </c>
      <c r="I10" s="8" t="s">
        <v>73</v>
      </c>
      <c r="J10" s="8" t="s">
        <v>36</v>
      </c>
      <c r="K10" s="8" t="s">
        <v>37</v>
      </c>
      <c r="L10" s="8" t="s">
        <v>74</v>
      </c>
      <c r="M10" s="9">
        <v>35854045</v>
      </c>
      <c r="N10" s="10">
        <v>378977255.64999998</v>
      </c>
      <c r="O10" s="11">
        <f>_xlfn.XLOOKUP(A10,[1]MIC!A:A,[1]MIC!C:C)</f>
        <v>45344</v>
      </c>
      <c r="P10" s="11">
        <f>_xlfn.XLOOKUP(A10,[1]MIC!A:A,[1]MIC!D:D)</f>
        <v>45709</v>
      </c>
      <c r="Q10" s="5">
        <f>_xlfn.XLOOKUP(A10,'[1]Days Listed'!A:A,'[1]Days Listed'!B:B)</f>
        <v>256</v>
      </c>
      <c r="R10" s="5">
        <f>_xlfn.XLOOKUP(A10,'[1]Days Listed'!A:A,'[1]Days Listed'!C:C)</f>
        <v>129</v>
      </c>
      <c r="S10" s="5">
        <f>_xlfn.XLOOKUP(A10,'[1]Days With Trades'!A:A,'[1]Days With Trades'!B:B)</f>
        <v>250</v>
      </c>
      <c r="T10" s="5">
        <f>_xlfn.XLOOKUP(A10,'[1]Days With Trades'!A:A,'[1]Days With Trades'!C:C)</f>
        <v>127</v>
      </c>
      <c r="U10" s="12">
        <f>_xlfn.XLOOKUP(A10,'[1]Value Traded'!A:A,'[1]Value Traded'!B:B)</f>
        <v>354535370.31999999</v>
      </c>
      <c r="V10" s="12">
        <f>_xlfn.XLOOKUP(A10,'[1]Value Traded'!A:A,'[1]Value Traded'!C:C)</f>
        <v>127725107.44</v>
      </c>
      <c r="W10" s="12">
        <f>_xlfn.XLOOKUP(A10,'[1]Value Traded'!A:A,'[1]Value Traded'!E:E)</f>
        <v>496063468.14999998</v>
      </c>
      <c r="X10" s="12">
        <f>_xlfn.XLOOKUP(A10,'[1]Value Traded'!A:A,'[1]Value Traded'!F:F)</f>
        <v>141528097.83000001</v>
      </c>
      <c r="Y10" s="12">
        <f>_xlfn.XLOOKUP(A10,'[1]Value Traded'!A:A,'[1]Value Traded'!G:G)</f>
        <v>191494865.93000001</v>
      </c>
      <c r="Z10" s="12">
        <f>_xlfn.XLOOKUP(A10,'[1]Value Traded'!A:A,'[1]Value Traded'!H:H)</f>
        <v>63769758.490000002</v>
      </c>
    </row>
    <row r="11" spans="1:26" x14ac:dyDescent="0.25">
      <c r="A11" s="13">
        <v>2010595</v>
      </c>
      <c r="B11" s="13" t="s">
        <v>75</v>
      </c>
      <c r="C11" s="13" t="s">
        <v>75</v>
      </c>
      <c r="D11" s="13" t="s">
        <v>76</v>
      </c>
      <c r="E11" s="13" t="s">
        <v>77</v>
      </c>
      <c r="F11" s="13" t="s">
        <v>32</v>
      </c>
      <c r="G11" s="13" t="s">
        <v>60</v>
      </c>
      <c r="H11" s="13" t="s">
        <v>61</v>
      </c>
      <c r="I11" s="13" t="s">
        <v>78</v>
      </c>
      <c r="J11" s="13" t="s">
        <v>36</v>
      </c>
      <c r="K11" s="13" t="s">
        <v>37</v>
      </c>
      <c r="L11" s="13" t="s">
        <v>79</v>
      </c>
      <c r="M11" s="14">
        <v>261837583</v>
      </c>
      <c r="N11" s="15">
        <v>44512389.109999999</v>
      </c>
      <c r="O11" s="11">
        <f>_xlfn.XLOOKUP(A11,[1]MIC!A:A,[1]MIC!C:C)</f>
        <v>45344</v>
      </c>
      <c r="P11" s="11">
        <f>_xlfn.XLOOKUP(A11,[1]MIC!A:A,[1]MIC!D:D)</f>
        <v>45709</v>
      </c>
      <c r="Q11" s="5">
        <f>_xlfn.XLOOKUP(A11,'[1]Days Listed'!A:A,'[1]Days Listed'!B:B)</f>
        <v>256</v>
      </c>
      <c r="R11" s="5">
        <f>_xlfn.XLOOKUP(A11,'[1]Days Listed'!A:A,'[1]Days Listed'!C:C)</f>
        <v>129</v>
      </c>
      <c r="S11" s="5">
        <f>_xlfn.XLOOKUP(A11,'[1]Days With Trades'!A:A,'[1]Days With Trades'!B:B)</f>
        <v>217</v>
      </c>
      <c r="T11" s="5">
        <f>_xlfn.XLOOKUP(A11,'[1]Days With Trades'!A:A,'[1]Days With Trades'!C:C)</f>
        <v>109</v>
      </c>
      <c r="U11" s="12">
        <f>_xlfn.XLOOKUP(A11,'[1]Value Traded'!A:A,'[1]Value Traded'!B:B)</f>
        <v>3475972.94</v>
      </c>
      <c r="V11" s="12">
        <f>_xlfn.XLOOKUP(A11,'[1]Value Traded'!A:A,'[1]Value Traded'!C:C)</f>
        <v>1554781.36</v>
      </c>
      <c r="W11" s="12">
        <f>_xlfn.XLOOKUP(A11,'[1]Value Traded'!A:A,'[1]Value Traded'!E:E)</f>
        <v>6091756.2599999998</v>
      </c>
      <c r="X11" s="12">
        <f>_xlfn.XLOOKUP(A11,'[1]Value Traded'!A:A,'[1]Value Traded'!F:F)</f>
        <v>2615783.3199999998</v>
      </c>
      <c r="Y11" s="12">
        <f>_xlfn.XLOOKUP(A11,'[1]Value Traded'!A:A,'[1]Value Traded'!G:G)</f>
        <v>2568362.79</v>
      </c>
      <c r="Z11" s="12">
        <f>_xlfn.XLOOKUP(A11,'[1]Value Traded'!A:A,'[1]Value Traded'!H:H)</f>
        <v>1013581.43</v>
      </c>
    </row>
    <row r="12" spans="1:26" x14ac:dyDescent="0.25">
      <c r="A12" s="8">
        <v>2010598</v>
      </c>
      <c r="B12" s="8" t="s">
        <v>80</v>
      </c>
      <c r="C12" s="8" t="s">
        <v>80</v>
      </c>
      <c r="D12" s="8" t="s">
        <v>81</v>
      </c>
      <c r="E12" s="8" t="s">
        <v>82</v>
      </c>
      <c r="F12" s="8" t="s">
        <v>32</v>
      </c>
      <c r="G12" s="8" t="s">
        <v>60</v>
      </c>
      <c r="H12" s="8" t="s">
        <v>61</v>
      </c>
      <c r="I12" s="8" t="s">
        <v>83</v>
      </c>
      <c r="J12" s="8" t="s">
        <v>63</v>
      </c>
      <c r="K12" s="8" t="s">
        <v>37</v>
      </c>
      <c r="L12" s="8" t="s">
        <v>64</v>
      </c>
      <c r="M12" s="9">
        <v>3972475</v>
      </c>
      <c r="N12" s="10">
        <v>615574726</v>
      </c>
      <c r="O12" s="11">
        <f>_xlfn.XLOOKUP(A12,[1]MIC!A:A,[1]MIC!C:C)</f>
        <v>45344</v>
      </c>
      <c r="P12" s="11">
        <f>_xlfn.XLOOKUP(A12,[1]MIC!A:A,[1]MIC!D:D)</f>
        <v>45709</v>
      </c>
      <c r="Q12" s="5">
        <f>_xlfn.XLOOKUP(A12,'[1]Days Listed'!A:A,'[1]Days Listed'!B:B)</f>
        <v>256</v>
      </c>
      <c r="R12" s="5">
        <f>_xlfn.XLOOKUP(A12,'[1]Days Listed'!A:A,'[1]Days Listed'!C:C)</f>
        <v>129</v>
      </c>
      <c r="S12" s="5">
        <f>_xlfn.XLOOKUP(A12,'[1]Days With Trades'!A:A,'[1]Days With Trades'!B:B)</f>
        <v>188</v>
      </c>
      <c r="T12" s="5">
        <f>_xlfn.XLOOKUP(A12,'[1]Days With Trades'!A:A,'[1]Days With Trades'!C:C)</f>
        <v>94</v>
      </c>
      <c r="U12" s="12">
        <f>_xlfn.XLOOKUP(A12,'[1]Value Traded'!A:A,'[1]Value Traded'!B:B)</f>
        <v>5123010.74</v>
      </c>
      <c r="V12" s="12">
        <f>_xlfn.XLOOKUP(A12,'[1]Value Traded'!A:A,'[1]Value Traded'!C:C)</f>
        <v>2380098.7599999998</v>
      </c>
      <c r="W12" s="12">
        <f>_xlfn.XLOOKUP(A12,'[1]Value Traded'!A:A,'[1]Value Traded'!E:E)</f>
        <v>8900071.5</v>
      </c>
      <c r="X12" s="12">
        <f>_xlfn.XLOOKUP(A12,'[1]Value Traded'!A:A,'[1]Value Traded'!F:F)</f>
        <v>3777060.76</v>
      </c>
      <c r="Y12" s="12">
        <f>_xlfn.XLOOKUP(A12,'[1]Value Traded'!A:A,'[1]Value Traded'!G:G)</f>
        <v>4079113.68</v>
      </c>
      <c r="Z12" s="12">
        <f>_xlfn.XLOOKUP(A12,'[1]Value Traded'!A:A,'[1]Value Traded'!H:H)</f>
        <v>1699014.92</v>
      </c>
    </row>
    <row r="13" spans="1:26" x14ac:dyDescent="0.25">
      <c r="A13" s="13">
        <v>2010599</v>
      </c>
      <c r="B13" s="13" t="s">
        <v>84</v>
      </c>
      <c r="C13" s="13" t="s">
        <v>84</v>
      </c>
      <c r="D13" s="13" t="s">
        <v>85</v>
      </c>
      <c r="E13" s="13" t="s">
        <v>86</v>
      </c>
      <c r="F13" s="13" t="s">
        <v>32</v>
      </c>
      <c r="G13" s="13" t="s">
        <v>47</v>
      </c>
      <c r="H13" s="13" t="s">
        <v>48</v>
      </c>
      <c r="I13" s="13" t="s">
        <v>87</v>
      </c>
      <c r="J13" s="13" t="s">
        <v>36</v>
      </c>
      <c r="K13" s="13" t="s">
        <v>37</v>
      </c>
      <c r="L13" s="13" t="s">
        <v>50</v>
      </c>
      <c r="M13" s="14">
        <v>32890000</v>
      </c>
      <c r="N13" s="15">
        <v>8222500000</v>
      </c>
      <c r="O13" s="11">
        <f>_xlfn.XLOOKUP(A13,[1]MIC!A:A,[1]MIC!C:C)</f>
        <v>45344</v>
      </c>
      <c r="P13" s="11">
        <f>_xlfn.XLOOKUP(A13,[1]MIC!A:A,[1]MIC!D:D)</f>
        <v>45709</v>
      </c>
      <c r="Q13" s="5">
        <f>_xlfn.XLOOKUP(A13,'[1]Days Listed'!A:A,'[1]Days Listed'!B:B)</f>
        <v>256</v>
      </c>
      <c r="R13" s="5">
        <f>_xlfn.XLOOKUP(A13,'[1]Days Listed'!A:A,'[1]Days Listed'!C:C)</f>
        <v>129</v>
      </c>
      <c r="S13" s="5">
        <f>_xlfn.XLOOKUP(A13,'[1]Days With Trades'!A:A,'[1]Days With Trades'!B:B)</f>
        <v>250</v>
      </c>
      <c r="T13" s="5">
        <f>_xlfn.XLOOKUP(A13,'[1]Days With Trades'!A:A,'[1]Days With Trades'!C:C)</f>
        <v>127</v>
      </c>
      <c r="U13" s="12">
        <f>_xlfn.XLOOKUP(A13,'[1]Value Traded'!A:A,'[1]Value Traded'!B:B)</f>
        <v>4119321349</v>
      </c>
      <c r="V13" s="12">
        <f>_xlfn.XLOOKUP(A13,'[1]Value Traded'!A:A,'[1]Value Traded'!C:C)</f>
        <v>2189798776.75</v>
      </c>
      <c r="W13" s="12">
        <f>_xlfn.XLOOKUP(A13,'[1]Value Traded'!A:A,'[1]Value Traded'!E:E)</f>
        <v>4796139291</v>
      </c>
      <c r="X13" s="12">
        <f>_xlfn.XLOOKUP(A13,'[1]Value Traded'!A:A,'[1]Value Traded'!F:F)</f>
        <v>676817942</v>
      </c>
      <c r="Y13" s="12">
        <f>_xlfn.XLOOKUP(A13,'[1]Value Traded'!A:A,'[1]Value Traded'!G:G)</f>
        <v>2538549108.75</v>
      </c>
      <c r="Z13" s="12">
        <f>_xlfn.XLOOKUP(A13,'[1]Value Traded'!A:A,'[1]Value Traded'!H:H)</f>
        <v>348750332</v>
      </c>
    </row>
    <row r="14" spans="1:26" x14ac:dyDescent="0.25">
      <c r="A14" s="8">
        <v>2010600</v>
      </c>
      <c r="B14" s="8" t="s">
        <v>88</v>
      </c>
      <c r="C14" s="8" t="s">
        <v>88</v>
      </c>
      <c r="D14" s="8" t="s">
        <v>89</v>
      </c>
      <c r="E14" s="8" t="s">
        <v>90</v>
      </c>
      <c r="F14" s="8" t="s">
        <v>32</v>
      </c>
      <c r="G14" s="8" t="s">
        <v>47</v>
      </c>
      <c r="H14" s="8" t="s">
        <v>91</v>
      </c>
      <c r="I14" s="8" t="s">
        <v>92</v>
      </c>
      <c r="J14" s="8" t="s">
        <v>36</v>
      </c>
      <c r="K14" s="8" t="s">
        <v>37</v>
      </c>
      <c r="L14" s="8" t="s">
        <v>50</v>
      </c>
      <c r="M14" s="9">
        <v>512563532</v>
      </c>
      <c r="N14" s="10">
        <v>28806070498.400002</v>
      </c>
      <c r="O14" s="11">
        <f>_xlfn.XLOOKUP(A14,[1]MIC!A:A,[1]MIC!C:C)</f>
        <v>45344</v>
      </c>
      <c r="P14" s="11">
        <f>_xlfn.XLOOKUP(A14,[1]MIC!A:A,[1]MIC!D:D)</f>
        <v>45709</v>
      </c>
      <c r="Q14" s="5">
        <f>_xlfn.XLOOKUP(A14,'[1]Days Listed'!A:A,'[1]Days Listed'!B:B)</f>
        <v>256</v>
      </c>
      <c r="R14" s="5">
        <f>_xlfn.XLOOKUP(A14,'[1]Days Listed'!A:A,'[1]Days Listed'!C:C)</f>
        <v>129</v>
      </c>
      <c r="S14" s="5">
        <f>_xlfn.XLOOKUP(A14,'[1]Days With Trades'!A:A,'[1]Days With Trades'!B:B)</f>
        <v>248</v>
      </c>
      <c r="T14" s="5">
        <f>_xlfn.XLOOKUP(A14,'[1]Days With Trades'!A:A,'[1]Days With Trades'!C:C)</f>
        <v>127</v>
      </c>
      <c r="U14" s="12">
        <f>_xlfn.XLOOKUP(A14,'[1]Value Traded'!A:A,'[1]Value Traded'!B:B)</f>
        <v>18755378297.709999</v>
      </c>
      <c r="V14" s="12">
        <f>_xlfn.XLOOKUP(A14,'[1]Value Traded'!A:A,'[1]Value Traded'!C:C)</f>
        <v>9471172412.3899994</v>
      </c>
      <c r="W14" s="12">
        <f>_xlfn.XLOOKUP(A14,'[1]Value Traded'!A:A,'[1]Value Traded'!E:E)</f>
        <v>21461694773.57</v>
      </c>
      <c r="X14" s="12">
        <f>_xlfn.XLOOKUP(A14,'[1]Value Traded'!A:A,'[1]Value Traded'!F:F)</f>
        <v>2706316475.8600001</v>
      </c>
      <c r="Y14" s="12">
        <f>_xlfn.XLOOKUP(A14,'[1]Value Traded'!A:A,'[1]Value Traded'!G:G)</f>
        <v>10618216716.790001</v>
      </c>
      <c r="Z14" s="12">
        <f>_xlfn.XLOOKUP(A14,'[1]Value Traded'!A:A,'[1]Value Traded'!H:H)</f>
        <v>1147044304.4000001</v>
      </c>
    </row>
    <row r="15" spans="1:26" x14ac:dyDescent="0.25">
      <c r="A15" s="13">
        <v>2013915</v>
      </c>
      <c r="B15" s="13" t="s">
        <v>93</v>
      </c>
      <c r="C15" s="13" t="s">
        <v>93</v>
      </c>
      <c r="D15" s="13" t="s">
        <v>94</v>
      </c>
      <c r="E15" s="13" t="s">
        <v>95</v>
      </c>
      <c r="F15" s="13" t="s">
        <v>32</v>
      </c>
      <c r="G15" s="13" t="s">
        <v>60</v>
      </c>
      <c r="H15" s="13" t="s">
        <v>61</v>
      </c>
      <c r="I15" s="13" t="s">
        <v>96</v>
      </c>
      <c r="J15" s="13" t="s">
        <v>36</v>
      </c>
      <c r="K15" s="13" t="s">
        <v>37</v>
      </c>
      <c r="L15" s="13" t="s">
        <v>97</v>
      </c>
      <c r="M15" s="14">
        <v>8696077</v>
      </c>
      <c r="N15" s="15">
        <v>460892081</v>
      </c>
      <c r="O15" s="11">
        <f>_xlfn.XLOOKUP(A15,[1]MIC!A:A,[1]MIC!C:C)</f>
        <v>45344</v>
      </c>
      <c r="P15" s="11">
        <f>_xlfn.XLOOKUP(A15,[1]MIC!A:A,[1]MIC!D:D)</f>
        <v>45709</v>
      </c>
      <c r="Q15" s="5">
        <f>_xlfn.XLOOKUP(A15,'[1]Days Listed'!A:A,'[1]Days Listed'!B:B)</f>
        <v>256</v>
      </c>
      <c r="R15" s="5">
        <f>_xlfn.XLOOKUP(A15,'[1]Days Listed'!A:A,'[1]Days Listed'!C:C)</f>
        <v>129</v>
      </c>
      <c r="S15" s="5">
        <f>_xlfn.XLOOKUP(A15,'[1]Days With Trades'!A:A,'[1]Days With Trades'!B:B)</f>
        <v>30</v>
      </c>
      <c r="T15" s="5">
        <f>_xlfn.XLOOKUP(A15,'[1]Days With Trades'!A:A,'[1]Days With Trades'!C:C)</f>
        <v>16</v>
      </c>
      <c r="U15" s="12">
        <f>_xlfn.XLOOKUP(A15,'[1]Value Traded'!A:A,'[1]Value Traded'!B:B)</f>
        <v>50126.6</v>
      </c>
      <c r="V15" s="12">
        <f>_xlfn.XLOOKUP(A15,'[1]Value Traded'!A:A,'[1]Value Traded'!C:C)</f>
        <v>93846</v>
      </c>
      <c r="W15" s="12">
        <f>_xlfn.XLOOKUP(A15,'[1]Value Traded'!A:A,'[1]Value Traded'!E:E)</f>
        <v>1256490.2</v>
      </c>
      <c r="X15" s="12">
        <f>_xlfn.XLOOKUP(A15,'[1]Value Traded'!A:A,'[1]Value Traded'!F:F)</f>
        <v>1206363.6000000001</v>
      </c>
      <c r="Y15" s="12">
        <f>_xlfn.XLOOKUP(A15,'[1]Value Traded'!A:A,'[1]Value Traded'!G:G)</f>
        <v>900189.6</v>
      </c>
      <c r="Z15" s="12">
        <f>_xlfn.XLOOKUP(A15,'[1]Value Traded'!A:A,'[1]Value Traded'!H:H)</f>
        <v>806343.6</v>
      </c>
    </row>
    <row r="16" spans="1:26" x14ac:dyDescent="0.25">
      <c r="A16" s="8">
        <v>2013917</v>
      </c>
      <c r="B16" s="8" t="s">
        <v>98</v>
      </c>
      <c r="C16" s="8" t="s">
        <v>98</v>
      </c>
      <c r="D16" s="8" t="s">
        <v>99</v>
      </c>
      <c r="E16" s="8" t="s">
        <v>100</v>
      </c>
      <c r="F16" s="8" t="s">
        <v>32</v>
      </c>
      <c r="G16" s="8" t="s">
        <v>60</v>
      </c>
      <c r="H16" s="8" t="s">
        <v>61</v>
      </c>
      <c r="I16" s="8" t="s">
        <v>101</v>
      </c>
      <c r="J16" s="8" t="s">
        <v>36</v>
      </c>
      <c r="K16" s="8" t="s">
        <v>37</v>
      </c>
      <c r="L16" s="8" t="s">
        <v>102</v>
      </c>
      <c r="M16" s="9">
        <v>21011898</v>
      </c>
      <c r="N16" s="10">
        <v>80685688.319999993</v>
      </c>
      <c r="O16" s="11">
        <f>_xlfn.XLOOKUP(A16,[1]MIC!A:A,[1]MIC!C:C)</f>
        <v>45344</v>
      </c>
      <c r="P16" s="11">
        <f>_xlfn.XLOOKUP(A16,[1]MIC!A:A,[1]MIC!D:D)</f>
        <v>45709</v>
      </c>
      <c r="Q16" s="5">
        <f>_xlfn.XLOOKUP(A16,'[1]Days Listed'!A:A,'[1]Days Listed'!B:B)</f>
        <v>256</v>
      </c>
      <c r="R16" s="5">
        <f>_xlfn.XLOOKUP(A16,'[1]Days Listed'!A:A,'[1]Days Listed'!C:C)</f>
        <v>129</v>
      </c>
      <c r="S16" s="5">
        <f>_xlfn.XLOOKUP(A16,'[1]Days With Trades'!A:A,'[1]Days With Trades'!B:B)</f>
        <v>239</v>
      </c>
      <c r="T16" s="5">
        <f>_xlfn.XLOOKUP(A16,'[1]Days With Trades'!A:A,'[1]Days With Trades'!C:C)</f>
        <v>122</v>
      </c>
      <c r="U16" s="12">
        <f>_xlfn.XLOOKUP(A16,'[1]Value Traded'!A:A,'[1]Value Traded'!B:B)</f>
        <v>76633723.329999998</v>
      </c>
      <c r="V16" s="12">
        <f>_xlfn.XLOOKUP(A16,'[1]Value Traded'!A:A,'[1]Value Traded'!C:C)</f>
        <v>29278620.66</v>
      </c>
      <c r="W16" s="12">
        <f>_xlfn.XLOOKUP(A16,'[1]Value Traded'!A:A,'[1]Value Traded'!E:E)</f>
        <v>143204783.03999999</v>
      </c>
      <c r="X16" s="12">
        <f>_xlfn.XLOOKUP(A16,'[1]Value Traded'!A:A,'[1]Value Traded'!F:F)</f>
        <v>66571059.710000001</v>
      </c>
      <c r="Y16" s="12">
        <f>_xlfn.XLOOKUP(A16,'[1]Value Traded'!A:A,'[1]Value Traded'!G:G)</f>
        <v>49827626.579999998</v>
      </c>
      <c r="Z16" s="12">
        <f>_xlfn.XLOOKUP(A16,'[1]Value Traded'!A:A,'[1]Value Traded'!H:H)</f>
        <v>20549005.920000002</v>
      </c>
    </row>
    <row r="17" spans="1:26" x14ac:dyDescent="0.25">
      <c r="A17" s="13">
        <v>2014006</v>
      </c>
      <c r="B17" s="13" t="s">
        <v>103</v>
      </c>
      <c r="C17" s="13" t="s">
        <v>103</v>
      </c>
      <c r="D17" s="13" t="s">
        <v>104</v>
      </c>
      <c r="E17" s="13" t="s">
        <v>105</v>
      </c>
      <c r="F17" s="13" t="s">
        <v>32</v>
      </c>
      <c r="G17" s="13" t="s">
        <v>60</v>
      </c>
      <c r="H17" s="13" t="s">
        <v>61</v>
      </c>
      <c r="I17" s="13" t="s">
        <v>106</v>
      </c>
      <c r="J17" s="13" t="s">
        <v>36</v>
      </c>
      <c r="K17" s="13" t="s">
        <v>37</v>
      </c>
      <c r="L17" s="13" t="s">
        <v>107</v>
      </c>
      <c r="M17" s="14">
        <v>378261512</v>
      </c>
      <c r="N17" s="15">
        <v>809479635.67999995</v>
      </c>
      <c r="O17" s="11">
        <f>_xlfn.XLOOKUP(A17,[1]MIC!A:A,[1]MIC!C:C)</f>
        <v>45344</v>
      </c>
      <c r="P17" s="11">
        <f>_xlfn.XLOOKUP(A17,[1]MIC!A:A,[1]MIC!D:D)</f>
        <v>45709</v>
      </c>
      <c r="Q17" s="5">
        <f>_xlfn.XLOOKUP(A17,'[1]Days Listed'!A:A,'[1]Days Listed'!B:B)</f>
        <v>256</v>
      </c>
      <c r="R17" s="5">
        <f>_xlfn.XLOOKUP(A17,'[1]Days Listed'!A:A,'[1]Days Listed'!C:C)</f>
        <v>129</v>
      </c>
      <c r="S17" s="5">
        <f>_xlfn.XLOOKUP(A17,'[1]Days With Trades'!A:A,'[1]Days With Trades'!B:B)</f>
        <v>245</v>
      </c>
      <c r="T17" s="5">
        <f>_xlfn.XLOOKUP(A17,'[1]Days With Trades'!A:A,'[1]Days With Trades'!C:C)</f>
        <v>125</v>
      </c>
      <c r="U17" s="12">
        <f>_xlfn.XLOOKUP(A17,'[1]Value Traded'!A:A,'[1]Value Traded'!B:B)</f>
        <v>60595204.049999997</v>
      </c>
      <c r="V17" s="12">
        <f>_xlfn.XLOOKUP(A17,'[1]Value Traded'!A:A,'[1]Value Traded'!C:C)</f>
        <v>39558295.020000003</v>
      </c>
      <c r="W17" s="12">
        <f>_xlfn.XLOOKUP(A17,'[1]Value Traded'!A:A,'[1]Value Traded'!E:E)</f>
        <v>78170389.079999998</v>
      </c>
      <c r="X17" s="12">
        <f>_xlfn.XLOOKUP(A17,'[1]Value Traded'!A:A,'[1]Value Traded'!F:F)</f>
        <v>17575185.030000001</v>
      </c>
      <c r="Y17" s="12">
        <f>_xlfn.XLOOKUP(A17,'[1]Value Traded'!A:A,'[1]Value Traded'!G:G)</f>
        <v>50068787.859999999</v>
      </c>
      <c r="Z17" s="12">
        <f>_xlfn.XLOOKUP(A17,'[1]Value Traded'!A:A,'[1]Value Traded'!H:H)</f>
        <v>10510492.84</v>
      </c>
    </row>
    <row r="18" spans="1:26" x14ac:dyDescent="0.25">
      <c r="A18" s="8">
        <v>2014087</v>
      </c>
      <c r="B18" s="8" t="s">
        <v>108</v>
      </c>
      <c r="C18" s="8" t="s">
        <v>108</v>
      </c>
      <c r="D18" s="8" t="s">
        <v>109</v>
      </c>
      <c r="E18" s="8" t="s">
        <v>110</v>
      </c>
      <c r="F18" s="8" t="s">
        <v>32</v>
      </c>
      <c r="G18" s="8" t="s">
        <v>60</v>
      </c>
      <c r="H18" s="8" t="s">
        <v>61</v>
      </c>
      <c r="I18" s="8" t="s">
        <v>111</v>
      </c>
      <c r="J18" s="8" t="s">
        <v>63</v>
      </c>
      <c r="K18" s="8" t="s">
        <v>37</v>
      </c>
      <c r="L18" s="8" t="s">
        <v>107</v>
      </c>
      <c r="M18" s="9">
        <v>2787129</v>
      </c>
      <c r="N18" s="10">
        <v>353352214.62</v>
      </c>
      <c r="O18" s="11">
        <f>_xlfn.XLOOKUP(A18,[1]MIC!A:A,[1]MIC!C:C)</f>
        <v>45344</v>
      </c>
      <c r="P18" s="11">
        <f>_xlfn.XLOOKUP(A18,[1]MIC!A:A,[1]MIC!D:D)</f>
        <v>45709</v>
      </c>
      <c r="Q18" s="5">
        <f>_xlfn.XLOOKUP(A18,'[1]Days Listed'!A:A,'[1]Days Listed'!B:B)</f>
        <v>256</v>
      </c>
      <c r="R18" s="5">
        <f>_xlfn.XLOOKUP(A18,'[1]Days Listed'!A:A,'[1]Days Listed'!C:C)</f>
        <v>129</v>
      </c>
      <c r="S18" s="5">
        <f>_xlfn.XLOOKUP(A18,'[1]Days With Trades'!A:A,'[1]Days With Trades'!B:B)</f>
        <v>140</v>
      </c>
      <c r="T18" s="5">
        <f>_xlfn.XLOOKUP(A18,'[1]Days With Trades'!A:A,'[1]Days With Trades'!C:C)</f>
        <v>66</v>
      </c>
      <c r="U18" s="12">
        <f>_xlfn.XLOOKUP(A18,'[1]Value Traded'!A:A,'[1]Value Traded'!B:B)</f>
        <v>3720448.48</v>
      </c>
      <c r="V18" s="12">
        <f>_xlfn.XLOOKUP(A18,'[1]Value Traded'!A:A,'[1]Value Traded'!C:C)</f>
        <v>2356891.04</v>
      </c>
      <c r="W18" s="12">
        <f>_xlfn.XLOOKUP(A18,'[1]Value Traded'!A:A,'[1]Value Traded'!E:E)</f>
        <v>8880100.9600000009</v>
      </c>
      <c r="X18" s="12">
        <f>_xlfn.XLOOKUP(A18,'[1]Value Traded'!A:A,'[1]Value Traded'!F:F)</f>
        <v>5159652.4800000004</v>
      </c>
      <c r="Y18" s="12">
        <f>_xlfn.XLOOKUP(A18,'[1]Value Traded'!A:A,'[1]Value Traded'!G:G)</f>
        <v>5841021.4000000004</v>
      </c>
      <c r="Z18" s="12">
        <f>_xlfn.XLOOKUP(A18,'[1]Value Traded'!A:A,'[1]Value Traded'!H:H)</f>
        <v>3484130.36</v>
      </c>
    </row>
    <row r="19" spans="1:26" x14ac:dyDescent="0.25">
      <c r="A19" s="13">
        <v>2014090</v>
      </c>
      <c r="B19" s="13" t="s">
        <v>112</v>
      </c>
      <c r="C19" s="13" t="s">
        <v>112</v>
      </c>
      <c r="D19" s="13" t="s">
        <v>113</v>
      </c>
      <c r="E19" s="13" t="s">
        <v>114</v>
      </c>
      <c r="F19" s="13" t="s">
        <v>32</v>
      </c>
      <c r="G19" s="13" t="s">
        <v>47</v>
      </c>
      <c r="H19" s="13" t="s">
        <v>48</v>
      </c>
      <c r="I19" s="13" t="s">
        <v>115</v>
      </c>
      <c r="J19" s="13" t="s">
        <v>36</v>
      </c>
      <c r="K19" s="13" t="s">
        <v>37</v>
      </c>
      <c r="L19" s="13" t="s">
        <v>116</v>
      </c>
      <c r="M19" s="14">
        <v>15422350</v>
      </c>
      <c r="N19" s="15">
        <v>737188330</v>
      </c>
      <c r="O19" s="11">
        <f>_xlfn.XLOOKUP(A19,[1]MIC!A:A,[1]MIC!C:C)</f>
        <v>45344</v>
      </c>
      <c r="P19" s="11">
        <f>_xlfn.XLOOKUP(A19,[1]MIC!A:A,[1]MIC!D:D)</f>
        <v>45709</v>
      </c>
      <c r="Q19" s="5">
        <f>_xlfn.XLOOKUP(A19,'[1]Days Listed'!A:A,'[1]Days Listed'!B:B)</f>
        <v>256</v>
      </c>
      <c r="R19" s="5">
        <f>_xlfn.XLOOKUP(A19,'[1]Days Listed'!A:A,'[1]Days Listed'!C:C)</f>
        <v>129</v>
      </c>
      <c r="S19" s="5">
        <f>_xlfn.XLOOKUP(A19,'[1]Days With Trades'!A:A,'[1]Days With Trades'!B:B)</f>
        <v>240</v>
      </c>
      <c r="T19" s="5">
        <f>_xlfn.XLOOKUP(A19,'[1]Days With Trades'!A:A,'[1]Days With Trades'!C:C)</f>
        <v>123</v>
      </c>
      <c r="U19" s="12">
        <f>_xlfn.XLOOKUP(A19,'[1]Value Traded'!A:A,'[1]Value Traded'!B:B)</f>
        <v>45245640.5</v>
      </c>
      <c r="V19" s="12">
        <f>_xlfn.XLOOKUP(A19,'[1]Value Traded'!A:A,'[1]Value Traded'!C:C)</f>
        <v>18372164.399999999</v>
      </c>
      <c r="W19" s="12">
        <f>_xlfn.XLOOKUP(A19,'[1]Value Traded'!A:A,'[1]Value Traded'!E:E)</f>
        <v>60753185.5</v>
      </c>
      <c r="X19" s="12">
        <f>_xlfn.XLOOKUP(A19,'[1]Value Traded'!A:A,'[1]Value Traded'!F:F)</f>
        <v>15507545</v>
      </c>
      <c r="Y19" s="12">
        <f>_xlfn.XLOOKUP(A19,'[1]Value Traded'!A:A,'[1]Value Traded'!G:G)</f>
        <v>23633499.5</v>
      </c>
      <c r="Z19" s="12">
        <f>_xlfn.XLOOKUP(A19,'[1]Value Traded'!A:A,'[1]Value Traded'!H:H)</f>
        <v>5261335.0999999996</v>
      </c>
    </row>
    <row r="20" spans="1:26" x14ac:dyDescent="0.25">
      <c r="A20" s="8">
        <v>2014091</v>
      </c>
      <c r="B20" s="8" t="s">
        <v>117</v>
      </c>
      <c r="C20" s="8" t="s">
        <v>117</v>
      </c>
      <c r="D20" s="8" t="s">
        <v>118</v>
      </c>
      <c r="E20" s="8" t="s">
        <v>119</v>
      </c>
      <c r="F20" s="8" t="s">
        <v>32</v>
      </c>
      <c r="G20" s="8" t="s">
        <v>60</v>
      </c>
      <c r="H20" s="8" t="s">
        <v>61</v>
      </c>
      <c r="I20" s="8" t="s">
        <v>120</v>
      </c>
      <c r="J20" s="8" t="s">
        <v>63</v>
      </c>
      <c r="K20" s="8" t="s">
        <v>37</v>
      </c>
      <c r="L20" s="8" t="s">
        <v>107</v>
      </c>
      <c r="M20" s="9">
        <v>1128571</v>
      </c>
      <c r="N20" s="10">
        <v>124120238.58</v>
      </c>
      <c r="O20" s="11">
        <f>_xlfn.XLOOKUP(A20,[1]MIC!A:A,[1]MIC!C:C)</f>
        <v>45344</v>
      </c>
      <c r="P20" s="11">
        <f>_xlfn.XLOOKUP(A20,[1]MIC!A:A,[1]MIC!D:D)</f>
        <v>45709</v>
      </c>
      <c r="Q20" s="5">
        <f>_xlfn.XLOOKUP(A20,'[1]Days Listed'!A:A,'[1]Days Listed'!B:B)</f>
        <v>256</v>
      </c>
      <c r="R20" s="5">
        <f>_xlfn.XLOOKUP(A20,'[1]Days Listed'!A:A,'[1]Days Listed'!C:C)</f>
        <v>129</v>
      </c>
      <c r="S20" s="5">
        <f>_xlfn.XLOOKUP(A20,'[1]Days With Trades'!A:A,'[1]Days With Trades'!B:B)</f>
        <v>133</v>
      </c>
      <c r="T20" s="5">
        <f>_xlfn.XLOOKUP(A20,'[1]Days With Trades'!A:A,'[1]Days With Trades'!C:C)</f>
        <v>69</v>
      </c>
      <c r="U20" s="12">
        <f>_xlfn.XLOOKUP(A20,'[1]Value Traded'!A:A,'[1]Value Traded'!B:B)</f>
        <v>6249192.3399999999</v>
      </c>
      <c r="V20" s="12">
        <f>_xlfn.XLOOKUP(A20,'[1]Value Traded'!A:A,'[1]Value Traded'!C:C)</f>
        <v>2462592.7200000002</v>
      </c>
      <c r="W20" s="12">
        <f>_xlfn.XLOOKUP(A20,'[1]Value Traded'!A:A,'[1]Value Traded'!E:E)</f>
        <v>16560241.859999999</v>
      </c>
      <c r="X20" s="12">
        <f>_xlfn.XLOOKUP(A20,'[1]Value Traded'!A:A,'[1]Value Traded'!F:F)</f>
        <v>10311049.52</v>
      </c>
      <c r="Y20" s="12">
        <f>_xlfn.XLOOKUP(A20,'[1]Value Traded'!A:A,'[1]Value Traded'!G:G)</f>
        <v>6130715.04</v>
      </c>
      <c r="Z20" s="12">
        <f>_xlfn.XLOOKUP(A20,'[1]Value Traded'!A:A,'[1]Value Traded'!H:H)</f>
        <v>3668122.32</v>
      </c>
    </row>
    <row r="21" spans="1:26" x14ac:dyDescent="0.25">
      <c r="A21" s="13">
        <v>2014092</v>
      </c>
      <c r="B21" s="13" t="s">
        <v>121</v>
      </c>
      <c r="C21" s="13" t="s">
        <v>121</v>
      </c>
      <c r="D21" s="13" t="s">
        <v>122</v>
      </c>
      <c r="E21" s="13" t="s">
        <v>123</v>
      </c>
      <c r="F21" s="13" t="s">
        <v>32</v>
      </c>
      <c r="G21" s="13" t="s">
        <v>60</v>
      </c>
      <c r="H21" s="13" t="s">
        <v>61</v>
      </c>
      <c r="I21" s="13" t="s">
        <v>124</v>
      </c>
      <c r="J21" s="13" t="s">
        <v>63</v>
      </c>
      <c r="K21" s="13" t="s">
        <v>37</v>
      </c>
      <c r="L21" s="13" t="s">
        <v>64</v>
      </c>
      <c r="M21" s="14">
        <v>1887448</v>
      </c>
      <c r="N21" s="15">
        <v>215169072</v>
      </c>
      <c r="O21" s="11">
        <f>_xlfn.XLOOKUP(A21,[1]MIC!A:A,[1]MIC!C:C)</f>
        <v>45344</v>
      </c>
      <c r="P21" s="11">
        <f>_xlfn.XLOOKUP(A21,[1]MIC!A:A,[1]MIC!D:D)</f>
        <v>45709</v>
      </c>
      <c r="Q21" s="5">
        <f>_xlfn.XLOOKUP(A21,'[1]Days Listed'!A:A,'[1]Days Listed'!B:B)</f>
        <v>256</v>
      </c>
      <c r="R21" s="5">
        <f>_xlfn.XLOOKUP(A21,'[1]Days Listed'!A:A,'[1]Days Listed'!C:C)</f>
        <v>129</v>
      </c>
      <c r="S21" s="5">
        <f>_xlfn.XLOOKUP(A21,'[1]Days With Trades'!A:A,'[1]Days With Trades'!B:B)</f>
        <v>139</v>
      </c>
      <c r="T21" s="5">
        <f>_xlfn.XLOOKUP(A21,'[1]Days With Trades'!A:A,'[1]Days With Trades'!C:C)</f>
        <v>61</v>
      </c>
      <c r="U21" s="12">
        <f>_xlfn.XLOOKUP(A21,'[1]Value Traded'!A:A,'[1]Value Traded'!B:B)</f>
        <v>1872410.78</v>
      </c>
      <c r="V21" s="12">
        <f>_xlfn.XLOOKUP(A21,'[1]Value Traded'!A:A,'[1]Value Traded'!C:C)</f>
        <v>635124.28</v>
      </c>
      <c r="W21" s="12">
        <f>_xlfn.XLOOKUP(A21,'[1]Value Traded'!A:A,'[1]Value Traded'!E:E)</f>
        <v>4104272.3</v>
      </c>
      <c r="X21" s="12">
        <f>_xlfn.XLOOKUP(A21,'[1]Value Traded'!A:A,'[1]Value Traded'!F:F)</f>
        <v>2231861.52</v>
      </c>
      <c r="Y21" s="12">
        <f>_xlfn.XLOOKUP(A21,'[1]Value Traded'!A:A,'[1]Value Traded'!G:G)</f>
        <v>1294083.04</v>
      </c>
      <c r="Z21" s="12">
        <f>_xlfn.XLOOKUP(A21,'[1]Value Traded'!A:A,'[1]Value Traded'!H:H)</f>
        <v>658958.76</v>
      </c>
    </row>
    <row r="22" spans="1:26" x14ac:dyDescent="0.25">
      <c r="A22" s="8">
        <v>2014093</v>
      </c>
      <c r="B22" s="8" t="s">
        <v>125</v>
      </c>
      <c r="C22" s="8" t="s">
        <v>125</v>
      </c>
      <c r="D22" s="8" t="s">
        <v>126</v>
      </c>
      <c r="E22" s="8" t="s">
        <v>127</v>
      </c>
      <c r="F22" s="8" t="s">
        <v>32</v>
      </c>
      <c r="G22" s="8" t="s">
        <v>60</v>
      </c>
      <c r="H22" s="8" t="s">
        <v>128</v>
      </c>
      <c r="I22" s="8" t="s">
        <v>129</v>
      </c>
      <c r="J22" s="8" t="s">
        <v>36</v>
      </c>
      <c r="K22" s="8" t="s">
        <v>37</v>
      </c>
      <c r="L22" s="8" t="s">
        <v>130</v>
      </c>
      <c r="M22" s="9">
        <v>277725848</v>
      </c>
      <c r="N22" s="10">
        <v>6943146.2000000002</v>
      </c>
      <c r="O22" s="11">
        <f>_xlfn.XLOOKUP(A22,[1]MIC!A:A,[1]MIC!C:C)</f>
        <v>45344</v>
      </c>
      <c r="P22" s="11">
        <f>_xlfn.XLOOKUP(A22,[1]MIC!A:A,[1]MIC!D:D)</f>
        <v>45709</v>
      </c>
      <c r="Q22" s="5">
        <f>_xlfn.XLOOKUP(A22,'[1]Days Listed'!A:A,'[1]Days Listed'!B:B)</f>
        <v>256</v>
      </c>
      <c r="R22" s="5">
        <f>_xlfn.XLOOKUP(A22,'[1]Days Listed'!A:A,'[1]Days Listed'!C:C)</f>
        <v>129</v>
      </c>
      <c r="S22" s="5">
        <f>_xlfn.XLOOKUP(A22,'[1]Days With Trades'!A:A,'[1]Days With Trades'!B:B)</f>
        <v>244</v>
      </c>
      <c r="T22" s="5">
        <f>_xlfn.XLOOKUP(A22,'[1]Days With Trades'!A:A,'[1]Days With Trades'!C:C)</f>
        <v>123</v>
      </c>
      <c r="U22" s="12">
        <f>_xlfn.XLOOKUP(A22,'[1]Value Traded'!A:A,'[1]Value Traded'!B:B)</f>
        <v>32970423.07</v>
      </c>
      <c r="V22" s="12">
        <f>_xlfn.XLOOKUP(A22,'[1]Value Traded'!A:A,'[1]Value Traded'!C:C)</f>
        <v>17407115.620000001</v>
      </c>
      <c r="W22" s="12">
        <f>_xlfn.XLOOKUP(A22,'[1]Value Traded'!A:A,'[1]Value Traded'!E:E)</f>
        <v>66873013.670000002</v>
      </c>
      <c r="X22" s="12">
        <f>_xlfn.XLOOKUP(A22,'[1]Value Traded'!A:A,'[1]Value Traded'!F:F)</f>
        <v>33902590.600000001</v>
      </c>
      <c r="Y22" s="12">
        <f>_xlfn.XLOOKUP(A22,'[1]Value Traded'!A:A,'[1]Value Traded'!G:G)</f>
        <v>30925867.93</v>
      </c>
      <c r="Z22" s="12">
        <f>_xlfn.XLOOKUP(A22,'[1]Value Traded'!A:A,'[1]Value Traded'!H:H)</f>
        <v>13518752.310000001</v>
      </c>
    </row>
    <row r="23" spans="1:26" x14ac:dyDescent="0.25">
      <c r="A23" s="13">
        <v>2014094</v>
      </c>
      <c r="B23" s="13" t="s">
        <v>131</v>
      </c>
      <c r="C23" s="13" t="s">
        <v>131</v>
      </c>
      <c r="D23" s="13" t="s">
        <v>132</v>
      </c>
      <c r="E23" s="13" t="s">
        <v>133</v>
      </c>
      <c r="F23" s="13" t="s">
        <v>32</v>
      </c>
      <c r="G23" s="13" t="s">
        <v>60</v>
      </c>
      <c r="H23" s="13" t="s">
        <v>61</v>
      </c>
      <c r="I23" s="13" t="s">
        <v>134</v>
      </c>
      <c r="J23" s="13" t="s">
        <v>63</v>
      </c>
      <c r="K23" s="13" t="s">
        <v>37</v>
      </c>
      <c r="L23" s="13" t="s">
        <v>64</v>
      </c>
      <c r="M23" s="14">
        <v>2761347</v>
      </c>
      <c r="N23" s="15">
        <v>323132825.94</v>
      </c>
      <c r="O23" s="11">
        <f>_xlfn.XLOOKUP(A23,[1]MIC!A:A,[1]MIC!C:C)</f>
        <v>45344</v>
      </c>
      <c r="P23" s="11">
        <f>_xlfn.XLOOKUP(A23,[1]MIC!A:A,[1]MIC!D:D)</f>
        <v>45709</v>
      </c>
      <c r="Q23" s="5">
        <f>_xlfn.XLOOKUP(A23,'[1]Days Listed'!A:A,'[1]Days Listed'!B:B)</f>
        <v>256</v>
      </c>
      <c r="R23" s="5">
        <f>_xlfn.XLOOKUP(A23,'[1]Days Listed'!A:A,'[1]Days Listed'!C:C)</f>
        <v>129</v>
      </c>
      <c r="S23" s="5">
        <f>_xlfn.XLOOKUP(A23,'[1]Days With Trades'!A:A,'[1]Days With Trades'!B:B)</f>
        <v>173</v>
      </c>
      <c r="T23" s="5">
        <f>_xlfn.XLOOKUP(A23,'[1]Days With Trades'!A:A,'[1]Days With Trades'!C:C)</f>
        <v>86</v>
      </c>
      <c r="U23" s="12">
        <f>_xlfn.XLOOKUP(A23,'[1]Value Traded'!A:A,'[1]Value Traded'!B:B)</f>
        <v>6993591.5599999996</v>
      </c>
      <c r="V23" s="12">
        <f>_xlfn.XLOOKUP(A23,'[1]Value Traded'!A:A,'[1]Value Traded'!C:C)</f>
        <v>3510922.64</v>
      </c>
      <c r="W23" s="12">
        <f>_xlfn.XLOOKUP(A23,'[1]Value Traded'!A:A,'[1]Value Traded'!E:E)</f>
        <v>12214734.380000001</v>
      </c>
      <c r="X23" s="12">
        <f>_xlfn.XLOOKUP(A23,'[1]Value Traded'!A:A,'[1]Value Traded'!F:F)</f>
        <v>5221142.82</v>
      </c>
      <c r="Y23" s="12">
        <f>_xlfn.XLOOKUP(A23,'[1]Value Traded'!A:A,'[1]Value Traded'!G:G)</f>
        <v>6087918.1399999997</v>
      </c>
      <c r="Z23" s="12">
        <f>_xlfn.XLOOKUP(A23,'[1]Value Traded'!A:A,'[1]Value Traded'!H:H)</f>
        <v>2576995.5</v>
      </c>
    </row>
    <row r="24" spans="1:26" x14ac:dyDescent="0.25">
      <c r="A24" s="8">
        <v>2014095</v>
      </c>
      <c r="B24" s="8" t="s">
        <v>135</v>
      </c>
      <c r="C24" s="8" t="s">
        <v>135</v>
      </c>
      <c r="D24" s="8" t="s">
        <v>136</v>
      </c>
      <c r="E24" s="8" t="s">
        <v>137</v>
      </c>
      <c r="F24" s="8" t="s">
        <v>32</v>
      </c>
      <c r="G24" s="8" t="s">
        <v>60</v>
      </c>
      <c r="H24" s="8" t="s">
        <v>61</v>
      </c>
      <c r="I24" s="8" t="s">
        <v>138</v>
      </c>
      <c r="J24" s="8" t="s">
        <v>63</v>
      </c>
      <c r="K24" s="8" t="s">
        <v>37</v>
      </c>
      <c r="L24" s="8" t="s">
        <v>107</v>
      </c>
      <c r="M24" s="9">
        <v>1729764</v>
      </c>
      <c r="N24" s="10">
        <v>221236815.59999999</v>
      </c>
      <c r="O24" s="11">
        <f>_xlfn.XLOOKUP(A24,[1]MIC!A:A,[1]MIC!C:C)</f>
        <v>45344</v>
      </c>
      <c r="P24" s="11">
        <f>_xlfn.XLOOKUP(A24,[1]MIC!A:A,[1]MIC!D:D)</f>
        <v>45709</v>
      </c>
      <c r="Q24" s="5">
        <f>_xlfn.XLOOKUP(A24,'[1]Days Listed'!A:A,'[1]Days Listed'!B:B)</f>
        <v>256</v>
      </c>
      <c r="R24" s="5">
        <f>_xlfn.XLOOKUP(A24,'[1]Days Listed'!A:A,'[1]Days Listed'!C:C)</f>
        <v>129</v>
      </c>
      <c r="S24" s="5">
        <f>_xlfn.XLOOKUP(A24,'[1]Days With Trades'!A:A,'[1]Days With Trades'!B:B)</f>
        <v>161</v>
      </c>
      <c r="T24" s="5">
        <f>_xlfn.XLOOKUP(A24,'[1]Days With Trades'!A:A,'[1]Days With Trades'!C:C)</f>
        <v>84</v>
      </c>
      <c r="U24" s="12">
        <f>_xlfn.XLOOKUP(A24,'[1]Value Traded'!A:A,'[1]Value Traded'!B:B)</f>
        <v>7135109.8399999999</v>
      </c>
      <c r="V24" s="12">
        <f>_xlfn.XLOOKUP(A24,'[1]Value Traded'!A:A,'[1]Value Traded'!C:C)</f>
        <v>2947406.8</v>
      </c>
      <c r="W24" s="12">
        <f>_xlfn.XLOOKUP(A24,'[1]Value Traded'!A:A,'[1]Value Traded'!E:E)</f>
        <v>12350409.02</v>
      </c>
      <c r="X24" s="12">
        <f>_xlfn.XLOOKUP(A24,'[1]Value Traded'!A:A,'[1]Value Traded'!F:F)</f>
        <v>5215299.18</v>
      </c>
      <c r="Y24" s="12">
        <f>_xlfn.XLOOKUP(A24,'[1]Value Traded'!A:A,'[1]Value Traded'!G:G)</f>
        <v>4828125.9400000004</v>
      </c>
      <c r="Z24" s="12">
        <f>_xlfn.XLOOKUP(A24,'[1]Value Traded'!A:A,'[1]Value Traded'!H:H)</f>
        <v>1880719.14</v>
      </c>
    </row>
    <row r="25" spans="1:26" x14ac:dyDescent="0.25">
      <c r="A25" s="13">
        <v>2014096</v>
      </c>
      <c r="B25" s="13" t="s">
        <v>139</v>
      </c>
      <c r="C25" s="13" t="s">
        <v>139</v>
      </c>
      <c r="D25" s="13" t="s">
        <v>140</v>
      </c>
      <c r="E25" s="13" t="s">
        <v>141</v>
      </c>
      <c r="F25" s="13" t="s">
        <v>32</v>
      </c>
      <c r="G25" s="13" t="s">
        <v>47</v>
      </c>
      <c r="H25" s="13" t="s">
        <v>48</v>
      </c>
      <c r="I25" s="13" t="s">
        <v>142</v>
      </c>
      <c r="J25" s="13" t="s">
        <v>36</v>
      </c>
      <c r="K25" s="13" t="s">
        <v>37</v>
      </c>
      <c r="L25" s="13" t="s">
        <v>116</v>
      </c>
      <c r="M25" s="14">
        <v>15852979</v>
      </c>
      <c r="N25" s="15">
        <v>187857801.15000001</v>
      </c>
      <c r="O25" s="11">
        <f>_xlfn.XLOOKUP(A25,[1]MIC!A:A,[1]MIC!C:C)</f>
        <v>45587</v>
      </c>
      <c r="P25" s="11">
        <f>_xlfn.XLOOKUP(A25,[1]MIC!A:A,[1]MIC!D:D)</f>
        <v>45709</v>
      </c>
      <c r="Q25" s="5">
        <f>_xlfn.XLOOKUP(A25,'[1]Days Listed'!A:A,'[1]Days Listed'!B:B)</f>
        <v>256</v>
      </c>
      <c r="R25" s="5">
        <f>_xlfn.XLOOKUP(A25,'[1]Days Listed'!A:A,'[1]Days Listed'!C:C)</f>
        <v>129</v>
      </c>
      <c r="S25" s="5">
        <f>_xlfn.XLOOKUP(A25,'[1]Days With Trades'!A:A,'[1]Days With Trades'!B:B)</f>
        <v>250</v>
      </c>
      <c r="T25" s="5">
        <f>_xlfn.XLOOKUP(A25,'[1]Days With Trades'!A:A,'[1]Days With Trades'!C:C)</f>
        <v>127</v>
      </c>
      <c r="U25" s="12">
        <f>_xlfn.XLOOKUP(A25,'[1]Value Traded'!A:A,'[1]Value Traded'!B:B)</f>
        <v>178075973.80000001</v>
      </c>
      <c r="V25" s="12">
        <f>_xlfn.XLOOKUP(A25,'[1]Value Traded'!A:A,'[1]Value Traded'!C:C)</f>
        <v>55609022.380000003</v>
      </c>
      <c r="W25" s="12">
        <f>_xlfn.XLOOKUP(A25,'[1]Value Traded'!A:A,'[1]Value Traded'!E:E)</f>
        <v>294014085.26999998</v>
      </c>
      <c r="X25" s="12">
        <f>_xlfn.XLOOKUP(A25,'[1]Value Traded'!A:A,'[1]Value Traded'!F:F)</f>
        <v>115938111.47</v>
      </c>
      <c r="Y25" s="12">
        <f>_xlfn.XLOOKUP(A25,'[1]Value Traded'!A:A,'[1]Value Traded'!G:G)</f>
        <v>69231708.120000005</v>
      </c>
      <c r="Z25" s="12">
        <f>_xlfn.XLOOKUP(A25,'[1]Value Traded'!A:A,'[1]Value Traded'!H:H)</f>
        <v>13622685.74</v>
      </c>
    </row>
    <row r="26" spans="1:26" x14ac:dyDescent="0.25">
      <c r="A26" s="8">
        <v>2014097</v>
      </c>
      <c r="B26" s="8" t="s">
        <v>143</v>
      </c>
      <c r="C26" s="8" t="s">
        <v>143</v>
      </c>
      <c r="D26" s="8" t="s">
        <v>144</v>
      </c>
      <c r="E26" s="8" t="s">
        <v>145</v>
      </c>
      <c r="F26" s="8" t="s">
        <v>32</v>
      </c>
      <c r="G26" s="8" t="s">
        <v>60</v>
      </c>
      <c r="H26" s="8" t="s">
        <v>61</v>
      </c>
      <c r="I26" s="8" t="s">
        <v>146</v>
      </c>
      <c r="J26" s="8" t="s">
        <v>36</v>
      </c>
      <c r="K26" s="8" t="s">
        <v>37</v>
      </c>
      <c r="L26" s="8" t="s">
        <v>147</v>
      </c>
      <c r="M26" s="9">
        <v>23560757</v>
      </c>
      <c r="N26" s="10">
        <v>106023406.5</v>
      </c>
      <c r="O26" s="11">
        <f>_xlfn.XLOOKUP(A26,[1]MIC!A:A,[1]MIC!C:C)</f>
        <v>45344</v>
      </c>
      <c r="P26" s="11">
        <f>_xlfn.XLOOKUP(A26,[1]MIC!A:A,[1]MIC!D:D)</f>
        <v>45709</v>
      </c>
      <c r="Q26" s="5">
        <f>_xlfn.XLOOKUP(A26,'[1]Days Listed'!A:A,'[1]Days Listed'!B:B)</f>
        <v>256</v>
      </c>
      <c r="R26" s="5">
        <f>_xlfn.XLOOKUP(A26,'[1]Days Listed'!A:A,'[1]Days Listed'!C:C)</f>
        <v>129</v>
      </c>
      <c r="S26" s="5">
        <f>_xlfn.XLOOKUP(A26,'[1]Days With Trades'!A:A,'[1]Days With Trades'!B:B)</f>
        <v>206</v>
      </c>
      <c r="T26" s="5">
        <f>_xlfn.XLOOKUP(A26,'[1]Days With Trades'!A:A,'[1]Days With Trades'!C:C)</f>
        <v>109</v>
      </c>
      <c r="U26" s="12">
        <f>_xlfn.XLOOKUP(A26,'[1]Value Traded'!A:A,'[1]Value Traded'!B:B)</f>
        <v>42741930.280000001</v>
      </c>
      <c r="V26" s="12">
        <f>_xlfn.XLOOKUP(A26,'[1]Value Traded'!A:A,'[1]Value Traded'!C:C)</f>
        <v>46355658.229999997</v>
      </c>
      <c r="W26" s="12">
        <f>_xlfn.XLOOKUP(A26,'[1]Value Traded'!A:A,'[1]Value Traded'!E:E)</f>
        <v>77231273.069999993</v>
      </c>
      <c r="X26" s="12">
        <f>_xlfn.XLOOKUP(A26,'[1]Value Traded'!A:A,'[1]Value Traded'!F:F)</f>
        <v>34489342.789999999</v>
      </c>
      <c r="Y26" s="12">
        <f>_xlfn.XLOOKUP(A26,'[1]Value Traded'!A:A,'[1]Value Traded'!G:G)</f>
        <v>66900037.130000003</v>
      </c>
      <c r="Z26" s="12">
        <f>_xlfn.XLOOKUP(A26,'[1]Value Traded'!A:A,'[1]Value Traded'!H:H)</f>
        <v>20544378.899999999</v>
      </c>
    </row>
    <row r="27" spans="1:26" x14ac:dyDescent="0.25">
      <c r="A27" s="13">
        <v>2014099</v>
      </c>
      <c r="B27" s="13" t="s">
        <v>148</v>
      </c>
      <c r="C27" s="13" t="s">
        <v>148</v>
      </c>
      <c r="D27" s="13" t="s">
        <v>149</v>
      </c>
      <c r="E27" s="13" t="s">
        <v>150</v>
      </c>
      <c r="F27" s="13" t="s">
        <v>32</v>
      </c>
      <c r="G27" s="13" t="s">
        <v>60</v>
      </c>
      <c r="H27" s="13" t="s">
        <v>61</v>
      </c>
      <c r="I27" s="13" t="s">
        <v>151</v>
      </c>
      <c r="J27" s="13" t="s">
        <v>36</v>
      </c>
      <c r="K27" s="13" t="s">
        <v>37</v>
      </c>
      <c r="L27" s="13" t="s">
        <v>147</v>
      </c>
      <c r="M27" s="14">
        <v>20552275</v>
      </c>
      <c r="N27" s="15">
        <v>361720040</v>
      </c>
      <c r="O27" s="11">
        <f>_xlfn.XLOOKUP(A27,[1]MIC!A:A,[1]MIC!C:C)</f>
        <v>45344</v>
      </c>
      <c r="P27" s="11">
        <f>_xlfn.XLOOKUP(A27,[1]MIC!A:A,[1]MIC!D:D)</f>
        <v>45709</v>
      </c>
      <c r="Q27" s="5">
        <f>_xlfn.XLOOKUP(A27,'[1]Days Listed'!A:A,'[1]Days Listed'!B:B)</f>
        <v>256</v>
      </c>
      <c r="R27" s="5">
        <f>_xlfn.XLOOKUP(A27,'[1]Days Listed'!A:A,'[1]Days Listed'!C:C)</f>
        <v>129</v>
      </c>
      <c r="S27" s="5">
        <f>_xlfn.XLOOKUP(A27,'[1]Days With Trades'!A:A,'[1]Days With Trades'!B:B)</f>
        <v>229</v>
      </c>
      <c r="T27" s="5">
        <f>_xlfn.XLOOKUP(A27,'[1]Days With Trades'!A:A,'[1]Days With Trades'!C:C)</f>
        <v>123</v>
      </c>
      <c r="U27" s="12">
        <f>_xlfn.XLOOKUP(A27,'[1]Value Traded'!A:A,'[1]Value Traded'!B:B)</f>
        <v>21482668.300000001</v>
      </c>
      <c r="V27" s="12">
        <f>_xlfn.XLOOKUP(A27,'[1]Value Traded'!A:A,'[1]Value Traded'!C:C)</f>
        <v>11185145.1</v>
      </c>
      <c r="W27" s="12">
        <f>_xlfn.XLOOKUP(A27,'[1]Value Traded'!A:A,'[1]Value Traded'!E:E)</f>
        <v>30067856.699999999</v>
      </c>
      <c r="X27" s="12">
        <f>_xlfn.XLOOKUP(A27,'[1]Value Traded'!A:A,'[1]Value Traded'!F:F)</f>
        <v>8585188.4000000004</v>
      </c>
      <c r="Y27" s="12">
        <f>_xlfn.XLOOKUP(A27,'[1]Value Traded'!A:A,'[1]Value Traded'!G:G)</f>
        <v>15403179.1</v>
      </c>
      <c r="Z27" s="12">
        <f>_xlfn.XLOOKUP(A27,'[1]Value Traded'!A:A,'[1]Value Traded'!H:H)</f>
        <v>4218034</v>
      </c>
    </row>
    <row r="28" spans="1:26" x14ac:dyDescent="0.25">
      <c r="A28" s="8">
        <v>2014101</v>
      </c>
      <c r="B28" s="8" t="s">
        <v>152</v>
      </c>
      <c r="C28" s="8" t="s">
        <v>152</v>
      </c>
      <c r="D28" s="8" t="s">
        <v>153</v>
      </c>
      <c r="E28" s="8" t="s">
        <v>154</v>
      </c>
      <c r="F28" s="8" t="s">
        <v>32</v>
      </c>
      <c r="G28" s="8" t="s">
        <v>60</v>
      </c>
      <c r="H28" s="8" t="s">
        <v>61</v>
      </c>
      <c r="I28" s="8" t="s">
        <v>155</v>
      </c>
      <c r="J28" s="8" t="s">
        <v>36</v>
      </c>
      <c r="K28" s="8" t="s">
        <v>37</v>
      </c>
      <c r="L28" s="8" t="s">
        <v>50</v>
      </c>
      <c r="M28" s="9">
        <v>71009348</v>
      </c>
      <c r="N28" s="10">
        <v>147699443.84</v>
      </c>
      <c r="O28" s="11">
        <f>_xlfn.XLOOKUP(A28,[1]MIC!A:A,[1]MIC!C:C)</f>
        <v>45344</v>
      </c>
      <c r="P28" s="11">
        <f>_xlfn.XLOOKUP(A28,[1]MIC!A:A,[1]MIC!D:D)</f>
        <v>45709</v>
      </c>
      <c r="Q28" s="5">
        <f>_xlfn.XLOOKUP(A28,'[1]Days Listed'!A:A,'[1]Days Listed'!B:B)</f>
        <v>256</v>
      </c>
      <c r="R28" s="5">
        <f>_xlfn.XLOOKUP(A28,'[1]Days Listed'!A:A,'[1]Days Listed'!C:C)</f>
        <v>129</v>
      </c>
      <c r="S28" s="5">
        <f>_xlfn.XLOOKUP(A28,'[1]Days With Trades'!A:A,'[1]Days With Trades'!B:B)</f>
        <v>213</v>
      </c>
      <c r="T28" s="5">
        <f>_xlfn.XLOOKUP(A28,'[1]Days With Trades'!A:A,'[1]Days With Trades'!C:C)</f>
        <v>99</v>
      </c>
      <c r="U28" s="12">
        <f>_xlfn.XLOOKUP(A28,'[1]Value Traded'!A:A,'[1]Value Traded'!B:B)</f>
        <v>19708583.050000001</v>
      </c>
      <c r="V28" s="12">
        <f>_xlfn.XLOOKUP(A28,'[1]Value Traded'!A:A,'[1]Value Traded'!C:C)</f>
        <v>5237231.7699999996</v>
      </c>
      <c r="W28" s="12">
        <f>_xlfn.XLOOKUP(A28,'[1]Value Traded'!A:A,'[1]Value Traded'!E:E)</f>
        <v>37073834.039999999</v>
      </c>
      <c r="X28" s="12">
        <f>_xlfn.XLOOKUP(A28,'[1]Value Traded'!A:A,'[1]Value Traded'!F:F)</f>
        <v>17365250.989999998</v>
      </c>
      <c r="Y28" s="12">
        <f>_xlfn.XLOOKUP(A28,'[1]Value Traded'!A:A,'[1]Value Traded'!G:G)</f>
        <v>7467566.5999999996</v>
      </c>
      <c r="Z28" s="12">
        <f>_xlfn.XLOOKUP(A28,'[1]Value Traded'!A:A,'[1]Value Traded'!H:H)</f>
        <v>2230334.83</v>
      </c>
    </row>
    <row r="29" spans="1:26" x14ac:dyDescent="0.25">
      <c r="A29" s="13">
        <v>2014102</v>
      </c>
      <c r="B29" s="13" t="s">
        <v>156</v>
      </c>
      <c r="C29" s="13" t="s">
        <v>156</v>
      </c>
      <c r="D29" s="13" t="s">
        <v>157</v>
      </c>
      <c r="E29" s="13" t="s">
        <v>158</v>
      </c>
      <c r="F29" s="13" t="s">
        <v>32</v>
      </c>
      <c r="G29" s="13" t="s">
        <v>60</v>
      </c>
      <c r="H29" s="13" t="s">
        <v>61</v>
      </c>
      <c r="I29" s="13" t="s">
        <v>159</v>
      </c>
      <c r="J29" s="13" t="s">
        <v>36</v>
      </c>
      <c r="K29" s="13" t="s">
        <v>37</v>
      </c>
      <c r="L29" s="13" t="s">
        <v>160</v>
      </c>
      <c r="M29" s="14">
        <v>445714354</v>
      </c>
      <c r="N29" s="15">
        <v>583885803.74000001</v>
      </c>
      <c r="O29" s="11">
        <f>_xlfn.XLOOKUP(A29,[1]MIC!A:A,[1]MIC!C:C)</f>
        <v>45344</v>
      </c>
      <c r="P29" s="11">
        <f>_xlfn.XLOOKUP(A29,[1]MIC!A:A,[1]MIC!D:D)</f>
        <v>45709</v>
      </c>
      <c r="Q29" s="5">
        <f>_xlfn.XLOOKUP(A29,'[1]Days Listed'!A:A,'[1]Days Listed'!B:B)</f>
        <v>256</v>
      </c>
      <c r="R29" s="5">
        <f>_xlfn.XLOOKUP(A29,'[1]Days Listed'!A:A,'[1]Days Listed'!C:C)</f>
        <v>129</v>
      </c>
      <c r="S29" s="5">
        <f>_xlfn.XLOOKUP(A29,'[1]Days With Trades'!A:A,'[1]Days With Trades'!B:B)</f>
        <v>250</v>
      </c>
      <c r="T29" s="5">
        <f>_xlfn.XLOOKUP(A29,'[1]Days With Trades'!A:A,'[1]Days With Trades'!C:C)</f>
        <v>127</v>
      </c>
      <c r="U29" s="12">
        <f>_xlfn.XLOOKUP(A29,'[1]Value Traded'!A:A,'[1]Value Traded'!B:B)</f>
        <v>296492679.61000001</v>
      </c>
      <c r="V29" s="12">
        <f>_xlfn.XLOOKUP(A29,'[1]Value Traded'!A:A,'[1]Value Traded'!C:C)</f>
        <v>414551117.33999997</v>
      </c>
      <c r="W29" s="12">
        <f>_xlfn.XLOOKUP(A29,'[1]Value Traded'!A:A,'[1]Value Traded'!E:E)</f>
        <v>694773891.75</v>
      </c>
      <c r="X29" s="12">
        <f>_xlfn.XLOOKUP(A29,'[1]Value Traded'!A:A,'[1]Value Traded'!F:F)</f>
        <v>398281212.13999999</v>
      </c>
      <c r="Y29" s="12">
        <f>_xlfn.XLOOKUP(A29,'[1]Value Traded'!A:A,'[1]Value Traded'!G:G)</f>
        <v>681519202.49000001</v>
      </c>
      <c r="Z29" s="12">
        <f>_xlfn.XLOOKUP(A29,'[1]Value Traded'!A:A,'[1]Value Traded'!H:H)</f>
        <v>266968085.15000001</v>
      </c>
    </row>
    <row r="30" spans="1:26" x14ac:dyDescent="0.25">
      <c r="A30" s="8">
        <v>2014104</v>
      </c>
      <c r="B30" s="8" t="s">
        <v>161</v>
      </c>
      <c r="C30" s="8" t="s">
        <v>161</v>
      </c>
      <c r="D30" s="8" t="s">
        <v>162</v>
      </c>
      <c r="E30" s="8" t="s">
        <v>163</v>
      </c>
      <c r="F30" s="8" t="s">
        <v>32</v>
      </c>
      <c r="G30" s="8" t="s">
        <v>47</v>
      </c>
      <c r="H30" s="8" t="s">
        <v>48</v>
      </c>
      <c r="I30" s="8" t="s">
        <v>164</v>
      </c>
      <c r="J30" s="8" t="s">
        <v>36</v>
      </c>
      <c r="K30" s="8" t="s">
        <v>37</v>
      </c>
      <c r="L30" s="8" t="s">
        <v>165</v>
      </c>
      <c r="M30" s="9">
        <v>191722290</v>
      </c>
      <c r="N30" s="10">
        <v>5272362975</v>
      </c>
      <c r="O30" s="11">
        <f>_xlfn.XLOOKUP(A30,[1]MIC!A:A,[1]MIC!C:C)</f>
        <v>45344</v>
      </c>
      <c r="P30" s="11">
        <f>_xlfn.XLOOKUP(A30,[1]MIC!A:A,[1]MIC!D:D)</f>
        <v>45709</v>
      </c>
      <c r="Q30" s="5">
        <f>_xlfn.XLOOKUP(A30,'[1]Days Listed'!A:A,'[1]Days Listed'!B:B)</f>
        <v>256</v>
      </c>
      <c r="R30" s="5">
        <f>_xlfn.XLOOKUP(A30,'[1]Days Listed'!A:A,'[1]Days Listed'!C:C)</f>
        <v>129</v>
      </c>
      <c r="S30" s="5">
        <f>_xlfn.XLOOKUP(A30,'[1]Days With Trades'!A:A,'[1]Days With Trades'!B:B)</f>
        <v>250</v>
      </c>
      <c r="T30" s="5">
        <f>_xlfn.XLOOKUP(A30,'[1]Days With Trades'!A:A,'[1]Days With Trades'!C:C)</f>
        <v>127</v>
      </c>
      <c r="U30" s="12">
        <f>_xlfn.XLOOKUP(A30,'[1]Value Traded'!A:A,'[1]Value Traded'!B:B)</f>
        <v>211861456.05000001</v>
      </c>
      <c r="V30" s="12">
        <f>_xlfn.XLOOKUP(A30,'[1]Value Traded'!A:A,'[1]Value Traded'!C:C)</f>
        <v>75440737.900000006</v>
      </c>
      <c r="W30" s="12">
        <f>_xlfn.XLOOKUP(A30,'[1]Value Traded'!A:A,'[1]Value Traded'!E:E)</f>
        <v>269692828.05000001</v>
      </c>
      <c r="X30" s="12">
        <f>_xlfn.XLOOKUP(A30,'[1]Value Traded'!A:A,'[1]Value Traded'!F:F)</f>
        <v>57831372</v>
      </c>
      <c r="Y30" s="12">
        <f>_xlfn.XLOOKUP(A30,'[1]Value Traded'!A:A,'[1]Value Traded'!G:G)</f>
        <v>103876275.40000001</v>
      </c>
      <c r="Z30" s="12">
        <f>_xlfn.XLOOKUP(A30,'[1]Value Traded'!A:A,'[1]Value Traded'!H:H)</f>
        <v>28435537.5</v>
      </c>
    </row>
    <row r="31" spans="1:26" x14ac:dyDescent="0.25">
      <c r="A31" s="13">
        <v>2014106</v>
      </c>
      <c r="B31" s="13" t="s">
        <v>166</v>
      </c>
      <c r="C31" s="13" t="s">
        <v>166</v>
      </c>
      <c r="D31" s="13" t="s">
        <v>167</v>
      </c>
      <c r="E31" s="13" t="s">
        <v>168</v>
      </c>
      <c r="F31" s="13" t="s">
        <v>32</v>
      </c>
      <c r="G31" s="13" t="s">
        <v>47</v>
      </c>
      <c r="H31" s="13" t="s">
        <v>54</v>
      </c>
      <c r="I31" s="13" t="s">
        <v>169</v>
      </c>
      <c r="J31" s="13" t="s">
        <v>36</v>
      </c>
      <c r="K31" s="13" t="s">
        <v>37</v>
      </c>
      <c r="L31" s="13" t="s">
        <v>170</v>
      </c>
      <c r="M31" s="14">
        <v>604242218</v>
      </c>
      <c r="N31" s="15">
        <v>4413989402.4899998</v>
      </c>
      <c r="O31" s="11">
        <f>_xlfn.XLOOKUP(A31,[1]MIC!A:A,[1]MIC!C:C)</f>
        <v>45344</v>
      </c>
      <c r="P31" s="11">
        <f>_xlfn.XLOOKUP(A31,[1]MIC!A:A,[1]MIC!D:D)</f>
        <v>45709</v>
      </c>
      <c r="Q31" s="5">
        <f>_xlfn.XLOOKUP(A31,'[1]Days Listed'!A:A,'[1]Days Listed'!B:B)</f>
        <v>256</v>
      </c>
      <c r="R31" s="5">
        <f>_xlfn.XLOOKUP(A31,'[1]Days Listed'!A:A,'[1]Days Listed'!C:C)</f>
        <v>129</v>
      </c>
      <c r="S31" s="5">
        <f>_xlfn.XLOOKUP(A31,'[1]Days With Trades'!A:A,'[1]Days With Trades'!B:B)</f>
        <v>250</v>
      </c>
      <c r="T31" s="5">
        <f>_xlfn.XLOOKUP(A31,'[1]Days With Trades'!A:A,'[1]Days With Trades'!C:C)</f>
        <v>127</v>
      </c>
      <c r="U31" s="12">
        <f>_xlfn.XLOOKUP(A31,'[1]Value Traded'!A:A,'[1]Value Traded'!B:B)</f>
        <v>3920920216.4000001</v>
      </c>
      <c r="V31" s="12">
        <f>_xlfn.XLOOKUP(A31,'[1]Value Traded'!A:A,'[1]Value Traded'!C:C)</f>
        <v>2245801083.75</v>
      </c>
      <c r="W31" s="12">
        <f>_xlfn.XLOOKUP(A31,'[1]Value Traded'!A:A,'[1]Value Traded'!E:E)</f>
        <v>4832702188.0299997</v>
      </c>
      <c r="X31" s="12">
        <f>_xlfn.XLOOKUP(A31,'[1]Value Traded'!A:A,'[1]Value Traded'!F:F)</f>
        <v>911781971.63</v>
      </c>
      <c r="Y31" s="12">
        <f>_xlfn.XLOOKUP(A31,'[1]Value Traded'!A:A,'[1]Value Traded'!G:G)</f>
        <v>2831475431.3600001</v>
      </c>
      <c r="Z31" s="12">
        <f>_xlfn.XLOOKUP(A31,'[1]Value Traded'!A:A,'[1]Value Traded'!H:H)</f>
        <v>585674347.61000001</v>
      </c>
    </row>
    <row r="32" spans="1:26" x14ac:dyDescent="0.25">
      <c r="A32" s="8">
        <v>2014107</v>
      </c>
      <c r="B32" s="8" t="s">
        <v>171</v>
      </c>
      <c r="C32" s="8" t="s">
        <v>171</v>
      </c>
      <c r="D32" s="8" t="s">
        <v>172</v>
      </c>
      <c r="E32" s="8" t="s">
        <v>173</v>
      </c>
      <c r="F32" s="8" t="s">
        <v>32</v>
      </c>
      <c r="G32" s="8" t="s">
        <v>47</v>
      </c>
      <c r="H32" s="8" t="s">
        <v>48</v>
      </c>
      <c r="I32" s="8" t="s">
        <v>174</v>
      </c>
      <c r="J32" s="8" t="s">
        <v>36</v>
      </c>
      <c r="K32" s="8" t="s">
        <v>37</v>
      </c>
      <c r="L32" s="8" t="s">
        <v>74</v>
      </c>
      <c r="M32" s="9">
        <v>87685014</v>
      </c>
      <c r="N32" s="10">
        <v>5848590433.8000002</v>
      </c>
      <c r="O32" s="11">
        <f>_xlfn.XLOOKUP(A32,[1]MIC!A:A,[1]MIC!C:C)</f>
        <v>45344</v>
      </c>
      <c r="P32" s="11">
        <f>_xlfn.XLOOKUP(A32,[1]MIC!A:A,[1]MIC!D:D)</f>
        <v>45709</v>
      </c>
      <c r="Q32" s="5">
        <f>_xlfn.XLOOKUP(A32,'[1]Days Listed'!A:A,'[1]Days Listed'!B:B)</f>
        <v>256</v>
      </c>
      <c r="R32" s="5">
        <f>_xlfn.XLOOKUP(A32,'[1]Days Listed'!A:A,'[1]Days Listed'!C:C)</f>
        <v>129</v>
      </c>
      <c r="S32" s="5">
        <f>_xlfn.XLOOKUP(A32,'[1]Days With Trades'!A:A,'[1]Days With Trades'!B:B)</f>
        <v>250</v>
      </c>
      <c r="T32" s="5">
        <f>_xlfn.XLOOKUP(A32,'[1]Days With Trades'!A:A,'[1]Days With Trades'!C:C)</f>
        <v>127</v>
      </c>
      <c r="U32" s="12">
        <f>_xlfn.XLOOKUP(A32,'[1]Value Traded'!A:A,'[1]Value Traded'!B:B)</f>
        <v>646356551.10000002</v>
      </c>
      <c r="V32" s="12">
        <f>_xlfn.XLOOKUP(A32,'[1]Value Traded'!A:A,'[1]Value Traded'!C:C)</f>
        <v>338323033.35000002</v>
      </c>
      <c r="W32" s="12">
        <f>_xlfn.XLOOKUP(A32,'[1]Value Traded'!A:A,'[1]Value Traded'!E:E)</f>
        <v>872888828.79999995</v>
      </c>
      <c r="X32" s="12">
        <f>_xlfn.XLOOKUP(A32,'[1]Value Traded'!A:A,'[1]Value Traded'!F:F)</f>
        <v>226532277.69999999</v>
      </c>
      <c r="Y32" s="12">
        <f>_xlfn.XLOOKUP(A32,'[1]Value Traded'!A:A,'[1]Value Traded'!G:G)</f>
        <v>433894736.55000001</v>
      </c>
      <c r="Z32" s="12">
        <f>_xlfn.XLOOKUP(A32,'[1]Value Traded'!A:A,'[1]Value Traded'!H:H)</f>
        <v>95571703.200000003</v>
      </c>
    </row>
    <row r="33" spans="1:26" x14ac:dyDescent="0.25">
      <c r="A33" s="13">
        <v>2014108</v>
      </c>
      <c r="B33" s="13" t="s">
        <v>175</v>
      </c>
      <c r="C33" s="13" t="s">
        <v>175</v>
      </c>
      <c r="D33" s="13" t="s">
        <v>176</v>
      </c>
      <c r="E33" s="13" t="s">
        <v>177</v>
      </c>
      <c r="F33" s="13" t="s">
        <v>32</v>
      </c>
      <c r="G33" s="13" t="s">
        <v>60</v>
      </c>
      <c r="H33" s="13" t="s">
        <v>61</v>
      </c>
      <c r="I33" s="13" t="s">
        <v>178</v>
      </c>
      <c r="J33" s="13" t="s">
        <v>36</v>
      </c>
      <c r="K33" s="13" t="s">
        <v>37</v>
      </c>
      <c r="L33" s="13" t="s">
        <v>74</v>
      </c>
      <c r="M33" s="14">
        <v>122261249</v>
      </c>
      <c r="N33" s="15">
        <v>3227696973.5999999</v>
      </c>
      <c r="O33" s="11">
        <f>_xlfn.XLOOKUP(A33,[1]MIC!A:A,[1]MIC!C:C)</f>
        <v>45344</v>
      </c>
      <c r="P33" s="11">
        <f>_xlfn.XLOOKUP(A33,[1]MIC!A:A,[1]MIC!D:D)</f>
        <v>45709</v>
      </c>
      <c r="Q33" s="5">
        <f>_xlfn.XLOOKUP(A33,'[1]Days Listed'!A:A,'[1]Days Listed'!B:B)</f>
        <v>256</v>
      </c>
      <c r="R33" s="5">
        <f>_xlfn.XLOOKUP(A33,'[1]Days Listed'!A:A,'[1]Days Listed'!C:C)</f>
        <v>129</v>
      </c>
      <c r="S33" s="5">
        <f>_xlfn.XLOOKUP(A33,'[1]Days With Trades'!A:A,'[1]Days With Trades'!B:B)</f>
        <v>221</v>
      </c>
      <c r="T33" s="5">
        <f>_xlfn.XLOOKUP(A33,'[1]Days With Trades'!A:A,'[1]Days With Trades'!C:C)</f>
        <v>118</v>
      </c>
      <c r="U33" s="12">
        <f>_xlfn.XLOOKUP(A33,'[1]Value Traded'!A:A,'[1]Value Traded'!B:B)</f>
        <v>34815158.600000001</v>
      </c>
      <c r="V33" s="12">
        <f>_xlfn.XLOOKUP(A33,'[1]Value Traded'!A:A,'[1]Value Traded'!C:C)</f>
        <v>19763434.199999999</v>
      </c>
      <c r="W33" s="12">
        <f>_xlfn.XLOOKUP(A33,'[1]Value Traded'!A:A,'[1]Value Traded'!E:E)</f>
        <v>62025554.600000001</v>
      </c>
      <c r="X33" s="12">
        <f>_xlfn.XLOOKUP(A33,'[1]Value Traded'!A:A,'[1]Value Traded'!F:F)</f>
        <v>27210396</v>
      </c>
      <c r="Y33" s="12">
        <f>_xlfn.XLOOKUP(A33,'[1]Value Traded'!A:A,'[1]Value Traded'!G:G)</f>
        <v>32720172</v>
      </c>
      <c r="Z33" s="12">
        <f>_xlfn.XLOOKUP(A33,'[1]Value Traded'!A:A,'[1]Value Traded'!H:H)</f>
        <v>12956737.800000001</v>
      </c>
    </row>
    <row r="34" spans="1:26" x14ac:dyDescent="0.25">
      <c r="A34" s="8">
        <v>2014109</v>
      </c>
      <c r="B34" s="8" t="s">
        <v>179</v>
      </c>
      <c r="C34" s="8" t="s">
        <v>179</v>
      </c>
      <c r="D34" s="8" t="s">
        <v>180</v>
      </c>
      <c r="E34" s="8" t="s">
        <v>181</v>
      </c>
      <c r="F34" s="8" t="s">
        <v>32</v>
      </c>
      <c r="G34" s="8" t="s">
        <v>47</v>
      </c>
      <c r="H34" s="8" t="s">
        <v>48</v>
      </c>
      <c r="I34" s="8" t="s">
        <v>182</v>
      </c>
      <c r="J34" s="8" t="s">
        <v>36</v>
      </c>
      <c r="K34" s="8" t="s">
        <v>37</v>
      </c>
      <c r="L34" s="8" t="s">
        <v>147</v>
      </c>
      <c r="M34" s="9">
        <v>132664788</v>
      </c>
      <c r="N34" s="10">
        <v>1426146471</v>
      </c>
      <c r="O34" s="11">
        <f>_xlfn.XLOOKUP(A34,[1]MIC!A:A,[1]MIC!C:C)</f>
        <v>45344</v>
      </c>
      <c r="P34" s="11">
        <f>_xlfn.XLOOKUP(A34,[1]MIC!A:A,[1]MIC!D:D)</f>
        <v>45709</v>
      </c>
      <c r="Q34" s="5">
        <f>_xlfn.XLOOKUP(A34,'[1]Days Listed'!A:A,'[1]Days Listed'!B:B)</f>
        <v>256</v>
      </c>
      <c r="R34" s="5">
        <f>_xlfn.XLOOKUP(A34,'[1]Days Listed'!A:A,'[1]Days Listed'!C:C)</f>
        <v>129</v>
      </c>
      <c r="S34" s="5">
        <f>_xlfn.XLOOKUP(A34,'[1]Days With Trades'!A:A,'[1]Days With Trades'!B:B)</f>
        <v>243</v>
      </c>
      <c r="T34" s="5">
        <f>_xlfn.XLOOKUP(A34,'[1]Days With Trades'!A:A,'[1]Days With Trades'!C:C)</f>
        <v>121</v>
      </c>
      <c r="U34" s="12">
        <f>_xlfn.XLOOKUP(A34,'[1]Value Traded'!A:A,'[1]Value Traded'!B:B)</f>
        <v>58336341</v>
      </c>
      <c r="V34" s="12">
        <f>_xlfn.XLOOKUP(A34,'[1]Value Traded'!A:A,'[1]Value Traded'!C:C)</f>
        <v>16640839.41</v>
      </c>
      <c r="W34" s="12">
        <f>_xlfn.XLOOKUP(A34,'[1]Value Traded'!A:A,'[1]Value Traded'!E:E)</f>
        <v>76492892.480000004</v>
      </c>
      <c r="X34" s="12">
        <f>_xlfn.XLOOKUP(A34,'[1]Value Traded'!A:A,'[1]Value Traded'!F:F)</f>
        <v>18156551.48</v>
      </c>
      <c r="Y34" s="12">
        <f>_xlfn.XLOOKUP(A34,'[1]Value Traded'!A:A,'[1]Value Traded'!G:G)</f>
        <v>24451096.039999999</v>
      </c>
      <c r="Z34" s="12">
        <f>_xlfn.XLOOKUP(A34,'[1]Value Traded'!A:A,'[1]Value Traded'!H:H)</f>
        <v>7810256.6299999999</v>
      </c>
    </row>
    <row r="35" spans="1:26" x14ac:dyDescent="0.25">
      <c r="A35" s="13">
        <v>2014110</v>
      </c>
      <c r="B35" s="13" t="s">
        <v>183</v>
      </c>
      <c r="C35" s="13" t="s">
        <v>183</v>
      </c>
      <c r="D35" s="13" t="s">
        <v>184</v>
      </c>
      <c r="E35" s="13" t="s">
        <v>185</v>
      </c>
      <c r="F35" s="13" t="s">
        <v>32</v>
      </c>
      <c r="G35" s="13" t="s">
        <v>47</v>
      </c>
      <c r="H35" s="13" t="s">
        <v>48</v>
      </c>
      <c r="I35" s="13" t="s">
        <v>186</v>
      </c>
      <c r="J35" s="13" t="s">
        <v>36</v>
      </c>
      <c r="K35" s="13" t="s">
        <v>37</v>
      </c>
      <c r="L35" s="13" t="s">
        <v>187</v>
      </c>
      <c r="M35" s="14">
        <v>288646437</v>
      </c>
      <c r="N35" s="15">
        <v>3388709170.3800001</v>
      </c>
      <c r="O35" s="11">
        <f>_xlfn.XLOOKUP(A35,[1]MIC!A:A,[1]MIC!C:C)</f>
        <v>45344</v>
      </c>
      <c r="P35" s="11">
        <f>_xlfn.XLOOKUP(A35,[1]MIC!A:A,[1]MIC!D:D)</f>
        <v>45709</v>
      </c>
      <c r="Q35" s="5">
        <f>_xlfn.XLOOKUP(A35,'[1]Days Listed'!A:A,'[1]Days Listed'!B:B)</f>
        <v>256</v>
      </c>
      <c r="R35" s="5">
        <f>_xlfn.XLOOKUP(A35,'[1]Days Listed'!A:A,'[1]Days Listed'!C:C)</f>
        <v>129</v>
      </c>
      <c r="S35" s="5">
        <f>_xlfn.XLOOKUP(A35,'[1]Days With Trades'!A:A,'[1]Days With Trades'!B:B)</f>
        <v>250</v>
      </c>
      <c r="T35" s="5">
        <f>_xlfn.XLOOKUP(A35,'[1]Days With Trades'!A:A,'[1]Days With Trades'!C:C)</f>
        <v>127</v>
      </c>
      <c r="U35" s="12">
        <f>_xlfn.XLOOKUP(A35,'[1]Value Traded'!A:A,'[1]Value Traded'!B:B)</f>
        <v>434297707.44999999</v>
      </c>
      <c r="V35" s="12">
        <f>_xlfn.XLOOKUP(A35,'[1]Value Traded'!A:A,'[1]Value Traded'!C:C)</f>
        <v>173769455.5</v>
      </c>
      <c r="W35" s="12">
        <f>_xlfn.XLOOKUP(A35,'[1]Value Traded'!A:A,'[1]Value Traded'!E:E)</f>
        <v>553303518.88</v>
      </c>
      <c r="X35" s="12">
        <f>_xlfn.XLOOKUP(A35,'[1]Value Traded'!A:A,'[1]Value Traded'!F:F)</f>
        <v>119005811.43000001</v>
      </c>
      <c r="Y35" s="12">
        <f>_xlfn.XLOOKUP(A35,'[1]Value Traded'!A:A,'[1]Value Traded'!G:G)</f>
        <v>229055292.74000001</v>
      </c>
      <c r="Z35" s="12">
        <f>_xlfn.XLOOKUP(A35,'[1]Value Traded'!A:A,'[1]Value Traded'!H:H)</f>
        <v>55285837.240000002</v>
      </c>
    </row>
    <row r="36" spans="1:26" x14ac:dyDescent="0.25">
      <c r="A36" s="8">
        <v>2014111</v>
      </c>
      <c r="B36" s="8" t="s">
        <v>188</v>
      </c>
      <c r="C36" s="8" t="s">
        <v>188</v>
      </c>
      <c r="D36" s="8" t="s">
        <v>189</v>
      </c>
      <c r="E36" s="8" t="s">
        <v>190</v>
      </c>
      <c r="F36" s="8" t="s">
        <v>32</v>
      </c>
      <c r="G36" s="8" t="s">
        <v>60</v>
      </c>
      <c r="H36" s="8" t="s">
        <v>61</v>
      </c>
      <c r="I36" s="8" t="s">
        <v>191</v>
      </c>
      <c r="J36" s="8" t="s">
        <v>36</v>
      </c>
      <c r="K36" s="8" t="s">
        <v>37</v>
      </c>
      <c r="L36" s="8" t="s">
        <v>170</v>
      </c>
      <c r="M36" s="9">
        <v>134740900</v>
      </c>
      <c r="N36" s="10">
        <v>359758203</v>
      </c>
      <c r="O36" s="11">
        <f>_xlfn.XLOOKUP(A36,[1]MIC!A:A,[1]MIC!C:C)</f>
        <v>45344</v>
      </c>
      <c r="P36" s="11">
        <f>_xlfn.XLOOKUP(A36,[1]MIC!A:A,[1]MIC!D:D)</f>
        <v>45709</v>
      </c>
      <c r="Q36" s="5">
        <f>_xlfn.XLOOKUP(A36,'[1]Days Listed'!A:A,'[1]Days Listed'!B:B)</f>
        <v>256</v>
      </c>
      <c r="R36" s="5">
        <f>_xlfn.XLOOKUP(A36,'[1]Days Listed'!A:A,'[1]Days Listed'!C:C)</f>
        <v>129</v>
      </c>
      <c r="S36" s="5">
        <f>_xlfn.XLOOKUP(A36,'[1]Days With Trades'!A:A,'[1]Days With Trades'!B:B)</f>
        <v>241</v>
      </c>
      <c r="T36" s="5">
        <f>_xlfn.XLOOKUP(A36,'[1]Days With Trades'!A:A,'[1]Days With Trades'!C:C)</f>
        <v>118</v>
      </c>
      <c r="U36" s="12">
        <f>_xlfn.XLOOKUP(A36,'[1]Value Traded'!A:A,'[1]Value Traded'!B:B)</f>
        <v>47776909.920000002</v>
      </c>
      <c r="V36" s="12">
        <f>_xlfn.XLOOKUP(A36,'[1]Value Traded'!A:A,'[1]Value Traded'!C:C)</f>
        <v>18692452.940000001</v>
      </c>
      <c r="W36" s="12">
        <f>_xlfn.XLOOKUP(A36,'[1]Value Traded'!A:A,'[1]Value Traded'!E:E)</f>
        <v>75736236.469999999</v>
      </c>
      <c r="X36" s="12">
        <f>_xlfn.XLOOKUP(A36,'[1]Value Traded'!A:A,'[1]Value Traded'!F:F)</f>
        <v>27959326.550000001</v>
      </c>
      <c r="Y36" s="12">
        <f>_xlfn.XLOOKUP(A36,'[1]Value Traded'!A:A,'[1]Value Traded'!G:G)</f>
        <v>25174303.27</v>
      </c>
      <c r="Z36" s="12">
        <f>_xlfn.XLOOKUP(A36,'[1]Value Traded'!A:A,'[1]Value Traded'!H:H)</f>
        <v>6481850.3300000001</v>
      </c>
    </row>
    <row r="37" spans="1:26" x14ac:dyDescent="0.25">
      <c r="A37" s="13">
        <v>2014112</v>
      </c>
      <c r="B37" s="13" t="s">
        <v>192</v>
      </c>
      <c r="C37" s="13" t="s">
        <v>192</v>
      </c>
      <c r="D37" s="13" t="s">
        <v>193</v>
      </c>
      <c r="E37" s="13" t="s">
        <v>194</v>
      </c>
      <c r="F37" s="13" t="s">
        <v>32</v>
      </c>
      <c r="G37" s="13" t="s">
        <v>60</v>
      </c>
      <c r="H37" s="13" t="s">
        <v>61</v>
      </c>
      <c r="I37" s="13" t="s">
        <v>195</v>
      </c>
      <c r="J37" s="13" t="s">
        <v>36</v>
      </c>
      <c r="K37" s="13" t="s">
        <v>37</v>
      </c>
      <c r="L37" s="13" t="s">
        <v>116</v>
      </c>
      <c r="M37" s="14">
        <v>63263347</v>
      </c>
      <c r="N37" s="15">
        <v>249257587.18000001</v>
      </c>
      <c r="O37" s="11">
        <f>_xlfn.XLOOKUP(A37,[1]MIC!A:A,[1]MIC!C:C)</f>
        <v>45344</v>
      </c>
      <c r="P37" s="11">
        <f>_xlfn.XLOOKUP(A37,[1]MIC!A:A,[1]MIC!D:D)</f>
        <v>45709</v>
      </c>
      <c r="Q37" s="5">
        <f>_xlfn.XLOOKUP(A37,'[1]Days Listed'!A:A,'[1]Days Listed'!B:B)</f>
        <v>256</v>
      </c>
      <c r="R37" s="5">
        <f>_xlfn.XLOOKUP(A37,'[1]Days Listed'!A:A,'[1]Days Listed'!C:C)</f>
        <v>129</v>
      </c>
      <c r="S37" s="5">
        <f>_xlfn.XLOOKUP(A37,'[1]Days With Trades'!A:A,'[1]Days With Trades'!B:B)</f>
        <v>140</v>
      </c>
      <c r="T37" s="5">
        <f>_xlfn.XLOOKUP(A37,'[1]Days With Trades'!A:A,'[1]Days With Trades'!C:C)</f>
        <v>73</v>
      </c>
      <c r="U37" s="12">
        <f>_xlfn.XLOOKUP(A37,'[1]Value Traded'!A:A,'[1]Value Traded'!B:B)</f>
        <v>5676537.4100000001</v>
      </c>
      <c r="V37" s="12">
        <f>_xlfn.XLOOKUP(A37,'[1]Value Traded'!A:A,'[1]Value Traded'!C:C)</f>
        <v>5577582.1500000004</v>
      </c>
      <c r="W37" s="12">
        <f>_xlfn.XLOOKUP(A37,'[1]Value Traded'!A:A,'[1]Value Traded'!E:E)</f>
        <v>17552740.09</v>
      </c>
      <c r="X37" s="12">
        <f>_xlfn.XLOOKUP(A37,'[1]Value Traded'!A:A,'[1]Value Traded'!F:F)</f>
        <v>11876202.68</v>
      </c>
      <c r="Y37" s="12">
        <f>_xlfn.XLOOKUP(A37,'[1]Value Traded'!A:A,'[1]Value Traded'!G:G)</f>
        <v>15381997.99</v>
      </c>
      <c r="Z37" s="12">
        <f>_xlfn.XLOOKUP(A37,'[1]Value Traded'!A:A,'[1]Value Traded'!H:H)</f>
        <v>9804415.8399999999</v>
      </c>
    </row>
    <row r="38" spans="1:26" x14ac:dyDescent="0.25">
      <c r="A38" s="8">
        <v>2014113</v>
      </c>
      <c r="B38" s="8" t="s">
        <v>196</v>
      </c>
      <c r="C38" s="8" t="s">
        <v>196</v>
      </c>
      <c r="D38" s="8" t="s">
        <v>197</v>
      </c>
      <c r="E38" s="8" t="s">
        <v>198</v>
      </c>
      <c r="F38" s="8" t="s">
        <v>32</v>
      </c>
      <c r="G38" s="8" t="s">
        <v>60</v>
      </c>
      <c r="H38" s="8" t="s">
        <v>61</v>
      </c>
      <c r="I38" s="8" t="s">
        <v>199</v>
      </c>
      <c r="J38" s="8" t="s">
        <v>36</v>
      </c>
      <c r="K38" s="8" t="s">
        <v>37</v>
      </c>
      <c r="L38" s="8" t="s">
        <v>74</v>
      </c>
      <c r="M38" s="9">
        <v>67619013</v>
      </c>
      <c r="N38" s="10">
        <v>2691236717.4000001</v>
      </c>
      <c r="O38" s="11">
        <f>_xlfn.XLOOKUP(A38,[1]MIC!A:A,[1]MIC!C:C)</f>
        <v>45344</v>
      </c>
      <c r="P38" s="11">
        <f>_xlfn.XLOOKUP(A38,[1]MIC!A:A,[1]MIC!D:D)</f>
        <v>45709</v>
      </c>
      <c r="Q38" s="5">
        <f>_xlfn.XLOOKUP(A38,'[1]Days Listed'!A:A,'[1]Days Listed'!B:B)</f>
        <v>256</v>
      </c>
      <c r="R38" s="5">
        <f>_xlfn.XLOOKUP(A38,'[1]Days Listed'!A:A,'[1]Days Listed'!C:C)</f>
        <v>129</v>
      </c>
      <c r="S38" s="5">
        <f>_xlfn.XLOOKUP(A38,'[1]Days With Trades'!A:A,'[1]Days With Trades'!B:B)</f>
        <v>250</v>
      </c>
      <c r="T38" s="5">
        <f>_xlfn.XLOOKUP(A38,'[1]Days With Trades'!A:A,'[1]Days With Trades'!C:C)</f>
        <v>127</v>
      </c>
      <c r="U38" s="12">
        <f>_xlfn.XLOOKUP(A38,'[1]Value Traded'!A:A,'[1]Value Traded'!B:B)</f>
        <v>134879031.19999999</v>
      </c>
      <c r="V38" s="12">
        <f>_xlfn.XLOOKUP(A38,'[1]Value Traded'!A:A,'[1]Value Traded'!C:C)</f>
        <v>60636441.5</v>
      </c>
      <c r="W38" s="12">
        <f>_xlfn.XLOOKUP(A38,'[1]Value Traded'!A:A,'[1]Value Traded'!E:E)</f>
        <v>169804125.90000001</v>
      </c>
      <c r="X38" s="12">
        <f>_xlfn.XLOOKUP(A38,'[1]Value Traded'!A:A,'[1]Value Traded'!F:F)</f>
        <v>34925094.700000003</v>
      </c>
      <c r="Y38" s="12">
        <f>_xlfn.XLOOKUP(A38,'[1]Value Traded'!A:A,'[1]Value Traded'!G:G)</f>
        <v>76624978.599999994</v>
      </c>
      <c r="Z38" s="12">
        <f>_xlfn.XLOOKUP(A38,'[1]Value Traded'!A:A,'[1]Value Traded'!H:H)</f>
        <v>15988537.1</v>
      </c>
    </row>
    <row r="39" spans="1:26" x14ac:dyDescent="0.25">
      <c r="A39" s="13">
        <v>2014114</v>
      </c>
      <c r="B39" s="13" t="s">
        <v>200</v>
      </c>
      <c r="C39" s="13" t="s">
        <v>200</v>
      </c>
      <c r="D39" s="13" t="s">
        <v>201</v>
      </c>
      <c r="E39" s="13" t="s">
        <v>202</v>
      </c>
      <c r="F39" s="13" t="s">
        <v>32</v>
      </c>
      <c r="G39" s="13" t="s">
        <v>60</v>
      </c>
      <c r="H39" s="13" t="s">
        <v>61</v>
      </c>
      <c r="I39" s="13" t="s">
        <v>203</v>
      </c>
      <c r="J39" s="13" t="s">
        <v>36</v>
      </c>
      <c r="K39" s="13" t="s">
        <v>37</v>
      </c>
      <c r="L39" s="13" t="s">
        <v>38</v>
      </c>
      <c r="M39" s="14">
        <v>25084494</v>
      </c>
      <c r="N39" s="15">
        <v>484130734.19999999</v>
      </c>
      <c r="O39" s="11">
        <f>_xlfn.XLOOKUP(A39,[1]MIC!A:A,[1]MIC!C:C)</f>
        <v>45344</v>
      </c>
      <c r="P39" s="11">
        <f>_xlfn.XLOOKUP(A39,[1]MIC!A:A,[1]MIC!D:D)</f>
        <v>45709</v>
      </c>
      <c r="Q39" s="5">
        <f>_xlfn.XLOOKUP(A39,'[1]Days Listed'!A:A,'[1]Days Listed'!B:B)</f>
        <v>256</v>
      </c>
      <c r="R39" s="5">
        <f>_xlfn.XLOOKUP(A39,'[1]Days Listed'!A:A,'[1]Days Listed'!C:C)</f>
        <v>129</v>
      </c>
      <c r="S39" s="5">
        <f>_xlfn.XLOOKUP(A39,'[1]Days With Trades'!A:A,'[1]Days With Trades'!B:B)</f>
        <v>248</v>
      </c>
      <c r="T39" s="5">
        <f>_xlfn.XLOOKUP(A39,'[1]Days With Trades'!A:A,'[1]Days With Trades'!C:C)</f>
        <v>125</v>
      </c>
      <c r="U39" s="12">
        <f>_xlfn.XLOOKUP(A39,'[1]Value Traded'!A:A,'[1]Value Traded'!B:B)</f>
        <v>80219629.310000002</v>
      </c>
      <c r="V39" s="12">
        <f>_xlfn.XLOOKUP(A39,'[1]Value Traded'!A:A,'[1]Value Traded'!C:C)</f>
        <v>34355782.200000003</v>
      </c>
      <c r="W39" s="12">
        <f>_xlfn.XLOOKUP(A39,'[1]Value Traded'!A:A,'[1]Value Traded'!E:E)</f>
        <v>116889985.16</v>
      </c>
      <c r="X39" s="12">
        <f>_xlfn.XLOOKUP(A39,'[1]Value Traded'!A:A,'[1]Value Traded'!F:F)</f>
        <v>36670355.850000001</v>
      </c>
      <c r="Y39" s="12">
        <f>_xlfn.XLOOKUP(A39,'[1]Value Traded'!A:A,'[1]Value Traded'!G:G)</f>
        <v>49262109.799999997</v>
      </c>
      <c r="Z39" s="12">
        <f>_xlfn.XLOOKUP(A39,'[1]Value Traded'!A:A,'[1]Value Traded'!H:H)</f>
        <v>14906327.6</v>
      </c>
    </row>
    <row r="40" spans="1:26" x14ac:dyDescent="0.25">
      <c r="A40" s="8">
        <v>2014115</v>
      </c>
      <c r="B40" s="8" t="s">
        <v>204</v>
      </c>
      <c r="C40" s="8" t="s">
        <v>204</v>
      </c>
      <c r="D40" s="8" t="s">
        <v>205</v>
      </c>
      <c r="E40" s="8" t="s">
        <v>206</v>
      </c>
      <c r="F40" s="8" t="s">
        <v>32</v>
      </c>
      <c r="G40" s="8" t="s">
        <v>60</v>
      </c>
      <c r="H40" s="8" t="s">
        <v>61</v>
      </c>
      <c r="I40" s="8" t="s">
        <v>207</v>
      </c>
      <c r="J40" s="8" t="s">
        <v>36</v>
      </c>
      <c r="K40" s="8" t="s">
        <v>37</v>
      </c>
      <c r="L40" s="8" t="s">
        <v>116</v>
      </c>
      <c r="M40" s="9">
        <v>1951253942</v>
      </c>
      <c r="N40" s="10">
        <v>72196395.849999994</v>
      </c>
      <c r="O40" s="11">
        <f>_xlfn.XLOOKUP(A40,[1]MIC!A:A,[1]MIC!C:C)</f>
        <v>45344</v>
      </c>
      <c r="P40" s="11">
        <f>_xlfn.XLOOKUP(A40,[1]MIC!A:A,[1]MIC!D:D)</f>
        <v>45709</v>
      </c>
      <c r="Q40" s="5">
        <f>_xlfn.XLOOKUP(A40,'[1]Days Listed'!A:A,'[1]Days Listed'!B:B)</f>
        <v>256</v>
      </c>
      <c r="R40" s="5">
        <f>_xlfn.XLOOKUP(A40,'[1]Days Listed'!A:A,'[1]Days Listed'!C:C)</f>
        <v>129</v>
      </c>
      <c r="S40" s="5">
        <f>_xlfn.XLOOKUP(A40,'[1]Days With Trades'!A:A,'[1]Days With Trades'!B:B)</f>
        <v>248</v>
      </c>
      <c r="T40" s="5">
        <f>_xlfn.XLOOKUP(A40,'[1]Days With Trades'!A:A,'[1]Days With Trades'!C:C)</f>
        <v>127</v>
      </c>
      <c r="U40" s="12">
        <f>_xlfn.XLOOKUP(A40,'[1]Value Traded'!A:A,'[1]Value Traded'!B:B)</f>
        <v>39204617.700000003</v>
      </c>
      <c r="V40" s="12">
        <f>_xlfn.XLOOKUP(A40,'[1]Value Traded'!A:A,'[1]Value Traded'!C:C)</f>
        <v>13025828.75</v>
      </c>
      <c r="W40" s="12">
        <f>_xlfn.XLOOKUP(A40,'[1]Value Traded'!A:A,'[1]Value Traded'!E:E)</f>
        <v>71939192.150000006</v>
      </c>
      <c r="X40" s="12">
        <f>_xlfn.XLOOKUP(A40,'[1]Value Traded'!A:A,'[1]Value Traded'!F:F)</f>
        <v>32734574.449999999</v>
      </c>
      <c r="Y40" s="12">
        <f>_xlfn.XLOOKUP(A40,'[1]Value Traded'!A:A,'[1]Value Traded'!G:G)</f>
        <v>27811187.030000001</v>
      </c>
      <c r="Z40" s="12">
        <f>_xlfn.XLOOKUP(A40,'[1]Value Traded'!A:A,'[1]Value Traded'!H:H)</f>
        <v>14785358.279999999</v>
      </c>
    </row>
    <row r="41" spans="1:26" x14ac:dyDescent="0.25">
      <c r="A41" s="13">
        <v>2014116</v>
      </c>
      <c r="B41" s="13" t="s">
        <v>208</v>
      </c>
      <c r="C41" s="13" t="s">
        <v>208</v>
      </c>
      <c r="D41" s="13" t="s">
        <v>209</v>
      </c>
      <c r="E41" s="13" t="s">
        <v>210</v>
      </c>
      <c r="F41" s="13" t="s">
        <v>32</v>
      </c>
      <c r="G41" s="13" t="s">
        <v>33</v>
      </c>
      <c r="H41" s="13" t="s">
        <v>34</v>
      </c>
      <c r="I41" s="13" t="s">
        <v>211</v>
      </c>
      <c r="J41" s="13" t="s">
        <v>36</v>
      </c>
      <c r="K41" s="13" t="s">
        <v>37</v>
      </c>
      <c r="L41" s="13" t="s">
        <v>38</v>
      </c>
      <c r="M41" s="14">
        <v>234690967</v>
      </c>
      <c r="N41" s="15">
        <v>137059524.72999999</v>
      </c>
      <c r="O41" s="11">
        <f>_xlfn.XLOOKUP(A41,[1]MIC!A:A,[1]MIC!C:C)</f>
        <v>45344</v>
      </c>
      <c r="P41" s="11">
        <f>_xlfn.XLOOKUP(A41,[1]MIC!A:A,[1]MIC!D:D)</f>
        <v>45709</v>
      </c>
      <c r="Q41" s="5">
        <f>_xlfn.XLOOKUP(A41,'[1]Days Listed'!A:A,'[1]Days Listed'!B:B)</f>
        <v>256</v>
      </c>
      <c r="R41" s="5">
        <f>_xlfn.XLOOKUP(A41,'[1]Days Listed'!A:A,'[1]Days Listed'!C:C)</f>
        <v>129</v>
      </c>
      <c r="S41" s="5">
        <f>_xlfn.XLOOKUP(A41,'[1]Days With Trades'!A:A,'[1]Days With Trades'!B:B)</f>
        <v>249</v>
      </c>
      <c r="T41" s="5">
        <f>_xlfn.XLOOKUP(A41,'[1]Days With Trades'!A:A,'[1]Days With Trades'!C:C)</f>
        <v>126</v>
      </c>
      <c r="U41" s="12">
        <f>_xlfn.XLOOKUP(A41,'[1]Value Traded'!A:A,'[1]Value Traded'!B:B)</f>
        <v>26562166.350000001</v>
      </c>
      <c r="V41" s="12">
        <f>_xlfn.XLOOKUP(A41,'[1]Value Traded'!A:A,'[1]Value Traded'!C:C)</f>
        <v>8170554.9199999999</v>
      </c>
      <c r="W41" s="12">
        <f>_xlfn.XLOOKUP(A41,'[1]Value Traded'!A:A,'[1]Value Traded'!E:E)</f>
        <v>37922176.109999999</v>
      </c>
      <c r="X41" s="12">
        <f>_xlfn.XLOOKUP(A41,'[1]Value Traded'!A:A,'[1]Value Traded'!F:F)</f>
        <v>11360009.76</v>
      </c>
      <c r="Y41" s="12">
        <f>_xlfn.XLOOKUP(A41,'[1]Value Traded'!A:A,'[1]Value Traded'!G:G)</f>
        <v>10385457.02</v>
      </c>
      <c r="Z41" s="12">
        <f>_xlfn.XLOOKUP(A41,'[1]Value Traded'!A:A,'[1]Value Traded'!H:H)</f>
        <v>2214902.1</v>
      </c>
    </row>
    <row r="42" spans="1:26" x14ac:dyDescent="0.25">
      <c r="A42" s="8">
        <v>2014117</v>
      </c>
      <c r="B42" s="8" t="s">
        <v>212</v>
      </c>
      <c r="C42" s="8" t="s">
        <v>212</v>
      </c>
      <c r="D42" s="8" t="s">
        <v>213</v>
      </c>
      <c r="E42" s="8" t="s">
        <v>214</v>
      </c>
      <c r="F42" s="8" t="s">
        <v>32</v>
      </c>
      <c r="G42" s="8" t="s">
        <v>33</v>
      </c>
      <c r="H42" s="8" t="s">
        <v>215</v>
      </c>
      <c r="I42" s="8" t="s">
        <v>216</v>
      </c>
      <c r="J42" s="8" t="s">
        <v>36</v>
      </c>
      <c r="K42" s="8" t="s">
        <v>37</v>
      </c>
      <c r="L42" s="8" t="s">
        <v>217</v>
      </c>
      <c r="M42" s="9">
        <v>23791983</v>
      </c>
      <c r="N42" s="10">
        <v>5472156.0899999999</v>
      </c>
      <c r="O42" s="11">
        <f>_xlfn.XLOOKUP(A42,[1]MIC!A:A,[1]MIC!C:C)</f>
        <v>45344</v>
      </c>
      <c r="P42" s="11">
        <f>_xlfn.XLOOKUP(A42,[1]MIC!A:A,[1]MIC!D:D)</f>
        <v>45709</v>
      </c>
      <c r="Q42" s="5">
        <f>_xlfn.XLOOKUP(A42,'[1]Days Listed'!A:A,'[1]Days Listed'!B:B)</f>
        <v>256</v>
      </c>
      <c r="R42" s="5">
        <f>_xlfn.XLOOKUP(A42,'[1]Days Listed'!A:A,'[1]Days Listed'!C:C)</f>
        <v>129</v>
      </c>
      <c r="S42" s="5">
        <f>_xlfn.XLOOKUP(A42,'[1]Days With Trades'!A:A,'[1]Days With Trades'!B:B)</f>
        <v>248</v>
      </c>
      <c r="T42" s="5">
        <f>_xlfn.XLOOKUP(A42,'[1]Days With Trades'!A:A,'[1]Days With Trades'!C:C)</f>
        <v>127</v>
      </c>
      <c r="U42" s="12">
        <f>_xlfn.XLOOKUP(A42,'[1]Value Traded'!A:A,'[1]Value Traded'!B:B)</f>
        <v>43027889.130000003</v>
      </c>
      <c r="V42" s="12">
        <f>_xlfn.XLOOKUP(A42,'[1]Value Traded'!A:A,'[1]Value Traded'!C:C)</f>
        <v>59293193.210000001</v>
      </c>
      <c r="W42" s="12">
        <f>_xlfn.XLOOKUP(A42,'[1]Value Traded'!A:A,'[1]Value Traded'!E:E)</f>
        <v>118893706.67</v>
      </c>
      <c r="X42" s="12">
        <f>_xlfn.XLOOKUP(A42,'[1]Value Traded'!A:A,'[1]Value Traded'!F:F)</f>
        <v>75865817.540000007</v>
      </c>
      <c r="Y42" s="12">
        <f>_xlfn.XLOOKUP(A42,'[1]Value Traded'!A:A,'[1]Value Traded'!G:G)</f>
        <v>114436530.97</v>
      </c>
      <c r="Z42" s="12">
        <f>_xlfn.XLOOKUP(A42,'[1]Value Traded'!A:A,'[1]Value Traded'!H:H)</f>
        <v>55143337.759999998</v>
      </c>
    </row>
    <row r="43" spans="1:26" x14ac:dyDescent="0.25">
      <c r="A43" s="13">
        <v>2014118</v>
      </c>
      <c r="B43" s="13" t="s">
        <v>218</v>
      </c>
      <c r="C43" s="13" t="s">
        <v>218</v>
      </c>
      <c r="D43" s="13" t="s">
        <v>219</v>
      </c>
      <c r="E43" s="13" t="s">
        <v>220</v>
      </c>
      <c r="F43" s="13" t="s">
        <v>32</v>
      </c>
      <c r="G43" s="13" t="s">
        <v>33</v>
      </c>
      <c r="H43" s="13" t="s">
        <v>34</v>
      </c>
      <c r="I43" s="13" t="s">
        <v>221</v>
      </c>
      <c r="J43" s="13" t="s">
        <v>36</v>
      </c>
      <c r="K43" s="13" t="s">
        <v>37</v>
      </c>
      <c r="L43" s="13" t="s">
        <v>50</v>
      </c>
      <c r="M43" s="14">
        <v>132548611</v>
      </c>
      <c r="N43" s="15">
        <v>476512256.55000001</v>
      </c>
      <c r="O43" s="11">
        <f>_xlfn.XLOOKUP(A43,[1]MIC!A:A,[1]MIC!C:C)</f>
        <v>45344</v>
      </c>
      <c r="P43" s="11">
        <f>_xlfn.XLOOKUP(A43,[1]MIC!A:A,[1]MIC!D:D)</f>
        <v>45709</v>
      </c>
      <c r="Q43" s="5">
        <f>_xlfn.XLOOKUP(A43,'[1]Days Listed'!A:A,'[1]Days Listed'!B:B)</f>
        <v>256</v>
      </c>
      <c r="R43" s="5">
        <f>_xlfn.XLOOKUP(A43,'[1]Days Listed'!A:A,'[1]Days Listed'!C:C)</f>
        <v>129</v>
      </c>
      <c r="S43" s="5">
        <f>_xlfn.XLOOKUP(A43,'[1]Days With Trades'!A:A,'[1]Days With Trades'!B:B)</f>
        <v>250</v>
      </c>
      <c r="T43" s="5">
        <f>_xlfn.XLOOKUP(A43,'[1]Days With Trades'!A:A,'[1]Days With Trades'!C:C)</f>
        <v>127</v>
      </c>
      <c r="U43" s="12">
        <f>_xlfn.XLOOKUP(A43,'[1]Value Traded'!A:A,'[1]Value Traded'!B:B)</f>
        <v>389590921.04000002</v>
      </c>
      <c r="V43" s="12">
        <f>_xlfn.XLOOKUP(A43,'[1]Value Traded'!A:A,'[1]Value Traded'!C:C)</f>
        <v>138935433.78</v>
      </c>
      <c r="W43" s="12">
        <f>_xlfn.XLOOKUP(A43,'[1]Value Traded'!A:A,'[1]Value Traded'!E:E)</f>
        <v>471787136.87</v>
      </c>
      <c r="X43" s="12">
        <f>_xlfn.XLOOKUP(A43,'[1]Value Traded'!A:A,'[1]Value Traded'!F:F)</f>
        <v>82196215.829999998</v>
      </c>
      <c r="Y43" s="12">
        <f>_xlfn.XLOOKUP(A43,'[1]Value Traded'!A:A,'[1]Value Traded'!G:G)</f>
        <v>167698431.53999999</v>
      </c>
      <c r="Z43" s="12">
        <f>_xlfn.XLOOKUP(A43,'[1]Value Traded'!A:A,'[1]Value Traded'!H:H)</f>
        <v>28762997.760000002</v>
      </c>
    </row>
    <row r="44" spans="1:26" x14ac:dyDescent="0.25">
      <c r="A44" s="8">
        <v>2014119</v>
      </c>
      <c r="B44" s="8" t="s">
        <v>222</v>
      </c>
      <c r="C44" s="8" t="s">
        <v>222</v>
      </c>
      <c r="D44" s="8" t="s">
        <v>223</v>
      </c>
      <c r="E44" s="8" t="s">
        <v>224</v>
      </c>
      <c r="F44" s="8" t="s">
        <v>32</v>
      </c>
      <c r="G44" s="8" t="s">
        <v>33</v>
      </c>
      <c r="H44" s="8" t="s">
        <v>225</v>
      </c>
      <c r="I44" s="8" t="s">
        <v>226</v>
      </c>
      <c r="J44" s="8" t="s">
        <v>36</v>
      </c>
      <c r="K44" s="8" t="s">
        <v>37</v>
      </c>
      <c r="L44" s="8" t="s">
        <v>217</v>
      </c>
      <c r="M44" s="9">
        <v>152994784</v>
      </c>
      <c r="N44" s="10">
        <v>77721350.269999996</v>
      </c>
      <c r="O44" s="11">
        <f>_xlfn.XLOOKUP(A44,[1]MIC!A:A,[1]MIC!C:C)</f>
        <v>45344</v>
      </c>
      <c r="P44" s="11">
        <f>_xlfn.XLOOKUP(A44,[1]MIC!A:A,[1]MIC!D:D)</f>
        <v>45709</v>
      </c>
      <c r="Q44" s="5">
        <f>_xlfn.XLOOKUP(A44,'[1]Days Listed'!A:A,'[1]Days Listed'!B:B)</f>
        <v>256</v>
      </c>
      <c r="R44" s="5">
        <f>_xlfn.XLOOKUP(A44,'[1]Days Listed'!A:A,'[1]Days Listed'!C:C)</f>
        <v>129</v>
      </c>
      <c r="S44" s="5">
        <f>_xlfn.XLOOKUP(A44,'[1]Days With Trades'!A:A,'[1]Days With Trades'!B:B)</f>
        <v>249</v>
      </c>
      <c r="T44" s="5">
        <f>_xlfn.XLOOKUP(A44,'[1]Days With Trades'!A:A,'[1]Days With Trades'!C:C)</f>
        <v>127</v>
      </c>
      <c r="U44" s="12">
        <f>_xlfn.XLOOKUP(A44,'[1]Value Traded'!A:A,'[1]Value Traded'!B:B)</f>
        <v>310491591.76999998</v>
      </c>
      <c r="V44" s="12">
        <f>_xlfn.XLOOKUP(A44,'[1]Value Traded'!A:A,'[1]Value Traded'!C:C)</f>
        <v>256286282.87</v>
      </c>
      <c r="W44" s="12">
        <f>_xlfn.XLOOKUP(A44,'[1]Value Traded'!A:A,'[1]Value Traded'!E:E)</f>
        <v>713546895.10000002</v>
      </c>
      <c r="X44" s="12">
        <f>_xlfn.XLOOKUP(A44,'[1]Value Traded'!A:A,'[1]Value Traded'!F:F)</f>
        <v>403055303.32999998</v>
      </c>
      <c r="Y44" s="12">
        <f>_xlfn.XLOOKUP(A44,'[1]Value Traded'!A:A,'[1]Value Traded'!G:G)</f>
        <v>510533843.33999997</v>
      </c>
      <c r="Z44" s="12">
        <f>_xlfn.XLOOKUP(A44,'[1]Value Traded'!A:A,'[1]Value Traded'!H:H)</f>
        <v>254247560.47</v>
      </c>
    </row>
    <row r="45" spans="1:26" x14ac:dyDescent="0.25">
      <c r="A45" s="13">
        <v>2014120</v>
      </c>
      <c r="B45" s="13" t="s">
        <v>227</v>
      </c>
      <c r="C45" s="13" t="s">
        <v>227</v>
      </c>
      <c r="D45" s="13" t="s">
        <v>228</v>
      </c>
      <c r="E45" s="13" t="s">
        <v>229</v>
      </c>
      <c r="F45" s="13" t="s">
        <v>32</v>
      </c>
      <c r="G45" s="13" t="s">
        <v>47</v>
      </c>
      <c r="H45" s="13" t="s">
        <v>48</v>
      </c>
      <c r="I45" s="13" t="s">
        <v>230</v>
      </c>
      <c r="J45" s="13" t="s">
        <v>36</v>
      </c>
      <c r="K45" s="13" t="s">
        <v>37</v>
      </c>
      <c r="L45" s="13" t="s">
        <v>231</v>
      </c>
      <c r="M45" s="14">
        <v>395081030</v>
      </c>
      <c r="N45" s="15">
        <v>1208947951.8</v>
      </c>
      <c r="O45" s="11">
        <f>_xlfn.XLOOKUP(A45,[1]MIC!A:A,[1]MIC!C:C)</f>
        <v>45344</v>
      </c>
      <c r="P45" s="11">
        <f>_xlfn.XLOOKUP(A45,[1]MIC!A:A,[1]MIC!D:D)</f>
        <v>45709</v>
      </c>
      <c r="Q45" s="5">
        <f>_xlfn.XLOOKUP(A45,'[1]Days Listed'!A:A,'[1]Days Listed'!B:B)</f>
        <v>256</v>
      </c>
      <c r="R45" s="5">
        <f>_xlfn.XLOOKUP(A45,'[1]Days Listed'!A:A,'[1]Days Listed'!C:C)</f>
        <v>129</v>
      </c>
      <c r="S45" s="5">
        <f>_xlfn.XLOOKUP(A45,'[1]Days With Trades'!A:A,'[1]Days With Trades'!B:B)</f>
        <v>250</v>
      </c>
      <c r="T45" s="5">
        <f>_xlfn.XLOOKUP(A45,'[1]Days With Trades'!A:A,'[1]Days With Trades'!C:C)</f>
        <v>127</v>
      </c>
      <c r="U45" s="12">
        <f>_xlfn.XLOOKUP(A45,'[1]Value Traded'!A:A,'[1]Value Traded'!B:B)</f>
        <v>38007202.670000002</v>
      </c>
      <c r="V45" s="12">
        <f>_xlfn.XLOOKUP(A45,'[1]Value Traded'!A:A,'[1]Value Traded'!C:C)</f>
        <v>25115307.399999999</v>
      </c>
      <c r="W45" s="12">
        <f>_xlfn.XLOOKUP(A45,'[1]Value Traded'!A:A,'[1]Value Traded'!E:E)</f>
        <v>53733335.780000001</v>
      </c>
      <c r="X45" s="12">
        <f>_xlfn.XLOOKUP(A45,'[1]Value Traded'!A:A,'[1]Value Traded'!F:F)</f>
        <v>15726133.109999999</v>
      </c>
      <c r="Y45" s="12">
        <f>_xlfn.XLOOKUP(A45,'[1]Value Traded'!A:A,'[1]Value Traded'!G:G)</f>
        <v>34754910.340000004</v>
      </c>
      <c r="Z45" s="12">
        <f>_xlfn.XLOOKUP(A45,'[1]Value Traded'!A:A,'[1]Value Traded'!H:H)</f>
        <v>9639602.9399999995</v>
      </c>
    </row>
    <row r="46" spans="1:26" x14ac:dyDescent="0.25">
      <c r="A46" s="8">
        <v>2014121</v>
      </c>
      <c r="B46" s="8" t="s">
        <v>232</v>
      </c>
      <c r="C46" s="8" t="s">
        <v>232</v>
      </c>
      <c r="D46" s="8" t="s">
        <v>233</v>
      </c>
      <c r="E46" s="8" t="s">
        <v>234</v>
      </c>
      <c r="F46" s="8" t="s">
        <v>32</v>
      </c>
      <c r="G46" s="8" t="s">
        <v>47</v>
      </c>
      <c r="H46" s="8" t="s">
        <v>48</v>
      </c>
      <c r="I46" s="8" t="s">
        <v>235</v>
      </c>
      <c r="J46" s="8" t="s">
        <v>36</v>
      </c>
      <c r="K46" s="8" t="s">
        <v>37</v>
      </c>
      <c r="L46" s="8" t="s">
        <v>50</v>
      </c>
      <c r="M46" s="9">
        <v>484878423</v>
      </c>
      <c r="N46" s="10">
        <v>591551676.05999994</v>
      </c>
      <c r="O46" s="11">
        <f>_xlfn.XLOOKUP(A46,[1]MIC!A:A,[1]MIC!C:C)</f>
        <v>45344</v>
      </c>
      <c r="P46" s="11">
        <f>_xlfn.XLOOKUP(A46,[1]MIC!A:A,[1]MIC!D:D)</f>
        <v>45709</v>
      </c>
      <c r="Q46" s="5">
        <f>_xlfn.XLOOKUP(A46,'[1]Days Listed'!A:A,'[1]Days Listed'!B:B)</f>
        <v>256</v>
      </c>
      <c r="R46" s="5">
        <f>_xlfn.XLOOKUP(A46,'[1]Days Listed'!A:A,'[1]Days Listed'!C:C)</f>
        <v>129</v>
      </c>
      <c r="S46" s="5">
        <f>_xlfn.XLOOKUP(A46,'[1]Days With Trades'!A:A,'[1]Days With Trades'!B:B)</f>
        <v>250</v>
      </c>
      <c r="T46" s="5">
        <f>_xlfn.XLOOKUP(A46,'[1]Days With Trades'!A:A,'[1]Days With Trades'!C:C)</f>
        <v>127</v>
      </c>
      <c r="U46" s="12">
        <f>_xlfn.XLOOKUP(A46,'[1]Value Traded'!A:A,'[1]Value Traded'!B:B)</f>
        <v>177258278.24000001</v>
      </c>
      <c r="V46" s="12">
        <f>_xlfn.XLOOKUP(A46,'[1]Value Traded'!A:A,'[1]Value Traded'!C:C)</f>
        <v>98746489.290000007</v>
      </c>
      <c r="W46" s="12">
        <f>_xlfn.XLOOKUP(A46,'[1]Value Traded'!A:A,'[1]Value Traded'!E:E)</f>
        <v>234991061.18000001</v>
      </c>
      <c r="X46" s="12">
        <f>_xlfn.XLOOKUP(A46,'[1]Value Traded'!A:A,'[1]Value Traded'!F:F)</f>
        <v>57732782.939999998</v>
      </c>
      <c r="Y46" s="12">
        <f>_xlfn.XLOOKUP(A46,'[1]Value Traded'!A:A,'[1]Value Traded'!G:G)</f>
        <v>137592925.34999999</v>
      </c>
      <c r="Z46" s="12">
        <f>_xlfn.XLOOKUP(A46,'[1]Value Traded'!A:A,'[1]Value Traded'!H:H)</f>
        <v>38846436.060000002</v>
      </c>
    </row>
    <row r="47" spans="1:26" x14ac:dyDescent="0.25">
      <c r="A47" s="13">
        <v>2014122</v>
      </c>
      <c r="B47" s="13" t="s">
        <v>236</v>
      </c>
      <c r="C47" s="13" t="s">
        <v>236</v>
      </c>
      <c r="D47" s="13" t="s">
        <v>237</v>
      </c>
      <c r="E47" s="13" t="s">
        <v>238</v>
      </c>
      <c r="F47" s="13" t="s">
        <v>32</v>
      </c>
      <c r="G47" s="13" t="s">
        <v>33</v>
      </c>
      <c r="H47" s="13" t="s">
        <v>34</v>
      </c>
      <c r="I47" s="13" t="s">
        <v>239</v>
      </c>
      <c r="J47" s="13" t="s">
        <v>36</v>
      </c>
      <c r="K47" s="13" t="s">
        <v>37</v>
      </c>
      <c r="L47" s="13" t="s">
        <v>160</v>
      </c>
      <c r="M47" s="14">
        <v>119047065</v>
      </c>
      <c r="N47" s="15">
        <v>333331782</v>
      </c>
      <c r="O47" s="11">
        <f>_xlfn.XLOOKUP(A47,[1]MIC!A:A,[1]MIC!C:C)</f>
        <v>45344</v>
      </c>
      <c r="P47" s="11">
        <f>_xlfn.XLOOKUP(A47,[1]MIC!A:A,[1]MIC!D:D)</f>
        <v>45709</v>
      </c>
      <c r="Q47" s="5">
        <f>_xlfn.XLOOKUP(A47,'[1]Days Listed'!A:A,'[1]Days Listed'!B:B)</f>
        <v>256</v>
      </c>
      <c r="R47" s="5">
        <f>_xlfn.XLOOKUP(A47,'[1]Days Listed'!A:A,'[1]Days Listed'!C:C)</f>
        <v>129</v>
      </c>
      <c r="S47" s="5">
        <f>_xlfn.XLOOKUP(A47,'[1]Days With Trades'!A:A,'[1]Days With Trades'!B:B)</f>
        <v>250</v>
      </c>
      <c r="T47" s="5">
        <f>_xlfn.XLOOKUP(A47,'[1]Days With Trades'!A:A,'[1]Days With Trades'!C:C)</f>
        <v>127</v>
      </c>
      <c r="U47" s="12">
        <f>_xlfn.XLOOKUP(A47,'[1]Value Traded'!A:A,'[1]Value Traded'!B:B)</f>
        <v>85130362.400000006</v>
      </c>
      <c r="V47" s="12">
        <f>_xlfn.XLOOKUP(A47,'[1]Value Traded'!A:A,'[1]Value Traded'!C:C)</f>
        <v>42418295.609999999</v>
      </c>
      <c r="W47" s="12">
        <f>_xlfn.XLOOKUP(A47,'[1]Value Traded'!A:A,'[1]Value Traded'!E:E)</f>
        <v>116882032.47</v>
      </c>
      <c r="X47" s="12">
        <f>_xlfn.XLOOKUP(A47,'[1]Value Traded'!A:A,'[1]Value Traded'!F:F)</f>
        <v>31751670.07</v>
      </c>
      <c r="Y47" s="12">
        <f>_xlfn.XLOOKUP(A47,'[1]Value Traded'!A:A,'[1]Value Traded'!G:G)</f>
        <v>56488868.189999998</v>
      </c>
      <c r="Z47" s="12">
        <f>_xlfn.XLOOKUP(A47,'[1]Value Traded'!A:A,'[1]Value Traded'!H:H)</f>
        <v>14070572.58</v>
      </c>
    </row>
    <row r="48" spans="1:26" x14ac:dyDescent="0.25">
      <c r="A48" s="8">
        <v>2014123</v>
      </c>
      <c r="B48" s="8" t="s">
        <v>240</v>
      </c>
      <c r="C48" s="8" t="s">
        <v>240</v>
      </c>
      <c r="D48" s="8" t="s">
        <v>241</v>
      </c>
      <c r="E48" s="8" t="s">
        <v>242</v>
      </c>
      <c r="F48" s="8" t="s">
        <v>32</v>
      </c>
      <c r="G48" s="8" t="s">
        <v>33</v>
      </c>
      <c r="H48" s="8" t="s">
        <v>34</v>
      </c>
      <c r="I48" s="8" t="s">
        <v>243</v>
      </c>
      <c r="J48" s="8" t="s">
        <v>36</v>
      </c>
      <c r="K48" s="8" t="s">
        <v>37</v>
      </c>
      <c r="L48" s="8" t="s">
        <v>50</v>
      </c>
      <c r="M48" s="9">
        <v>12574766</v>
      </c>
      <c r="N48" s="10">
        <v>126376398.3</v>
      </c>
      <c r="O48" s="11">
        <f>_xlfn.XLOOKUP(A48,[1]MIC!A:A,[1]MIC!C:C)</f>
        <v>45344</v>
      </c>
      <c r="P48" s="11">
        <f>_xlfn.XLOOKUP(A48,[1]MIC!A:A,[1]MIC!D:D)</f>
        <v>45709</v>
      </c>
      <c r="Q48" s="5">
        <f>_xlfn.XLOOKUP(A48,'[1]Days Listed'!A:A,'[1]Days Listed'!B:B)</f>
        <v>256</v>
      </c>
      <c r="R48" s="5">
        <f>_xlfn.XLOOKUP(A48,'[1]Days Listed'!A:A,'[1]Days Listed'!C:C)</f>
        <v>129</v>
      </c>
      <c r="S48" s="5">
        <f>_xlfn.XLOOKUP(A48,'[1]Days With Trades'!A:A,'[1]Days With Trades'!B:B)</f>
        <v>248</v>
      </c>
      <c r="T48" s="5">
        <f>_xlfn.XLOOKUP(A48,'[1]Days With Trades'!A:A,'[1]Days With Trades'!C:C)</f>
        <v>126</v>
      </c>
      <c r="U48" s="12">
        <f>_xlfn.XLOOKUP(A48,'[1]Value Traded'!A:A,'[1]Value Traded'!B:B)</f>
        <v>124758013.45</v>
      </c>
      <c r="V48" s="12">
        <f>_xlfn.XLOOKUP(A48,'[1]Value Traded'!A:A,'[1]Value Traded'!C:C)</f>
        <v>86337377.049999997</v>
      </c>
      <c r="W48" s="12">
        <f>_xlfn.XLOOKUP(A48,'[1]Value Traded'!A:A,'[1]Value Traded'!E:E)</f>
        <v>226269872.25</v>
      </c>
      <c r="X48" s="12">
        <f>_xlfn.XLOOKUP(A48,'[1]Value Traded'!A:A,'[1]Value Traded'!F:F)</f>
        <v>101511858.8</v>
      </c>
      <c r="Y48" s="12">
        <f>_xlfn.XLOOKUP(A48,'[1]Value Traded'!A:A,'[1]Value Traded'!G:G)</f>
        <v>128385230.05</v>
      </c>
      <c r="Z48" s="12">
        <f>_xlfn.XLOOKUP(A48,'[1]Value Traded'!A:A,'[1]Value Traded'!H:H)</f>
        <v>42047853</v>
      </c>
    </row>
    <row r="49" spans="1:26" x14ac:dyDescent="0.25">
      <c r="A49" s="13">
        <v>2014124</v>
      </c>
      <c r="B49" s="13" t="s">
        <v>244</v>
      </c>
      <c r="C49" s="13" t="s">
        <v>244</v>
      </c>
      <c r="D49" s="13" t="s">
        <v>245</v>
      </c>
      <c r="E49" s="13" t="s">
        <v>246</v>
      </c>
      <c r="F49" s="13" t="s">
        <v>32</v>
      </c>
      <c r="G49" s="13" t="s">
        <v>47</v>
      </c>
      <c r="H49" s="13" t="s">
        <v>48</v>
      </c>
      <c r="I49" s="13" t="s">
        <v>247</v>
      </c>
      <c r="J49" s="13" t="s">
        <v>36</v>
      </c>
      <c r="K49" s="13" t="s">
        <v>37</v>
      </c>
      <c r="L49" s="13" t="s">
        <v>248</v>
      </c>
      <c r="M49" s="14">
        <v>108411533</v>
      </c>
      <c r="N49" s="15">
        <v>2450100645.8000002</v>
      </c>
      <c r="O49" s="11">
        <f>_xlfn.XLOOKUP(A49,[1]MIC!A:A,[1]MIC!C:C)</f>
        <v>45344</v>
      </c>
      <c r="P49" s="11">
        <f>_xlfn.XLOOKUP(A49,[1]MIC!A:A,[1]MIC!D:D)</f>
        <v>45621</v>
      </c>
      <c r="Q49" s="5">
        <f>_xlfn.XLOOKUP(A49,'[1]Days Listed'!A:A,'[1]Days Listed'!B:B)</f>
        <v>256</v>
      </c>
      <c r="R49" s="5">
        <f>_xlfn.XLOOKUP(A49,'[1]Days Listed'!A:A,'[1]Days Listed'!C:C)</f>
        <v>129</v>
      </c>
      <c r="S49" s="5">
        <f>_xlfn.XLOOKUP(A49,'[1]Days With Trades'!A:A,'[1]Days With Trades'!B:B)</f>
        <v>250</v>
      </c>
      <c r="T49" s="5">
        <f>_xlfn.XLOOKUP(A49,'[1]Days With Trades'!A:A,'[1]Days With Trades'!C:C)</f>
        <v>127</v>
      </c>
      <c r="U49" s="12">
        <f>_xlfn.XLOOKUP(A49,'[1]Value Traded'!A:A,'[1]Value Traded'!B:B)</f>
        <v>2097293801.1500001</v>
      </c>
      <c r="V49" s="12">
        <f>_xlfn.XLOOKUP(A49,'[1]Value Traded'!A:A,'[1]Value Traded'!C:C)</f>
        <v>1180717524.96</v>
      </c>
      <c r="W49" s="12">
        <f>_xlfn.XLOOKUP(A49,'[1]Value Traded'!A:A,'[1]Value Traded'!E:E)</f>
        <v>2533192684.75</v>
      </c>
      <c r="X49" s="12">
        <f>_xlfn.XLOOKUP(A49,'[1]Value Traded'!A:A,'[1]Value Traded'!F:F)</f>
        <v>435898883.60000002</v>
      </c>
      <c r="Y49" s="12">
        <f>_xlfn.XLOOKUP(A49,'[1]Value Traded'!A:A,'[1]Value Traded'!G:G)</f>
        <v>1397321778.1900001</v>
      </c>
      <c r="Z49" s="12">
        <f>_xlfn.XLOOKUP(A49,'[1]Value Traded'!A:A,'[1]Value Traded'!H:H)</f>
        <v>216604253.22999999</v>
      </c>
    </row>
    <row r="50" spans="1:26" x14ac:dyDescent="0.25">
      <c r="A50" s="8">
        <v>2014125</v>
      </c>
      <c r="B50" s="8" t="s">
        <v>249</v>
      </c>
      <c r="C50" s="8" t="s">
        <v>249</v>
      </c>
      <c r="D50" s="8" t="s">
        <v>250</v>
      </c>
      <c r="E50" s="8" t="s">
        <v>251</v>
      </c>
      <c r="F50" s="8" t="s">
        <v>32</v>
      </c>
      <c r="G50" s="8" t="s">
        <v>33</v>
      </c>
      <c r="H50" s="8" t="s">
        <v>34</v>
      </c>
      <c r="I50" s="8" t="s">
        <v>252</v>
      </c>
      <c r="J50" s="8" t="s">
        <v>36</v>
      </c>
      <c r="K50" s="8" t="s">
        <v>37</v>
      </c>
      <c r="L50" s="8" t="s">
        <v>253</v>
      </c>
      <c r="M50" s="9">
        <v>108852742</v>
      </c>
      <c r="N50" s="10">
        <v>224236648.52000001</v>
      </c>
      <c r="O50" s="11">
        <f>_xlfn.XLOOKUP(A50,[1]MIC!A:A,[1]MIC!C:C)</f>
        <v>45344</v>
      </c>
      <c r="P50" s="11">
        <f>_xlfn.XLOOKUP(A50,[1]MIC!A:A,[1]MIC!D:D)</f>
        <v>45709</v>
      </c>
      <c r="Q50" s="5">
        <f>_xlfn.XLOOKUP(A50,'[1]Days Listed'!A:A,'[1]Days Listed'!B:B)</f>
        <v>256</v>
      </c>
      <c r="R50" s="5">
        <f>_xlfn.XLOOKUP(A50,'[1]Days Listed'!A:A,'[1]Days Listed'!C:C)</f>
        <v>129</v>
      </c>
      <c r="S50" s="5">
        <f>_xlfn.XLOOKUP(A50,'[1]Days With Trades'!A:A,'[1]Days With Trades'!B:B)</f>
        <v>250</v>
      </c>
      <c r="T50" s="5">
        <f>_xlfn.XLOOKUP(A50,'[1]Days With Trades'!A:A,'[1]Days With Trades'!C:C)</f>
        <v>127</v>
      </c>
      <c r="U50" s="12">
        <f>_xlfn.XLOOKUP(A50,'[1]Value Traded'!A:A,'[1]Value Traded'!B:B)</f>
        <v>94735062.159999996</v>
      </c>
      <c r="V50" s="12">
        <f>_xlfn.XLOOKUP(A50,'[1]Value Traded'!A:A,'[1]Value Traded'!C:C)</f>
        <v>44771632.189999998</v>
      </c>
      <c r="W50" s="12">
        <f>_xlfn.XLOOKUP(A50,'[1]Value Traded'!A:A,'[1]Value Traded'!E:E)</f>
        <v>127777176.16</v>
      </c>
      <c r="X50" s="12">
        <f>_xlfn.XLOOKUP(A50,'[1]Value Traded'!A:A,'[1]Value Traded'!F:F)</f>
        <v>33042114</v>
      </c>
      <c r="Y50" s="12">
        <f>_xlfn.XLOOKUP(A50,'[1]Value Traded'!A:A,'[1]Value Traded'!G:G)</f>
        <v>58100016.649999999</v>
      </c>
      <c r="Z50" s="12">
        <f>_xlfn.XLOOKUP(A50,'[1]Value Traded'!A:A,'[1]Value Traded'!H:H)</f>
        <v>13328384.460000001</v>
      </c>
    </row>
    <row r="51" spans="1:26" x14ac:dyDescent="0.25">
      <c r="A51" s="13">
        <v>2014127</v>
      </c>
      <c r="B51" s="13" t="s">
        <v>254</v>
      </c>
      <c r="C51" s="13" t="s">
        <v>254</v>
      </c>
      <c r="D51" s="13" t="s">
        <v>255</v>
      </c>
      <c r="E51" s="13" t="s">
        <v>256</v>
      </c>
      <c r="F51" s="13" t="s">
        <v>32</v>
      </c>
      <c r="G51" s="13" t="s">
        <v>33</v>
      </c>
      <c r="H51" s="13" t="s">
        <v>34</v>
      </c>
      <c r="I51" s="13" t="s">
        <v>257</v>
      </c>
      <c r="J51" s="13" t="s">
        <v>36</v>
      </c>
      <c r="K51" s="13" t="s">
        <v>37</v>
      </c>
      <c r="L51" s="13" t="s">
        <v>258</v>
      </c>
      <c r="M51" s="14">
        <v>268378600</v>
      </c>
      <c r="N51" s="15">
        <v>295216460</v>
      </c>
      <c r="O51" s="11">
        <f>_xlfn.XLOOKUP(A51,[1]MIC!A:A,[1]MIC!C:C)</f>
        <v>45344</v>
      </c>
      <c r="P51" s="11">
        <f>_xlfn.XLOOKUP(A51,[1]MIC!A:A,[1]MIC!D:D)</f>
        <v>45709</v>
      </c>
      <c r="Q51" s="5">
        <f>_xlfn.XLOOKUP(A51,'[1]Days Listed'!A:A,'[1]Days Listed'!B:B)</f>
        <v>256</v>
      </c>
      <c r="R51" s="5">
        <f>_xlfn.XLOOKUP(A51,'[1]Days Listed'!A:A,'[1]Days Listed'!C:C)</f>
        <v>129</v>
      </c>
      <c r="S51" s="5">
        <f>_xlfn.XLOOKUP(A51,'[1]Days With Trades'!A:A,'[1]Days With Trades'!B:B)</f>
        <v>250</v>
      </c>
      <c r="T51" s="5">
        <f>_xlfn.XLOOKUP(A51,'[1]Days With Trades'!A:A,'[1]Days With Trades'!C:C)</f>
        <v>127</v>
      </c>
      <c r="U51" s="12">
        <f>_xlfn.XLOOKUP(A51,'[1]Value Traded'!A:A,'[1]Value Traded'!B:B)</f>
        <v>41681201.880000003</v>
      </c>
      <c r="V51" s="12">
        <f>_xlfn.XLOOKUP(A51,'[1]Value Traded'!A:A,'[1]Value Traded'!C:C)</f>
        <v>18425605.100000001</v>
      </c>
      <c r="W51" s="12">
        <f>_xlfn.XLOOKUP(A51,'[1]Value Traded'!A:A,'[1]Value Traded'!E:E)</f>
        <v>55793625.100000001</v>
      </c>
      <c r="X51" s="12">
        <f>_xlfn.XLOOKUP(A51,'[1]Value Traded'!A:A,'[1]Value Traded'!F:F)</f>
        <v>14112423.220000001</v>
      </c>
      <c r="Y51" s="12">
        <f>_xlfn.XLOOKUP(A51,'[1]Value Traded'!A:A,'[1]Value Traded'!G:G)</f>
        <v>22484991.510000002</v>
      </c>
      <c r="Z51" s="12">
        <f>_xlfn.XLOOKUP(A51,'[1]Value Traded'!A:A,'[1]Value Traded'!H:H)</f>
        <v>4059386.41</v>
      </c>
    </row>
    <row r="52" spans="1:26" x14ac:dyDescent="0.25">
      <c r="A52" s="8">
        <v>2014128</v>
      </c>
      <c r="B52" s="8" t="s">
        <v>259</v>
      </c>
      <c r="C52" s="8" t="s">
        <v>259</v>
      </c>
      <c r="D52" s="8" t="s">
        <v>260</v>
      </c>
      <c r="E52" s="8" t="s">
        <v>261</v>
      </c>
      <c r="F52" s="8" t="s">
        <v>32</v>
      </c>
      <c r="G52" s="8" t="s">
        <v>47</v>
      </c>
      <c r="H52" s="8" t="s">
        <v>48</v>
      </c>
      <c r="I52" s="8" t="s">
        <v>262</v>
      </c>
      <c r="J52" s="8" t="s">
        <v>36</v>
      </c>
      <c r="K52" s="8" t="s">
        <v>37</v>
      </c>
      <c r="L52" s="8" t="s">
        <v>50</v>
      </c>
      <c r="M52" s="9">
        <v>22870906</v>
      </c>
      <c r="N52" s="10">
        <v>3002949957.8000002</v>
      </c>
      <c r="O52" s="11">
        <f>_xlfn.XLOOKUP(A52,[1]MIC!A:A,[1]MIC!C:C)</f>
        <v>45344</v>
      </c>
      <c r="P52" s="11">
        <f>_xlfn.XLOOKUP(A52,[1]MIC!A:A,[1]MIC!D:D)</f>
        <v>45709</v>
      </c>
      <c r="Q52" s="5">
        <f>_xlfn.XLOOKUP(A52,'[1]Days Listed'!A:A,'[1]Days Listed'!B:B)</f>
        <v>256</v>
      </c>
      <c r="R52" s="5">
        <f>_xlfn.XLOOKUP(A52,'[1]Days Listed'!A:A,'[1]Days Listed'!C:C)</f>
        <v>129</v>
      </c>
      <c r="S52" s="5">
        <f>_xlfn.XLOOKUP(A52,'[1]Days With Trades'!A:A,'[1]Days With Trades'!B:B)</f>
        <v>250</v>
      </c>
      <c r="T52" s="5">
        <f>_xlfn.XLOOKUP(A52,'[1]Days With Trades'!A:A,'[1]Days With Trades'!C:C)</f>
        <v>127</v>
      </c>
      <c r="U52" s="12">
        <f>_xlfn.XLOOKUP(A52,'[1]Value Traded'!A:A,'[1]Value Traded'!B:B)</f>
        <v>2721191045.5500002</v>
      </c>
      <c r="V52" s="12">
        <f>_xlfn.XLOOKUP(A52,'[1]Value Traded'!A:A,'[1]Value Traded'!C:C)</f>
        <v>1312905566.25</v>
      </c>
      <c r="W52" s="12">
        <f>_xlfn.XLOOKUP(A52,'[1]Value Traded'!A:A,'[1]Value Traded'!E:E)</f>
        <v>3165216326.9499998</v>
      </c>
      <c r="X52" s="12">
        <f>_xlfn.XLOOKUP(A52,'[1]Value Traded'!A:A,'[1]Value Traded'!F:F)</f>
        <v>444025281.39999998</v>
      </c>
      <c r="Y52" s="12">
        <f>_xlfn.XLOOKUP(A52,'[1]Value Traded'!A:A,'[1]Value Traded'!G:G)</f>
        <v>1483099639.5</v>
      </c>
      <c r="Z52" s="12">
        <f>_xlfn.XLOOKUP(A52,'[1]Value Traded'!A:A,'[1]Value Traded'!H:H)</f>
        <v>170194073.25</v>
      </c>
    </row>
    <row r="53" spans="1:26" x14ac:dyDescent="0.25">
      <c r="A53" s="13">
        <v>2014129</v>
      </c>
      <c r="B53" s="13" t="s">
        <v>263</v>
      </c>
      <c r="C53" s="13" t="s">
        <v>263</v>
      </c>
      <c r="D53" s="13" t="s">
        <v>264</v>
      </c>
      <c r="E53" s="13" t="s">
        <v>265</v>
      </c>
      <c r="F53" s="13" t="s">
        <v>32</v>
      </c>
      <c r="G53" s="13" t="s">
        <v>33</v>
      </c>
      <c r="H53" s="13" t="s">
        <v>34</v>
      </c>
      <c r="I53" s="13" t="s">
        <v>266</v>
      </c>
      <c r="J53" s="13" t="s">
        <v>36</v>
      </c>
      <c r="K53" s="13" t="s">
        <v>37</v>
      </c>
      <c r="L53" s="13" t="s">
        <v>97</v>
      </c>
      <c r="M53" s="14">
        <v>41367782</v>
      </c>
      <c r="N53" s="15">
        <v>106728877.56</v>
      </c>
      <c r="O53" s="11">
        <f>_xlfn.XLOOKUP(A53,[1]MIC!A:A,[1]MIC!C:C)</f>
        <v>45344</v>
      </c>
      <c r="P53" s="11">
        <f>_xlfn.XLOOKUP(A53,[1]MIC!A:A,[1]MIC!D:D)</f>
        <v>45709</v>
      </c>
      <c r="Q53" s="5">
        <f>_xlfn.XLOOKUP(A53,'[1]Days Listed'!A:A,'[1]Days Listed'!B:B)</f>
        <v>256</v>
      </c>
      <c r="R53" s="5">
        <f>_xlfn.XLOOKUP(A53,'[1]Days Listed'!A:A,'[1]Days Listed'!C:C)</f>
        <v>129</v>
      </c>
      <c r="S53" s="5">
        <f>_xlfn.XLOOKUP(A53,'[1]Days With Trades'!A:A,'[1]Days With Trades'!B:B)</f>
        <v>218</v>
      </c>
      <c r="T53" s="5">
        <f>_xlfn.XLOOKUP(A53,'[1]Days With Trades'!A:A,'[1]Days With Trades'!C:C)</f>
        <v>107</v>
      </c>
      <c r="U53" s="12">
        <f>_xlfn.XLOOKUP(A53,'[1]Value Traded'!A:A,'[1]Value Traded'!B:B)</f>
        <v>2701704.87</v>
      </c>
      <c r="V53" s="12">
        <f>_xlfn.XLOOKUP(A53,'[1]Value Traded'!A:A,'[1]Value Traded'!C:C)</f>
        <v>989420.08</v>
      </c>
      <c r="W53" s="12">
        <f>_xlfn.XLOOKUP(A53,'[1]Value Traded'!A:A,'[1]Value Traded'!E:E)</f>
        <v>4763398.99</v>
      </c>
      <c r="X53" s="12">
        <f>_xlfn.XLOOKUP(A53,'[1]Value Traded'!A:A,'[1]Value Traded'!F:F)</f>
        <v>2061694.12</v>
      </c>
      <c r="Y53" s="12">
        <f>_xlfn.XLOOKUP(A53,'[1]Value Traded'!A:A,'[1]Value Traded'!G:G)</f>
        <v>1970176.06</v>
      </c>
      <c r="Z53" s="12">
        <f>_xlfn.XLOOKUP(A53,'[1]Value Traded'!A:A,'[1]Value Traded'!H:H)</f>
        <v>980755.98</v>
      </c>
    </row>
    <row r="54" spans="1:26" x14ac:dyDescent="0.25">
      <c r="A54" s="8">
        <v>2014131</v>
      </c>
      <c r="B54" s="8" t="s">
        <v>267</v>
      </c>
      <c r="C54" s="8" t="s">
        <v>267</v>
      </c>
      <c r="D54" s="8" t="s">
        <v>268</v>
      </c>
      <c r="E54" s="8" t="s">
        <v>269</v>
      </c>
      <c r="F54" s="8" t="s">
        <v>32</v>
      </c>
      <c r="G54" s="8" t="s">
        <v>47</v>
      </c>
      <c r="H54" s="8" t="s">
        <v>48</v>
      </c>
      <c r="I54" s="8" t="s">
        <v>270</v>
      </c>
      <c r="J54" s="8" t="s">
        <v>36</v>
      </c>
      <c r="K54" s="8" t="s">
        <v>37</v>
      </c>
      <c r="L54" s="8" t="s">
        <v>271</v>
      </c>
      <c r="M54" s="9">
        <v>63750027</v>
      </c>
      <c r="N54" s="10">
        <v>7509753180.6000004</v>
      </c>
      <c r="O54" s="11">
        <f>_xlfn.XLOOKUP(A54,[1]MIC!A:A,[1]MIC!C:C)</f>
        <v>45344</v>
      </c>
      <c r="P54" s="11">
        <f>_xlfn.XLOOKUP(A54,[1]MIC!A:A,[1]MIC!D:D)</f>
        <v>45709</v>
      </c>
      <c r="Q54" s="5">
        <f>_xlfn.XLOOKUP(A54,'[1]Days Listed'!A:A,'[1]Days Listed'!B:B)</f>
        <v>256</v>
      </c>
      <c r="R54" s="5">
        <f>_xlfn.XLOOKUP(A54,'[1]Days Listed'!A:A,'[1]Days Listed'!C:C)</f>
        <v>129</v>
      </c>
      <c r="S54" s="5">
        <f>_xlfn.XLOOKUP(A54,'[1]Days With Trades'!A:A,'[1]Days With Trades'!B:B)</f>
        <v>250</v>
      </c>
      <c r="T54" s="5">
        <f>_xlfn.XLOOKUP(A54,'[1]Days With Trades'!A:A,'[1]Days With Trades'!C:C)</f>
        <v>127</v>
      </c>
      <c r="U54" s="12">
        <f>_xlfn.XLOOKUP(A54,'[1]Value Traded'!A:A,'[1]Value Traded'!B:B)</f>
        <v>1132389061.75</v>
      </c>
      <c r="V54" s="12">
        <f>_xlfn.XLOOKUP(A54,'[1]Value Traded'!A:A,'[1]Value Traded'!C:C)</f>
        <v>573474559.39999998</v>
      </c>
      <c r="W54" s="12">
        <f>_xlfn.XLOOKUP(A54,'[1]Value Traded'!A:A,'[1]Value Traded'!E:E)</f>
        <v>1450664653.8499999</v>
      </c>
      <c r="X54" s="12">
        <f>_xlfn.XLOOKUP(A54,'[1]Value Traded'!A:A,'[1]Value Traded'!F:F)</f>
        <v>318275592.10000002</v>
      </c>
      <c r="Y54" s="12">
        <f>_xlfn.XLOOKUP(A54,'[1]Value Traded'!A:A,'[1]Value Traded'!G:G)</f>
        <v>698144593.29999995</v>
      </c>
      <c r="Z54" s="12">
        <f>_xlfn.XLOOKUP(A54,'[1]Value Traded'!A:A,'[1]Value Traded'!H:H)</f>
        <v>124670033.90000001</v>
      </c>
    </row>
    <row r="55" spans="1:26" x14ac:dyDescent="0.25">
      <c r="A55" s="13">
        <v>2014132</v>
      </c>
      <c r="B55" s="13" t="s">
        <v>272</v>
      </c>
      <c r="C55" s="13" t="s">
        <v>272</v>
      </c>
      <c r="D55" s="13" t="s">
        <v>273</v>
      </c>
      <c r="E55" s="13" t="s">
        <v>274</v>
      </c>
      <c r="F55" s="13" t="s">
        <v>32</v>
      </c>
      <c r="G55" s="13" t="s">
        <v>47</v>
      </c>
      <c r="H55" s="13" t="s">
        <v>48</v>
      </c>
      <c r="I55" s="13" t="s">
        <v>275</v>
      </c>
      <c r="J55" s="13" t="s">
        <v>36</v>
      </c>
      <c r="K55" s="13" t="s">
        <v>37</v>
      </c>
      <c r="L55" s="13" t="s">
        <v>116</v>
      </c>
      <c r="M55" s="14">
        <v>34406061</v>
      </c>
      <c r="N55" s="15">
        <v>77929728.170000002</v>
      </c>
      <c r="O55" s="11">
        <f>_xlfn.XLOOKUP(A55,[1]MIC!A:A,[1]MIC!C:C)</f>
        <v>45344</v>
      </c>
      <c r="P55" s="11">
        <f>_xlfn.XLOOKUP(A55,[1]MIC!A:A,[1]MIC!D:D)</f>
        <v>45709</v>
      </c>
      <c r="Q55" s="5">
        <f>_xlfn.XLOOKUP(A55,'[1]Days Listed'!A:A,'[1]Days Listed'!B:B)</f>
        <v>256</v>
      </c>
      <c r="R55" s="5">
        <f>_xlfn.XLOOKUP(A55,'[1]Days Listed'!A:A,'[1]Days Listed'!C:C)</f>
        <v>129</v>
      </c>
      <c r="S55" s="5">
        <f>_xlfn.XLOOKUP(A55,'[1]Days With Trades'!A:A,'[1]Days With Trades'!B:B)</f>
        <v>250</v>
      </c>
      <c r="T55" s="5">
        <f>_xlfn.XLOOKUP(A55,'[1]Days With Trades'!A:A,'[1]Days With Trades'!C:C)</f>
        <v>127</v>
      </c>
      <c r="U55" s="12">
        <f>_xlfn.XLOOKUP(A55,'[1]Value Traded'!A:A,'[1]Value Traded'!B:B)</f>
        <v>682193811.42999995</v>
      </c>
      <c r="V55" s="12">
        <f>_xlfn.XLOOKUP(A55,'[1]Value Traded'!A:A,'[1]Value Traded'!C:C)</f>
        <v>75657069.060000002</v>
      </c>
      <c r="W55" s="12">
        <f>_xlfn.XLOOKUP(A55,'[1]Value Traded'!A:A,'[1]Value Traded'!E:E)</f>
        <v>1429113828.4300001</v>
      </c>
      <c r="X55" s="12">
        <f>_xlfn.XLOOKUP(A55,'[1]Value Traded'!A:A,'[1]Value Traded'!F:F)</f>
        <v>746920017</v>
      </c>
      <c r="Y55" s="12">
        <f>_xlfn.XLOOKUP(A55,'[1]Value Traded'!A:A,'[1]Value Traded'!G:G)</f>
        <v>110645796.94</v>
      </c>
      <c r="Z55" s="12">
        <f>_xlfn.XLOOKUP(A55,'[1]Value Traded'!A:A,'[1]Value Traded'!H:H)</f>
        <v>34988727.880000003</v>
      </c>
    </row>
    <row r="56" spans="1:26" x14ac:dyDescent="0.25">
      <c r="A56" s="8">
        <v>2014133</v>
      </c>
      <c r="B56" s="8" t="s">
        <v>276</v>
      </c>
      <c r="C56" s="8" t="s">
        <v>276</v>
      </c>
      <c r="D56" s="8" t="s">
        <v>277</v>
      </c>
      <c r="E56" s="8" t="s">
        <v>278</v>
      </c>
      <c r="F56" s="8" t="s">
        <v>32</v>
      </c>
      <c r="G56" s="8" t="s">
        <v>47</v>
      </c>
      <c r="H56" s="8" t="s">
        <v>48</v>
      </c>
      <c r="I56" s="8" t="s">
        <v>279</v>
      </c>
      <c r="J56" s="8" t="s">
        <v>36</v>
      </c>
      <c r="K56" s="8" t="s">
        <v>37</v>
      </c>
      <c r="L56" s="8" t="s">
        <v>160</v>
      </c>
      <c r="M56" s="9">
        <v>103910350</v>
      </c>
      <c r="N56" s="10">
        <v>1968062029</v>
      </c>
      <c r="O56" s="11">
        <f>_xlfn.XLOOKUP(A56,[1]MIC!A:A,[1]MIC!C:C)</f>
        <v>45344</v>
      </c>
      <c r="P56" s="11">
        <f>_xlfn.XLOOKUP(A56,[1]MIC!A:A,[1]MIC!D:D)</f>
        <v>45709</v>
      </c>
      <c r="Q56" s="5">
        <f>_xlfn.XLOOKUP(A56,'[1]Days Listed'!A:A,'[1]Days Listed'!B:B)</f>
        <v>256</v>
      </c>
      <c r="R56" s="5">
        <f>_xlfn.XLOOKUP(A56,'[1]Days Listed'!A:A,'[1]Days Listed'!C:C)</f>
        <v>129</v>
      </c>
      <c r="S56" s="5">
        <f>_xlfn.XLOOKUP(A56,'[1]Days With Trades'!A:A,'[1]Days With Trades'!B:B)</f>
        <v>250</v>
      </c>
      <c r="T56" s="5">
        <f>_xlfn.XLOOKUP(A56,'[1]Days With Trades'!A:A,'[1]Days With Trades'!C:C)</f>
        <v>127</v>
      </c>
      <c r="U56" s="12">
        <f>_xlfn.XLOOKUP(A56,'[1]Value Traded'!A:A,'[1]Value Traded'!B:B)</f>
        <v>1424696401.55</v>
      </c>
      <c r="V56" s="12">
        <f>_xlfn.XLOOKUP(A56,'[1]Value Traded'!A:A,'[1]Value Traded'!C:C)</f>
        <v>585072927.21000004</v>
      </c>
      <c r="W56" s="12">
        <f>_xlfn.XLOOKUP(A56,'[1]Value Traded'!A:A,'[1]Value Traded'!E:E)</f>
        <v>1723645082.3</v>
      </c>
      <c r="X56" s="12">
        <f>_xlfn.XLOOKUP(A56,'[1]Value Traded'!A:A,'[1]Value Traded'!F:F)</f>
        <v>298948680.75</v>
      </c>
      <c r="Y56" s="12">
        <f>_xlfn.XLOOKUP(A56,'[1]Value Traded'!A:A,'[1]Value Traded'!G:G)</f>
        <v>692251725.87</v>
      </c>
      <c r="Z56" s="12">
        <f>_xlfn.XLOOKUP(A56,'[1]Value Traded'!A:A,'[1]Value Traded'!H:H)</f>
        <v>107178798.66</v>
      </c>
    </row>
    <row r="57" spans="1:26" x14ac:dyDescent="0.25">
      <c r="A57" s="13">
        <v>2014134</v>
      </c>
      <c r="B57" s="13" t="s">
        <v>280</v>
      </c>
      <c r="C57" s="13" t="s">
        <v>280</v>
      </c>
      <c r="D57" s="13" t="s">
        <v>281</v>
      </c>
      <c r="E57" s="13" t="s">
        <v>282</v>
      </c>
      <c r="F57" s="13" t="s">
        <v>32</v>
      </c>
      <c r="G57" s="13" t="s">
        <v>47</v>
      </c>
      <c r="H57" s="13" t="s">
        <v>48</v>
      </c>
      <c r="I57" s="13" t="s">
        <v>283</v>
      </c>
      <c r="J57" s="13" t="s">
        <v>63</v>
      </c>
      <c r="K57" s="13" t="s">
        <v>37</v>
      </c>
      <c r="L57" s="13" t="s">
        <v>107</v>
      </c>
      <c r="M57" s="14">
        <v>135860724</v>
      </c>
      <c r="N57" s="15">
        <v>22071933221.040001</v>
      </c>
      <c r="O57" s="11">
        <f>_xlfn.XLOOKUP(A57,[1]MIC!A:A,[1]MIC!C:C)</f>
        <v>45344</v>
      </c>
      <c r="P57" s="11">
        <f>_xlfn.XLOOKUP(A57,[1]MIC!A:A,[1]MIC!D:D)</f>
        <v>45709</v>
      </c>
      <c r="Q57" s="5">
        <f>_xlfn.XLOOKUP(A57,'[1]Days Listed'!A:A,'[1]Days Listed'!B:B)</f>
        <v>256</v>
      </c>
      <c r="R57" s="5">
        <f>_xlfn.XLOOKUP(A57,'[1]Days Listed'!A:A,'[1]Days Listed'!C:C)</f>
        <v>129</v>
      </c>
      <c r="S57" s="5">
        <f>_xlfn.XLOOKUP(A57,'[1]Days With Trades'!A:A,'[1]Days With Trades'!B:B)</f>
        <v>250</v>
      </c>
      <c r="T57" s="5">
        <f>_xlfn.XLOOKUP(A57,'[1]Days With Trades'!A:A,'[1]Days With Trades'!C:C)</f>
        <v>127</v>
      </c>
      <c r="U57" s="12">
        <f>_xlfn.XLOOKUP(A57,'[1]Value Traded'!A:A,'[1]Value Traded'!B:B)</f>
        <v>1036547228.2</v>
      </c>
      <c r="V57" s="12">
        <f>_xlfn.XLOOKUP(A57,'[1]Value Traded'!A:A,'[1]Value Traded'!C:C)</f>
        <v>594729584.66999996</v>
      </c>
      <c r="W57" s="12">
        <f>_xlfn.XLOOKUP(A57,'[1]Value Traded'!A:A,'[1]Value Traded'!E:E)</f>
        <v>1280158319.8499999</v>
      </c>
      <c r="X57" s="12">
        <f>_xlfn.XLOOKUP(A57,'[1]Value Traded'!A:A,'[1]Value Traded'!F:F)</f>
        <v>243611091.65000001</v>
      </c>
      <c r="Y57" s="12">
        <f>_xlfn.XLOOKUP(A57,'[1]Value Traded'!A:A,'[1]Value Traded'!G:G)</f>
        <v>716364241.95000005</v>
      </c>
      <c r="Z57" s="12">
        <f>_xlfn.XLOOKUP(A57,'[1]Value Traded'!A:A,'[1]Value Traded'!H:H)</f>
        <v>121634657.28</v>
      </c>
    </row>
    <row r="58" spans="1:26" x14ac:dyDescent="0.25">
      <c r="A58" s="8">
        <v>2014135</v>
      </c>
      <c r="B58" s="8" t="s">
        <v>284</v>
      </c>
      <c r="C58" s="8" t="s">
        <v>284</v>
      </c>
      <c r="D58" s="8" t="s">
        <v>285</v>
      </c>
      <c r="E58" s="8" t="s">
        <v>286</v>
      </c>
      <c r="F58" s="8" t="s">
        <v>32</v>
      </c>
      <c r="G58" s="8" t="s">
        <v>47</v>
      </c>
      <c r="H58" s="8" t="s">
        <v>48</v>
      </c>
      <c r="I58" s="8" t="s">
        <v>287</v>
      </c>
      <c r="J58" s="8" t="s">
        <v>36</v>
      </c>
      <c r="K58" s="8" t="s">
        <v>37</v>
      </c>
      <c r="L58" s="8" t="s">
        <v>288</v>
      </c>
      <c r="M58" s="9">
        <v>291418466</v>
      </c>
      <c r="N58" s="10">
        <v>443538905.25</v>
      </c>
      <c r="O58" s="11">
        <f>_xlfn.XLOOKUP(A58,[1]MIC!A:A,[1]MIC!C:C)</f>
        <v>45344</v>
      </c>
      <c r="P58" s="11">
        <f>_xlfn.XLOOKUP(A58,[1]MIC!A:A,[1]MIC!D:D)</f>
        <v>45709</v>
      </c>
      <c r="Q58" s="5">
        <f>_xlfn.XLOOKUP(A58,'[1]Days Listed'!A:A,'[1]Days Listed'!B:B)</f>
        <v>256</v>
      </c>
      <c r="R58" s="5">
        <f>_xlfn.XLOOKUP(A58,'[1]Days Listed'!A:A,'[1]Days Listed'!C:C)</f>
        <v>129</v>
      </c>
      <c r="S58" s="5">
        <f>_xlfn.XLOOKUP(A58,'[1]Days With Trades'!A:A,'[1]Days With Trades'!B:B)</f>
        <v>250</v>
      </c>
      <c r="T58" s="5">
        <f>_xlfn.XLOOKUP(A58,'[1]Days With Trades'!A:A,'[1]Days With Trades'!C:C)</f>
        <v>127</v>
      </c>
      <c r="U58" s="12">
        <f>_xlfn.XLOOKUP(A58,'[1]Value Traded'!A:A,'[1]Value Traded'!B:B)</f>
        <v>265426329.19</v>
      </c>
      <c r="V58" s="12">
        <f>_xlfn.XLOOKUP(A58,'[1]Value Traded'!A:A,'[1]Value Traded'!C:C)</f>
        <v>190789603.19</v>
      </c>
      <c r="W58" s="12">
        <f>_xlfn.XLOOKUP(A58,'[1]Value Traded'!A:A,'[1]Value Traded'!E:E)</f>
        <v>379590424.10000002</v>
      </c>
      <c r="X58" s="12">
        <f>_xlfn.XLOOKUP(A58,'[1]Value Traded'!A:A,'[1]Value Traded'!F:F)</f>
        <v>114164094.91</v>
      </c>
      <c r="Y58" s="12">
        <f>_xlfn.XLOOKUP(A58,'[1]Value Traded'!A:A,'[1]Value Traded'!G:G)</f>
        <v>262257375.86000001</v>
      </c>
      <c r="Z58" s="12">
        <f>_xlfn.XLOOKUP(A58,'[1]Value Traded'!A:A,'[1]Value Traded'!H:H)</f>
        <v>71467772.670000002</v>
      </c>
    </row>
    <row r="59" spans="1:26" x14ac:dyDescent="0.25">
      <c r="A59" s="13">
        <v>2014137</v>
      </c>
      <c r="B59" s="13" t="s">
        <v>289</v>
      </c>
      <c r="C59" s="13" t="s">
        <v>289</v>
      </c>
      <c r="D59" s="13" t="s">
        <v>290</v>
      </c>
      <c r="E59" s="13" t="s">
        <v>291</v>
      </c>
      <c r="F59" s="13" t="s">
        <v>32</v>
      </c>
      <c r="G59" s="13" t="s">
        <v>47</v>
      </c>
      <c r="H59" s="13" t="s">
        <v>48</v>
      </c>
      <c r="I59" s="13" t="s">
        <v>292</v>
      </c>
      <c r="J59" s="13" t="s">
        <v>63</v>
      </c>
      <c r="K59" s="13" t="s">
        <v>37</v>
      </c>
      <c r="L59" s="13" t="s">
        <v>107</v>
      </c>
      <c r="M59" s="14">
        <v>9061837</v>
      </c>
      <c r="N59" s="15">
        <v>1502452574.5999999</v>
      </c>
      <c r="O59" s="11">
        <f>_xlfn.XLOOKUP(A59,[1]MIC!A:A,[1]MIC!C:C)</f>
        <v>45344</v>
      </c>
      <c r="P59" s="11">
        <f>_xlfn.XLOOKUP(A59,[1]MIC!A:A,[1]MIC!D:D)</f>
        <v>45709</v>
      </c>
      <c r="Q59" s="5">
        <f>_xlfn.XLOOKUP(A59,'[1]Days Listed'!A:A,'[1]Days Listed'!B:B)</f>
        <v>256</v>
      </c>
      <c r="R59" s="5">
        <f>_xlfn.XLOOKUP(A59,'[1]Days Listed'!A:A,'[1]Days Listed'!C:C)</f>
        <v>129</v>
      </c>
      <c r="S59" s="5">
        <f>_xlfn.XLOOKUP(A59,'[1]Days With Trades'!A:A,'[1]Days With Trades'!B:B)</f>
        <v>224</v>
      </c>
      <c r="T59" s="5">
        <f>_xlfn.XLOOKUP(A59,'[1]Days With Trades'!A:A,'[1]Days With Trades'!C:C)</f>
        <v>122</v>
      </c>
      <c r="U59" s="12">
        <f>_xlfn.XLOOKUP(A59,'[1]Value Traded'!A:A,'[1]Value Traded'!B:B)</f>
        <v>65564811.640000001</v>
      </c>
      <c r="V59" s="12">
        <f>_xlfn.XLOOKUP(A59,'[1]Value Traded'!A:A,'[1]Value Traded'!C:C)</f>
        <v>54856707.340000004</v>
      </c>
      <c r="W59" s="12">
        <f>_xlfn.XLOOKUP(A59,'[1]Value Traded'!A:A,'[1]Value Traded'!E:E)</f>
        <v>96547827.280000001</v>
      </c>
      <c r="X59" s="12">
        <f>_xlfn.XLOOKUP(A59,'[1]Value Traded'!A:A,'[1]Value Traded'!F:F)</f>
        <v>30983015.640000001</v>
      </c>
      <c r="Y59" s="12">
        <f>_xlfn.XLOOKUP(A59,'[1]Value Traded'!A:A,'[1]Value Traded'!G:G)</f>
        <v>73128974.519999996</v>
      </c>
      <c r="Z59" s="12">
        <f>_xlfn.XLOOKUP(A59,'[1]Value Traded'!A:A,'[1]Value Traded'!H:H)</f>
        <v>18272267.18</v>
      </c>
    </row>
    <row r="60" spans="1:26" x14ac:dyDescent="0.25">
      <c r="A60" s="8">
        <v>2014138</v>
      </c>
      <c r="B60" s="8" t="s">
        <v>293</v>
      </c>
      <c r="C60" s="8" t="s">
        <v>293</v>
      </c>
      <c r="D60" s="8" t="s">
        <v>294</v>
      </c>
      <c r="E60" s="8" t="s">
        <v>295</v>
      </c>
      <c r="F60" s="8" t="s">
        <v>32</v>
      </c>
      <c r="G60" s="8" t="s">
        <v>47</v>
      </c>
      <c r="H60" s="8" t="s">
        <v>48</v>
      </c>
      <c r="I60" s="8" t="s">
        <v>296</v>
      </c>
      <c r="J60" s="8" t="s">
        <v>36</v>
      </c>
      <c r="K60" s="8" t="s">
        <v>37</v>
      </c>
      <c r="L60" s="8" t="s">
        <v>297</v>
      </c>
      <c r="M60" s="9">
        <v>28187668</v>
      </c>
      <c r="N60" s="10">
        <v>653953897.60000002</v>
      </c>
      <c r="O60" s="11">
        <f>_xlfn.XLOOKUP(A60,[1]MIC!A:A,[1]MIC!C:C)</f>
        <v>45344</v>
      </c>
      <c r="P60" s="11">
        <f>_xlfn.XLOOKUP(A60,[1]MIC!A:A,[1]MIC!D:D)</f>
        <v>45709</v>
      </c>
      <c r="Q60" s="5">
        <f>_xlfn.XLOOKUP(A60,'[1]Days Listed'!A:A,'[1]Days Listed'!B:B)</f>
        <v>256</v>
      </c>
      <c r="R60" s="5">
        <f>_xlfn.XLOOKUP(A60,'[1]Days Listed'!A:A,'[1]Days Listed'!C:C)</f>
        <v>129</v>
      </c>
      <c r="S60" s="5">
        <f>_xlfn.XLOOKUP(A60,'[1]Days With Trades'!A:A,'[1]Days With Trades'!B:B)</f>
        <v>230</v>
      </c>
      <c r="T60" s="5">
        <f>_xlfn.XLOOKUP(A60,'[1]Days With Trades'!A:A,'[1]Days With Trades'!C:C)</f>
        <v>120</v>
      </c>
      <c r="U60" s="12">
        <f>_xlfn.XLOOKUP(A60,'[1]Value Traded'!A:A,'[1]Value Traded'!B:B)</f>
        <v>20934384.5</v>
      </c>
      <c r="V60" s="12">
        <f>_xlfn.XLOOKUP(A60,'[1]Value Traded'!A:A,'[1]Value Traded'!C:C)</f>
        <v>14965021.1</v>
      </c>
      <c r="W60" s="12">
        <f>_xlfn.XLOOKUP(A60,'[1]Value Traded'!A:A,'[1]Value Traded'!E:E)</f>
        <v>32904738.300000001</v>
      </c>
      <c r="X60" s="12">
        <f>_xlfn.XLOOKUP(A60,'[1]Value Traded'!A:A,'[1]Value Traded'!F:F)</f>
        <v>11970353.800000001</v>
      </c>
      <c r="Y60" s="12">
        <f>_xlfn.XLOOKUP(A60,'[1]Value Traded'!A:A,'[1]Value Traded'!G:G)</f>
        <v>23103437.899999999</v>
      </c>
      <c r="Z60" s="12">
        <f>_xlfn.XLOOKUP(A60,'[1]Value Traded'!A:A,'[1]Value Traded'!H:H)</f>
        <v>8138416.7999999998</v>
      </c>
    </row>
    <row r="61" spans="1:26" x14ac:dyDescent="0.25">
      <c r="A61" s="13">
        <v>2014139</v>
      </c>
      <c r="B61" s="13" t="s">
        <v>298</v>
      </c>
      <c r="C61" s="13" t="s">
        <v>298</v>
      </c>
      <c r="D61" s="13" t="s">
        <v>299</v>
      </c>
      <c r="E61" s="13" t="s">
        <v>300</v>
      </c>
      <c r="F61" s="13" t="s">
        <v>32</v>
      </c>
      <c r="G61" s="13" t="s">
        <v>47</v>
      </c>
      <c r="H61" s="13" t="s">
        <v>301</v>
      </c>
      <c r="I61" s="13" t="s">
        <v>302</v>
      </c>
      <c r="J61" s="13" t="s">
        <v>36</v>
      </c>
      <c r="K61" s="13" t="s">
        <v>37</v>
      </c>
      <c r="L61" s="13" t="s">
        <v>303</v>
      </c>
      <c r="M61" s="14">
        <v>49009713</v>
      </c>
      <c r="N61" s="15">
        <v>4263845031</v>
      </c>
      <c r="O61" s="11">
        <f>_xlfn.XLOOKUP(A61,[1]MIC!A:A,[1]MIC!C:C)</f>
        <v>45344</v>
      </c>
      <c r="P61" s="11">
        <f>_xlfn.XLOOKUP(A61,[1]MIC!A:A,[1]MIC!D:D)</f>
        <v>45709</v>
      </c>
      <c r="Q61" s="5">
        <f>_xlfn.XLOOKUP(A61,'[1]Days Listed'!A:A,'[1]Days Listed'!B:B)</f>
        <v>256</v>
      </c>
      <c r="R61" s="5">
        <f>_xlfn.XLOOKUP(A61,'[1]Days Listed'!A:A,'[1]Days Listed'!C:C)</f>
        <v>129</v>
      </c>
      <c r="S61" s="5">
        <f>_xlfn.XLOOKUP(A61,'[1]Days With Trades'!A:A,'[1]Days With Trades'!B:B)</f>
        <v>236</v>
      </c>
      <c r="T61" s="5">
        <f>_xlfn.XLOOKUP(A61,'[1]Days With Trades'!A:A,'[1]Days With Trades'!C:C)</f>
        <v>124</v>
      </c>
      <c r="U61" s="12">
        <f>_xlfn.XLOOKUP(A61,'[1]Value Traded'!A:A,'[1]Value Traded'!B:B)</f>
        <v>21992183.5</v>
      </c>
      <c r="V61" s="12">
        <f>_xlfn.XLOOKUP(A61,'[1]Value Traded'!A:A,'[1]Value Traded'!C:C)</f>
        <v>14835276</v>
      </c>
      <c r="W61" s="12">
        <f>_xlfn.XLOOKUP(A61,'[1]Value Traded'!A:A,'[1]Value Traded'!E:E)</f>
        <v>36524456</v>
      </c>
      <c r="X61" s="12">
        <f>_xlfn.XLOOKUP(A61,'[1]Value Traded'!A:A,'[1]Value Traded'!F:F)</f>
        <v>14532272.5</v>
      </c>
      <c r="Y61" s="12">
        <f>_xlfn.XLOOKUP(A61,'[1]Value Traded'!A:A,'[1]Value Traded'!G:G)</f>
        <v>24038525</v>
      </c>
      <c r="Z61" s="12">
        <f>_xlfn.XLOOKUP(A61,'[1]Value Traded'!A:A,'[1]Value Traded'!H:H)</f>
        <v>9203249</v>
      </c>
    </row>
    <row r="62" spans="1:26" x14ac:dyDescent="0.25">
      <c r="A62" s="8">
        <v>2014143</v>
      </c>
      <c r="B62" s="8" t="s">
        <v>304</v>
      </c>
      <c r="C62" s="8" t="s">
        <v>304</v>
      </c>
      <c r="D62" s="8" t="s">
        <v>305</v>
      </c>
      <c r="E62" s="8" t="s">
        <v>306</v>
      </c>
      <c r="F62" s="8" t="s">
        <v>32</v>
      </c>
      <c r="G62" s="8" t="s">
        <v>47</v>
      </c>
      <c r="H62" s="8" t="s">
        <v>48</v>
      </c>
      <c r="I62" s="8" t="s">
        <v>307</v>
      </c>
      <c r="J62" s="8" t="s">
        <v>63</v>
      </c>
      <c r="K62" s="8" t="s">
        <v>37</v>
      </c>
      <c r="L62" s="8" t="s">
        <v>107</v>
      </c>
      <c r="M62" s="9">
        <v>4932523</v>
      </c>
      <c r="N62" s="10">
        <v>1810235941</v>
      </c>
      <c r="O62" s="11">
        <f>_xlfn.XLOOKUP(A62,[1]MIC!A:A,[1]MIC!C:C)</f>
        <v>45344</v>
      </c>
      <c r="P62" s="11">
        <f>_xlfn.XLOOKUP(A62,[1]MIC!A:A,[1]MIC!D:D)</f>
        <v>45709</v>
      </c>
      <c r="Q62" s="5">
        <f>_xlfn.XLOOKUP(A62,'[1]Days Listed'!A:A,'[1]Days Listed'!B:B)</f>
        <v>256</v>
      </c>
      <c r="R62" s="5">
        <f>_xlfn.XLOOKUP(A62,'[1]Days Listed'!A:A,'[1]Days Listed'!C:C)</f>
        <v>129</v>
      </c>
      <c r="S62" s="5">
        <f>_xlfn.XLOOKUP(A62,'[1]Days With Trades'!A:A,'[1]Days With Trades'!B:B)</f>
        <v>238</v>
      </c>
      <c r="T62" s="5">
        <f>_xlfn.XLOOKUP(A62,'[1]Days With Trades'!A:A,'[1]Days With Trades'!C:C)</f>
        <v>123</v>
      </c>
      <c r="U62" s="12">
        <f>_xlfn.XLOOKUP(A62,'[1]Value Traded'!A:A,'[1]Value Traded'!B:B)</f>
        <v>26000920.399999999</v>
      </c>
      <c r="V62" s="12">
        <f>_xlfn.XLOOKUP(A62,'[1]Value Traded'!A:A,'[1]Value Traded'!C:C)</f>
        <v>17496595.300000001</v>
      </c>
      <c r="W62" s="12">
        <f>_xlfn.XLOOKUP(A62,'[1]Value Traded'!A:A,'[1]Value Traded'!E:E)</f>
        <v>38038254.200000003</v>
      </c>
      <c r="X62" s="12">
        <f>_xlfn.XLOOKUP(A62,'[1]Value Traded'!A:A,'[1]Value Traded'!F:F)</f>
        <v>12037333.800000001</v>
      </c>
      <c r="Y62" s="12">
        <f>_xlfn.XLOOKUP(A62,'[1]Value Traded'!A:A,'[1]Value Traded'!G:G)</f>
        <v>25623395.399999999</v>
      </c>
      <c r="Z62" s="12">
        <f>_xlfn.XLOOKUP(A62,'[1]Value Traded'!A:A,'[1]Value Traded'!H:H)</f>
        <v>8126800.0999999996</v>
      </c>
    </row>
    <row r="63" spans="1:26" x14ac:dyDescent="0.25">
      <c r="A63" s="13">
        <v>2014144</v>
      </c>
      <c r="B63" s="13" t="s">
        <v>308</v>
      </c>
      <c r="C63" s="13" t="s">
        <v>308</v>
      </c>
      <c r="D63" s="13" t="s">
        <v>309</v>
      </c>
      <c r="E63" s="13" t="s">
        <v>310</v>
      </c>
      <c r="F63" s="13" t="s">
        <v>32</v>
      </c>
      <c r="G63" s="13" t="s">
        <v>47</v>
      </c>
      <c r="H63" s="13" t="s">
        <v>48</v>
      </c>
      <c r="I63" s="13" t="s">
        <v>311</v>
      </c>
      <c r="J63" s="13" t="s">
        <v>36</v>
      </c>
      <c r="K63" s="13" t="s">
        <v>37</v>
      </c>
      <c r="L63" s="13" t="s">
        <v>312</v>
      </c>
      <c r="M63" s="14">
        <v>129621605</v>
      </c>
      <c r="N63" s="15">
        <v>425158864.39999998</v>
      </c>
      <c r="O63" s="11">
        <f>_xlfn.XLOOKUP(A63,[1]MIC!A:A,[1]MIC!C:C)</f>
        <v>45344</v>
      </c>
      <c r="P63" s="11">
        <f>_xlfn.XLOOKUP(A63,[1]MIC!A:A,[1]MIC!D:D)</f>
        <v>45709</v>
      </c>
      <c r="Q63" s="5">
        <f>_xlfn.XLOOKUP(A63,'[1]Days Listed'!A:A,'[1]Days Listed'!B:B)</f>
        <v>256</v>
      </c>
      <c r="R63" s="5">
        <f>_xlfn.XLOOKUP(A63,'[1]Days Listed'!A:A,'[1]Days Listed'!C:C)</f>
        <v>129</v>
      </c>
      <c r="S63" s="5">
        <f>_xlfn.XLOOKUP(A63,'[1]Days With Trades'!A:A,'[1]Days With Trades'!B:B)</f>
        <v>250</v>
      </c>
      <c r="T63" s="5">
        <f>_xlfn.XLOOKUP(A63,'[1]Days With Trades'!A:A,'[1]Days With Trades'!C:C)</f>
        <v>127</v>
      </c>
      <c r="U63" s="12">
        <f>_xlfn.XLOOKUP(A63,'[1]Value Traded'!A:A,'[1]Value Traded'!B:B)</f>
        <v>830406836.84000003</v>
      </c>
      <c r="V63" s="12">
        <f>_xlfn.XLOOKUP(A63,'[1]Value Traded'!A:A,'[1]Value Traded'!C:C)</f>
        <v>373161307.30000001</v>
      </c>
      <c r="W63" s="12">
        <f>_xlfn.XLOOKUP(A63,'[1]Value Traded'!A:A,'[1]Value Traded'!E:E)</f>
        <v>1073354109.38</v>
      </c>
      <c r="X63" s="12">
        <f>_xlfn.XLOOKUP(A63,'[1]Value Traded'!A:A,'[1]Value Traded'!F:F)</f>
        <v>242947272.53999999</v>
      </c>
      <c r="Y63" s="12">
        <f>_xlfn.XLOOKUP(A63,'[1]Value Traded'!A:A,'[1]Value Traded'!G:G)</f>
        <v>435610421.37</v>
      </c>
      <c r="Z63" s="12">
        <f>_xlfn.XLOOKUP(A63,'[1]Value Traded'!A:A,'[1]Value Traded'!H:H)</f>
        <v>62449114.07</v>
      </c>
    </row>
    <row r="64" spans="1:26" x14ac:dyDescent="0.25">
      <c r="A64" s="8">
        <v>2014173</v>
      </c>
      <c r="B64" s="8" t="s">
        <v>313</v>
      </c>
      <c r="C64" s="8" t="s">
        <v>313</v>
      </c>
      <c r="D64" s="8" t="s">
        <v>314</v>
      </c>
      <c r="E64" s="8" t="s">
        <v>315</v>
      </c>
      <c r="F64" s="8" t="s">
        <v>32</v>
      </c>
      <c r="G64" s="8" t="s">
        <v>47</v>
      </c>
      <c r="H64" s="8" t="s">
        <v>48</v>
      </c>
      <c r="I64" s="8" t="s">
        <v>316</v>
      </c>
      <c r="J64" s="8" t="s">
        <v>63</v>
      </c>
      <c r="K64" s="8" t="s">
        <v>37</v>
      </c>
      <c r="L64" s="8" t="s">
        <v>107</v>
      </c>
      <c r="M64" s="9">
        <v>27000130</v>
      </c>
      <c r="N64" s="10">
        <v>4590022100</v>
      </c>
      <c r="O64" s="11">
        <f>_xlfn.XLOOKUP(A64,[1]MIC!A:A,[1]MIC!C:C)</f>
        <v>45344</v>
      </c>
      <c r="P64" s="11">
        <f>_xlfn.XLOOKUP(A64,[1]MIC!A:A,[1]MIC!D:D)</f>
        <v>45709</v>
      </c>
      <c r="Q64" s="5">
        <f>_xlfn.XLOOKUP(A64,'[1]Days Listed'!A:A,'[1]Days Listed'!B:B)</f>
        <v>256</v>
      </c>
      <c r="R64" s="5">
        <f>_xlfn.XLOOKUP(A64,'[1]Days Listed'!A:A,'[1]Days Listed'!C:C)</f>
        <v>129</v>
      </c>
      <c r="S64" s="5">
        <f>_xlfn.XLOOKUP(A64,'[1]Days With Trades'!A:A,'[1]Days With Trades'!B:B)</f>
        <v>249</v>
      </c>
      <c r="T64" s="5">
        <f>_xlfn.XLOOKUP(A64,'[1]Days With Trades'!A:A,'[1]Days With Trades'!C:C)</f>
        <v>126</v>
      </c>
      <c r="U64" s="12">
        <f>_xlfn.XLOOKUP(A64,'[1]Value Traded'!A:A,'[1]Value Traded'!B:B)</f>
        <v>99168879.760000005</v>
      </c>
      <c r="V64" s="12">
        <f>_xlfn.XLOOKUP(A64,'[1]Value Traded'!A:A,'[1]Value Traded'!C:C)</f>
        <v>63329804.960000001</v>
      </c>
      <c r="W64" s="12">
        <f>_xlfn.XLOOKUP(A64,'[1]Value Traded'!A:A,'[1]Value Traded'!E:E)</f>
        <v>128224972.02</v>
      </c>
      <c r="X64" s="12">
        <f>_xlfn.XLOOKUP(A64,'[1]Value Traded'!A:A,'[1]Value Traded'!F:F)</f>
        <v>29056092.260000002</v>
      </c>
      <c r="Y64" s="12">
        <f>_xlfn.XLOOKUP(A64,'[1]Value Traded'!A:A,'[1]Value Traded'!G:G)</f>
        <v>81000319.680000007</v>
      </c>
      <c r="Z64" s="12">
        <f>_xlfn.XLOOKUP(A64,'[1]Value Traded'!A:A,'[1]Value Traded'!H:H)</f>
        <v>17670514.719999999</v>
      </c>
    </row>
    <row r="65" spans="1:26" x14ac:dyDescent="0.25">
      <c r="A65" s="13">
        <v>2014174</v>
      </c>
      <c r="B65" s="13" t="s">
        <v>317</v>
      </c>
      <c r="C65" s="13" t="s">
        <v>317</v>
      </c>
      <c r="D65" s="13" t="s">
        <v>318</v>
      </c>
      <c r="E65" s="13" t="s">
        <v>319</v>
      </c>
      <c r="F65" s="13" t="s">
        <v>32</v>
      </c>
      <c r="G65" s="13" t="s">
        <v>47</v>
      </c>
      <c r="H65" s="13" t="s">
        <v>48</v>
      </c>
      <c r="I65" s="13" t="s">
        <v>320</v>
      </c>
      <c r="J65" s="13" t="s">
        <v>63</v>
      </c>
      <c r="K65" s="13" t="s">
        <v>37</v>
      </c>
      <c r="L65" s="13" t="s">
        <v>107</v>
      </c>
      <c r="M65" s="14">
        <v>687900</v>
      </c>
      <c r="N65" s="15">
        <v>102497100</v>
      </c>
      <c r="O65" s="11">
        <f>_xlfn.XLOOKUP(A65,[1]MIC!A:A,[1]MIC!C:C)</f>
        <v>45344</v>
      </c>
      <c r="P65" s="11">
        <f>_xlfn.XLOOKUP(A65,[1]MIC!A:A,[1]MIC!D:D)</f>
        <v>45709</v>
      </c>
      <c r="Q65" s="5">
        <f>_xlfn.XLOOKUP(A65,'[1]Days Listed'!A:A,'[1]Days Listed'!B:B)</f>
        <v>256</v>
      </c>
      <c r="R65" s="5">
        <f>_xlfn.XLOOKUP(A65,'[1]Days Listed'!A:A,'[1]Days Listed'!C:C)</f>
        <v>129</v>
      </c>
      <c r="S65" s="5">
        <f>_xlfn.XLOOKUP(A65,'[1]Days With Trades'!A:A,'[1]Days With Trades'!B:B)</f>
        <v>108</v>
      </c>
      <c r="T65" s="5">
        <f>_xlfn.XLOOKUP(A65,'[1]Days With Trades'!A:A,'[1]Days With Trades'!C:C)</f>
        <v>54</v>
      </c>
      <c r="U65" s="12">
        <f>_xlfn.XLOOKUP(A65,'[1]Value Traded'!A:A,'[1]Value Traded'!B:B)</f>
        <v>2371475.58</v>
      </c>
      <c r="V65" s="12">
        <f>_xlfn.XLOOKUP(A65,'[1]Value Traded'!A:A,'[1]Value Traded'!C:C)</f>
        <v>1945262.4</v>
      </c>
      <c r="W65" s="12">
        <f>_xlfn.XLOOKUP(A65,'[1]Value Traded'!A:A,'[1]Value Traded'!E:E)</f>
        <v>5464920.5199999996</v>
      </c>
      <c r="X65" s="12">
        <f>_xlfn.XLOOKUP(A65,'[1]Value Traded'!A:A,'[1]Value Traded'!F:F)</f>
        <v>3093444.94</v>
      </c>
      <c r="Y65" s="12">
        <f>_xlfn.XLOOKUP(A65,'[1]Value Traded'!A:A,'[1]Value Traded'!G:G)</f>
        <v>3884537.66</v>
      </c>
      <c r="Z65" s="12">
        <f>_xlfn.XLOOKUP(A65,'[1]Value Traded'!A:A,'[1]Value Traded'!H:H)</f>
        <v>1939275.26</v>
      </c>
    </row>
    <row r="66" spans="1:26" x14ac:dyDescent="0.25">
      <c r="A66" s="8">
        <v>2014175</v>
      </c>
      <c r="B66" s="8" t="s">
        <v>321</v>
      </c>
      <c r="C66" s="8" t="s">
        <v>321</v>
      </c>
      <c r="D66" s="8" t="s">
        <v>322</v>
      </c>
      <c r="E66" s="8" t="s">
        <v>323</v>
      </c>
      <c r="F66" s="8" t="s">
        <v>32</v>
      </c>
      <c r="G66" s="8" t="s">
        <v>47</v>
      </c>
      <c r="H66" s="8" t="s">
        <v>48</v>
      </c>
      <c r="I66" s="8" t="s">
        <v>324</v>
      </c>
      <c r="J66" s="8" t="s">
        <v>63</v>
      </c>
      <c r="K66" s="8" t="s">
        <v>37</v>
      </c>
      <c r="L66" s="8" t="s">
        <v>107</v>
      </c>
      <c r="M66" s="9">
        <v>15650405</v>
      </c>
      <c r="N66" s="10">
        <v>6001930317.5</v>
      </c>
      <c r="O66" s="11">
        <f>_xlfn.XLOOKUP(A66,[1]MIC!A:A,[1]MIC!C:C)</f>
        <v>45344</v>
      </c>
      <c r="P66" s="11">
        <f>_xlfn.XLOOKUP(A66,[1]MIC!A:A,[1]MIC!D:D)</f>
        <v>45709</v>
      </c>
      <c r="Q66" s="5">
        <f>_xlfn.XLOOKUP(A66,'[1]Days Listed'!A:A,'[1]Days Listed'!B:B)</f>
        <v>256</v>
      </c>
      <c r="R66" s="5">
        <f>_xlfn.XLOOKUP(A66,'[1]Days Listed'!A:A,'[1]Days Listed'!C:C)</f>
        <v>129</v>
      </c>
      <c r="S66" s="5">
        <f>_xlfn.XLOOKUP(A66,'[1]Days With Trades'!A:A,'[1]Days With Trades'!B:B)</f>
        <v>227</v>
      </c>
      <c r="T66" s="5">
        <f>_xlfn.XLOOKUP(A66,'[1]Days With Trades'!A:A,'[1]Days With Trades'!C:C)</f>
        <v>117</v>
      </c>
      <c r="U66" s="12">
        <f>_xlfn.XLOOKUP(A66,'[1]Value Traded'!A:A,'[1]Value Traded'!B:B)</f>
        <v>36018037.75</v>
      </c>
      <c r="V66" s="12">
        <f>_xlfn.XLOOKUP(A66,'[1]Value Traded'!A:A,'[1]Value Traded'!C:C)</f>
        <v>21804764.399999999</v>
      </c>
      <c r="W66" s="12">
        <f>_xlfn.XLOOKUP(A66,'[1]Value Traded'!A:A,'[1]Value Traded'!E:E)</f>
        <v>50882533.700000003</v>
      </c>
      <c r="X66" s="12">
        <f>_xlfn.XLOOKUP(A66,'[1]Value Traded'!A:A,'[1]Value Traded'!F:F)</f>
        <v>14864495.949999999</v>
      </c>
      <c r="Y66" s="12">
        <f>_xlfn.XLOOKUP(A66,'[1]Value Traded'!A:A,'[1]Value Traded'!G:G)</f>
        <v>30457842.050000001</v>
      </c>
      <c r="Z66" s="12">
        <f>_xlfn.XLOOKUP(A66,'[1]Value Traded'!A:A,'[1]Value Traded'!H:H)</f>
        <v>8653077.6500000004</v>
      </c>
    </row>
    <row r="67" spans="1:26" x14ac:dyDescent="0.25">
      <c r="A67" s="13">
        <v>2014176</v>
      </c>
      <c r="B67" s="13" t="s">
        <v>325</v>
      </c>
      <c r="C67" s="13" t="s">
        <v>325</v>
      </c>
      <c r="D67" s="13" t="s">
        <v>326</v>
      </c>
      <c r="E67" s="13" t="s">
        <v>327</v>
      </c>
      <c r="F67" s="13" t="s">
        <v>32</v>
      </c>
      <c r="G67" s="13" t="s">
        <v>47</v>
      </c>
      <c r="H67" s="13" t="s">
        <v>48</v>
      </c>
      <c r="I67" s="13" t="s">
        <v>328</v>
      </c>
      <c r="J67" s="13" t="s">
        <v>63</v>
      </c>
      <c r="K67" s="13" t="s">
        <v>37</v>
      </c>
      <c r="L67" s="13" t="s">
        <v>107</v>
      </c>
      <c r="M67" s="14">
        <v>49795520</v>
      </c>
      <c r="N67" s="15">
        <v>4983535641.6000004</v>
      </c>
      <c r="O67" s="11">
        <f>_xlfn.XLOOKUP(A67,[1]MIC!A:A,[1]MIC!C:C)</f>
        <v>45344</v>
      </c>
      <c r="P67" s="11">
        <f>_xlfn.XLOOKUP(A67,[1]MIC!A:A,[1]MIC!D:D)</f>
        <v>45709</v>
      </c>
      <c r="Q67" s="5">
        <f>_xlfn.XLOOKUP(A67,'[1]Days Listed'!A:A,'[1]Days Listed'!B:B)</f>
        <v>256</v>
      </c>
      <c r="R67" s="5">
        <f>_xlfn.XLOOKUP(A67,'[1]Days Listed'!A:A,'[1]Days Listed'!C:C)</f>
        <v>129</v>
      </c>
      <c r="S67" s="5">
        <f>_xlfn.XLOOKUP(A67,'[1]Days With Trades'!A:A,'[1]Days With Trades'!B:B)</f>
        <v>250</v>
      </c>
      <c r="T67" s="5">
        <f>_xlfn.XLOOKUP(A67,'[1]Days With Trades'!A:A,'[1]Days With Trades'!C:C)</f>
        <v>127</v>
      </c>
      <c r="U67" s="12">
        <f>_xlfn.XLOOKUP(A67,'[1]Value Traded'!A:A,'[1]Value Traded'!B:B)</f>
        <v>312299665.32999998</v>
      </c>
      <c r="V67" s="12">
        <f>_xlfn.XLOOKUP(A67,'[1]Value Traded'!A:A,'[1]Value Traded'!C:C)</f>
        <v>169562753.34</v>
      </c>
      <c r="W67" s="12">
        <f>_xlfn.XLOOKUP(A67,'[1]Value Traded'!A:A,'[1]Value Traded'!E:E)</f>
        <v>369225301.08999997</v>
      </c>
      <c r="X67" s="12">
        <f>_xlfn.XLOOKUP(A67,'[1]Value Traded'!A:A,'[1]Value Traded'!F:F)</f>
        <v>56925635.759999998</v>
      </c>
      <c r="Y67" s="12">
        <f>_xlfn.XLOOKUP(A67,'[1]Value Traded'!A:A,'[1]Value Traded'!G:G)</f>
        <v>198840291</v>
      </c>
      <c r="Z67" s="12">
        <f>_xlfn.XLOOKUP(A67,'[1]Value Traded'!A:A,'[1]Value Traded'!H:H)</f>
        <v>29277537.66</v>
      </c>
    </row>
    <row r="68" spans="1:26" x14ac:dyDescent="0.25">
      <c r="A68" s="8">
        <v>2014177</v>
      </c>
      <c r="B68" s="8" t="s">
        <v>329</v>
      </c>
      <c r="C68" s="8" t="s">
        <v>329</v>
      </c>
      <c r="D68" s="8" t="s">
        <v>330</v>
      </c>
      <c r="E68" s="8" t="s">
        <v>331</v>
      </c>
      <c r="F68" s="8" t="s">
        <v>32</v>
      </c>
      <c r="G68" s="8" t="s">
        <v>47</v>
      </c>
      <c r="H68" s="8" t="s">
        <v>48</v>
      </c>
      <c r="I68" s="8" t="s">
        <v>332</v>
      </c>
      <c r="J68" s="8" t="s">
        <v>63</v>
      </c>
      <c r="K68" s="8" t="s">
        <v>37</v>
      </c>
      <c r="L68" s="8" t="s">
        <v>107</v>
      </c>
      <c r="M68" s="9">
        <v>20731183</v>
      </c>
      <c r="N68" s="10">
        <v>1679225823</v>
      </c>
      <c r="O68" s="11">
        <f>_xlfn.XLOOKUP(A68,[1]MIC!A:A,[1]MIC!C:C)</f>
        <v>45344</v>
      </c>
      <c r="P68" s="11">
        <f>_xlfn.XLOOKUP(A68,[1]MIC!A:A,[1]MIC!D:D)</f>
        <v>45709</v>
      </c>
      <c r="Q68" s="5">
        <f>_xlfn.XLOOKUP(A68,'[1]Days Listed'!A:A,'[1]Days Listed'!B:B)</f>
        <v>256</v>
      </c>
      <c r="R68" s="5">
        <f>_xlfn.XLOOKUP(A68,'[1]Days Listed'!A:A,'[1]Days Listed'!C:C)</f>
        <v>129</v>
      </c>
      <c r="S68" s="5">
        <f>_xlfn.XLOOKUP(A68,'[1]Days With Trades'!A:A,'[1]Days With Trades'!B:B)</f>
        <v>250</v>
      </c>
      <c r="T68" s="5">
        <f>_xlfn.XLOOKUP(A68,'[1]Days With Trades'!A:A,'[1]Days With Trades'!C:C)</f>
        <v>127</v>
      </c>
      <c r="U68" s="12">
        <f>_xlfn.XLOOKUP(A68,'[1]Value Traded'!A:A,'[1]Value Traded'!B:B)</f>
        <v>152062095.50999999</v>
      </c>
      <c r="V68" s="12">
        <f>_xlfn.XLOOKUP(A68,'[1]Value Traded'!A:A,'[1]Value Traded'!C:C)</f>
        <v>88766888.989999995</v>
      </c>
      <c r="W68" s="12">
        <f>_xlfn.XLOOKUP(A68,'[1]Value Traded'!A:A,'[1]Value Traded'!E:E)</f>
        <v>176903500.22999999</v>
      </c>
      <c r="X68" s="12">
        <f>_xlfn.XLOOKUP(A68,'[1]Value Traded'!A:A,'[1]Value Traded'!F:F)</f>
        <v>24841404.719999999</v>
      </c>
      <c r="Y68" s="12">
        <f>_xlfn.XLOOKUP(A68,'[1]Value Traded'!A:A,'[1]Value Traded'!G:G)</f>
        <v>102740670.83</v>
      </c>
      <c r="Z68" s="12">
        <f>_xlfn.XLOOKUP(A68,'[1]Value Traded'!A:A,'[1]Value Traded'!H:H)</f>
        <v>13973781.84</v>
      </c>
    </row>
    <row r="69" spans="1:26" x14ac:dyDescent="0.25">
      <c r="A69" s="13">
        <v>2014178</v>
      </c>
      <c r="B69" s="13" t="s">
        <v>333</v>
      </c>
      <c r="C69" s="13" t="s">
        <v>333</v>
      </c>
      <c r="D69" s="13" t="s">
        <v>334</v>
      </c>
      <c r="E69" s="13" t="s">
        <v>335</v>
      </c>
      <c r="F69" s="13" t="s">
        <v>32</v>
      </c>
      <c r="G69" s="13" t="s">
        <v>47</v>
      </c>
      <c r="H69" s="13" t="s">
        <v>48</v>
      </c>
      <c r="I69" s="13" t="s">
        <v>336</v>
      </c>
      <c r="J69" s="13" t="s">
        <v>63</v>
      </c>
      <c r="K69" s="13" t="s">
        <v>37</v>
      </c>
      <c r="L69" s="13" t="s">
        <v>107</v>
      </c>
      <c r="M69" s="14">
        <v>2776225</v>
      </c>
      <c r="N69" s="15">
        <v>477510700</v>
      </c>
      <c r="O69" s="11">
        <f>_xlfn.XLOOKUP(A69,[1]MIC!A:A,[1]MIC!C:C)</f>
        <v>45344</v>
      </c>
      <c r="P69" s="11">
        <f>_xlfn.XLOOKUP(A69,[1]MIC!A:A,[1]MIC!D:D)</f>
        <v>45709</v>
      </c>
      <c r="Q69" s="5">
        <f>_xlfn.XLOOKUP(A69,'[1]Days Listed'!A:A,'[1]Days Listed'!B:B)</f>
        <v>256</v>
      </c>
      <c r="R69" s="5">
        <f>_xlfn.XLOOKUP(A69,'[1]Days Listed'!A:A,'[1]Days Listed'!C:C)</f>
        <v>129</v>
      </c>
      <c r="S69" s="5">
        <f>_xlfn.XLOOKUP(A69,'[1]Days With Trades'!A:A,'[1]Days With Trades'!B:B)</f>
        <v>197</v>
      </c>
      <c r="T69" s="5">
        <f>_xlfn.XLOOKUP(A69,'[1]Days With Trades'!A:A,'[1]Days With Trades'!C:C)</f>
        <v>98</v>
      </c>
      <c r="U69" s="12">
        <f>_xlfn.XLOOKUP(A69,'[1]Value Traded'!A:A,'[1]Value Traded'!B:B)</f>
        <v>11165297.4</v>
      </c>
      <c r="V69" s="12">
        <f>_xlfn.XLOOKUP(A69,'[1]Value Traded'!A:A,'[1]Value Traded'!C:C)</f>
        <v>6038064.5999999996</v>
      </c>
      <c r="W69" s="12">
        <f>_xlfn.XLOOKUP(A69,'[1]Value Traded'!A:A,'[1]Value Traded'!E:E)</f>
        <v>18425381.379999999</v>
      </c>
      <c r="X69" s="12">
        <f>_xlfn.XLOOKUP(A69,'[1]Value Traded'!A:A,'[1]Value Traded'!F:F)</f>
        <v>7260083.9800000004</v>
      </c>
      <c r="Y69" s="12">
        <f>_xlfn.XLOOKUP(A69,'[1]Value Traded'!A:A,'[1]Value Traded'!G:G)</f>
        <v>9818177.4199999999</v>
      </c>
      <c r="Z69" s="12">
        <f>_xlfn.XLOOKUP(A69,'[1]Value Traded'!A:A,'[1]Value Traded'!H:H)</f>
        <v>3780112.82</v>
      </c>
    </row>
    <row r="70" spans="1:26" x14ac:dyDescent="0.25">
      <c r="A70" s="8">
        <v>2014179</v>
      </c>
      <c r="B70" s="8" t="s">
        <v>337</v>
      </c>
      <c r="C70" s="8" t="s">
        <v>337</v>
      </c>
      <c r="D70" s="8" t="s">
        <v>338</v>
      </c>
      <c r="E70" s="8" t="s">
        <v>339</v>
      </c>
      <c r="F70" s="8" t="s">
        <v>32</v>
      </c>
      <c r="G70" s="8" t="s">
        <v>47</v>
      </c>
      <c r="H70" s="8" t="s">
        <v>48</v>
      </c>
      <c r="I70" s="8" t="s">
        <v>340</v>
      </c>
      <c r="J70" s="8" t="s">
        <v>63</v>
      </c>
      <c r="K70" s="8" t="s">
        <v>37</v>
      </c>
      <c r="L70" s="8" t="s">
        <v>107</v>
      </c>
      <c r="M70" s="9">
        <v>2293831</v>
      </c>
      <c r="N70" s="10">
        <v>811786790.89999998</v>
      </c>
      <c r="O70" s="11">
        <f>_xlfn.XLOOKUP(A70,[1]MIC!A:A,[1]MIC!C:C)</f>
        <v>45344</v>
      </c>
      <c r="P70" s="11">
        <f>_xlfn.XLOOKUP(A70,[1]MIC!A:A,[1]MIC!D:D)</f>
        <v>45709</v>
      </c>
      <c r="Q70" s="5">
        <f>_xlfn.XLOOKUP(A70,'[1]Days Listed'!A:A,'[1]Days Listed'!B:B)</f>
        <v>256</v>
      </c>
      <c r="R70" s="5">
        <f>_xlfn.XLOOKUP(A70,'[1]Days Listed'!A:A,'[1]Days Listed'!C:C)</f>
        <v>129</v>
      </c>
      <c r="S70" s="5">
        <f>_xlfn.XLOOKUP(A70,'[1]Days With Trades'!A:A,'[1]Days With Trades'!B:B)</f>
        <v>230</v>
      </c>
      <c r="T70" s="5">
        <f>_xlfn.XLOOKUP(A70,'[1]Days With Trades'!A:A,'[1]Days With Trades'!C:C)</f>
        <v>118</v>
      </c>
      <c r="U70" s="12">
        <f>_xlfn.XLOOKUP(A70,'[1]Value Traded'!A:A,'[1]Value Traded'!B:B)</f>
        <v>27808317.5</v>
      </c>
      <c r="V70" s="12">
        <f>_xlfn.XLOOKUP(A70,'[1]Value Traded'!A:A,'[1]Value Traded'!C:C)</f>
        <v>18744169.649999999</v>
      </c>
      <c r="W70" s="12">
        <f>_xlfn.XLOOKUP(A70,'[1]Value Traded'!A:A,'[1]Value Traded'!E:E)</f>
        <v>42553904.350000001</v>
      </c>
      <c r="X70" s="12">
        <f>_xlfn.XLOOKUP(A70,'[1]Value Traded'!A:A,'[1]Value Traded'!F:F)</f>
        <v>14745586.85</v>
      </c>
      <c r="Y70" s="12">
        <f>_xlfn.XLOOKUP(A70,'[1]Value Traded'!A:A,'[1]Value Traded'!G:G)</f>
        <v>27132656.899999999</v>
      </c>
      <c r="Z70" s="12">
        <f>_xlfn.XLOOKUP(A70,'[1]Value Traded'!A:A,'[1]Value Traded'!H:H)</f>
        <v>8388487.25</v>
      </c>
    </row>
    <row r="71" spans="1:26" x14ac:dyDescent="0.25">
      <c r="A71" s="13">
        <v>2014180</v>
      </c>
      <c r="B71" s="13" t="s">
        <v>341</v>
      </c>
      <c r="C71" s="13" t="s">
        <v>341</v>
      </c>
      <c r="D71" s="13" t="s">
        <v>342</v>
      </c>
      <c r="E71" s="13" t="s">
        <v>343</v>
      </c>
      <c r="F71" s="13" t="s">
        <v>32</v>
      </c>
      <c r="G71" s="13" t="s">
        <v>47</v>
      </c>
      <c r="H71" s="13" t="s">
        <v>48</v>
      </c>
      <c r="I71" s="13" t="s">
        <v>344</v>
      </c>
      <c r="J71" s="13" t="s">
        <v>63</v>
      </c>
      <c r="K71" s="13" t="s">
        <v>37</v>
      </c>
      <c r="L71" s="13" t="s">
        <v>107</v>
      </c>
      <c r="M71" s="14">
        <v>4622601</v>
      </c>
      <c r="N71" s="15">
        <v>1155650250</v>
      </c>
      <c r="O71" s="11">
        <f>_xlfn.XLOOKUP(A71,[1]MIC!A:A,[1]MIC!C:C)</f>
        <v>45344</v>
      </c>
      <c r="P71" s="11">
        <f>_xlfn.XLOOKUP(A71,[1]MIC!A:A,[1]MIC!D:D)</f>
        <v>45709</v>
      </c>
      <c r="Q71" s="5">
        <f>_xlfn.XLOOKUP(A71,'[1]Days Listed'!A:A,'[1]Days Listed'!B:B)</f>
        <v>256</v>
      </c>
      <c r="R71" s="5">
        <f>_xlfn.XLOOKUP(A71,'[1]Days Listed'!A:A,'[1]Days Listed'!C:C)</f>
        <v>129</v>
      </c>
      <c r="S71" s="5">
        <f>_xlfn.XLOOKUP(A71,'[1]Days With Trades'!A:A,'[1]Days With Trades'!B:B)</f>
        <v>217</v>
      </c>
      <c r="T71" s="5">
        <f>_xlfn.XLOOKUP(A71,'[1]Days With Trades'!A:A,'[1]Days With Trades'!C:C)</f>
        <v>110</v>
      </c>
      <c r="U71" s="12">
        <f>_xlfn.XLOOKUP(A71,'[1]Value Traded'!A:A,'[1]Value Traded'!B:B)</f>
        <v>24098736.199999999</v>
      </c>
      <c r="V71" s="12">
        <f>_xlfn.XLOOKUP(A71,'[1]Value Traded'!A:A,'[1]Value Traded'!C:C)</f>
        <v>10438022.300000001</v>
      </c>
      <c r="W71" s="12">
        <f>_xlfn.XLOOKUP(A71,'[1]Value Traded'!A:A,'[1]Value Traded'!E:E)</f>
        <v>39950646.25</v>
      </c>
      <c r="X71" s="12">
        <f>_xlfn.XLOOKUP(A71,'[1]Value Traded'!A:A,'[1]Value Traded'!F:F)</f>
        <v>15851910.050000001</v>
      </c>
      <c r="Y71" s="12">
        <f>_xlfn.XLOOKUP(A71,'[1]Value Traded'!A:A,'[1]Value Traded'!G:G)</f>
        <v>19147283.149999999</v>
      </c>
      <c r="Z71" s="12">
        <f>_xlfn.XLOOKUP(A71,'[1]Value Traded'!A:A,'[1]Value Traded'!H:H)</f>
        <v>8709260.8499999996</v>
      </c>
    </row>
    <row r="72" spans="1:26" x14ac:dyDescent="0.25">
      <c r="A72" s="8">
        <v>2014181</v>
      </c>
      <c r="B72" s="8" t="s">
        <v>345</v>
      </c>
      <c r="C72" s="8" t="s">
        <v>345</v>
      </c>
      <c r="D72" s="8" t="s">
        <v>346</v>
      </c>
      <c r="E72" s="8" t="s">
        <v>347</v>
      </c>
      <c r="F72" s="8" t="s">
        <v>32</v>
      </c>
      <c r="G72" s="8" t="s">
        <v>47</v>
      </c>
      <c r="H72" s="8" t="s">
        <v>48</v>
      </c>
      <c r="I72" s="8" t="s">
        <v>348</v>
      </c>
      <c r="J72" s="8" t="s">
        <v>63</v>
      </c>
      <c r="K72" s="8" t="s">
        <v>37</v>
      </c>
      <c r="L72" s="8" t="s">
        <v>107</v>
      </c>
      <c r="M72" s="9">
        <v>41703057</v>
      </c>
      <c r="N72" s="10">
        <v>8424017514</v>
      </c>
      <c r="O72" s="11">
        <f>_xlfn.XLOOKUP(A72,[1]MIC!A:A,[1]MIC!C:C)</f>
        <v>45344</v>
      </c>
      <c r="P72" s="11">
        <f>_xlfn.XLOOKUP(A72,[1]MIC!A:A,[1]MIC!D:D)</f>
        <v>45709</v>
      </c>
      <c r="Q72" s="5">
        <f>_xlfn.XLOOKUP(A72,'[1]Days Listed'!A:A,'[1]Days Listed'!B:B)</f>
        <v>256</v>
      </c>
      <c r="R72" s="5">
        <f>_xlfn.XLOOKUP(A72,'[1]Days Listed'!A:A,'[1]Days Listed'!C:C)</f>
        <v>129</v>
      </c>
      <c r="S72" s="5">
        <f>_xlfn.XLOOKUP(A72,'[1]Days With Trades'!A:A,'[1]Days With Trades'!B:B)</f>
        <v>250</v>
      </c>
      <c r="T72" s="5">
        <f>_xlfn.XLOOKUP(A72,'[1]Days With Trades'!A:A,'[1]Days With Trades'!C:C)</f>
        <v>127</v>
      </c>
      <c r="U72" s="12">
        <f>_xlfn.XLOOKUP(A72,'[1]Value Traded'!A:A,'[1]Value Traded'!B:B)</f>
        <v>593701000.08000004</v>
      </c>
      <c r="V72" s="12">
        <f>_xlfn.XLOOKUP(A72,'[1]Value Traded'!A:A,'[1]Value Traded'!C:C)</f>
        <v>398804310.22000003</v>
      </c>
      <c r="W72" s="12">
        <f>_xlfn.XLOOKUP(A72,'[1]Value Traded'!A:A,'[1]Value Traded'!E:E)</f>
        <v>771068372.49000001</v>
      </c>
      <c r="X72" s="12">
        <f>_xlfn.XLOOKUP(A72,'[1]Value Traded'!A:A,'[1]Value Traded'!F:F)</f>
        <v>177367372.41</v>
      </c>
      <c r="Y72" s="12">
        <f>_xlfn.XLOOKUP(A72,'[1]Value Traded'!A:A,'[1]Value Traded'!G:G)</f>
        <v>528057986.25999999</v>
      </c>
      <c r="Z72" s="12">
        <f>_xlfn.XLOOKUP(A72,'[1]Value Traded'!A:A,'[1]Value Traded'!H:H)</f>
        <v>129253676.04000001</v>
      </c>
    </row>
    <row r="73" spans="1:26" x14ac:dyDescent="0.25">
      <c r="A73" s="13">
        <v>2014183</v>
      </c>
      <c r="B73" s="13" t="s">
        <v>349</v>
      </c>
      <c r="C73" s="13" t="s">
        <v>349</v>
      </c>
      <c r="D73" s="13" t="s">
        <v>350</v>
      </c>
      <c r="E73" s="13" t="s">
        <v>351</v>
      </c>
      <c r="F73" s="13" t="s">
        <v>32</v>
      </c>
      <c r="G73" s="13" t="s">
        <v>47</v>
      </c>
      <c r="H73" s="13" t="s">
        <v>48</v>
      </c>
      <c r="I73" s="13" t="s">
        <v>352</v>
      </c>
      <c r="J73" s="13" t="s">
        <v>63</v>
      </c>
      <c r="K73" s="13" t="s">
        <v>37</v>
      </c>
      <c r="L73" s="13" t="s">
        <v>107</v>
      </c>
      <c r="M73" s="14">
        <v>25028941</v>
      </c>
      <c r="N73" s="15">
        <v>3253762330</v>
      </c>
      <c r="O73" s="11">
        <f>_xlfn.XLOOKUP(A73,[1]MIC!A:A,[1]MIC!C:C)</f>
        <v>45344</v>
      </c>
      <c r="P73" s="11">
        <f>_xlfn.XLOOKUP(A73,[1]MIC!A:A,[1]MIC!D:D)</f>
        <v>45709</v>
      </c>
      <c r="Q73" s="5">
        <f>_xlfn.XLOOKUP(A73,'[1]Days Listed'!A:A,'[1]Days Listed'!B:B)</f>
        <v>256</v>
      </c>
      <c r="R73" s="5">
        <f>_xlfn.XLOOKUP(A73,'[1]Days Listed'!A:A,'[1]Days Listed'!C:C)</f>
        <v>129</v>
      </c>
      <c r="S73" s="5">
        <f>_xlfn.XLOOKUP(A73,'[1]Days With Trades'!A:A,'[1]Days With Trades'!B:B)</f>
        <v>250</v>
      </c>
      <c r="T73" s="5">
        <f>_xlfn.XLOOKUP(A73,'[1]Days With Trades'!A:A,'[1]Days With Trades'!C:C)</f>
        <v>127</v>
      </c>
      <c r="U73" s="12">
        <f>_xlfn.XLOOKUP(A73,'[1]Value Traded'!A:A,'[1]Value Traded'!B:B)</f>
        <v>100417641.89</v>
      </c>
      <c r="V73" s="12">
        <f>_xlfn.XLOOKUP(A73,'[1]Value Traded'!A:A,'[1]Value Traded'!C:C)</f>
        <v>57926871.219999999</v>
      </c>
      <c r="W73" s="12">
        <f>_xlfn.XLOOKUP(A73,'[1]Value Traded'!A:A,'[1]Value Traded'!E:E)</f>
        <v>127769814.76000001</v>
      </c>
      <c r="X73" s="12">
        <f>_xlfn.XLOOKUP(A73,'[1]Value Traded'!A:A,'[1]Value Traded'!F:F)</f>
        <v>27352172.870000001</v>
      </c>
      <c r="Y73" s="12">
        <f>_xlfn.XLOOKUP(A73,'[1]Value Traded'!A:A,'[1]Value Traded'!G:G)</f>
        <v>70817703.379999995</v>
      </c>
      <c r="Z73" s="12">
        <f>_xlfn.XLOOKUP(A73,'[1]Value Traded'!A:A,'[1]Value Traded'!H:H)</f>
        <v>12890832.16</v>
      </c>
    </row>
    <row r="74" spans="1:26" x14ac:dyDescent="0.25">
      <c r="A74" s="8">
        <v>2014184</v>
      </c>
      <c r="B74" s="8" t="s">
        <v>353</v>
      </c>
      <c r="C74" s="8" t="s">
        <v>353</v>
      </c>
      <c r="D74" s="8" t="s">
        <v>354</v>
      </c>
      <c r="E74" s="8" t="s">
        <v>355</v>
      </c>
      <c r="F74" s="8" t="s">
        <v>32</v>
      </c>
      <c r="G74" s="8" t="s">
        <v>47</v>
      </c>
      <c r="H74" s="8" t="s">
        <v>48</v>
      </c>
      <c r="I74" s="8" t="s">
        <v>356</v>
      </c>
      <c r="J74" s="8" t="s">
        <v>63</v>
      </c>
      <c r="K74" s="8" t="s">
        <v>37</v>
      </c>
      <c r="L74" s="8" t="s">
        <v>107</v>
      </c>
      <c r="M74" s="9">
        <v>632500</v>
      </c>
      <c r="N74" s="10">
        <v>182033500</v>
      </c>
      <c r="O74" s="11">
        <f>_xlfn.XLOOKUP(A74,[1]MIC!A:A,[1]MIC!C:C)</f>
        <v>45344</v>
      </c>
      <c r="P74" s="11">
        <f>_xlfn.XLOOKUP(A74,[1]MIC!A:A,[1]MIC!D:D)</f>
        <v>45709</v>
      </c>
      <c r="Q74" s="5">
        <f>_xlfn.XLOOKUP(A74,'[1]Days Listed'!A:A,'[1]Days Listed'!B:B)</f>
        <v>256</v>
      </c>
      <c r="R74" s="5">
        <f>_xlfn.XLOOKUP(A74,'[1]Days Listed'!A:A,'[1]Days Listed'!C:C)</f>
        <v>129</v>
      </c>
      <c r="S74" s="5">
        <f>_xlfn.XLOOKUP(A74,'[1]Days With Trades'!A:A,'[1]Days With Trades'!B:B)</f>
        <v>227</v>
      </c>
      <c r="T74" s="5">
        <f>_xlfn.XLOOKUP(A74,'[1]Days With Trades'!A:A,'[1]Days With Trades'!C:C)</f>
        <v>119</v>
      </c>
      <c r="U74" s="12">
        <f>_xlfn.XLOOKUP(A74,'[1]Value Traded'!A:A,'[1]Value Traded'!B:B)</f>
        <v>29282695.059999999</v>
      </c>
      <c r="V74" s="12">
        <f>_xlfn.XLOOKUP(A74,'[1]Value Traded'!A:A,'[1]Value Traded'!C:C)</f>
        <v>22902176.989999998</v>
      </c>
      <c r="W74" s="12">
        <f>_xlfn.XLOOKUP(A74,'[1]Value Traded'!A:A,'[1]Value Traded'!E:E)</f>
        <v>43370554.140000001</v>
      </c>
      <c r="X74" s="12">
        <f>_xlfn.XLOOKUP(A74,'[1]Value Traded'!A:A,'[1]Value Traded'!F:F)</f>
        <v>14087859.08</v>
      </c>
      <c r="Y74" s="12">
        <f>_xlfn.XLOOKUP(A74,'[1]Value Traded'!A:A,'[1]Value Traded'!G:G)</f>
        <v>31335180.690000001</v>
      </c>
      <c r="Z74" s="12">
        <f>_xlfn.XLOOKUP(A74,'[1]Value Traded'!A:A,'[1]Value Traded'!H:H)</f>
        <v>8433003.6999999993</v>
      </c>
    </row>
    <row r="75" spans="1:26" x14ac:dyDescent="0.25">
      <c r="A75" s="13">
        <v>2014186</v>
      </c>
      <c r="B75" s="13" t="s">
        <v>357</v>
      </c>
      <c r="C75" s="13" t="s">
        <v>357</v>
      </c>
      <c r="D75" s="13" t="s">
        <v>358</v>
      </c>
      <c r="E75" s="13" t="s">
        <v>359</v>
      </c>
      <c r="F75" s="13" t="s">
        <v>32</v>
      </c>
      <c r="G75" s="13" t="s">
        <v>47</v>
      </c>
      <c r="H75" s="13" t="s">
        <v>301</v>
      </c>
      <c r="I75" s="13" t="s">
        <v>360</v>
      </c>
      <c r="J75" s="13" t="s">
        <v>36</v>
      </c>
      <c r="K75" s="13" t="s">
        <v>37</v>
      </c>
      <c r="L75" s="13" t="s">
        <v>303</v>
      </c>
      <c r="M75" s="14">
        <v>2352240</v>
      </c>
      <c r="N75" s="15">
        <v>987940800</v>
      </c>
      <c r="O75" s="11">
        <f>_xlfn.XLOOKUP(A75,[1]MIC!A:A,[1]MIC!C:C)</f>
        <v>45344</v>
      </c>
      <c r="P75" s="11">
        <f>_xlfn.XLOOKUP(A75,[1]MIC!A:A,[1]MIC!D:D)</f>
        <v>45709</v>
      </c>
      <c r="Q75" s="5">
        <f>_xlfn.XLOOKUP(A75,'[1]Days Listed'!A:A,'[1]Days Listed'!B:B)</f>
        <v>256</v>
      </c>
      <c r="R75" s="5">
        <f>_xlfn.XLOOKUP(A75,'[1]Days Listed'!A:A,'[1]Days Listed'!C:C)</f>
        <v>129</v>
      </c>
      <c r="S75" s="5">
        <f>_xlfn.XLOOKUP(A75,'[1]Days With Trades'!A:A,'[1]Days With Trades'!B:B)</f>
        <v>80</v>
      </c>
      <c r="T75" s="5">
        <f>_xlfn.XLOOKUP(A75,'[1]Days With Trades'!A:A,'[1]Days With Trades'!C:C)</f>
        <v>41</v>
      </c>
      <c r="U75" s="12">
        <f>_xlfn.XLOOKUP(A75,'[1]Value Traded'!A:A,'[1]Value Traded'!B:B)</f>
        <v>619685</v>
      </c>
      <c r="V75" s="12">
        <f>_xlfn.XLOOKUP(A75,'[1]Value Traded'!A:A,'[1]Value Traded'!C:C)</f>
        <v>534798</v>
      </c>
      <c r="W75" s="12">
        <f>_xlfn.XLOOKUP(A75,'[1]Value Traded'!A:A,'[1]Value Traded'!E:E)</f>
        <v>1626587</v>
      </c>
      <c r="X75" s="12">
        <f>_xlfn.XLOOKUP(A75,'[1]Value Traded'!A:A,'[1]Value Traded'!F:F)</f>
        <v>1006902</v>
      </c>
      <c r="Y75" s="12">
        <f>_xlfn.XLOOKUP(A75,'[1]Value Traded'!A:A,'[1]Value Traded'!G:G)</f>
        <v>1198080</v>
      </c>
      <c r="Z75" s="12">
        <f>_xlfn.XLOOKUP(A75,'[1]Value Traded'!A:A,'[1]Value Traded'!H:H)</f>
        <v>663282</v>
      </c>
    </row>
    <row r="76" spans="1:26" x14ac:dyDescent="0.25">
      <c r="A76" s="8">
        <v>2014187</v>
      </c>
      <c r="B76" s="8" t="s">
        <v>361</v>
      </c>
      <c r="C76" s="8" t="s">
        <v>361</v>
      </c>
      <c r="D76" s="8" t="s">
        <v>362</v>
      </c>
      <c r="E76" s="8" t="s">
        <v>363</v>
      </c>
      <c r="F76" s="8" t="s">
        <v>32</v>
      </c>
      <c r="G76" s="8" t="s">
        <v>47</v>
      </c>
      <c r="H76" s="8" t="s">
        <v>48</v>
      </c>
      <c r="I76" s="8" t="s">
        <v>364</v>
      </c>
      <c r="J76" s="8" t="s">
        <v>36</v>
      </c>
      <c r="K76" s="8" t="s">
        <v>37</v>
      </c>
      <c r="L76" s="8" t="s">
        <v>107</v>
      </c>
      <c r="M76" s="9">
        <v>2220512</v>
      </c>
      <c r="N76" s="10">
        <v>741651008</v>
      </c>
      <c r="O76" s="11">
        <f>_xlfn.XLOOKUP(A76,[1]MIC!A:A,[1]MIC!C:C)</f>
        <v>45344</v>
      </c>
      <c r="P76" s="11">
        <f>_xlfn.XLOOKUP(A76,[1]MIC!A:A,[1]MIC!D:D)</f>
        <v>45709</v>
      </c>
      <c r="Q76" s="5">
        <f>_xlfn.XLOOKUP(A76,'[1]Days Listed'!A:A,'[1]Days Listed'!B:B)</f>
        <v>256</v>
      </c>
      <c r="R76" s="5">
        <f>_xlfn.XLOOKUP(A76,'[1]Days Listed'!A:A,'[1]Days Listed'!C:C)</f>
        <v>129</v>
      </c>
      <c r="S76" s="5">
        <f>_xlfn.XLOOKUP(A76,'[1]Days With Trades'!A:A,'[1]Days With Trades'!B:B)</f>
        <v>222</v>
      </c>
      <c r="T76" s="5">
        <f>_xlfn.XLOOKUP(A76,'[1]Days With Trades'!A:A,'[1]Days With Trades'!C:C)</f>
        <v>117</v>
      </c>
      <c r="U76" s="12">
        <f>_xlfn.XLOOKUP(A76,'[1]Value Traded'!A:A,'[1]Value Traded'!B:B)</f>
        <v>14221348</v>
      </c>
      <c r="V76" s="12">
        <f>_xlfn.XLOOKUP(A76,'[1]Value Traded'!A:A,'[1]Value Traded'!C:C)</f>
        <v>9665750</v>
      </c>
      <c r="W76" s="12">
        <f>_xlfn.XLOOKUP(A76,'[1]Value Traded'!A:A,'[1]Value Traded'!E:E)</f>
        <v>21254874</v>
      </c>
      <c r="X76" s="12">
        <f>_xlfn.XLOOKUP(A76,'[1]Value Traded'!A:A,'[1]Value Traded'!F:F)</f>
        <v>7033526</v>
      </c>
      <c r="Y76" s="12">
        <f>_xlfn.XLOOKUP(A76,'[1]Value Traded'!A:A,'[1]Value Traded'!G:G)</f>
        <v>13411586</v>
      </c>
      <c r="Z76" s="12">
        <f>_xlfn.XLOOKUP(A76,'[1]Value Traded'!A:A,'[1]Value Traded'!H:H)</f>
        <v>3745836</v>
      </c>
    </row>
    <row r="77" spans="1:26" x14ac:dyDescent="0.25">
      <c r="A77" s="13">
        <v>2014190</v>
      </c>
      <c r="B77" s="13" t="s">
        <v>365</v>
      </c>
      <c r="C77" s="13" t="s">
        <v>365</v>
      </c>
      <c r="D77" s="13" t="s">
        <v>366</v>
      </c>
      <c r="E77" s="13" t="s">
        <v>367</v>
      </c>
      <c r="F77" s="13" t="s">
        <v>32</v>
      </c>
      <c r="G77" s="13" t="s">
        <v>47</v>
      </c>
      <c r="H77" s="13" t="s">
        <v>48</v>
      </c>
      <c r="I77" s="13" t="s">
        <v>368</v>
      </c>
      <c r="J77" s="13" t="s">
        <v>36</v>
      </c>
      <c r="K77" s="13" t="s">
        <v>37</v>
      </c>
      <c r="L77" s="13" t="s">
        <v>38</v>
      </c>
      <c r="M77" s="14">
        <v>303215392</v>
      </c>
      <c r="N77" s="15">
        <v>2340822826.2399998</v>
      </c>
      <c r="O77" s="11">
        <f>_xlfn.XLOOKUP(A77,[1]MIC!A:A,[1]MIC!C:C)</f>
        <v>45344</v>
      </c>
      <c r="P77" s="11">
        <f>_xlfn.XLOOKUP(A77,[1]MIC!A:A,[1]MIC!D:D)</f>
        <v>45709</v>
      </c>
      <c r="Q77" s="5">
        <f>_xlfn.XLOOKUP(A77,'[1]Days Listed'!A:A,'[1]Days Listed'!B:B)</f>
        <v>256</v>
      </c>
      <c r="R77" s="5">
        <f>_xlfn.XLOOKUP(A77,'[1]Days Listed'!A:A,'[1]Days Listed'!C:C)</f>
        <v>129</v>
      </c>
      <c r="S77" s="5">
        <f>_xlfn.XLOOKUP(A77,'[1]Days With Trades'!A:A,'[1]Days With Trades'!B:B)</f>
        <v>250</v>
      </c>
      <c r="T77" s="5">
        <f>_xlfn.XLOOKUP(A77,'[1]Days With Trades'!A:A,'[1]Days With Trades'!C:C)</f>
        <v>127</v>
      </c>
      <c r="U77" s="12">
        <f>_xlfn.XLOOKUP(A77,'[1]Value Traded'!A:A,'[1]Value Traded'!B:B)</f>
        <v>279260754.30000001</v>
      </c>
      <c r="V77" s="12">
        <f>_xlfn.XLOOKUP(A77,'[1]Value Traded'!A:A,'[1]Value Traded'!C:C)</f>
        <v>81101010.359999999</v>
      </c>
      <c r="W77" s="12">
        <f>_xlfn.XLOOKUP(A77,'[1]Value Traded'!A:A,'[1]Value Traded'!E:E)</f>
        <v>393907808.10000002</v>
      </c>
      <c r="X77" s="12">
        <f>_xlfn.XLOOKUP(A77,'[1]Value Traded'!A:A,'[1]Value Traded'!F:F)</f>
        <v>114647053.8</v>
      </c>
      <c r="Y77" s="12">
        <f>_xlfn.XLOOKUP(A77,'[1]Value Traded'!A:A,'[1]Value Traded'!G:G)</f>
        <v>112578216.81</v>
      </c>
      <c r="Z77" s="12">
        <f>_xlfn.XLOOKUP(A77,'[1]Value Traded'!A:A,'[1]Value Traded'!H:H)</f>
        <v>31477206.449999999</v>
      </c>
    </row>
    <row r="78" spans="1:26" x14ac:dyDescent="0.25">
      <c r="A78" s="8">
        <v>2015478</v>
      </c>
      <c r="B78" s="8" t="s">
        <v>369</v>
      </c>
      <c r="C78" s="8" t="s">
        <v>369</v>
      </c>
      <c r="D78" s="8" t="s">
        <v>370</v>
      </c>
      <c r="E78" s="8" t="s">
        <v>371</v>
      </c>
      <c r="F78" s="8" t="s">
        <v>32</v>
      </c>
      <c r="G78" s="8" t="s">
        <v>33</v>
      </c>
      <c r="H78" s="8" t="s">
        <v>34</v>
      </c>
      <c r="I78" s="8" t="s">
        <v>372</v>
      </c>
      <c r="J78" s="8" t="s">
        <v>373</v>
      </c>
      <c r="K78" s="8" t="s">
        <v>37</v>
      </c>
      <c r="L78" s="8" t="s">
        <v>97</v>
      </c>
      <c r="M78" s="9">
        <v>4368553</v>
      </c>
      <c r="N78" s="10">
        <v>428118194</v>
      </c>
      <c r="O78" s="11">
        <f>_xlfn.XLOOKUP(A78,[1]MIC!A:A,[1]MIC!C:C)</f>
        <v>45344</v>
      </c>
      <c r="P78" s="11">
        <f>_xlfn.XLOOKUP(A78,[1]MIC!A:A,[1]MIC!D:D)</f>
        <v>45709</v>
      </c>
      <c r="Q78" s="5">
        <f>_xlfn.XLOOKUP(A78,'[1]Days Listed'!A:A,'[1]Days Listed'!B:B)</f>
        <v>256</v>
      </c>
      <c r="R78" s="5">
        <f>_xlfn.XLOOKUP(A78,'[1]Days Listed'!A:A,'[1]Days Listed'!C:C)</f>
        <v>129</v>
      </c>
      <c r="S78" s="5">
        <f>_xlfn.XLOOKUP(A78,'[1]Days With Trades'!A:A,'[1]Days With Trades'!B:B)</f>
        <v>250</v>
      </c>
      <c r="T78" s="5">
        <f>_xlfn.XLOOKUP(A78,'[1]Days With Trades'!A:A,'[1]Days With Trades'!C:C)</f>
        <v>127</v>
      </c>
      <c r="U78" s="12">
        <f>_xlfn.XLOOKUP(A78,'[1]Value Traded'!A:A,'[1]Value Traded'!B:B)</f>
        <v>65155277.799999997</v>
      </c>
      <c r="V78" s="12">
        <f>_xlfn.XLOOKUP(A78,'[1]Value Traded'!A:A,'[1]Value Traded'!C:C)</f>
        <v>37679128.600000001</v>
      </c>
      <c r="W78" s="12">
        <f>_xlfn.XLOOKUP(A78,'[1]Value Traded'!A:A,'[1]Value Traded'!E:E)</f>
        <v>82565563.200000003</v>
      </c>
      <c r="X78" s="12">
        <f>_xlfn.XLOOKUP(A78,'[1]Value Traded'!A:A,'[1]Value Traded'!F:F)</f>
        <v>17410285.399999999</v>
      </c>
      <c r="Y78" s="12">
        <f>_xlfn.XLOOKUP(A78,'[1]Value Traded'!A:A,'[1]Value Traded'!G:G)</f>
        <v>46391889.799999997</v>
      </c>
      <c r="Z78" s="12">
        <f>_xlfn.XLOOKUP(A78,'[1]Value Traded'!A:A,'[1]Value Traded'!H:H)</f>
        <v>8712761.1999999993</v>
      </c>
    </row>
    <row r="79" spans="1:26" x14ac:dyDescent="0.25">
      <c r="A79" s="13">
        <v>2015506</v>
      </c>
      <c r="B79" s="13" t="s">
        <v>374</v>
      </c>
      <c r="C79" s="13" t="s">
        <v>374</v>
      </c>
      <c r="D79" s="13" t="s">
        <v>375</v>
      </c>
      <c r="E79" s="13" t="s">
        <v>376</v>
      </c>
      <c r="F79" s="13" t="s">
        <v>32</v>
      </c>
      <c r="G79" s="13" t="s">
        <v>47</v>
      </c>
      <c r="H79" s="13" t="s">
        <v>54</v>
      </c>
      <c r="I79" s="13" t="s">
        <v>377</v>
      </c>
      <c r="J79" s="13" t="s">
        <v>36</v>
      </c>
      <c r="K79" s="13" t="s">
        <v>37</v>
      </c>
      <c r="L79" s="13" t="s">
        <v>378</v>
      </c>
      <c r="M79" s="14">
        <v>100538332</v>
      </c>
      <c r="N79" s="15">
        <v>31770112912</v>
      </c>
      <c r="O79" s="11">
        <f>_xlfn.XLOOKUP(A79,[1]MIC!A:A,[1]MIC!C:C)</f>
        <v>45344</v>
      </c>
      <c r="P79" s="11">
        <f>_xlfn.XLOOKUP(A79,[1]MIC!A:A,[1]MIC!D:D)</f>
        <v>45709</v>
      </c>
      <c r="Q79" s="5">
        <f>_xlfn.XLOOKUP(A79,'[1]Days Listed'!A:A,'[1]Days Listed'!B:B)</f>
        <v>256</v>
      </c>
      <c r="R79" s="5">
        <f>_xlfn.XLOOKUP(A79,'[1]Days Listed'!A:A,'[1]Days Listed'!C:C)</f>
        <v>129</v>
      </c>
      <c r="S79" s="5">
        <f>_xlfn.XLOOKUP(A79,'[1]Days With Trades'!A:A,'[1]Days With Trades'!B:B)</f>
        <v>250</v>
      </c>
      <c r="T79" s="5">
        <f>_xlfn.XLOOKUP(A79,'[1]Days With Trades'!A:A,'[1]Days With Trades'!C:C)</f>
        <v>127</v>
      </c>
      <c r="U79" s="12">
        <f>_xlfn.XLOOKUP(A79,'[1]Value Traded'!A:A,'[1]Value Traded'!B:B)</f>
        <v>9779862511.7999992</v>
      </c>
      <c r="V79" s="12">
        <f>_xlfn.XLOOKUP(A79,'[1]Value Traded'!A:A,'[1]Value Traded'!C:C)</f>
        <v>5201704486.6000004</v>
      </c>
      <c r="W79" s="12">
        <f>_xlfn.XLOOKUP(A79,'[1]Value Traded'!A:A,'[1]Value Traded'!E:E)</f>
        <v>11524094981</v>
      </c>
      <c r="X79" s="12">
        <f>_xlfn.XLOOKUP(A79,'[1]Value Traded'!A:A,'[1]Value Traded'!F:F)</f>
        <v>1744232469.2</v>
      </c>
      <c r="Y79" s="12">
        <f>_xlfn.XLOOKUP(A79,'[1]Value Traded'!A:A,'[1]Value Traded'!G:G)</f>
        <v>5959624029.1999998</v>
      </c>
      <c r="Z79" s="12">
        <f>_xlfn.XLOOKUP(A79,'[1]Value Traded'!A:A,'[1]Value Traded'!H:H)</f>
        <v>757919542.60000002</v>
      </c>
    </row>
    <row r="80" spans="1:26" x14ac:dyDescent="0.25">
      <c r="A80" s="8">
        <v>2015507</v>
      </c>
      <c r="B80" s="8" t="s">
        <v>379</v>
      </c>
      <c r="C80" s="8" t="s">
        <v>379</v>
      </c>
      <c r="D80" s="8" t="s">
        <v>380</v>
      </c>
      <c r="E80" s="8" t="s">
        <v>381</v>
      </c>
      <c r="F80" s="8" t="s">
        <v>32</v>
      </c>
      <c r="G80" s="8" t="s">
        <v>47</v>
      </c>
      <c r="H80" s="8" t="s">
        <v>48</v>
      </c>
      <c r="I80" s="8" t="s">
        <v>382</v>
      </c>
      <c r="J80" s="8" t="s">
        <v>36</v>
      </c>
      <c r="K80" s="8" t="s">
        <v>37</v>
      </c>
      <c r="L80" s="8" t="s">
        <v>383</v>
      </c>
      <c r="M80" s="9">
        <v>527734895</v>
      </c>
      <c r="N80" s="10">
        <v>3662480171.3000002</v>
      </c>
      <c r="O80" s="11">
        <f>_xlfn.XLOOKUP(A80,[1]MIC!A:A,[1]MIC!C:C)</f>
        <v>45344</v>
      </c>
      <c r="P80" s="11">
        <f>_xlfn.XLOOKUP(A80,[1]MIC!A:A,[1]MIC!D:D)</f>
        <v>45709</v>
      </c>
      <c r="Q80" s="5">
        <f>_xlfn.XLOOKUP(A80,'[1]Days Listed'!A:A,'[1]Days Listed'!B:B)</f>
        <v>256</v>
      </c>
      <c r="R80" s="5">
        <f>_xlfn.XLOOKUP(A80,'[1]Days Listed'!A:A,'[1]Days Listed'!C:C)</f>
        <v>129</v>
      </c>
      <c r="S80" s="5">
        <f>_xlfn.XLOOKUP(A80,'[1]Days With Trades'!A:A,'[1]Days With Trades'!B:B)</f>
        <v>250</v>
      </c>
      <c r="T80" s="5">
        <f>_xlfn.XLOOKUP(A80,'[1]Days With Trades'!A:A,'[1]Days With Trades'!C:C)</f>
        <v>127</v>
      </c>
      <c r="U80" s="12">
        <f>_xlfn.XLOOKUP(A80,'[1]Value Traded'!A:A,'[1]Value Traded'!B:B)</f>
        <v>323901524</v>
      </c>
      <c r="V80" s="12">
        <f>_xlfn.XLOOKUP(A80,'[1]Value Traded'!A:A,'[1]Value Traded'!C:C)</f>
        <v>156894717.63</v>
      </c>
      <c r="W80" s="12">
        <f>_xlfn.XLOOKUP(A80,'[1]Value Traded'!A:A,'[1]Value Traded'!E:E)</f>
        <v>435277356.25999999</v>
      </c>
      <c r="X80" s="12">
        <f>_xlfn.XLOOKUP(A80,'[1]Value Traded'!A:A,'[1]Value Traded'!F:F)</f>
        <v>111375832.26000001</v>
      </c>
      <c r="Y80" s="12">
        <f>_xlfn.XLOOKUP(A80,'[1]Value Traded'!A:A,'[1]Value Traded'!G:G)</f>
        <v>189818373.22</v>
      </c>
      <c r="Z80" s="12">
        <f>_xlfn.XLOOKUP(A80,'[1]Value Traded'!A:A,'[1]Value Traded'!H:H)</f>
        <v>32923655.59</v>
      </c>
    </row>
    <row r="81" spans="1:26" x14ac:dyDescent="0.25">
      <c r="A81" s="13">
        <v>2015508</v>
      </c>
      <c r="B81" s="13" t="s">
        <v>384</v>
      </c>
      <c r="C81" s="13" t="s">
        <v>384</v>
      </c>
      <c r="D81" s="13" t="s">
        <v>385</v>
      </c>
      <c r="E81" s="13" t="s">
        <v>386</v>
      </c>
      <c r="F81" s="13" t="s">
        <v>32</v>
      </c>
      <c r="G81" s="13" t="s">
        <v>47</v>
      </c>
      <c r="H81" s="13" t="s">
        <v>68</v>
      </c>
      <c r="I81" s="13" t="s">
        <v>387</v>
      </c>
      <c r="J81" s="13" t="s">
        <v>36</v>
      </c>
      <c r="K81" s="13" t="s">
        <v>37</v>
      </c>
      <c r="L81" s="13" t="s">
        <v>38</v>
      </c>
      <c r="M81" s="14">
        <v>299600000</v>
      </c>
      <c r="N81" s="15">
        <v>54407360000</v>
      </c>
      <c r="O81" s="11">
        <f>_xlfn.XLOOKUP(A81,[1]MIC!A:A,[1]MIC!C:C)</f>
        <v>45344</v>
      </c>
      <c r="P81" s="11">
        <f>_xlfn.XLOOKUP(A81,[1]MIC!A:A,[1]MIC!D:D)</f>
        <v>45709</v>
      </c>
      <c r="Q81" s="5">
        <f>_xlfn.XLOOKUP(A81,'[1]Days Listed'!A:A,'[1]Days Listed'!B:B)</f>
        <v>256</v>
      </c>
      <c r="R81" s="5">
        <f>_xlfn.XLOOKUP(A81,'[1]Days Listed'!A:A,'[1]Days Listed'!C:C)</f>
        <v>129</v>
      </c>
      <c r="S81" s="5">
        <f>_xlfn.XLOOKUP(A81,'[1]Days With Trades'!A:A,'[1]Days With Trades'!B:B)</f>
        <v>250</v>
      </c>
      <c r="T81" s="5">
        <f>_xlfn.XLOOKUP(A81,'[1]Days With Trades'!A:A,'[1]Days With Trades'!C:C)</f>
        <v>127</v>
      </c>
      <c r="U81" s="12">
        <f>_xlfn.XLOOKUP(A81,'[1]Value Traded'!A:A,'[1]Value Traded'!B:B)</f>
        <v>18193501509</v>
      </c>
      <c r="V81" s="12">
        <f>_xlfn.XLOOKUP(A81,'[1]Value Traded'!A:A,'[1]Value Traded'!C:C)</f>
        <v>8701520990.2999992</v>
      </c>
      <c r="W81" s="12">
        <f>_xlfn.XLOOKUP(A81,'[1]Value Traded'!A:A,'[1]Value Traded'!E:E)</f>
        <v>20367051443.099998</v>
      </c>
      <c r="X81" s="12">
        <f>_xlfn.XLOOKUP(A81,'[1]Value Traded'!A:A,'[1]Value Traded'!F:F)</f>
        <v>2173549934.0999999</v>
      </c>
      <c r="Y81" s="12">
        <f>_xlfn.XLOOKUP(A81,'[1]Value Traded'!A:A,'[1]Value Traded'!G:G)</f>
        <v>9663145292.7999992</v>
      </c>
      <c r="Z81" s="12">
        <f>_xlfn.XLOOKUP(A81,'[1]Value Traded'!A:A,'[1]Value Traded'!H:H)</f>
        <v>961624302.5</v>
      </c>
    </row>
    <row r="82" spans="1:26" x14ac:dyDescent="0.25">
      <c r="A82" s="8">
        <v>2015509</v>
      </c>
      <c r="B82" s="8" t="s">
        <v>388</v>
      </c>
      <c r="C82" s="8" t="s">
        <v>388</v>
      </c>
      <c r="D82" s="8" t="s">
        <v>389</v>
      </c>
      <c r="E82" s="8" t="s">
        <v>390</v>
      </c>
      <c r="F82" s="8" t="s">
        <v>32</v>
      </c>
      <c r="G82" s="8" t="s">
        <v>47</v>
      </c>
      <c r="H82" s="8" t="s">
        <v>301</v>
      </c>
      <c r="I82" s="8" t="s">
        <v>391</v>
      </c>
      <c r="J82" s="8" t="s">
        <v>36</v>
      </c>
      <c r="K82" s="8" t="s">
        <v>37</v>
      </c>
      <c r="L82" s="8" t="s">
        <v>38</v>
      </c>
      <c r="M82" s="9">
        <v>153543734</v>
      </c>
      <c r="N82" s="10">
        <v>3569891815.5</v>
      </c>
      <c r="O82" s="11">
        <f>_xlfn.XLOOKUP(A82,[1]MIC!A:A,[1]MIC!C:C)</f>
        <v>45344</v>
      </c>
      <c r="P82" s="11">
        <f>_xlfn.XLOOKUP(A82,[1]MIC!A:A,[1]MIC!D:D)</f>
        <v>45709</v>
      </c>
      <c r="Q82" s="5">
        <f>_xlfn.XLOOKUP(A82,'[1]Days Listed'!A:A,'[1]Days Listed'!B:B)</f>
        <v>256</v>
      </c>
      <c r="R82" s="5">
        <f>_xlfn.XLOOKUP(A82,'[1]Days Listed'!A:A,'[1]Days Listed'!C:C)</f>
        <v>129</v>
      </c>
      <c r="S82" s="5">
        <f>_xlfn.XLOOKUP(A82,'[1]Days With Trades'!A:A,'[1]Days With Trades'!B:B)</f>
        <v>250</v>
      </c>
      <c r="T82" s="5">
        <f>_xlfn.XLOOKUP(A82,'[1]Days With Trades'!A:A,'[1]Days With Trades'!C:C)</f>
        <v>127</v>
      </c>
      <c r="U82" s="12">
        <f>_xlfn.XLOOKUP(A82,'[1]Value Traded'!A:A,'[1]Value Traded'!B:B)</f>
        <v>1406700871.6400001</v>
      </c>
      <c r="V82" s="12">
        <f>_xlfn.XLOOKUP(A82,'[1]Value Traded'!A:A,'[1]Value Traded'!C:C)</f>
        <v>607536687.84000003</v>
      </c>
      <c r="W82" s="12">
        <f>_xlfn.XLOOKUP(A82,'[1]Value Traded'!A:A,'[1]Value Traded'!E:E)</f>
        <v>1769419629.6900001</v>
      </c>
      <c r="X82" s="12">
        <f>_xlfn.XLOOKUP(A82,'[1]Value Traded'!A:A,'[1]Value Traded'!F:F)</f>
        <v>362718758.05000001</v>
      </c>
      <c r="Y82" s="12">
        <f>_xlfn.XLOOKUP(A82,'[1]Value Traded'!A:A,'[1]Value Traded'!G:G)</f>
        <v>772486677.24000001</v>
      </c>
      <c r="Z82" s="12">
        <f>_xlfn.XLOOKUP(A82,'[1]Value Traded'!A:A,'[1]Value Traded'!H:H)</f>
        <v>164949989.40000001</v>
      </c>
    </row>
    <row r="83" spans="1:26" x14ac:dyDescent="0.25">
      <c r="A83" s="13">
        <v>2015511</v>
      </c>
      <c r="B83" s="13" t="s">
        <v>392</v>
      </c>
      <c r="C83" s="13" t="s">
        <v>392</v>
      </c>
      <c r="D83" s="13" t="s">
        <v>393</v>
      </c>
      <c r="E83" s="13" t="s">
        <v>394</v>
      </c>
      <c r="F83" s="13" t="s">
        <v>32</v>
      </c>
      <c r="G83" s="13" t="s">
        <v>47</v>
      </c>
      <c r="H83" s="13" t="s">
        <v>48</v>
      </c>
      <c r="I83" s="13" t="s">
        <v>395</v>
      </c>
      <c r="J83" s="13" t="s">
        <v>36</v>
      </c>
      <c r="K83" s="13" t="s">
        <v>37</v>
      </c>
      <c r="L83" s="13" t="s">
        <v>38</v>
      </c>
      <c r="M83" s="14">
        <v>256390799</v>
      </c>
      <c r="N83" s="15">
        <v>2181885699.4899998</v>
      </c>
      <c r="O83" s="11">
        <f>_xlfn.XLOOKUP(A83,[1]MIC!A:A,[1]MIC!C:C)</f>
        <v>45344</v>
      </c>
      <c r="P83" s="11">
        <f>_xlfn.XLOOKUP(A83,[1]MIC!A:A,[1]MIC!D:D)</f>
        <v>45709</v>
      </c>
      <c r="Q83" s="5">
        <f>_xlfn.XLOOKUP(A83,'[1]Days Listed'!A:A,'[1]Days Listed'!B:B)</f>
        <v>256</v>
      </c>
      <c r="R83" s="5">
        <f>_xlfn.XLOOKUP(A83,'[1]Days Listed'!A:A,'[1]Days Listed'!C:C)</f>
        <v>129</v>
      </c>
      <c r="S83" s="5">
        <f>_xlfn.XLOOKUP(A83,'[1]Days With Trades'!A:A,'[1]Days With Trades'!B:B)</f>
        <v>250</v>
      </c>
      <c r="T83" s="5">
        <f>_xlfn.XLOOKUP(A83,'[1]Days With Trades'!A:A,'[1]Days With Trades'!C:C)</f>
        <v>127</v>
      </c>
      <c r="U83" s="12">
        <f>_xlfn.XLOOKUP(A83,'[1]Value Traded'!A:A,'[1]Value Traded'!B:B)</f>
        <v>2262662315.8200002</v>
      </c>
      <c r="V83" s="12">
        <f>_xlfn.XLOOKUP(A83,'[1]Value Traded'!A:A,'[1]Value Traded'!C:C)</f>
        <v>986574165.79999995</v>
      </c>
      <c r="W83" s="12">
        <f>_xlfn.XLOOKUP(A83,'[1]Value Traded'!A:A,'[1]Value Traded'!E:E)</f>
        <v>2944778875.54</v>
      </c>
      <c r="X83" s="12">
        <f>_xlfn.XLOOKUP(A83,'[1]Value Traded'!A:A,'[1]Value Traded'!F:F)</f>
        <v>682116559.72000003</v>
      </c>
      <c r="Y83" s="12">
        <f>_xlfn.XLOOKUP(A83,'[1]Value Traded'!A:A,'[1]Value Traded'!G:G)</f>
        <v>1331957822.8800001</v>
      </c>
      <c r="Z83" s="12">
        <f>_xlfn.XLOOKUP(A83,'[1]Value Traded'!A:A,'[1]Value Traded'!H:H)</f>
        <v>345383657.07999998</v>
      </c>
    </row>
    <row r="84" spans="1:26" x14ac:dyDescent="0.25">
      <c r="A84" s="8">
        <v>2015513</v>
      </c>
      <c r="B84" s="8" t="s">
        <v>396</v>
      </c>
      <c r="C84" s="8" t="s">
        <v>396</v>
      </c>
      <c r="D84" s="8" t="s">
        <v>397</v>
      </c>
      <c r="E84" s="8" t="s">
        <v>398</v>
      </c>
      <c r="F84" s="8" t="s">
        <v>32</v>
      </c>
      <c r="G84" s="8" t="s">
        <v>60</v>
      </c>
      <c r="H84" s="8" t="s">
        <v>61</v>
      </c>
      <c r="I84" s="8" t="s">
        <v>399</v>
      </c>
      <c r="J84" s="8" t="s">
        <v>63</v>
      </c>
      <c r="K84" s="8" t="s">
        <v>37</v>
      </c>
      <c r="L84" s="8" t="s">
        <v>400</v>
      </c>
      <c r="M84" s="9">
        <v>24754954</v>
      </c>
      <c r="N84" s="10">
        <v>604020877.60000002</v>
      </c>
      <c r="O84" s="11">
        <f>_xlfn.XLOOKUP(A84,[1]MIC!A:A,[1]MIC!C:C)</f>
        <v>45344</v>
      </c>
      <c r="P84" s="11">
        <f>_xlfn.XLOOKUP(A84,[1]MIC!A:A,[1]MIC!D:D)</f>
        <v>45709</v>
      </c>
      <c r="Q84" s="5">
        <f>_xlfn.XLOOKUP(A84,'[1]Days Listed'!A:A,'[1]Days Listed'!B:B)</f>
        <v>256</v>
      </c>
      <c r="R84" s="5">
        <f>_xlfn.XLOOKUP(A84,'[1]Days Listed'!A:A,'[1]Days Listed'!C:C)</f>
        <v>129</v>
      </c>
      <c r="S84" s="5">
        <f>_xlfn.XLOOKUP(A84,'[1]Days With Trades'!A:A,'[1]Days With Trades'!B:B)</f>
        <v>201</v>
      </c>
      <c r="T84" s="5">
        <f>_xlfn.XLOOKUP(A84,'[1]Days With Trades'!A:A,'[1]Days With Trades'!C:C)</f>
        <v>102</v>
      </c>
      <c r="U84" s="12">
        <f>_xlfn.XLOOKUP(A84,'[1]Value Traded'!A:A,'[1]Value Traded'!B:B)</f>
        <v>4716522.74</v>
      </c>
      <c r="V84" s="12">
        <f>_xlfn.XLOOKUP(A84,'[1]Value Traded'!A:A,'[1]Value Traded'!C:C)</f>
        <v>2428418.7999999998</v>
      </c>
      <c r="W84" s="12">
        <f>_xlfn.XLOOKUP(A84,'[1]Value Traded'!A:A,'[1]Value Traded'!E:E)</f>
        <v>16877360.390000001</v>
      </c>
      <c r="X84" s="12">
        <f>_xlfn.XLOOKUP(A84,'[1]Value Traded'!A:A,'[1]Value Traded'!F:F)</f>
        <v>12160837.65</v>
      </c>
      <c r="Y84" s="12">
        <f>_xlfn.XLOOKUP(A84,'[1]Value Traded'!A:A,'[1]Value Traded'!G:G)</f>
        <v>5612756.7999999998</v>
      </c>
      <c r="Z84" s="12">
        <f>_xlfn.XLOOKUP(A84,'[1]Value Traded'!A:A,'[1]Value Traded'!H:H)</f>
        <v>3184338</v>
      </c>
    </row>
    <row r="85" spans="1:26" x14ac:dyDescent="0.25">
      <c r="A85" s="13">
        <v>2015515</v>
      </c>
      <c r="B85" s="13" t="s">
        <v>401</v>
      </c>
      <c r="C85" s="13" t="s">
        <v>401</v>
      </c>
      <c r="D85" s="13" t="s">
        <v>402</v>
      </c>
      <c r="E85" s="13" t="s">
        <v>403</v>
      </c>
      <c r="F85" s="13" t="s">
        <v>32</v>
      </c>
      <c r="G85" s="13" t="s">
        <v>47</v>
      </c>
      <c r="H85" s="13" t="s">
        <v>54</v>
      </c>
      <c r="I85" s="13" t="s">
        <v>404</v>
      </c>
      <c r="J85" s="13" t="s">
        <v>36</v>
      </c>
      <c r="K85" s="13" t="s">
        <v>37</v>
      </c>
      <c r="L85" s="13" t="s">
        <v>74</v>
      </c>
      <c r="M85" s="14">
        <v>59304619</v>
      </c>
      <c r="N85" s="15">
        <v>33714675901.5</v>
      </c>
      <c r="O85" s="11">
        <f>_xlfn.XLOOKUP(A85,[1]MIC!A:A,[1]MIC!C:C)</f>
        <v>45344</v>
      </c>
      <c r="P85" s="11">
        <f>_xlfn.XLOOKUP(A85,[1]MIC!A:A,[1]MIC!D:D)</f>
        <v>45709</v>
      </c>
      <c r="Q85" s="5">
        <f>_xlfn.XLOOKUP(A85,'[1]Days Listed'!A:A,'[1]Days Listed'!B:B)</f>
        <v>256</v>
      </c>
      <c r="R85" s="5">
        <f>_xlfn.XLOOKUP(A85,'[1]Days Listed'!A:A,'[1]Days Listed'!C:C)</f>
        <v>129</v>
      </c>
      <c r="S85" s="5">
        <f>_xlfn.XLOOKUP(A85,'[1]Days With Trades'!A:A,'[1]Days With Trades'!B:B)</f>
        <v>250</v>
      </c>
      <c r="T85" s="5">
        <f>_xlfn.XLOOKUP(A85,'[1]Days With Trades'!A:A,'[1]Days With Trades'!C:C)</f>
        <v>127</v>
      </c>
      <c r="U85" s="12">
        <f>_xlfn.XLOOKUP(A85,'[1]Value Traded'!A:A,'[1]Value Traded'!B:B)</f>
        <v>8441150239</v>
      </c>
      <c r="V85" s="12">
        <f>_xlfn.XLOOKUP(A85,'[1]Value Traded'!A:A,'[1]Value Traded'!C:C)</f>
        <v>4396006480</v>
      </c>
      <c r="W85" s="12">
        <f>_xlfn.XLOOKUP(A85,'[1]Value Traded'!A:A,'[1]Value Traded'!E:E)</f>
        <v>9779518239.5</v>
      </c>
      <c r="X85" s="12">
        <f>_xlfn.XLOOKUP(A85,'[1]Value Traded'!A:A,'[1]Value Traded'!F:F)</f>
        <v>1338368000.5</v>
      </c>
      <c r="Y85" s="12">
        <f>_xlfn.XLOOKUP(A85,'[1]Value Traded'!A:A,'[1]Value Traded'!G:G)</f>
        <v>5167623238</v>
      </c>
      <c r="Z85" s="12">
        <f>_xlfn.XLOOKUP(A85,'[1]Value Traded'!A:A,'[1]Value Traded'!H:H)</f>
        <v>771616758</v>
      </c>
    </row>
    <row r="86" spans="1:26" x14ac:dyDescent="0.25">
      <c r="A86" s="8">
        <v>2015516</v>
      </c>
      <c r="B86" s="8" t="s">
        <v>405</v>
      </c>
      <c r="C86" s="8" t="s">
        <v>405</v>
      </c>
      <c r="D86" s="8" t="s">
        <v>406</v>
      </c>
      <c r="E86" s="8" t="s">
        <v>407</v>
      </c>
      <c r="F86" s="8" t="s">
        <v>32</v>
      </c>
      <c r="G86" s="8" t="s">
        <v>47</v>
      </c>
      <c r="H86" s="8" t="s">
        <v>48</v>
      </c>
      <c r="I86" s="8" t="s">
        <v>408</v>
      </c>
      <c r="J86" s="8" t="s">
        <v>36</v>
      </c>
      <c r="K86" s="8" t="s">
        <v>37</v>
      </c>
      <c r="L86" s="8" t="s">
        <v>297</v>
      </c>
      <c r="M86" s="9">
        <v>118640150</v>
      </c>
      <c r="N86" s="10">
        <v>25222895890</v>
      </c>
      <c r="O86" s="11">
        <f>_xlfn.XLOOKUP(A86,[1]MIC!A:A,[1]MIC!C:C)</f>
        <v>45344</v>
      </c>
      <c r="P86" s="11">
        <f>_xlfn.XLOOKUP(A86,[1]MIC!A:A,[1]MIC!D:D)</f>
        <v>45709</v>
      </c>
      <c r="Q86" s="5">
        <f>_xlfn.XLOOKUP(A86,'[1]Days Listed'!A:A,'[1]Days Listed'!B:B)</f>
        <v>256</v>
      </c>
      <c r="R86" s="5">
        <f>_xlfn.XLOOKUP(A86,'[1]Days Listed'!A:A,'[1]Days Listed'!C:C)</f>
        <v>129</v>
      </c>
      <c r="S86" s="5">
        <f>_xlfn.XLOOKUP(A86,'[1]Days With Trades'!A:A,'[1]Days With Trades'!B:B)</f>
        <v>248</v>
      </c>
      <c r="T86" s="5">
        <f>_xlfn.XLOOKUP(A86,'[1]Days With Trades'!A:A,'[1]Days With Trades'!C:C)</f>
        <v>125</v>
      </c>
      <c r="U86" s="12">
        <f>_xlfn.XLOOKUP(A86,'[1]Value Traded'!A:A,'[1]Value Traded'!B:B)</f>
        <v>40553381.600000001</v>
      </c>
      <c r="V86" s="12">
        <f>_xlfn.XLOOKUP(A86,'[1]Value Traded'!A:A,'[1]Value Traded'!C:C)</f>
        <v>19940242.800000001</v>
      </c>
      <c r="W86" s="12">
        <f>_xlfn.XLOOKUP(A86,'[1]Value Traded'!A:A,'[1]Value Traded'!E:E)</f>
        <v>72292458.799999997</v>
      </c>
      <c r="X86" s="12">
        <f>_xlfn.XLOOKUP(A86,'[1]Value Traded'!A:A,'[1]Value Traded'!F:F)</f>
        <v>31739077.199999999</v>
      </c>
      <c r="Y86" s="12">
        <f>_xlfn.XLOOKUP(A86,'[1]Value Traded'!A:A,'[1]Value Traded'!G:G)</f>
        <v>37308801.200000003</v>
      </c>
      <c r="Z86" s="12">
        <f>_xlfn.XLOOKUP(A86,'[1]Value Traded'!A:A,'[1]Value Traded'!H:H)</f>
        <v>17368558.399999999</v>
      </c>
    </row>
    <row r="87" spans="1:26" x14ac:dyDescent="0.25">
      <c r="A87" s="13">
        <v>2015517</v>
      </c>
      <c r="B87" s="13" t="s">
        <v>409</v>
      </c>
      <c r="C87" s="13" t="s">
        <v>409</v>
      </c>
      <c r="D87" s="13" t="s">
        <v>410</v>
      </c>
      <c r="E87" s="13" t="s">
        <v>411</v>
      </c>
      <c r="F87" s="13" t="s">
        <v>32</v>
      </c>
      <c r="G87" s="13" t="s">
        <v>47</v>
      </c>
      <c r="H87" s="13" t="s">
        <v>48</v>
      </c>
      <c r="I87" s="13" t="s">
        <v>412</v>
      </c>
      <c r="J87" s="13" t="s">
        <v>36</v>
      </c>
      <c r="K87" s="13" t="s">
        <v>37</v>
      </c>
      <c r="L87" s="13" t="s">
        <v>413</v>
      </c>
      <c r="M87" s="14">
        <v>99996662</v>
      </c>
      <c r="N87" s="15">
        <v>2399919888</v>
      </c>
      <c r="O87" s="11">
        <f>_xlfn.XLOOKUP(A87,[1]MIC!A:A,[1]MIC!C:C)</f>
        <v>45344</v>
      </c>
      <c r="P87" s="11">
        <f>_xlfn.XLOOKUP(A87,[1]MIC!A:A,[1]MIC!D:D)</f>
        <v>45709</v>
      </c>
      <c r="Q87" s="5">
        <f>_xlfn.XLOOKUP(A87,'[1]Days Listed'!A:A,'[1]Days Listed'!B:B)</f>
        <v>256</v>
      </c>
      <c r="R87" s="5">
        <f>_xlfn.XLOOKUP(A87,'[1]Days Listed'!A:A,'[1]Days Listed'!C:C)</f>
        <v>129</v>
      </c>
      <c r="S87" s="5">
        <f>_xlfn.XLOOKUP(A87,'[1]Days With Trades'!A:A,'[1]Days With Trades'!B:B)</f>
        <v>250</v>
      </c>
      <c r="T87" s="5">
        <f>_xlfn.XLOOKUP(A87,'[1]Days With Trades'!A:A,'[1]Days With Trades'!C:C)</f>
        <v>127</v>
      </c>
      <c r="U87" s="12">
        <f>_xlfn.XLOOKUP(A87,'[1]Value Traded'!A:A,'[1]Value Traded'!B:B)</f>
        <v>323541555.5</v>
      </c>
      <c r="V87" s="12">
        <f>_xlfn.XLOOKUP(A87,'[1]Value Traded'!A:A,'[1]Value Traded'!C:C)</f>
        <v>93011569.400000006</v>
      </c>
      <c r="W87" s="12">
        <f>_xlfn.XLOOKUP(A87,'[1]Value Traded'!A:A,'[1]Value Traded'!E:E)</f>
        <v>447003482.39999998</v>
      </c>
      <c r="X87" s="12">
        <f>_xlfn.XLOOKUP(A87,'[1]Value Traded'!A:A,'[1]Value Traded'!F:F)</f>
        <v>123461926.90000001</v>
      </c>
      <c r="Y87" s="12">
        <f>_xlfn.XLOOKUP(A87,'[1]Value Traded'!A:A,'[1]Value Traded'!G:G)</f>
        <v>117074610.7</v>
      </c>
      <c r="Z87" s="12">
        <f>_xlfn.XLOOKUP(A87,'[1]Value Traded'!A:A,'[1]Value Traded'!H:H)</f>
        <v>24063041.300000001</v>
      </c>
    </row>
    <row r="88" spans="1:26" x14ac:dyDescent="0.25">
      <c r="A88" s="8">
        <v>2015519</v>
      </c>
      <c r="B88" s="8" t="s">
        <v>414</v>
      </c>
      <c r="C88" s="8" t="s">
        <v>414</v>
      </c>
      <c r="D88" s="8" t="s">
        <v>415</v>
      </c>
      <c r="E88" s="8" t="s">
        <v>416</v>
      </c>
      <c r="F88" s="8" t="s">
        <v>32</v>
      </c>
      <c r="G88" s="8" t="s">
        <v>47</v>
      </c>
      <c r="H88" s="8" t="s">
        <v>301</v>
      </c>
      <c r="I88" s="8" t="s">
        <v>417</v>
      </c>
      <c r="J88" s="8" t="s">
        <v>36</v>
      </c>
      <c r="K88" s="8" t="s">
        <v>37</v>
      </c>
      <c r="L88" s="8" t="s">
        <v>38</v>
      </c>
      <c r="M88" s="9">
        <v>59133786</v>
      </c>
      <c r="N88" s="10">
        <v>263736685.56</v>
      </c>
      <c r="O88" s="11">
        <f>_xlfn.XLOOKUP(A88,[1]MIC!A:A,[1]MIC!C:C)</f>
        <v>45344</v>
      </c>
      <c r="P88" s="11">
        <f>_xlfn.XLOOKUP(A88,[1]MIC!A:A,[1]MIC!D:D)</f>
        <v>45709</v>
      </c>
      <c r="Q88" s="5">
        <f>_xlfn.XLOOKUP(A88,'[1]Days Listed'!A:A,'[1]Days Listed'!B:B)</f>
        <v>256</v>
      </c>
      <c r="R88" s="5">
        <f>_xlfn.XLOOKUP(A88,'[1]Days Listed'!A:A,'[1]Days Listed'!C:C)</f>
        <v>129</v>
      </c>
      <c r="S88" s="5">
        <f>_xlfn.XLOOKUP(A88,'[1]Days With Trades'!A:A,'[1]Days With Trades'!B:B)</f>
        <v>248</v>
      </c>
      <c r="T88" s="5">
        <f>_xlfn.XLOOKUP(A88,'[1]Days With Trades'!A:A,'[1]Days With Trades'!C:C)</f>
        <v>126</v>
      </c>
      <c r="U88" s="12">
        <f>_xlfn.XLOOKUP(A88,'[1]Value Traded'!A:A,'[1]Value Traded'!B:B)</f>
        <v>21055285.010000002</v>
      </c>
      <c r="V88" s="12">
        <f>_xlfn.XLOOKUP(A88,'[1]Value Traded'!A:A,'[1]Value Traded'!C:C)</f>
        <v>12730697.689999999</v>
      </c>
      <c r="W88" s="12">
        <f>_xlfn.XLOOKUP(A88,'[1]Value Traded'!A:A,'[1]Value Traded'!E:E)</f>
        <v>28449705.07</v>
      </c>
      <c r="X88" s="12">
        <f>_xlfn.XLOOKUP(A88,'[1]Value Traded'!A:A,'[1]Value Traded'!F:F)</f>
        <v>7394420.0599999996</v>
      </c>
      <c r="Y88" s="12">
        <f>_xlfn.XLOOKUP(A88,'[1]Value Traded'!A:A,'[1]Value Traded'!G:G)</f>
        <v>17064611.27</v>
      </c>
      <c r="Z88" s="12">
        <f>_xlfn.XLOOKUP(A88,'[1]Value Traded'!A:A,'[1]Value Traded'!H:H)</f>
        <v>4333913.58</v>
      </c>
    </row>
    <row r="89" spans="1:26" x14ac:dyDescent="0.25">
      <c r="A89" s="13">
        <v>2015520</v>
      </c>
      <c r="B89" s="13" t="s">
        <v>418</v>
      </c>
      <c r="C89" s="13" t="s">
        <v>418</v>
      </c>
      <c r="D89" s="13" t="s">
        <v>419</v>
      </c>
      <c r="E89" s="13" t="s">
        <v>420</v>
      </c>
      <c r="F89" s="13" t="s">
        <v>32</v>
      </c>
      <c r="G89" s="13" t="s">
        <v>47</v>
      </c>
      <c r="H89" s="13" t="s">
        <v>48</v>
      </c>
      <c r="I89" s="13" t="s">
        <v>421</v>
      </c>
      <c r="J89" s="13" t="s">
        <v>36</v>
      </c>
      <c r="K89" s="13" t="s">
        <v>37</v>
      </c>
      <c r="L89" s="13" t="s">
        <v>38</v>
      </c>
      <c r="M89" s="14">
        <v>524482901</v>
      </c>
      <c r="N89" s="15">
        <v>891620931.70000005</v>
      </c>
      <c r="O89" s="11">
        <f>_xlfn.XLOOKUP(A89,[1]MIC!A:A,[1]MIC!C:C)</f>
        <v>45344</v>
      </c>
      <c r="P89" s="11">
        <f>_xlfn.XLOOKUP(A89,[1]MIC!A:A,[1]MIC!D:D)</f>
        <v>45709</v>
      </c>
      <c r="Q89" s="5">
        <f>_xlfn.XLOOKUP(A89,'[1]Days Listed'!A:A,'[1]Days Listed'!B:B)</f>
        <v>256</v>
      </c>
      <c r="R89" s="5">
        <f>_xlfn.XLOOKUP(A89,'[1]Days Listed'!A:A,'[1]Days Listed'!C:C)</f>
        <v>129</v>
      </c>
      <c r="S89" s="5">
        <f>_xlfn.XLOOKUP(A89,'[1]Days With Trades'!A:A,'[1]Days With Trades'!B:B)</f>
        <v>248</v>
      </c>
      <c r="T89" s="5">
        <f>_xlfn.XLOOKUP(A89,'[1]Days With Trades'!A:A,'[1]Days With Trades'!C:C)</f>
        <v>126</v>
      </c>
      <c r="U89" s="12">
        <f>_xlfn.XLOOKUP(A89,'[1]Value Traded'!A:A,'[1]Value Traded'!B:B)</f>
        <v>130561369.31999999</v>
      </c>
      <c r="V89" s="12">
        <f>_xlfn.XLOOKUP(A89,'[1]Value Traded'!A:A,'[1]Value Traded'!C:C)</f>
        <v>60003609.880000003</v>
      </c>
      <c r="W89" s="12">
        <f>_xlfn.XLOOKUP(A89,'[1]Value Traded'!A:A,'[1]Value Traded'!E:E)</f>
        <v>180006360.53999999</v>
      </c>
      <c r="X89" s="12">
        <f>_xlfn.XLOOKUP(A89,'[1]Value Traded'!A:A,'[1]Value Traded'!F:F)</f>
        <v>49444991.219999999</v>
      </c>
      <c r="Y89" s="12">
        <f>_xlfn.XLOOKUP(A89,'[1]Value Traded'!A:A,'[1]Value Traded'!G:G)</f>
        <v>81047839.099999994</v>
      </c>
      <c r="Z89" s="12">
        <f>_xlfn.XLOOKUP(A89,'[1]Value Traded'!A:A,'[1]Value Traded'!H:H)</f>
        <v>21044229.219999999</v>
      </c>
    </row>
    <row r="90" spans="1:26" x14ac:dyDescent="0.25">
      <c r="A90" s="8">
        <v>2015521</v>
      </c>
      <c r="B90" s="8" t="s">
        <v>422</v>
      </c>
      <c r="C90" s="8" t="s">
        <v>422</v>
      </c>
      <c r="D90" s="8" t="s">
        <v>423</v>
      </c>
      <c r="E90" s="8" t="s">
        <v>424</v>
      </c>
      <c r="F90" s="8" t="s">
        <v>32</v>
      </c>
      <c r="G90" s="8" t="s">
        <v>47</v>
      </c>
      <c r="H90" s="8" t="s">
        <v>48</v>
      </c>
      <c r="I90" s="8" t="s">
        <v>425</v>
      </c>
      <c r="J90" s="8" t="s">
        <v>36</v>
      </c>
      <c r="K90" s="8" t="s">
        <v>37</v>
      </c>
      <c r="L90" s="8" t="s">
        <v>38</v>
      </c>
      <c r="M90" s="9">
        <v>80476265</v>
      </c>
      <c r="N90" s="10">
        <v>490905216.5</v>
      </c>
      <c r="O90" s="11">
        <f>_xlfn.XLOOKUP(A90,[1]MIC!A:A,[1]MIC!C:C)</f>
        <v>45344</v>
      </c>
      <c r="P90" s="11">
        <f>_xlfn.XLOOKUP(A90,[1]MIC!A:A,[1]MIC!D:D)</f>
        <v>45709</v>
      </c>
      <c r="Q90" s="5">
        <f>_xlfn.XLOOKUP(A90,'[1]Days Listed'!A:A,'[1]Days Listed'!B:B)</f>
        <v>256</v>
      </c>
      <c r="R90" s="5">
        <f>_xlfn.XLOOKUP(A90,'[1]Days Listed'!A:A,'[1]Days Listed'!C:C)</f>
        <v>129</v>
      </c>
      <c r="S90" s="5">
        <f>_xlfn.XLOOKUP(A90,'[1]Days With Trades'!A:A,'[1]Days With Trades'!B:B)</f>
        <v>250</v>
      </c>
      <c r="T90" s="5">
        <f>_xlfn.XLOOKUP(A90,'[1]Days With Trades'!A:A,'[1]Days With Trades'!C:C)</f>
        <v>127</v>
      </c>
      <c r="U90" s="12">
        <f>_xlfn.XLOOKUP(A90,'[1]Value Traded'!A:A,'[1]Value Traded'!B:B)</f>
        <v>146482567.56999999</v>
      </c>
      <c r="V90" s="12">
        <f>_xlfn.XLOOKUP(A90,'[1]Value Traded'!A:A,'[1]Value Traded'!C:C)</f>
        <v>73209305.200000003</v>
      </c>
      <c r="W90" s="12">
        <f>_xlfn.XLOOKUP(A90,'[1]Value Traded'!A:A,'[1]Value Traded'!E:E)</f>
        <v>194500461.36000001</v>
      </c>
      <c r="X90" s="12">
        <f>_xlfn.XLOOKUP(A90,'[1]Value Traded'!A:A,'[1]Value Traded'!F:F)</f>
        <v>48017893.789999999</v>
      </c>
      <c r="Y90" s="12">
        <f>_xlfn.XLOOKUP(A90,'[1]Value Traded'!A:A,'[1]Value Traded'!G:G)</f>
        <v>95541580.040000007</v>
      </c>
      <c r="Z90" s="12">
        <f>_xlfn.XLOOKUP(A90,'[1]Value Traded'!A:A,'[1]Value Traded'!H:H)</f>
        <v>22332274.84</v>
      </c>
    </row>
    <row r="91" spans="1:26" x14ac:dyDescent="0.25">
      <c r="A91" s="13">
        <v>2015522</v>
      </c>
      <c r="B91" s="13" t="s">
        <v>426</v>
      </c>
      <c r="C91" s="13" t="s">
        <v>426</v>
      </c>
      <c r="D91" s="13" t="s">
        <v>427</v>
      </c>
      <c r="E91" s="13" t="s">
        <v>428</v>
      </c>
      <c r="F91" s="13" t="s">
        <v>32</v>
      </c>
      <c r="G91" s="13" t="s">
        <v>47</v>
      </c>
      <c r="H91" s="13" t="s">
        <v>48</v>
      </c>
      <c r="I91" s="13" t="s">
        <v>429</v>
      </c>
      <c r="J91" s="13" t="s">
        <v>36</v>
      </c>
      <c r="K91" s="13" t="s">
        <v>37</v>
      </c>
      <c r="L91" s="13" t="s">
        <v>160</v>
      </c>
      <c r="M91" s="14">
        <v>428515836</v>
      </c>
      <c r="N91" s="15">
        <v>968445789.36000001</v>
      </c>
      <c r="O91" s="11">
        <f>_xlfn.XLOOKUP(A91,[1]MIC!A:A,[1]MIC!C:C)</f>
        <v>45344</v>
      </c>
      <c r="P91" s="11">
        <f>_xlfn.XLOOKUP(A91,[1]MIC!A:A,[1]MIC!D:D)</f>
        <v>45709</v>
      </c>
      <c r="Q91" s="5">
        <f>_xlfn.XLOOKUP(A91,'[1]Days Listed'!A:A,'[1]Days Listed'!B:B)</f>
        <v>256</v>
      </c>
      <c r="R91" s="5">
        <f>_xlfn.XLOOKUP(A91,'[1]Days Listed'!A:A,'[1]Days Listed'!C:C)</f>
        <v>129</v>
      </c>
      <c r="S91" s="5">
        <f>_xlfn.XLOOKUP(A91,'[1]Days With Trades'!A:A,'[1]Days With Trades'!B:B)</f>
        <v>250</v>
      </c>
      <c r="T91" s="5">
        <f>_xlfn.XLOOKUP(A91,'[1]Days With Trades'!A:A,'[1]Days With Trades'!C:C)</f>
        <v>127</v>
      </c>
      <c r="U91" s="12">
        <f>_xlfn.XLOOKUP(A91,'[1]Value Traded'!A:A,'[1]Value Traded'!B:B)</f>
        <v>368989392.77999997</v>
      </c>
      <c r="V91" s="12">
        <f>_xlfn.XLOOKUP(A91,'[1]Value Traded'!A:A,'[1]Value Traded'!C:C)</f>
        <v>214515560.36000001</v>
      </c>
      <c r="W91" s="12">
        <f>_xlfn.XLOOKUP(A91,'[1]Value Traded'!A:A,'[1]Value Traded'!E:E)</f>
        <v>606375094.96000004</v>
      </c>
      <c r="X91" s="12">
        <f>_xlfn.XLOOKUP(A91,'[1]Value Traded'!A:A,'[1]Value Traded'!F:F)</f>
        <v>237385702.18000001</v>
      </c>
      <c r="Y91" s="12">
        <f>_xlfn.XLOOKUP(A91,'[1]Value Traded'!A:A,'[1]Value Traded'!G:G)</f>
        <v>323820154.73000002</v>
      </c>
      <c r="Z91" s="12">
        <f>_xlfn.XLOOKUP(A91,'[1]Value Traded'!A:A,'[1]Value Traded'!H:H)</f>
        <v>109304594.37</v>
      </c>
    </row>
    <row r="92" spans="1:26" x14ac:dyDescent="0.25">
      <c r="A92" s="8">
        <v>2015523</v>
      </c>
      <c r="B92" s="8" t="s">
        <v>430</v>
      </c>
      <c r="C92" s="8" t="s">
        <v>430</v>
      </c>
      <c r="D92" s="8" t="s">
        <v>431</v>
      </c>
      <c r="E92" s="8" t="s">
        <v>432</v>
      </c>
      <c r="F92" s="8" t="s">
        <v>32</v>
      </c>
      <c r="G92" s="8" t="s">
        <v>47</v>
      </c>
      <c r="H92" s="8" t="s">
        <v>48</v>
      </c>
      <c r="I92" s="8" t="s">
        <v>433</v>
      </c>
      <c r="J92" s="8" t="s">
        <v>36</v>
      </c>
      <c r="K92" s="8" t="s">
        <v>37</v>
      </c>
      <c r="L92" s="8" t="s">
        <v>50</v>
      </c>
      <c r="M92" s="9">
        <v>58523796</v>
      </c>
      <c r="N92" s="10">
        <v>15684377328</v>
      </c>
      <c r="O92" s="11">
        <f>_xlfn.XLOOKUP(A92,[1]MIC!A:A,[1]MIC!C:C)</f>
        <v>45344</v>
      </c>
      <c r="P92" s="11">
        <f>_xlfn.XLOOKUP(A92,[1]MIC!A:A,[1]MIC!D:D)</f>
        <v>45709</v>
      </c>
      <c r="Q92" s="5">
        <f>_xlfn.XLOOKUP(A92,'[1]Days Listed'!A:A,'[1]Days Listed'!B:B)</f>
        <v>256</v>
      </c>
      <c r="R92" s="5">
        <f>_xlfn.XLOOKUP(A92,'[1]Days Listed'!A:A,'[1]Days Listed'!C:C)</f>
        <v>129</v>
      </c>
      <c r="S92" s="5">
        <f>_xlfn.XLOOKUP(A92,'[1]Days With Trades'!A:A,'[1]Days With Trades'!B:B)</f>
        <v>250</v>
      </c>
      <c r="T92" s="5">
        <f>_xlfn.XLOOKUP(A92,'[1]Days With Trades'!A:A,'[1]Days With Trades'!C:C)</f>
        <v>127</v>
      </c>
      <c r="U92" s="12">
        <f>_xlfn.XLOOKUP(A92,'[1]Value Traded'!A:A,'[1]Value Traded'!B:B)</f>
        <v>3664460966.25</v>
      </c>
      <c r="V92" s="12">
        <f>_xlfn.XLOOKUP(A92,'[1]Value Traded'!A:A,'[1]Value Traded'!C:C)</f>
        <v>1944890516.5</v>
      </c>
      <c r="W92" s="12">
        <f>_xlfn.XLOOKUP(A92,'[1]Value Traded'!A:A,'[1]Value Traded'!E:E)</f>
        <v>4367827041.5</v>
      </c>
      <c r="X92" s="12">
        <f>_xlfn.XLOOKUP(A92,'[1]Value Traded'!A:A,'[1]Value Traded'!F:F)</f>
        <v>703366075.25</v>
      </c>
      <c r="Y92" s="12">
        <f>_xlfn.XLOOKUP(A92,'[1]Value Traded'!A:A,'[1]Value Traded'!G:G)</f>
        <v>2326359937</v>
      </c>
      <c r="Z92" s="12">
        <f>_xlfn.XLOOKUP(A92,'[1]Value Traded'!A:A,'[1]Value Traded'!H:H)</f>
        <v>381469420.5</v>
      </c>
    </row>
    <row r="93" spans="1:26" x14ac:dyDescent="0.25">
      <c r="A93" s="13">
        <v>2015525</v>
      </c>
      <c r="B93" s="13" t="s">
        <v>434</v>
      </c>
      <c r="C93" s="13" t="s">
        <v>434</v>
      </c>
      <c r="D93" s="13" t="s">
        <v>435</v>
      </c>
      <c r="E93" s="13" t="s">
        <v>436</v>
      </c>
      <c r="F93" s="13" t="s">
        <v>32</v>
      </c>
      <c r="G93" s="13" t="s">
        <v>47</v>
      </c>
      <c r="H93" s="13" t="s">
        <v>48</v>
      </c>
      <c r="I93" s="13" t="s">
        <v>437</v>
      </c>
      <c r="J93" s="13" t="s">
        <v>36</v>
      </c>
      <c r="K93" s="13" t="s">
        <v>37</v>
      </c>
      <c r="L93" s="13" t="s">
        <v>400</v>
      </c>
      <c r="M93" s="14">
        <v>239807088</v>
      </c>
      <c r="N93" s="15">
        <v>15563480011.200001</v>
      </c>
      <c r="O93" s="11">
        <f>_xlfn.XLOOKUP(A93,[1]MIC!A:A,[1]MIC!C:C)</f>
        <v>45344</v>
      </c>
      <c r="P93" s="11">
        <f>_xlfn.XLOOKUP(A93,[1]MIC!A:A,[1]MIC!D:D)</f>
        <v>45709</v>
      </c>
      <c r="Q93" s="5">
        <f>_xlfn.XLOOKUP(A93,'[1]Days Listed'!A:A,'[1]Days Listed'!B:B)</f>
        <v>256</v>
      </c>
      <c r="R93" s="5">
        <f>_xlfn.XLOOKUP(A93,'[1]Days Listed'!A:A,'[1]Days Listed'!C:C)</f>
        <v>129</v>
      </c>
      <c r="S93" s="5">
        <f>_xlfn.XLOOKUP(A93,'[1]Days With Trades'!A:A,'[1]Days With Trades'!B:B)</f>
        <v>250</v>
      </c>
      <c r="T93" s="5">
        <f>_xlfn.XLOOKUP(A93,'[1]Days With Trades'!A:A,'[1]Days With Trades'!C:C)</f>
        <v>127</v>
      </c>
      <c r="U93" s="12">
        <f>_xlfn.XLOOKUP(A93,'[1]Value Traded'!A:A,'[1]Value Traded'!B:B)</f>
        <v>3231909466.5</v>
      </c>
      <c r="V93" s="12">
        <f>_xlfn.XLOOKUP(A93,'[1]Value Traded'!A:A,'[1]Value Traded'!C:C)</f>
        <v>1899505666.8</v>
      </c>
      <c r="W93" s="12">
        <f>_xlfn.XLOOKUP(A93,'[1]Value Traded'!A:A,'[1]Value Traded'!E:E)</f>
        <v>3844563579.1799998</v>
      </c>
      <c r="X93" s="12">
        <f>_xlfn.XLOOKUP(A93,'[1]Value Traded'!A:A,'[1]Value Traded'!F:F)</f>
        <v>612654112.67999995</v>
      </c>
      <c r="Y93" s="12">
        <f>_xlfn.XLOOKUP(A93,'[1]Value Traded'!A:A,'[1]Value Traded'!G:G)</f>
        <v>2247414087.6999998</v>
      </c>
      <c r="Z93" s="12">
        <f>_xlfn.XLOOKUP(A93,'[1]Value Traded'!A:A,'[1]Value Traded'!H:H)</f>
        <v>347908420.89999998</v>
      </c>
    </row>
    <row r="94" spans="1:26" x14ac:dyDescent="0.25">
      <c r="A94" s="8">
        <v>2015527</v>
      </c>
      <c r="B94" s="8" t="s">
        <v>438</v>
      </c>
      <c r="C94" s="8" t="s">
        <v>438</v>
      </c>
      <c r="D94" s="8" t="s">
        <v>439</v>
      </c>
      <c r="E94" s="8" t="s">
        <v>440</v>
      </c>
      <c r="F94" s="8" t="s">
        <v>32</v>
      </c>
      <c r="G94" s="8" t="s">
        <v>47</v>
      </c>
      <c r="H94" s="8" t="s">
        <v>48</v>
      </c>
      <c r="I94" s="8" t="s">
        <v>441</v>
      </c>
      <c r="J94" s="8" t="s">
        <v>36</v>
      </c>
      <c r="K94" s="8" t="s">
        <v>37</v>
      </c>
      <c r="L94" s="8" t="s">
        <v>50</v>
      </c>
      <c r="M94" s="9">
        <v>109258943</v>
      </c>
      <c r="N94" s="10">
        <v>611850080.79999995</v>
      </c>
      <c r="O94" s="11">
        <f>_xlfn.XLOOKUP(A94,[1]MIC!A:A,[1]MIC!C:C)</f>
        <v>45344</v>
      </c>
      <c r="P94" s="11">
        <f>_xlfn.XLOOKUP(A94,[1]MIC!A:A,[1]MIC!D:D)</f>
        <v>45709</v>
      </c>
      <c r="Q94" s="5">
        <f>_xlfn.XLOOKUP(A94,'[1]Days Listed'!A:A,'[1]Days Listed'!B:B)</f>
        <v>256</v>
      </c>
      <c r="R94" s="5">
        <f>_xlfn.XLOOKUP(A94,'[1]Days Listed'!A:A,'[1]Days Listed'!C:C)</f>
        <v>129</v>
      </c>
      <c r="S94" s="5">
        <f>_xlfn.XLOOKUP(A94,'[1]Days With Trades'!A:A,'[1]Days With Trades'!B:B)</f>
        <v>250</v>
      </c>
      <c r="T94" s="5">
        <f>_xlfn.XLOOKUP(A94,'[1]Days With Trades'!A:A,'[1]Days With Trades'!C:C)</f>
        <v>127</v>
      </c>
      <c r="U94" s="12">
        <f>_xlfn.XLOOKUP(A94,'[1]Value Traded'!A:A,'[1]Value Traded'!B:B)</f>
        <v>56020917.649999999</v>
      </c>
      <c r="V94" s="12">
        <f>_xlfn.XLOOKUP(A94,'[1]Value Traded'!A:A,'[1]Value Traded'!C:C)</f>
        <v>26214266.379999999</v>
      </c>
      <c r="W94" s="12">
        <f>_xlfn.XLOOKUP(A94,'[1]Value Traded'!A:A,'[1]Value Traded'!E:E)</f>
        <v>75517969.780000001</v>
      </c>
      <c r="X94" s="12">
        <f>_xlfn.XLOOKUP(A94,'[1]Value Traded'!A:A,'[1]Value Traded'!F:F)</f>
        <v>19497052.129999999</v>
      </c>
      <c r="Y94" s="12">
        <f>_xlfn.XLOOKUP(A94,'[1]Value Traded'!A:A,'[1]Value Traded'!G:G)</f>
        <v>32929522.82</v>
      </c>
      <c r="Z94" s="12">
        <f>_xlfn.XLOOKUP(A94,'[1]Value Traded'!A:A,'[1]Value Traded'!H:H)</f>
        <v>6715256.4400000004</v>
      </c>
    </row>
    <row r="95" spans="1:26" x14ac:dyDescent="0.25">
      <c r="A95" s="13">
        <v>2015529</v>
      </c>
      <c r="B95" s="13" t="s">
        <v>442</v>
      </c>
      <c r="C95" s="13" t="s">
        <v>442</v>
      </c>
      <c r="D95" s="13" t="s">
        <v>443</v>
      </c>
      <c r="E95" s="13" t="s">
        <v>444</v>
      </c>
      <c r="F95" s="13" t="s">
        <v>32</v>
      </c>
      <c r="G95" s="13" t="s">
        <v>47</v>
      </c>
      <c r="H95" s="13" t="s">
        <v>68</v>
      </c>
      <c r="I95" s="13" t="s">
        <v>445</v>
      </c>
      <c r="J95" s="13" t="s">
        <v>36</v>
      </c>
      <c r="K95" s="13" t="s">
        <v>37</v>
      </c>
      <c r="L95" s="13" t="s">
        <v>50</v>
      </c>
      <c r="M95" s="14">
        <v>201165621</v>
      </c>
      <c r="N95" s="15">
        <v>21454313479.650002</v>
      </c>
      <c r="O95" s="11">
        <f>_xlfn.XLOOKUP(A95,[1]MIC!A:A,[1]MIC!C:C)</f>
        <v>45344</v>
      </c>
      <c r="P95" s="11">
        <f>_xlfn.XLOOKUP(A95,[1]MIC!A:A,[1]MIC!D:D)</f>
        <v>45709</v>
      </c>
      <c r="Q95" s="5">
        <f>_xlfn.XLOOKUP(A95,'[1]Days Listed'!A:A,'[1]Days Listed'!B:B)</f>
        <v>256</v>
      </c>
      <c r="R95" s="5">
        <f>_xlfn.XLOOKUP(A95,'[1]Days Listed'!A:A,'[1]Days Listed'!C:C)</f>
        <v>129</v>
      </c>
      <c r="S95" s="5">
        <f>_xlfn.XLOOKUP(A95,'[1]Days With Trades'!A:A,'[1]Days With Trades'!B:B)</f>
        <v>250</v>
      </c>
      <c r="T95" s="5">
        <f>_xlfn.XLOOKUP(A95,'[1]Days With Trades'!A:A,'[1]Days With Trades'!C:C)</f>
        <v>127</v>
      </c>
      <c r="U95" s="12">
        <f>_xlfn.XLOOKUP(A95,'[1]Value Traded'!A:A,'[1]Value Traded'!B:B)</f>
        <v>12784208872.92</v>
      </c>
      <c r="V95" s="12">
        <f>_xlfn.XLOOKUP(A95,'[1]Value Traded'!A:A,'[1]Value Traded'!C:C)</f>
        <v>5479000321.6999998</v>
      </c>
      <c r="W95" s="12">
        <f>_xlfn.XLOOKUP(A95,'[1]Value Traded'!A:A,'[1]Value Traded'!E:E)</f>
        <v>15556650498.370001</v>
      </c>
      <c r="X95" s="12">
        <f>_xlfn.XLOOKUP(A95,'[1]Value Traded'!A:A,'[1]Value Traded'!F:F)</f>
        <v>2772441625.4499998</v>
      </c>
      <c r="Y95" s="12">
        <f>_xlfn.XLOOKUP(A95,'[1]Value Traded'!A:A,'[1]Value Traded'!G:G)</f>
        <v>6196864006.3299999</v>
      </c>
      <c r="Z95" s="12">
        <f>_xlfn.XLOOKUP(A95,'[1]Value Traded'!A:A,'[1]Value Traded'!H:H)</f>
        <v>717863684.63</v>
      </c>
    </row>
    <row r="96" spans="1:26" x14ac:dyDescent="0.25">
      <c r="A96" s="8">
        <v>2015530</v>
      </c>
      <c r="B96" s="8" t="s">
        <v>446</v>
      </c>
      <c r="C96" s="8" t="s">
        <v>446</v>
      </c>
      <c r="D96" s="8" t="s">
        <v>447</v>
      </c>
      <c r="E96" s="8" t="s">
        <v>448</v>
      </c>
      <c r="F96" s="8" t="s">
        <v>32</v>
      </c>
      <c r="G96" s="8" t="s">
        <v>47</v>
      </c>
      <c r="H96" s="8" t="s">
        <v>68</v>
      </c>
      <c r="I96" s="8" t="s">
        <v>449</v>
      </c>
      <c r="J96" s="8" t="s">
        <v>36</v>
      </c>
      <c r="K96" s="8" t="s">
        <v>37</v>
      </c>
      <c r="L96" s="8" t="s">
        <v>50</v>
      </c>
      <c r="M96" s="9">
        <v>222622889</v>
      </c>
      <c r="N96" s="10">
        <v>41474644220.699997</v>
      </c>
      <c r="O96" s="11">
        <f>_xlfn.XLOOKUP(A96,[1]MIC!A:A,[1]MIC!C:C)</f>
        <v>45344</v>
      </c>
      <c r="P96" s="11">
        <f>_xlfn.XLOOKUP(A96,[1]MIC!A:A,[1]MIC!D:D)</f>
        <v>45709</v>
      </c>
      <c r="Q96" s="5">
        <f>_xlfn.XLOOKUP(A96,'[1]Days Listed'!A:A,'[1]Days Listed'!B:B)</f>
        <v>256</v>
      </c>
      <c r="R96" s="5">
        <f>_xlfn.XLOOKUP(A96,'[1]Days Listed'!A:A,'[1]Days Listed'!C:C)</f>
        <v>129</v>
      </c>
      <c r="S96" s="5">
        <f>_xlfn.XLOOKUP(A96,'[1]Days With Trades'!A:A,'[1]Days With Trades'!B:B)</f>
        <v>250</v>
      </c>
      <c r="T96" s="5">
        <f>_xlfn.XLOOKUP(A96,'[1]Days With Trades'!A:A,'[1]Days With Trades'!C:C)</f>
        <v>127</v>
      </c>
      <c r="U96" s="12">
        <f>_xlfn.XLOOKUP(A96,'[1]Value Traded'!A:A,'[1]Value Traded'!B:B)</f>
        <v>50283292806.449997</v>
      </c>
      <c r="V96" s="12">
        <f>_xlfn.XLOOKUP(A96,'[1]Value Traded'!A:A,'[1]Value Traded'!C:C)</f>
        <v>26996101608.650002</v>
      </c>
      <c r="W96" s="12">
        <f>_xlfn.XLOOKUP(A96,'[1]Value Traded'!A:A,'[1]Value Traded'!E:E)</f>
        <v>59264623116.800003</v>
      </c>
      <c r="X96" s="12">
        <f>_xlfn.XLOOKUP(A96,'[1]Value Traded'!A:A,'[1]Value Traded'!F:F)</f>
        <v>8981330310.3500004</v>
      </c>
      <c r="Y96" s="12">
        <f>_xlfn.XLOOKUP(A96,'[1]Value Traded'!A:A,'[1]Value Traded'!G:G)</f>
        <v>31579454900.049999</v>
      </c>
      <c r="Z96" s="12">
        <f>_xlfn.XLOOKUP(A96,'[1]Value Traded'!A:A,'[1]Value Traded'!H:H)</f>
        <v>4583353291.3999996</v>
      </c>
    </row>
    <row r="97" spans="1:26" x14ac:dyDescent="0.25">
      <c r="A97" s="13">
        <v>2015531</v>
      </c>
      <c r="B97" s="13" t="s">
        <v>450</v>
      </c>
      <c r="C97" s="13" t="s">
        <v>450</v>
      </c>
      <c r="D97" s="13" t="s">
        <v>451</v>
      </c>
      <c r="E97" s="13" t="s">
        <v>452</v>
      </c>
      <c r="F97" s="13" t="s">
        <v>32</v>
      </c>
      <c r="G97" s="13" t="s">
        <v>47</v>
      </c>
      <c r="H97" s="13" t="s">
        <v>48</v>
      </c>
      <c r="I97" s="13" t="s">
        <v>453</v>
      </c>
      <c r="J97" s="13" t="s">
        <v>36</v>
      </c>
      <c r="K97" s="13" t="s">
        <v>37</v>
      </c>
      <c r="L97" s="13" t="s">
        <v>50</v>
      </c>
      <c r="M97" s="14">
        <v>54520325</v>
      </c>
      <c r="N97" s="15">
        <v>13804546290</v>
      </c>
      <c r="O97" s="11">
        <f>_xlfn.XLOOKUP(A97,[1]MIC!A:A,[1]MIC!C:C)</f>
        <v>45344</v>
      </c>
      <c r="P97" s="11">
        <f>_xlfn.XLOOKUP(A97,[1]MIC!A:A,[1]MIC!D:D)</f>
        <v>45709</v>
      </c>
      <c r="Q97" s="5">
        <f>_xlfn.XLOOKUP(A97,'[1]Days Listed'!A:A,'[1]Days Listed'!B:B)</f>
        <v>256</v>
      </c>
      <c r="R97" s="5">
        <f>_xlfn.XLOOKUP(A97,'[1]Days Listed'!A:A,'[1]Days Listed'!C:C)</f>
        <v>129</v>
      </c>
      <c r="S97" s="5">
        <f>_xlfn.XLOOKUP(A97,'[1]Days With Trades'!A:A,'[1]Days With Trades'!B:B)</f>
        <v>250</v>
      </c>
      <c r="T97" s="5">
        <f>_xlfn.XLOOKUP(A97,'[1]Days With Trades'!A:A,'[1]Days With Trades'!C:C)</f>
        <v>127</v>
      </c>
      <c r="U97" s="12">
        <f>_xlfn.XLOOKUP(A97,'[1]Value Traded'!A:A,'[1]Value Traded'!B:B)</f>
        <v>1147671270.9000001</v>
      </c>
      <c r="V97" s="12">
        <f>_xlfn.XLOOKUP(A97,'[1]Value Traded'!A:A,'[1]Value Traded'!C:C)</f>
        <v>602452871.10000002</v>
      </c>
      <c r="W97" s="12">
        <f>_xlfn.XLOOKUP(A97,'[1]Value Traded'!A:A,'[1]Value Traded'!E:E)</f>
        <v>1340833301.7</v>
      </c>
      <c r="X97" s="12">
        <f>_xlfn.XLOOKUP(A97,'[1]Value Traded'!A:A,'[1]Value Traded'!F:F)</f>
        <v>193162030.80000001</v>
      </c>
      <c r="Y97" s="12">
        <f>_xlfn.XLOOKUP(A97,'[1]Value Traded'!A:A,'[1]Value Traded'!G:G)</f>
        <v>701067690.70000005</v>
      </c>
      <c r="Z97" s="12">
        <f>_xlfn.XLOOKUP(A97,'[1]Value Traded'!A:A,'[1]Value Traded'!H:H)</f>
        <v>98614819.599999994</v>
      </c>
    </row>
    <row r="98" spans="1:26" x14ac:dyDescent="0.25">
      <c r="A98" s="8">
        <v>2015532</v>
      </c>
      <c r="B98" s="8" t="s">
        <v>454</v>
      </c>
      <c r="C98" s="8" t="s">
        <v>454</v>
      </c>
      <c r="D98" s="8" t="s">
        <v>455</v>
      </c>
      <c r="E98" s="8" t="s">
        <v>456</v>
      </c>
      <c r="F98" s="8" t="s">
        <v>32</v>
      </c>
      <c r="G98" s="8" t="s">
        <v>47</v>
      </c>
      <c r="H98" s="8" t="s">
        <v>54</v>
      </c>
      <c r="I98" s="8" t="s">
        <v>457</v>
      </c>
      <c r="J98" s="8" t="s">
        <v>36</v>
      </c>
      <c r="K98" s="8" t="s">
        <v>37</v>
      </c>
      <c r="L98" s="8" t="s">
        <v>38</v>
      </c>
      <c r="M98" s="9">
        <v>184956320</v>
      </c>
      <c r="N98" s="10">
        <v>5909354424</v>
      </c>
      <c r="O98" s="11">
        <f>_xlfn.XLOOKUP(A98,[1]MIC!A:A,[1]MIC!C:C)</f>
        <v>45344</v>
      </c>
      <c r="P98" s="11">
        <f>_xlfn.XLOOKUP(A98,[1]MIC!A:A,[1]MIC!D:D)</f>
        <v>45709</v>
      </c>
      <c r="Q98" s="5">
        <f>_xlfn.XLOOKUP(A98,'[1]Days Listed'!A:A,'[1]Days Listed'!B:B)</f>
        <v>256</v>
      </c>
      <c r="R98" s="5">
        <f>_xlfn.XLOOKUP(A98,'[1]Days Listed'!A:A,'[1]Days Listed'!C:C)</f>
        <v>129</v>
      </c>
      <c r="S98" s="5">
        <f>_xlfn.XLOOKUP(A98,'[1]Days With Trades'!A:A,'[1]Days With Trades'!B:B)</f>
        <v>250</v>
      </c>
      <c r="T98" s="5">
        <f>_xlfn.XLOOKUP(A98,'[1]Days With Trades'!A:A,'[1]Days With Trades'!C:C)</f>
        <v>127</v>
      </c>
      <c r="U98" s="12">
        <f>_xlfn.XLOOKUP(A98,'[1]Value Traded'!A:A,'[1]Value Traded'!B:B)</f>
        <v>792034593.27999997</v>
      </c>
      <c r="V98" s="12">
        <f>_xlfn.XLOOKUP(A98,'[1]Value Traded'!A:A,'[1]Value Traded'!C:C)</f>
        <v>351813883.05000001</v>
      </c>
      <c r="W98" s="12">
        <f>_xlfn.XLOOKUP(A98,'[1]Value Traded'!A:A,'[1]Value Traded'!E:E)</f>
        <v>976853808.13</v>
      </c>
      <c r="X98" s="12">
        <f>_xlfn.XLOOKUP(A98,'[1]Value Traded'!A:A,'[1]Value Traded'!F:F)</f>
        <v>184819214.84999999</v>
      </c>
      <c r="Y98" s="12">
        <f>_xlfn.XLOOKUP(A98,'[1]Value Traded'!A:A,'[1]Value Traded'!G:G)</f>
        <v>430305146.02999997</v>
      </c>
      <c r="Z98" s="12">
        <f>_xlfn.XLOOKUP(A98,'[1]Value Traded'!A:A,'[1]Value Traded'!H:H)</f>
        <v>78491262.980000004</v>
      </c>
    </row>
    <row r="99" spans="1:26" x14ac:dyDescent="0.25">
      <c r="A99" s="13">
        <v>2015533</v>
      </c>
      <c r="B99" s="13" t="s">
        <v>458</v>
      </c>
      <c r="C99" s="13" t="s">
        <v>458</v>
      </c>
      <c r="D99" s="13" t="s">
        <v>459</v>
      </c>
      <c r="E99" s="13" t="s">
        <v>460</v>
      </c>
      <c r="F99" s="13" t="s">
        <v>32</v>
      </c>
      <c r="G99" s="13" t="s">
        <v>47</v>
      </c>
      <c r="H99" s="13" t="s">
        <v>68</v>
      </c>
      <c r="I99" s="13" t="s">
        <v>461</v>
      </c>
      <c r="J99" s="13" t="s">
        <v>36</v>
      </c>
      <c r="K99" s="13" t="s">
        <v>37</v>
      </c>
      <c r="L99" s="13" t="s">
        <v>50</v>
      </c>
      <c r="M99" s="14">
        <v>159282000</v>
      </c>
      <c r="N99" s="15">
        <v>22299480000</v>
      </c>
      <c r="O99" s="11">
        <f>_xlfn.XLOOKUP(A99,[1]MIC!A:A,[1]MIC!C:C)</f>
        <v>45344</v>
      </c>
      <c r="P99" s="11">
        <f>_xlfn.XLOOKUP(A99,[1]MIC!A:A,[1]MIC!D:D)</f>
        <v>45709</v>
      </c>
      <c r="Q99" s="5">
        <f>_xlfn.XLOOKUP(A99,'[1]Days Listed'!A:A,'[1]Days Listed'!B:B)</f>
        <v>256</v>
      </c>
      <c r="R99" s="5">
        <f>_xlfn.XLOOKUP(A99,'[1]Days Listed'!A:A,'[1]Days Listed'!C:C)</f>
        <v>129</v>
      </c>
      <c r="S99" s="5">
        <f>_xlfn.XLOOKUP(A99,'[1]Days With Trades'!A:A,'[1]Days With Trades'!B:B)</f>
        <v>250</v>
      </c>
      <c r="T99" s="5">
        <f>_xlfn.XLOOKUP(A99,'[1]Days With Trades'!A:A,'[1]Days With Trades'!C:C)</f>
        <v>127</v>
      </c>
      <c r="U99" s="12">
        <f>_xlfn.XLOOKUP(A99,'[1]Value Traded'!A:A,'[1]Value Traded'!B:B)</f>
        <v>12952690279.25</v>
      </c>
      <c r="V99" s="12">
        <f>_xlfn.XLOOKUP(A99,'[1]Value Traded'!A:A,'[1]Value Traded'!C:C)</f>
        <v>5592830989.75</v>
      </c>
      <c r="W99" s="12">
        <f>_xlfn.XLOOKUP(A99,'[1]Value Traded'!A:A,'[1]Value Traded'!E:E)</f>
        <v>15333280814.65</v>
      </c>
      <c r="X99" s="12">
        <f>_xlfn.XLOOKUP(A99,'[1]Value Traded'!A:A,'[1]Value Traded'!F:F)</f>
        <v>2380590535.4000001</v>
      </c>
      <c r="Y99" s="12">
        <f>_xlfn.XLOOKUP(A99,'[1]Value Traded'!A:A,'[1]Value Traded'!G:G)</f>
        <v>6250573691.4499998</v>
      </c>
      <c r="Z99" s="12">
        <f>_xlfn.XLOOKUP(A99,'[1]Value Traded'!A:A,'[1]Value Traded'!H:H)</f>
        <v>657742701.70000005</v>
      </c>
    </row>
    <row r="100" spans="1:26" x14ac:dyDescent="0.25">
      <c r="A100" s="8">
        <v>2015535</v>
      </c>
      <c r="B100" s="8" t="s">
        <v>462</v>
      </c>
      <c r="C100" s="8" t="s">
        <v>462</v>
      </c>
      <c r="D100" s="8" t="s">
        <v>463</v>
      </c>
      <c r="E100" s="8" t="s">
        <v>464</v>
      </c>
      <c r="F100" s="8" t="s">
        <v>32</v>
      </c>
      <c r="G100" s="8" t="s">
        <v>47</v>
      </c>
      <c r="H100" s="8" t="s">
        <v>48</v>
      </c>
      <c r="I100" s="8" t="s">
        <v>465</v>
      </c>
      <c r="J100" s="8" t="s">
        <v>36</v>
      </c>
      <c r="K100" s="8" t="s">
        <v>37</v>
      </c>
      <c r="L100" s="8" t="s">
        <v>160</v>
      </c>
      <c r="M100" s="9">
        <v>257994300</v>
      </c>
      <c r="N100" s="10">
        <v>6669152655</v>
      </c>
      <c r="O100" s="11">
        <f>_xlfn.XLOOKUP(A100,[1]MIC!A:A,[1]MIC!C:C)</f>
        <v>45344</v>
      </c>
      <c r="P100" s="11">
        <f>_xlfn.XLOOKUP(A100,[1]MIC!A:A,[1]MIC!D:D)</f>
        <v>45709</v>
      </c>
      <c r="Q100" s="5">
        <f>_xlfn.XLOOKUP(A100,'[1]Days Listed'!A:A,'[1]Days Listed'!B:B)</f>
        <v>256</v>
      </c>
      <c r="R100" s="5">
        <f>_xlfn.XLOOKUP(A100,'[1]Days Listed'!A:A,'[1]Days Listed'!C:C)</f>
        <v>129</v>
      </c>
      <c r="S100" s="5">
        <f>_xlfn.XLOOKUP(A100,'[1]Days With Trades'!A:A,'[1]Days With Trades'!B:B)</f>
        <v>250</v>
      </c>
      <c r="T100" s="5">
        <f>_xlfn.XLOOKUP(A100,'[1]Days With Trades'!A:A,'[1]Days With Trades'!C:C)</f>
        <v>127</v>
      </c>
      <c r="U100" s="12">
        <f>_xlfn.XLOOKUP(A100,'[1]Value Traded'!A:A,'[1]Value Traded'!B:B)</f>
        <v>655071847.60000002</v>
      </c>
      <c r="V100" s="12">
        <f>_xlfn.XLOOKUP(A100,'[1]Value Traded'!A:A,'[1]Value Traded'!C:C)</f>
        <v>298947498.55000001</v>
      </c>
      <c r="W100" s="12">
        <f>_xlfn.XLOOKUP(A100,'[1]Value Traded'!A:A,'[1]Value Traded'!E:E)</f>
        <v>819903170.29999995</v>
      </c>
      <c r="X100" s="12">
        <f>_xlfn.XLOOKUP(A100,'[1]Value Traded'!A:A,'[1]Value Traded'!F:F)</f>
        <v>164831322.69999999</v>
      </c>
      <c r="Y100" s="12">
        <f>_xlfn.XLOOKUP(A100,'[1]Value Traded'!A:A,'[1]Value Traded'!G:G)</f>
        <v>382572083.60000002</v>
      </c>
      <c r="Z100" s="12">
        <f>_xlfn.XLOOKUP(A100,'[1]Value Traded'!A:A,'[1]Value Traded'!H:H)</f>
        <v>83624585.049999997</v>
      </c>
    </row>
    <row r="101" spans="1:26" x14ac:dyDescent="0.25">
      <c r="A101" s="13">
        <v>2015536</v>
      </c>
      <c r="B101" s="13" t="s">
        <v>466</v>
      </c>
      <c r="C101" s="13" t="s">
        <v>466</v>
      </c>
      <c r="D101" s="13" t="s">
        <v>467</v>
      </c>
      <c r="E101" s="13" t="s">
        <v>468</v>
      </c>
      <c r="F101" s="13" t="s">
        <v>32</v>
      </c>
      <c r="G101" s="13" t="s">
        <v>47</v>
      </c>
      <c r="H101" s="13" t="s">
        <v>48</v>
      </c>
      <c r="I101" s="13" t="s">
        <v>469</v>
      </c>
      <c r="J101" s="13" t="s">
        <v>36</v>
      </c>
      <c r="K101" s="13" t="s">
        <v>37</v>
      </c>
      <c r="L101" s="13" t="s">
        <v>50</v>
      </c>
      <c r="M101" s="14">
        <v>77426972</v>
      </c>
      <c r="N101" s="15">
        <v>1372005943.8399999</v>
      </c>
      <c r="O101" s="11">
        <f>_xlfn.XLOOKUP(A101,[1]MIC!A:A,[1]MIC!C:C)</f>
        <v>45344</v>
      </c>
      <c r="P101" s="11">
        <f>_xlfn.XLOOKUP(A101,[1]MIC!A:A,[1]MIC!D:D)</f>
        <v>45709</v>
      </c>
      <c r="Q101" s="5">
        <f>_xlfn.XLOOKUP(A101,'[1]Days Listed'!A:A,'[1]Days Listed'!B:B)</f>
        <v>256</v>
      </c>
      <c r="R101" s="5">
        <f>_xlfn.XLOOKUP(A101,'[1]Days Listed'!A:A,'[1]Days Listed'!C:C)</f>
        <v>129</v>
      </c>
      <c r="S101" s="5">
        <f>_xlfn.XLOOKUP(A101,'[1]Days With Trades'!A:A,'[1]Days With Trades'!B:B)</f>
        <v>250</v>
      </c>
      <c r="T101" s="5">
        <f>_xlfn.XLOOKUP(A101,'[1]Days With Trades'!A:A,'[1]Days With Trades'!C:C)</f>
        <v>127</v>
      </c>
      <c r="U101" s="12">
        <f>_xlfn.XLOOKUP(A101,'[1]Value Traded'!A:A,'[1]Value Traded'!B:B)</f>
        <v>4533068975.9899998</v>
      </c>
      <c r="V101" s="12">
        <f>_xlfn.XLOOKUP(A101,'[1]Value Traded'!A:A,'[1]Value Traded'!C:C)</f>
        <v>2133007884.3900001</v>
      </c>
      <c r="W101" s="12">
        <f>_xlfn.XLOOKUP(A101,'[1]Value Traded'!A:A,'[1]Value Traded'!E:E)</f>
        <v>5567431280.0100002</v>
      </c>
      <c r="X101" s="12">
        <f>_xlfn.XLOOKUP(A101,'[1]Value Traded'!A:A,'[1]Value Traded'!F:F)</f>
        <v>1034362304.02</v>
      </c>
      <c r="Y101" s="12">
        <f>_xlfn.XLOOKUP(A101,'[1]Value Traded'!A:A,'[1]Value Traded'!G:G)</f>
        <v>2501434727.0599999</v>
      </c>
      <c r="Z101" s="12">
        <f>_xlfn.XLOOKUP(A101,'[1]Value Traded'!A:A,'[1]Value Traded'!H:H)</f>
        <v>368426842.67000002</v>
      </c>
    </row>
    <row r="102" spans="1:26" x14ac:dyDescent="0.25">
      <c r="A102" s="8">
        <v>2015537</v>
      </c>
      <c r="B102" s="8" t="s">
        <v>470</v>
      </c>
      <c r="C102" s="8" t="s">
        <v>470</v>
      </c>
      <c r="D102" s="8" t="s">
        <v>471</v>
      </c>
      <c r="E102" s="8" t="s">
        <v>472</v>
      </c>
      <c r="F102" s="8" t="s">
        <v>32</v>
      </c>
      <c r="G102" s="8" t="s">
        <v>47</v>
      </c>
      <c r="H102" s="8" t="s">
        <v>48</v>
      </c>
      <c r="I102" s="8" t="s">
        <v>473</v>
      </c>
      <c r="J102" s="8" t="s">
        <v>36</v>
      </c>
      <c r="K102" s="8" t="s">
        <v>37</v>
      </c>
      <c r="L102" s="8" t="s">
        <v>38</v>
      </c>
      <c r="M102" s="9">
        <v>90538134</v>
      </c>
      <c r="N102" s="10">
        <v>2535067752</v>
      </c>
      <c r="O102" s="11">
        <f>_xlfn.XLOOKUP(A102,[1]MIC!A:A,[1]MIC!C:C)</f>
        <v>45344</v>
      </c>
      <c r="P102" s="11">
        <f>_xlfn.XLOOKUP(A102,[1]MIC!A:A,[1]MIC!D:D)</f>
        <v>45709</v>
      </c>
      <c r="Q102" s="5">
        <f>_xlfn.XLOOKUP(A102,'[1]Days Listed'!A:A,'[1]Days Listed'!B:B)</f>
        <v>256</v>
      </c>
      <c r="R102" s="5">
        <f>_xlfn.XLOOKUP(A102,'[1]Days Listed'!A:A,'[1]Days Listed'!C:C)</f>
        <v>129</v>
      </c>
      <c r="S102" s="5">
        <f>_xlfn.XLOOKUP(A102,'[1]Days With Trades'!A:A,'[1]Days With Trades'!B:B)</f>
        <v>250</v>
      </c>
      <c r="T102" s="5">
        <f>_xlfn.XLOOKUP(A102,'[1]Days With Trades'!A:A,'[1]Days With Trades'!C:C)</f>
        <v>127</v>
      </c>
      <c r="U102" s="12">
        <f>_xlfn.XLOOKUP(A102,'[1]Value Traded'!A:A,'[1]Value Traded'!B:B)</f>
        <v>713398593.63999999</v>
      </c>
      <c r="V102" s="12">
        <f>_xlfn.XLOOKUP(A102,'[1]Value Traded'!A:A,'[1]Value Traded'!C:C)</f>
        <v>336530550.38</v>
      </c>
      <c r="W102" s="12">
        <f>_xlfn.XLOOKUP(A102,'[1]Value Traded'!A:A,'[1]Value Traded'!E:E)</f>
        <v>998080362.5</v>
      </c>
      <c r="X102" s="12">
        <f>_xlfn.XLOOKUP(A102,'[1]Value Traded'!A:A,'[1]Value Traded'!F:F)</f>
        <v>284681768.86000001</v>
      </c>
      <c r="Y102" s="12">
        <f>_xlfn.XLOOKUP(A102,'[1]Value Traded'!A:A,'[1]Value Traded'!G:G)</f>
        <v>435519998.66000003</v>
      </c>
      <c r="Z102" s="12">
        <f>_xlfn.XLOOKUP(A102,'[1]Value Traded'!A:A,'[1]Value Traded'!H:H)</f>
        <v>98989448.280000001</v>
      </c>
    </row>
    <row r="103" spans="1:26" x14ac:dyDescent="0.25">
      <c r="A103" s="13">
        <v>2015538</v>
      </c>
      <c r="B103" s="13" t="s">
        <v>474</v>
      </c>
      <c r="C103" s="13" t="s">
        <v>474</v>
      </c>
      <c r="D103" s="13" t="s">
        <v>475</v>
      </c>
      <c r="E103" s="13" t="s">
        <v>476</v>
      </c>
      <c r="F103" s="13" t="s">
        <v>32</v>
      </c>
      <c r="G103" s="13" t="s">
        <v>47</v>
      </c>
      <c r="H103" s="13" t="s">
        <v>48</v>
      </c>
      <c r="I103" s="13" t="s">
        <v>477</v>
      </c>
      <c r="J103" s="13" t="s">
        <v>36</v>
      </c>
      <c r="K103" s="13" t="s">
        <v>37</v>
      </c>
      <c r="L103" s="13" t="s">
        <v>297</v>
      </c>
      <c r="M103" s="14">
        <v>112384093</v>
      </c>
      <c r="N103" s="15">
        <v>15171852555</v>
      </c>
      <c r="O103" s="11">
        <f>_xlfn.XLOOKUP(A103,[1]MIC!A:A,[1]MIC!C:C)</f>
        <v>45344</v>
      </c>
      <c r="P103" s="11">
        <f>_xlfn.XLOOKUP(A103,[1]MIC!A:A,[1]MIC!D:D)</f>
        <v>45709</v>
      </c>
      <c r="Q103" s="5">
        <f>_xlfn.XLOOKUP(A103,'[1]Days Listed'!A:A,'[1]Days Listed'!B:B)</f>
        <v>256</v>
      </c>
      <c r="R103" s="5">
        <f>_xlfn.XLOOKUP(A103,'[1]Days Listed'!A:A,'[1]Days Listed'!C:C)</f>
        <v>129</v>
      </c>
      <c r="S103" s="5">
        <f>_xlfn.XLOOKUP(A103,'[1]Days With Trades'!A:A,'[1]Days With Trades'!B:B)</f>
        <v>250</v>
      </c>
      <c r="T103" s="5">
        <f>_xlfn.XLOOKUP(A103,'[1]Days With Trades'!A:A,'[1]Days With Trades'!C:C)</f>
        <v>127</v>
      </c>
      <c r="U103" s="12">
        <f>_xlfn.XLOOKUP(A103,'[1]Value Traded'!A:A,'[1]Value Traded'!B:B)</f>
        <v>1408331769.4000001</v>
      </c>
      <c r="V103" s="12">
        <f>_xlfn.XLOOKUP(A103,'[1]Value Traded'!A:A,'[1]Value Traded'!C:C)</f>
        <v>687150431.79999995</v>
      </c>
      <c r="W103" s="12">
        <f>_xlfn.XLOOKUP(A103,'[1]Value Traded'!A:A,'[1]Value Traded'!E:E)</f>
        <v>1703709194.5999999</v>
      </c>
      <c r="X103" s="12">
        <f>_xlfn.XLOOKUP(A103,'[1]Value Traded'!A:A,'[1]Value Traded'!F:F)</f>
        <v>295377425.19999999</v>
      </c>
      <c r="Y103" s="12">
        <f>_xlfn.XLOOKUP(A103,'[1]Value Traded'!A:A,'[1]Value Traded'!G:G)</f>
        <v>848492954.60000002</v>
      </c>
      <c r="Z103" s="12">
        <f>_xlfn.XLOOKUP(A103,'[1]Value Traded'!A:A,'[1]Value Traded'!H:H)</f>
        <v>161342522.80000001</v>
      </c>
    </row>
    <row r="104" spans="1:26" x14ac:dyDescent="0.25">
      <c r="A104" s="8">
        <v>2015539</v>
      </c>
      <c r="B104" s="8" t="s">
        <v>478</v>
      </c>
      <c r="C104" s="8" t="s">
        <v>478</v>
      </c>
      <c r="D104" s="8" t="s">
        <v>479</v>
      </c>
      <c r="E104" s="8" t="s">
        <v>480</v>
      </c>
      <c r="F104" s="8" t="s">
        <v>32</v>
      </c>
      <c r="G104" s="8" t="s">
        <v>47</v>
      </c>
      <c r="H104" s="8" t="s">
        <v>54</v>
      </c>
      <c r="I104" s="8" t="s">
        <v>481</v>
      </c>
      <c r="J104" s="8" t="s">
        <v>36</v>
      </c>
      <c r="K104" s="8" t="s">
        <v>37</v>
      </c>
      <c r="L104" s="8" t="s">
        <v>160</v>
      </c>
      <c r="M104" s="9">
        <v>975000000</v>
      </c>
      <c r="N104" s="10">
        <v>12216750000</v>
      </c>
      <c r="O104" s="11">
        <f>_xlfn.XLOOKUP(A104,[1]MIC!A:A,[1]MIC!C:C)</f>
        <v>45344</v>
      </c>
      <c r="P104" s="11">
        <f>_xlfn.XLOOKUP(A104,[1]MIC!A:A,[1]MIC!D:D)</f>
        <v>45709</v>
      </c>
      <c r="Q104" s="5">
        <f>_xlfn.XLOOKUP(A104,'[1]Days Listed'!A:A,'[1]Days Listed'!B:B)</f>
        <v>256</v>
      </c>
      <c r="R104" s="5">
        <f>_xlfn.XLOOKUP(A104,'[1]Days Listed'!A:A,'[1]Days Listed'!C:C)</f>
        <v>129</v>
      </c>
      <c r="S104" s="5">
        <f>_xlfn.XLOOKUP(A104,'[1]Days With Trades'!A:A,'[1]Days With Trades'!B:B)</f>
        <v>250</v>
      </c>
      <c r="T104" s="5">
        <f>_xlfn.XLOOKUP(A104,'[1]Days With Trades'!A:A,'[1]Days With Trades'!C:C)</f>
        <v>127</v>
      </c>
      <c r="U104" s="12">
        <f>_xlfn.XLOOKUP(A104,'[1]Value Traded'!A:A,'[1]Value Traded'!B:B)</f>
        <v>4942956210.1800003</v>
      </c>
      <c r="V104" s="12">
        <f>_xlfn.XLOOKUP(A104,'[1]Value Traded'!A:A,'[1]Value Traded'!C:C)</f>
        <v>2824523799.79</v>
      </c>
      <c r="W104" s="12">
        <f>_xlfn.XLOOKUP(A104,'[1]Value Traded'!A:A,'[1]Value Traded'!E:E)</f>
        <v>5844213773.1199999</v>
      </c>
      <c r="X104" s="12">
        <f>_xlfn.XLOOKUP(A104,'[1]Value Traded'!A:A,'[1]Value Traded'!F:F)</f>
        <v>901257562.94000006</v>
      </c>
      <c r="Y104" s="12">
        <f>_xlfn.XLOOKUP(A104,'[1]Value Traded'!A:A,'[1]Value Traded'!G:G)</f>
        <v>3324254560.8299999</v>
      </c>
      <c r="Z104" s="12">
        <f>_xlfn.XLOOKUP(A104,'[1]Value Traded'!A:A,'[1]Value Traded'!H:H)</f>
        <v>499730761.04000002</v>
      </c>
    </row>
    <row r="105" spans="1:26" x14ac:dyDescent="0.25">
      <c r="A105" s="13">
        <v>2015540</v>
      </c>
      <c r="B105" s="13" t="s">
        <v>482</v>
      </c>
      <c r="C105" s="13" t="s">
        <v>482</v>
      </c>
      <c r="D105" s="13" t="s">
        <v>483</v>
      </c>
      <c r="E105" s="13" t="s">
        <v>484</v>
      </c>
      <c r="F105" s="13" t="s">
        <v>32</v>
      </c>
      <c r="G105" s="13" t="s">
        <v>47</v>
      </c>
      <c r="H105" s="13" t="s">
        <v>68</v>
      </c>
      <c r="I105" s="13" t="s">
        <v>485</v>
      </c>
      <c r="J105" s="13" t="s">
        <v>36</v>
      </c>
      <c r="K105" s="13" t="s">
        <v>37</v>
      </c>
      <c r="L105" s="13" t="s">
        <v>231</v>
      </c>
      <c r="M105" s="14">
        <v>1001430970</v>
      </c>
      <c r="N105" s="15">
        <v>106752541402</v>
      </c>
      <c r="O105" s="11">
        <f>_xlfn.XLOOKUP(A105,[1]MIC!A:A,[1]MIC!C:C)</f>
        <v>45344</v>
      </c>
      <c r="P105" s="11">
        <f>_xlfn.XLOOKUP(A105,[1]MIC!A:A,[1]MIC!D:D)</f>
        <v>45709</v>
      </c>
      <c r="Q105" s="5">
        <f>_xlfn.XLOOKUP(A105,'[1]Days Listed'!A:A,'[1]Days Listed'!B:B)</f>
        <v>256</v>
      </c>
      <c r="R105" s="5">
        <f>_xlfn.XLOOKUP(A105,'[1]Days Listed'!A:A,'[1]Days Listed'!C:C)</f>
        <v>129</v>
      </c>
      <c r="S105" s="5">
        <f>_xlfn.XLOOKUP(A105,'[1]Days With Trades'!A:A,'[1]Days With Trades'!B:B)</f>
        <v>250</v>
      </c>
      <c r="T105" s="5">
        <f>_xlfn.XLOOKUP(A105,'[1]Days With Trades'!A:A,'[1]Days With Trades'!C:C)</f>
        <v>127</v>
      </c>
      <c r="U105" s="12">
        <f>_xlfn.XLOOKUP(A105,'[1]Value Traded'!A:A,'[1]Value Traded'!B:B)</f>
        <v>20506742552.93</v>
      </c>
      <c r="V105" s="12">
        <f>_xlfn.XLOOKUP(A105,'[1]Value Traded'!A:A,'[1]Value Traded'!C:C)</f>
        <v>10788137110.700001</v>
      </c>
      <c r="W105" s="12">
        <f>_xlfn.XLOOKUP(A105,'[1]Value Traded'!A:A,'[1]Value Traded'!E:E)</f>
        <v>23501085007.27</v>
      </c>
      <c r="X105" s="12">
        <f>_xlfn.XLOOKUP(A105,'[1]Value Traded'!A:A,'[1]Value Traded'!F:F)</f>
        <v>2994342454.3400002</v>
      </c>
      <c r="Y105" s="12">
        <f>_xlfn.XLOOKUP(A105,'[1]Value Traded'!A:A,'[1]Value Traded'!G:G)</f>
        <v>12199845358.65</v>
      </c>
      <c r="Z105" s="12">
        <f>_xlfn.XLOOKUP(A105,'[1]Value Traded'!A:A,'[1]Value Traded'!H:H)</f>
        <v>1411708247.95</v>
      </c>
    </row>
    <row r="106" spans="1:26" x14ac:dyDescent="0.25">
      <c r="A106" s="8">
        <v>2015541</v>
      </c>
      <c r="B106" s="8" t="s">
        <v>486</v>
      </c>
      <c r="C106" s="8" t="s">
        <v>486</v>
      </c>
      <c r="D106" s="8" t="s">
        <v>487</v>
      </c>
      <c r="E106" s="8" t="s">
        <v>488</v>
      </c>
      <c r="F106" s="8" t="s">
        <v>32</v>
      </c>
      <c r="G106" s="8" t="s">
        <v>47</v>
      </c>
      <c r="H106" s="8" t="s">
        <v>48</v>
      </c>
      <c r="I106" s="8" t="s">
        <v>489</v>
      </c>
      <c r="J106" s="8" t="s">
        <v>36</v>
      </c>
      <c r="K106" s="8" t="s">
        <v>37</v>
      </c>
      <c r="L106" s="8" t="s">
        <v>490</v>
      </c>
      <c r="M106" s="9">
        <v>172954549</v>
      </c>
      <c r="N106" s="10">
        <v>854395472.05999994</v>
      </c>
      <c r="O106" s="11">
        <f>_xlfn.XLOOKUP(A106,[1]MIC!A:A,[1]MIC!C:C)</f>
        <v>45344</v>
      </c>
      <c r="P106" s="11">
        <f>_xlfn.XLOOKUP(A106,[1]MIC!A:A,[1]MIC!D:D)</f>
        <v>45709</v>
      </c>
      <c r="Q106" s="5">
        <f>_xlfn.XLOOKUP(A106,'[1]Days Listed'!A:A,'[1]Days Listed'!B:B)</f>
        <v>256</v>
      </c>
      <c r="R106" s="5">
        <f>_xlfn.XLOOKUP(A106,'[1]Days Listed'!A:A,'[1]Days Listed'!C:C)</f>
        <v>129</v>
      </c>
      <c r="S106" s="5">
        <f>_xlfn.XLOOKUP(A106,'[1]Days With Trades'!A:A,'[1]Days With Trades'!B:B)</f>
        <v>250</v>
      </c>
      <c r="T106" s="5">
        <f>_xlfn.XLOOKUP(A106,'[1]Days With Trades'!A:A,'[1]Days With Trades'!C:C)</f>
        <v>127</v>
      </c>
      <c r="U106" s="12">
        <f>_xlfn.XLOOKUP(A106,'[1]Value Traded'!A:A,'[1]Value Traded'!B:B)</f>
        <v>294407116.41000003</v>
      </c>
      <c r="V106" s="12">
        <f>_xlfn.XLOOKUP(A106,'[1]Value Traded'!A:A,'[1]Value Traded'!C:C)</f>
        <v>213809487.94</v>
      </c>
      <c r="W106" s="12">
        <f>_xlfn.XLOOKUP(A106,'[1]Value Traded'!A:A,'[1]Value Traded'!E:E)</f>
        <v>386873559.66000003</v>
      </c>
      <c r="X106" s="12">
        <f>_xlfn.XLOOKUP(A106,'[1]Value Traded'!A:A,'[1]Value Traded'!F:F)</f>
        <v>92466443.25</v>
      </c>
      <c r="Y106" s="12">
        <f>_xlfn.XLOOKUP(A106,'[1]Value Traded'!A:A,'[1]Value Traded'!G:G)</f>
        <v>267385145.43000001</v>
      </c>
      <c r="Z106" s="12">
        <f>_xlfn.XLOOKUP(A106,'[1]Value Traded'!A:A,'[1]Value Traded'!H:H)</f>
        <v>53575657.490000002</v>
      </c>
    </row>
    <row r="107" spans="1:26" x14ac:dyDescent="0.25">
      <c r="A107" s="13">
        <v>2015542</v>
      </c>
      <c r="B107" s="13" t="s">
        <v>491</v>
      </c>
      <c r="C107" s="13" t="s">
        <v>491</v>
      </c>
      <c r="D107" s="13" t="s">
        <v>492</v>
      </c>
      <c r="E107" s="13" t="s">
        <v>493</v>
      </c>
      <c r="F107" s="13" t="s">
        <v>32</v>
      </c>
      <c r="G107" s="13" t="s">
        <v>47</v>
      </c>
      <c r="H107" s="13" t="s">
        <v>48</v>
      </c>
      <c r="I107" s="13" t="s">
        <v>494</v>
      </c>
      <c r="J107" s="13" t="s">
        <v>36</v>
      </c>
      <c r="K107" s="13" t="s">
        <v>37</v>
      </c>
      <c r="L107" s="13" t="s">
        <v>217</v>
      </c>
      <c r="M107" s="14">
        <v>55995250</v>
      </c>
      <c r="N107" s="15">
        <v>7167392000</v>
      </c>
      <c r="O107" s="11">
        <f>_xlfn.XLOOKUP(A107,[1]MIC!A:A,[1]MIC!C:C)</f>
        <v>45344</v>
      </c>
      <c r="P107" s="11">
        <f>_xlfn.XLOOKUP(A107,[1]MIC!A:A,[1]MIC!D:D)</f>
        <v>45709</v>
      </c>
      <c r="Q107" s="5">
        <f>_xlfn.XLOOKUP(A107,'[1]Days Listed'!A:A,'[1]Days Listed'!B:B)</f>
        <v>256</v>
      </c>
      <c r="R107" s="5">
        <f>_xlfn.XLOOKUP(A107,'[1]Days Listed'!A:A,'[1]Days Listed'!C:C)</f>
        <v>129</v>
      </c>
      <c r="S107" s="5">
        <f>_xlfn.XLOOKUP(A107,'[1]Days With Trades'!A:A,'[1]Days With Trades'!B:B)</f>
        <v>250</v>
      </c>
      <c r="T107" s="5">
        <f>_xlfn.XLOOKUP(A107,'[1]Days With Trades'!A:A,'[1]Days With Trades'!C:C)</f>
        <v>127</v>
      </c>
      <c r="U107" s="12">
        <f>_xlfn.XLOOKUP(A107,'[1]Value Traded'!A:A,'[1]Value Traded'!B:B)</f>
        <v>186987648.69999999</v>
      </c>
      <c r="V107" s="12">
        <f>_xlfn.XLOOKUP(A107,'[1]Value Traded'!A:A,'[1]Value Traded'!C:C)</f>
        <v>70579594.099999994</v>
      </c>
      <c r="W107" s="12">
        <f>_xlfn.XLOOKUP(A107,'[1]Value Traded'!A:A,'[1]Value Traded'!E:E)</f>
        <v>282820478.10000002</v>
      </c>
      <c r="X107" s="12">
        <f>_xlfn.XLOOKUP(A107,'[1]Value Traded'!A:A,'[1]Value Traded'!F:F)</f>
        <v>95832829.400000006</v>
      </c>
      <c r="Y107" s="12">
        <f>_xlfn.XLOOKUP(A107,'[1]Value Traded'!A:A,'[1]Value Traded'!G:G)</f>
        <v>97358374.099999994</v>
      </c>
      <c r="Z107" s="12">
        <f>_xlfn.XLOOKUP(A107,'[1]Value Traded'!A:A,'[1]Value Traded'!H:H)</f>
        <v>26778780</v>
      </c>
    </row>
    <row r="108" spans="1:26" x14ac:dyDescent="0.25">
      <c r="A108" s="8">
        <v>2015543</v>
      </c>
      <c r="B108" s="8" t="s">
        <v>495</v>
      </c>
      <c r="C108" s="8" t="s">
        <v>495</v>
      </c>
      <c r="D108" s="8" t="s">
        <v>496</v>
      </c>
      <c r="E108" s="8" t="s">
        <v>497</v>
      </c>
      <c r="F108" s="8" t="s">
        <v>32</v>
      </c>
      <c r="G108" s="8" t="s">
        <v>47</v>
      </c>
      <c r="H108" s="8" t="s">
        <v>48</v>
      </c>
      <c r="I108" s="8" t="s">
        <v>498</v>
      </c>
      <c r="J108" s="8" t="s">
        <v>36</v>
      </c>
      <c r="K108" s="8" t="s">
        <v>37</v>
      </c>
      <c r="L108" s="8" t="s">
        <v>50</v>
      </c>
      <c r="M108" s="9">
        <v>19256222</v>
      </c>
      <c r="N108" s="10">
        <v>1914068466.8</v>
      </c>
      <c r="O108" s="11">
        <f>_xlfn.XLOOKUP(A108,[1]MIC!A:A,[1]MIC!C:C)</f>
        <v>45344</v>
      </c>
      <c r="P108" s="11">
        <f>_xlfn.XLOOKUP(A108,[1]MIC!A:A,[1]MIC!D:D)</f>
        <v>45709</v>
      </c>
      <c r="Q108" s="5">
        <f>_xlfn.XLOOKUP(A108,'[1]Days Listed'!A:A,'[1]Days Listed'!B:B)</f>
        <v>256</v>
      </c>
      <c r="R108" s="5">
        <f>_xlfn.XLOOKUP(A108,'[1]Days Listed'!A:A,'[1]Days Listed'!C:C)</f>
        <v>129</v>
      </c>
      <c r="S108" s="5">
        <f>_xlfn.XLOOKUP(A108,'[1]Days With Trades'!A:A,'[1]Days With Trades'!B:B)</f>
        <v>250</v>
      </c>
      <c r="T108" s="5">
        <f>_xlfn.XLOOKUP(A108,'[1]Days With Trades'!A:A,'[1]Days With Trades'!C:C)</f>
        <v>127</v>
      </c>
      <c r="U108" s="12">
        <f>_xlfn.XLOOKUP(A108,'[1]Value Traded'!A:A,'[1]Value Traded'!B:B)</f>
        <v>510106997.69999999</v>
      </c>
      <c r="V108" s="12">
        <f>_xlfn.XLOOKUP(A108,'[1]Value Traded'!A:A,'[1]Value Traded'!C:C)</f>
        <v>240187201.69999999</v>
      </c>
      <c r="W108" s="12">
        <f>_xlfn.XLOOKUP(A108,'[1]Value Traded'!A:A,'[1]Value Traded'!E:E)</f>
        <v>644288029.20000005</v>
      </c>
      <c r="X108" s="12">
        <f>_xlfn.XLOOKUP(A108,'[1]Value Traded'!A:A,'[1]Value Traded'!F:F)</f>
        <v>134181031.5</v>
      </c>
      <c r="Y108" s="12">
        <f>_xlfn.XLOOKUP(A108,'[1]Value Traded'!A:A,'[1]Value Traded'!G:G)</f>
        <v>294492026.19999999</v>
      </c>
      <c r="Z108" s="12">
        <f>_xlfn.XLOOKUP(A108,'[1]Value Traded'!A:A,'[1]Value Traded'!H:H)</f>
        <v>54304824.5</v>
      </c>
    </row>
    <row r="109" spans="1:26" x14ac:dyDescent="0.25">
      <c r="A109" s="13">
        <v>2015544</v>
      </c>
      <c r="B109" s="13" t="s">
        <v>499</v>
      </c>
      <c r="C109" s="13" t="s">
        <v>499</v>
      </c>
      <c r="D109" s="13" t="s">
        <v>500</v>
      </c>
      <c r="E109" s="13" t="s">
        <v>501</v>
      </c>
      <c r="F109" s="13" t="s">
        <v>32</v>
      </c>
      <c r="G109" s="13" t="s">
        <v>47</v>
      </c>
      <c r="H109" s="13" t="s">
        <v>48</v>
      </c>
      <c r="I109" s="13" t="s">
        <v>502</v>
      </c>
      <c r="J109" s="13" t="s">
        <v>36</v>
      </c>
      <c r="K109" s="13" t="s">
        <v>37</v>
      </c>
      <c r="L109" s="13" t="s">
        <v>50</v>
      </c>
      <c r="M109" s="14">
        <v>60463624</v>
      </c>
      <c r="N109" s="15">
        <v>6028223312.8000002</v>
      </c>
      <c r="O109" s="11">
        <f>_xlfn.XLOOKUP(A109,[1]MIC!A:A,[1]MIC!C:C)</f>
        <v>45344</v>
      </c>
      <c r="P109" s="11">
        <f>_xlfn.XLOOKUP(A109,[1]MIC!A:A,[1]MIC!D:D)</f>
        <v>45709</v>
      </c>
      <c r="Q109" s="5">
        <f>_xlfn.XLOOKUP(A109,'[1]Days Listed'!A:A,'[1]Days Listed'!B:B)</f>
        <v>256</v>
      </c>
      <c r="R109" s="5">
        <f>_xlfn.XLOOKUP(A109,'[1]Days Listed'!A:A,'[1]Days Listed'!C:C)</f>
        <v>129</v>
      </c>
      <c r="S109" s="5">
        <f>_xlfn.XLOOKUP(A109,'[1]Days With Trades'!A:A,'[1]Days With Trades'!B:B)</f>
        <v>250</v>
      </c>
      <c r="T109" s="5">
        <f>_xlfn.XLOOKUP(A109,'[1]Days With Trades'!A:A,'[1]Days With Trades'!C:C)</f>
        <v>127</v>
      </c>
      <c r="U109" s="12">
        <f>_xlfn.XLOOKUP(A109,'[1]Value Traded'!A:A,'[1]Value Traded'!B:B)</f>
        <v>1437364247.7</v>
      </c>
      <c r="V109" s="12">
        <f>_xlfn.XLOOKUP(A109,'[1]Value Traded'!A:A,'[1]Value Traded'!C:C)</f>
        <v>748251864.70000005</v>
      </c>
      <c r="W109" s="12">
        <f>_xlfn.XLOOKUP(A109,'[1]Value Traded'!A:A,'[1]Value Traded'!E:E)</f>
        <v>1744010484.0999999</v>
      </c>
      <c r="X109" s="12">
        <f>_xlfn.XLOOKUP(A109,'[1]Value Traded'!A:A,'[1]Value Traded'!F:F)</f>
        <v>306646236.39999998</v>
      </c>
      <c r="Y109" s="12">
        <f>_xlfn.XLOOKUP(A109,'[1]Value Traded'!A:A,'[1]Value Traded'!G:G)</f>
        <v>879642256.70000005</v>
      </c>
      <c r="Z109" s="12">
        <f>_xlfn.XLOOKUP(A109,'[1]Value Traded'!A:A,'[1]Value Traded'!H:H)</f>
        <v>131390392</v>
      </c>
    </row>
    <row r="110" spans="1:26" x14ac:dyDescent="0.25">
      <c r="A110" s="8">
        <v>2015545</v>
      </c>
      <c r="B110" s="8" t="s">
        <v>503</v>
      </c>
      <c r="C110" s="8" t="s">
        <v>503</v>
      </c>
      <c r="D110" s="8" t="s">
        <v>504</v>
      </c>
      <c r="E110" s="8" t="s">
        <v>505</v>
      </c>
      <c r="F110" s="8" t="s">
        <v>32</v>
      </c>
      <c r="G110" s="8" t="s">
        <v>47</v>
      </c>
      <c r="H110" s="8" t="s">
        <v>48</v>
      </c>
      <c r="I110" s="8" t="s">
        <v>506</v>
      </c>
      <c r="J110" s="8" t="s">
        <v>36</v>
      </c>
      <c r="K110" s="8" t="s">
        <v>37</v>
      </c>
      <c r="L110" s="8" t="s">
        <v>38</v>
      </c>
      <c r="M110" s="9">
        <v>282670609</v>
      </c>
      <c r="N110" s="10">
        <v>2114376155.3199999</v>
      </c>
      <c r="O110" s="11">
        <f>_xlfn.XLOOKUP(A110,[1]MIC!A:A,[1]MIC!C:C)</f>
        <v>45344</v>
      </c>
      <c r="P110" s="11">
        <f>_xlfn.XLOOKUP(A110,[1]MIC!A:A,[1]MIC!D:D)</f>
        <v>45709</v>
      </c>
      <c r="Q110" s="5">
        <f>_xlfn.XLOOKUP(A110,'[1]Days Listed'!A:A,'[1]Days Listed'!B:B)</f>
        <v>256</v>
      </c>
      <c r="R110" s="5">
        <f>_xlfn.XLOOKUP(A110,'[1]Days Listed'!A:A,'[1]Days Listed'!C:C)</f>
        <v>129</v>
      </c>
      <c r="S110" s="5">
        <f>_xlfn.XLOOKUP(A110,'[1]Days With Trades'!A:A,'[1]Days With Trades'!B:B)</f>
        <v>250</v>
      </c>
      <c r="T110" s="5">
        <f>_xlfn.XLOOKUP(A110,'[1]Days With Trades'!A:A,'[1]Days With Trades'!C:C)</f>
        <v>127</v>
      </c>
      <c r="U110" s="12">
        <f>_xlfn.XLOOKUP(A110,'[1]Value Traded'!A:A,'[1]Value Traded'!B:B)</f>
        <v>484857262.06999999</v>
      </c>
      <c r="V110" s="12">
        <f>_xlfn.XLOOKUP(A110,'[1]Value Traded'!A:A,'[1]Value Traded'!C:C)</f>
        <v>253070402.93000001</v>
      </c>
      <c r="W110" s="12">
        <f>_xlfn.XLOOKUP(A110,'[1]Value Traded'!A:A,'[1]Value Traded'!E:E)</f>
        <v>615829138.86000001</v>
      </c>
      <c r="X110" s="12">
        <f>_xlfn.XLOOKUP(A110,'[1]Value Traded'!A:A,'[1]Value Traded'!F:F)</f>
        <v>130971876.79000001</v>
      </c>
      <c r="Y110" s="12">
        <f>_xlfn.XLOOKUP(A110,'[1]Value Traded'!A:A,'[1]Value Traded'!G:G)</f>
        <v>316594066.29000002</v>
      </c>
      <c r="Z110" s="12">
        <f>_xlfn.XLOOKUP(A110,'[1]Value Traded'!A:A,'[1]Value Traded'!H:H)</f>
        <v>63523663.359999999</v>
      </c>
    </row>
    <row r="111" spans="1:26" x14ac:dyDescent="0.25">
      <c r="A111" s="13">
        <v>2015546</v>
      </c>
      <c r="B111" s="13" t="s">
        <v>507</v>
      </c>
      <c r="C111" s="13" t="s">
        <v>507</v>
      </c>
      <c r="D111" s="13" t="s">
        <v>508</v>
      </c>
      <c r="E111" s="13" t="s">
        <v>509</v>
      </c>
      <c r="F111" s="13" t="s">
        <v>32</v>
      </c>
      <c r="G111" s="13" t="s">
        <v>47</v>
      </c>
      <c r="H111" s="13" t="s">
        <v>48</v>
      </c>
      <c r="I111" s="13" t="s">
        <v>510</v>
      </c>
      <c r="J111" s="13" t="s">
        <v>36</v>
      </c>
      <c r="K111" s="13" t="s">
        <v>37</v>
      </c>
      <c r="L111" s="13" t="s">
        <v>288</v>
      </c>
      <c r="M111" s="14">
        <v>35062072</v>
      </c>
      <c r="N111" s="15">
        <v>648648332</v>
      </c>
      <c r="O111" s="11">
        <f>_xlfn.XLOOKUP(A111,[1]MIC!A:A,[1]MIC!C:C)</f>
        <v>45344</v>
      </c>
      <c r="P111" s="11">
        <f>_xlfn.XLOOKUP(A111,[1]MIC!A:A,[1]MIC!D:D)</f>
        <v>45709</v>
      </c>
      <c r="Q111" s="5">
        <f>_xlfn.XLOOKUP(A111,'[1]Days Listed'!A:A,'[1]Days Listed'!B:B)</f>
        <v>256</v>
      </c>
      <c r="R111" s="5">
        <f>_xlfn.XLOOKUP(A111,'[1]Days Listed'!A:A,'[1]Days Listed'!C:C)</f>
        <v>129</v>
      </c>
      <c r="S111" s="5">
        <f>_xlfn.XLOOKUP(A111,'[1]Days With Trades'!A:A,'[1]Days With Trades'!B:B)</f>
        <v>243</v>
      </c>
      <c r="T111" s="5">
        <f>_xlfn.XLOOKUP(A111,'[1]Days With Trades'!A:A,'[1]Days With Trades'!C:C)</f>
        <v>122</v>
      </c>
      <c r="U111" s="12">
        <f>_xlfn.XLOOKUP(A111,'[1]Value Traded'!A:A,'[1]Value Traded'!B:B)</f>
        <v>41767411.689999998</v>
      </c>
      <c r="V111" s="12">
        <f>_xlfn.XLOOKUP(A111,'[1]Value Traded'!A:A,'[1]Value Traded'!C:C)</f>
        <v>18458295.539999999</v>
      </c>
      <c r="W111" s="12">
        <f>_xlfn.XLOOKUP(A111,'[1]Value Traded'!A:A,'[1]Value Traded'!E:E)</f>
        <v>57431388.75</v>
      </c>
      <c r="X111" s="12">
        <f>_xlfn.XLOOKUP(A111,'[1]Value Traded'!A:A,'[1]Value Traded'!F:F)</f>
        <v>15663977.060000001</v>
      </c>
      <c r="Y111" s="12">
        <f>_xlfn.XLOOKUP(A111,'[1]Value Traded'!A:A,'[1]Value Traded'!G:G)</f>
        <v>28077517.370000001</v>
      </c>
      <c r="Z111" s="12">
        <f>_xlfn.XLOOKUP(A111,'[1]Value Traded'!A:A,'[1]Value Traded'!H:H)</f>
        <v>9619221.8300000001</v>
      </c>
    </row>
    <row r="112" spans="1:26" x14ac:dyDescent="0.25">
      <c r="A112" s="8">
        <v>2015547</v>
      </c>
      <c r="B112" s="8" t="s">
        <v>511</v>
      </c>
      <c r="C112" s="8" t="s">
        <v>511</v>
      </c>
      <c r="D112" s="8" t="s">
        <v>512</v>
      </c>
      <c r="E112" s="8" t="s">
        <v>513</v>
      </c>
      <c r="F112" s="8" t="s">
        <v>32</v>
      </c>
      <c r="G112" s="8" t="s">
        <v>47</v>
      </c>
      <c r="H112" s="8" t="s">
        <v>48</v>
      </c>
      <c r="I112" s="8" t="s">
        <v>514</v>
      </c>
      <c r="J112" s="8" t="s">
        <v>36</v>
      </c>
      <c r="K112" s="8" t="s">
        <v>37</v>
      </c>
      <c r="L112" s="8" t="s">
        <v>515</v>
      </c>
      <c r="M112" s="9">
        <v>42531893</v>
      </c>
      <c r="N112" s="10">
        <v>10313984052.5</v>
      </c>
      <c r="O112" s="11">
        <f>_xlfn.XLOOKUP(A112,[1]MIC!A:A,[1]MIC!C:C)</f>
        <v>45344</v>
      </c>
      <c r="P112" s="11">
        <f>_xlfn.XLOOKUP(A112,[1]MIC!A:A,[1]MIC!D:D)</f>
        <v>45709</v>
      </c>
      <c r="Q112" s="5">
        <f>_xlfn.XLOOKUP(A112,'[1]Days Listed'!A:A,'[1]Days Listed'!B:B)</f>
        <v>256</v>
      </c>
      <c r="R112" s="5">
        <f>_xlfn.XLOOKUP(A112,'[1]Days Listed'!A:A,'[1]Days Listed'!C:C)</f>
        <v>129</v>
      </c>
      <c r="S112" s="5">
        <f>_xlfn.XLOOKUP(A112,'[1]Days With Trades'!A:A,'[1]Days With Trades'!B:B)</f>
        <v>250</v>
      </c>
      <c r="T112" s="5">
        <f>_xlfn.XLOOKUP(A112,'[1]Days With Trades'!A:A,'[1]Days With Trades'!C:C)</f>
        <v>127</v>
      </c>
      <c r="U112" s="12">
        <f>_xlfn.XLOOKUP(A112,'[1]Value Traded'!A:A,'[1]Value Traded'!B:B)</f>
        <v>695867815.25</v>
      </c>
      <c r="V112" s="12">
        <f>_xlfn.XLOOKUP(A112,'[1]Value Traded'!A:A,'[1]Value Traded'!C:C)</f>
        <v>304585240.25</v>
      </c>
      <c r="W112" s="12">
        <f>_xlfn.XLOOKUP(A112,'[1]Value Traded'!A:A,'[1]Value Traded'!E:E)</f>
        <v>860250429.25</v>
      </c>
      <c r="X112" s="12">
        <f>_xlfn.XLOOKUP(A112,'[1]Value Traded'!A:A,'[1]Value Traded'!F:F)</f>
        <v>164382614</v>
      </c>
      <c r="Y112" s="12">
        <f>_xlfn.XLOOKUP(A112,'[1]Value Traded'!A:A,'[1]Value Traded'!G:G)</f>
        <v>361983743.75</v>
      </c>
      <c r="Z112" s="12">
        <f>_xlfn.XLOOKUP(A112,'[1]Value Traded'!A:A,'[1]Value Traded'!H:H)</f>
        <v>57398503.5</v>
      </c>
    </row>
    <row r="113" spans="1:26" x14ac:dyDescent="0.25">
      <c r="A113" s="13">
        <v>2015548</v>
      </c>
      <c r="B113" s="13" t="s">
        <v>516</v>
      </c>
      <c r="C113" s="13" t="s">
        <v>516</v>
      </c>
      <c r="D113" s="13" t="s">
        <v>517</v>
      </c>
      <c r="E113" s="13" t="s">
        <v>518</v>
      </c>
      <c r="F113" s="13" t="s">
        <v>32</v>
      </c>
      <c r="G113" s="13" t="s">
        <v>47</v>
      </c>
      <c r="H113" s="13" t="s">
        <v>48</v>
      </c>
      <c r="I113" s="13" t="s">
        <v>519</v>
      </c>
      <c r="J113" s="13" t="s">
        <v>36</v>
      </c>
      <c r="K113" s="13" t="s">
        <v>37</v>
      </c>
      <c r="L113" s="13" t="s">
        <v>520</v>
      </c>
      <c r="M113" s="14">
        <v>479572206</v>
      </c>
      <c r="N113" s="15">
        <v>153463105.91999999</v>
      </c>
      <c r="O113" s="11">
        <f>_xlfn.XLOOKUP(A113,[1]MIC!A:A,[1]MIC!C:C)</f>
        <v>45344</v>
      </c>
      <c r="P113" s="11">
        <f>_xlfn.XLOOKUP(A113,[1]MIC!A:A,[1]MIC!D:D)</f>
        <v>45709</v>
      </c>
      <c r="Q113" s="5">
        <f>_xlfn.XLOOKUP(A113,'[1]Days Listed'!A:A,'[1]Days Listed'!B:B)</f>
        <v>256</v>
      </c>
      <c r="R113" s="5">
        <f>_xlfn.XLOOKUP(A113,'[1]Days Listed'!A:A,'[1]Days Listed'!C:C)</f>
        <v>129</v>
      </c>
      <c r="S113" s="5">
        <f>_xlfn.XLOOKUP(A113,'[1]Days With Trades'!A:A,'[1]Days With Trades'!B:B)</f>
        <v>250</v>
      </c>
      <c r="T113" s="5">
        <f>_xlfn.XLOOKUP(A113,'[1]Days With Trades'!A:A,'[1]Days With Trades'!C:C)</f>
        <v>127</v>
      </c>
      <c r="U113" s="12">
        <f>_xlfn.XLOOKUP(A113,'[1]Value Traded'!A:A,'[1]Value Traded'!B:B)</f>
        <v>59184357.450000003</v>
      </c>
      <c r="V113" s="12">
        <f>_xlfn.XLOOKUP(A113,'[1]Value Traded'!A:A,'[1]Value Traded'!C:C)</f>
        <v>23622696.960000001</v>
      </c>
      <c r="W113" s="12">
        <f>_xlfn.XLOOKUP(A113,'[1]Value Traded'!A:A,'[1]Value Traded'!E:E)</f>
        <v>84419869.769999996</v>
      </c>
      <c r="X113" s="12">
        <f>_xlfn.XLOOKUP(A113,'[1]Value Traded'!A:A,'[1]Value Traded'!F:F)</f>
        <v>25235512.32</v>
      </c>
      <c r="Y113" s="12">
        <f>_xlfn.XLOOKUP(A113,'[1]Value Traded'!A:A,'[1]Value Traded'!G:G)</f>
        <v>36797351.530000001</v>
      </c>
      <c r="Z113" s="12">
        <f>_xlfn.XLOOKUP(A113,'[1]Value Traded'!A:A,'[1]Value Traded'!H:H)</f>
        <v>13174654.57</v>
      </c>
    </row>
    <row r="114" spans="1:26" x14ac:dyDescent="0.25">
      <c r="A114" s="8">
        <v>2015551</v>
      </c>
      <c r="B114" s="8" t="s">
        <v>521</v>
      </c>
      <c r="C114" s="8" t="s">
        <v>521</v>
      </c>
      <c r="D114" s="8" t="s">
        <v>522</v>
      </c>
      <c r="E114" s="8" t="s">
        <v>523</v>
      </c>
      <c r="F114" s="8" t="s">
        <v>32</v>
      </c>
      <c r="G114" s="8" t="s">
        <v>47</v>
      </c>
      <c r="H114" s="8" t="s">
        <v>48</v>
      </c>
      <c r="I114" s="8" t="s">
        <v>524</v>
      </c>
      <c r="J114" s="8" t="s">
        <v>36</v>
      </c>
      <c r="K114" s="8" t="s">
        <v>37</v>
      </c>
      <c r="L114" s="8" t="s">
        <v>288</v>
      </c>
      <c r="M114" s="9">
        <v>36667733</v>
      </c>
      <c r="N114" s="10">
        <v>2302733632.4000001</v>
      </c>
      <c r="O114" s="11">
        <f>_xlfn.XLOOKUP(A114,[1]MIC!A:A,[1]MIC!C:C)</f>
        <v>45344</v>
      </c>
      <c r="P114" s="11">
        <f>_xlfn.XLOOKUP(A114,[1]MIC!A:A,[1]MIC!D:D)</f>
        <v>45709</v>
      </c>
      <c r="Q114" s="5">
        <f>_xlfn.XLOOKUP(A114,'[1]Days Listed'!A:A,'[1]Days Listed'!B:B)</f>
        <v>256</v>
      </c>
      <c r="R114" s="5">
        <f>_xlfn.XLOOKUP(A114,'[1]Days Listed'!A:A,'[1]Days Listed'!C:C)</f>
        <v>129</v>
      </c>
      <c r="S114" s="5">
        <f>_xlfn.XLOOKUP(A114,'[1]Days With Trades'!A:A,'[1]Days With Trades'!B:B)</f>
        <v>242</v>
      </c>
      <c r="T114" s="5">
        <f>_xlfn.XLOOKUP(A114,'[1]Days With Trades'!A:A,'[1]Days With Trades'!C:C)</f>
        <v>123</v>
      </c>
      <c r="U114" s="12">
        <f>_xlfn.XLOOKUP(A114,'[1]Value Traded'!A:A,'[1]Value Traded'!B:B)</f>
        <v>46667063.200000003</v>
      </c>
      <c r="V114" s="12">
        <f>_xlfn.XLOOKUP(A114,'[1]Value Traded'!A:A,'[1]Value Traded'!C:C)</f>
        <v>22301337.600000001</v>
      </c>
      <c r="W114" s="12">
        <f>_xlfn.XLOOKUP(A114,'[1]Value Traded'!A:A,'[1]Value Traded'!E:E)</f>
        <v>61045878.399999999</v>
      </c>
      <c r="X114" s="12">
        <f>_xlfn.XLOOKUP(A114,'[1]Value Traded'!A:A,'[1]Value Traded'!F:F)</f>
        <v>14378815.199999999</v>
      </c>
      <c r="Y114" s="12">
        <f>_xlfn.XLOOKUP(A114,'[1]Value Traded'!A:A,'[1]Value Traded'!G:G)</f>
        <v>30509444.800000001</v>
      </c>
      <c r="Z114" s="12">
        <f>_xlfn.XLOOKUP(A114,'[1]Value Traded'!A:A,'[1]Value Traded'!H:H)</f>
        <v>8208107.2000000002</v>
      </c>
    </row>
    <row r="115" spans="1:26" x14ac:dyDescent="0.25">
      <c r="A115" s="13">
        <v>2015552</v>
      </c>
      <c r="B115" s="13" t="s">
        <v>525</v>
      </c>
      <c r="C115" s="13" t="s">
        <v>525</v>
      </c>
      <c r="D115" s="13" t="s">
        <v>526</v>
      </c>
      <c r="E115" s="13" t="s">
        <v>527</v>
      </c>
      <c r="F115" s="13" t="s">
        <v>32</v>
      </c>
      <c r="G115" s="13" t="s">
        <v>47</v>
      </c>
      <c r="H115" s="13" t="s">
        <v>54</v>
      </c>
      <c r="I115" s="13" t="s">
        <v>528</v>
      </c>
      <c r="J115" s="13" t="s">
        <v>36</v>
      </c>
      <c r="K115" s="13" t="s">
        <v>37</v>
      </c>
      <c r="L115" s="13" t="s">
        <v>74</v>
      </c>
      <c r="M115" s="14">
        <v>595773680</v>
      </c>
      <c r="N115" s="15">
        <v>30920653992</v>
      </c>
      <c r="O115" s="11">
        <f>_xlfn.XLOOKUP(A115,[1]MIC!A:A,[1]MIC!C:C)</f>
        <v>45344</v>
      </c>
      <c r="P115" s="11">
        <f>_xlfn.XLOOKUP(A115,[1]MIC!A:A,[1]MIC!D:D)</f>
        <v>45709</v>
      </c>
      <c r="Q115" s="5">
        <f>_xlfn.XLOOKUP(A115,'[1]Days Listed'!A:A,'[1]Days Listed'!B:B)</f>
        <v>256</v>
      </c>
      <c r="R115" s="5">
        <f>_xlfn.XLOOKUP(A115,'[1]Days Listed'!A:A,'[1]Days Listed'!C:C)</f>
        <v>129</v>
      </c>
      <c r="S115" s="5">
        <f>_xlfn.XLOOKUP(A115,'[1]Days With Trades'!A:A,'[1]Days With Trades'!B:B)</f>
        <v>250</v>
      </c>
      <c r="T115" s="5">
        <f>_xlfn.XLOOKUP(A115,'[1]Days With Trades'!A:A,'[1]Days With Trades'!C:C)</f>
        <v>127</v>
      </c>
      <c r="U115" s="12">
        <f>_xlfn.XLOOKUP(A115,'[1]Value Traded'!A:A,'[1]Value Traded'!B:B)</f>
        <v>5803270628.5</v>
      </c>
      <c r="V115" s="12">
        <f>_xlfn.XLOOKUP(A115,'[1]Value Traded'!A:A,'[1]Value Traded'!C:C)</f>
        <v>2851306981.9899998</v>
      </c>
      <c r="W115" s="12">
        <f>_xlfn.XLOOKUP(A115,'[1]Value Traded'!A:A,'[1]Value Traded'!E:E)</f>
        <v>6821700150</v>
      </c>
      <c r="X115" s="12">
        <f>_xlfn.XLOOKUP(A115,'[1]Value Traded'!A:A,'[1]Value Traded'!F:F)</f>
        <v>1018429521.5</v>
      </c>
      <c r="Y115" s="12">
        <f>_xlfn.XLOOKUP(A115,'[1]Value Traded'!A:A,'[1]Value Traded'!G:G)</f>
        <v>3248136558.98</v>
      </c>
      <c r="Z115" s="12">
        <f>_xlfn.XLOOKUP(A115,'[1]Value Traded'!A:A,'[1]Value Traded'!H:H)</f>
        <v>396829576.99000001</v>
      </c>
    </row>
    <row r="116" spans="1:26" x14ac:dyDescent="0.25">
      <c r="A116" s="8">
        <v>2015553</v>
      </c>
      <c r="B116" s="8" t="s">
        <v>529</v>
      </c>
      <c r="C116" s="8" t="s">
        <v>529</v>
      </c>
      <c r="D116" s="8" t="s">
        <v>530</v>
      </c>
      <c r="E116" s="8" t="s">
        <v>531</v>
      </c>
      <c r="F116" s="8" t="s">
        <v>32</v>
      </c>
      <c r="G116" s="8" t="s">
        <v>47</v>
      </c>
      <c r="H116" s="8" t="s">
        <v>48</v>
      </c>
      <c r="I116" s="8" t="s">
        <v>532</v>
      </c>
      <c r="J116" s="8" t="s">
        <v>36</v>
      </c>
      <c r="K116" s="8" t="s">
        <v>37</v>
      </c>
      <c r="L116" s="8" t="s">
        <v>147</v>
      </c>
      <c r="M116" s="9">
        <v>34407158</v>
      </c>
      <c r="N116" s="10">
        <v>452454127.69999999</v>
      </c>
      <c r="O116" s="11">
        <f>_xlfn.XLOOKUP(A116,[1]MIC!A:A,[1]MIC!C:C)</f>
        <v>45344</v>
      </c>
      <c r="P116" s="11">
        <f>_xlfn.XLOOKUP(A116,[1]MIC!A:A,[1]MIC!D:D)</f>
        <v>45709</v>
      </c>
      <c r="Q116" s="5">
        <f>_xlfn.XLOOKUP(A116,'[1]Days Listed'!A:A,'[1]Days Listed'!B:B)</f>
        <v>256</v>
      </c>
      <c r="R116" s="5">
        <f>_xlfn.XLOOKUP(A116,'[1]Days Listed'!A:A,'[1]Days Listed'!C:C)</f>
        <v>129</v>
      </c>
      <c r="S116" s="5">
        <f>_xlfn.XLOOKUP(A116,'[1]Days With Trades'!A:A,'[1]Days With Trades'!B:B)</f>
        <v>250</v>
      </c>
      <c r="T116" s="5">
        <f>_xlfn.XLOOKUP(A116,'[1]Days With Trades'!A:A,'[1]Days With Trades'!C:C)</f>
        <v>127</v>
      </c>
      <c r="U116" s="12">
        <f>_xlfn.XLOOKUP(A116,'[1]Value Traded'!A:A,'[1]Value Traded'!B:B)</f>
        <v>84979336.239999995</v>
      </c>
      <c r="V116" s="12">
        <f>_xlfn.XLOOKUP(A116,'[1]Value Traded'!A:A,'[1]Value Traded'!C:C)</f>
        <v>38093867.350000001</v>
      </c>
      <c r="W116" s="12">
        <f>_xlfn.XLOOKUP(A116,'[1]Value Traded'!A:A,'[1]Value Traded'!E:E)</f>
        <v>111322574.87</v>
      </c>
      <c r="X116" s="12">
        <f>_xlfn.XLOOKUP(A116,'[1]Value Traded'!A:A,'[1]Value Traded'!F:F)</f>
        <v>26343238.629999999</v>
      </c>
      <c r="Y116" s="12">
        <f>_xlfn.XLOOKUP(A116,'[1]Value Traded'!A:A,'[1]Value Traded'!G:G)</f>
        <v>48512994.799999997</v>
      </c>
      <c r="Z116" s="12">
        <f>_xlfn.XLOOKUP(A116,'[1]Value Traded'!A:A,'[1]Value Traded'!H:H)</f>
        <v>10419127.449999999</v>
      </c>
    </row>
    <row r="117" spans="1:26" x14ac:dyDescent="0.25">
      <c r="A117" s="13">
        <v>2015554</v>
      </c>
      <c r="B117" s="13" t="s">
        <v>533</v>
      </c>
      <c r="C117" s="13" t="s">
        <v>533</v>
      </c>
      <c r="D117" s="13" t="s">
        <v>534</v>
      </c>
      <c r="E117" s="13" t="s">
        <v>535</v>
      </c>
      <c r="F117" s="13" t="s">
        <v>32</v>
      </c>
      <c r="G117" s="13" t="s">
        <v>47</v>
      </c>
      <c r="H117" s="13" t="s">
        <v>48</v>
      </c>
      <c r="I117" s="13" t="s">
        <v>536</v>
      </c>
      <c r="J117" s="13" t="s">
        <v>36</v>
      </c>
      <c r="K117" s="13" t="s">
        <v>37</v>
      </c>
      <c r="L117" s="13" t="s">
        <v>50</v>
      </c>
      <c r="M117" s="14">
        <v>253136666</v>
      </c>
      <c r="N117" s="15">
        <v>5151331153.1000004</v>
      </c>
      <c r="O117" s="11">
        <f>_xlfn.XLOOKUP(A117,[1]MIC!A:A,[1]MIC!C:C)</f>
        <v>45344</v>
      </c>
      <c r="P117" s="11">
        <f>_xlfn.XLOOKUP(A117,[1]MIC!A:A,[1]MIC!D:D)</f>
        <v>45709</v>
      </c>
      <c r="Q117" s="5">
        <f>_xlfn.XLOOKUP(A117,'[1]Days Listed'!A:A,'[1]Days Listed'!B:B)</f>
        <v>256</v>
      </c>
      <c r="R117" s="5">
        <f>_xlfn.XLOOKUP(A117,'[1]Days Listed'!A:A,'[1]Days Listed'!C:C)</f>
        <v>129</v>
      </c>
      <c r="S117" s="5">
        <f>_xlfn.XLOOKUP(A117,'[1]Days With Trades'!A:A,'[1]Days With Trades'!B:B)</f>
        <v>250</v>
      </c>
      <c r="T117" s="5">
        <f>_xlfn.XLOOKUP(A117,'[1]Days With Trades'!A:A,'[1]Days With Trades'!C:C)</f>
        <v>127</v>
      </c>
      <c r="U117" s="12">
        <f>_xlfn.XLOOKUP(A117,'[1]Value Traded'!A:A,'[1]Value Traded'!B:B)</f>
        <v>1801307015.6400001</v>
      </c>
      <c r="V117" s="12">
        <f>_xlfn.XLOOKUP(A117,'[1]Value Traded'!A:A,'[1]Value Traded'!C:C)</f>
        <v>1018070712.04</v>
      </c>
      <c r="W117" s="12">
        <f>_xlfn.XLOOKUP(A117,'[1]Value Traded'!A:A,'[1]Value Traded'!E:E)</f>
        <v>2484572726.9200001</v>
      </c>
      <c r="X117" s="12">
        <f>_xlfn.XLOOKUP(A117,'[1]Value Traded'!A:A,'[1]Value Traded'!F:F)</f>
        <v>683265711.27999997</v>
      </c>
      <c r="Y117" s="12">
        <f>_xlfn.XLOOKUP(A117,'[1]Value Traded'!A:A,'[1]Value Traded'!G:G)</f>
        <v>1544307820.4400001</v>
      </c>
      <c r="Z117" s="12">
        <f>_xlfn.XLOOKUP(A117,'[1]Value Traded'!A:A,'[1]Value Traded'!H:H)</f>
        <v>526237108.39999998</v>
      </c>
    </row>
    <row r="118" spans="1:26" x14ac:dyDescent="0.25">
      <c r="A118" s="8">
        <v>2015555</v>
      </c>
      <c r="B118" s="8" t="s">
        <v>537</v>
      </c>
      <c r="C118" s="8" t="s">
        <v>537</v>
      </c>
      <c r="D118" s="8" t="s">
        <v>538</v>
      </c>
      <c r="E118" s="8" t="s">
        <v>539</v>
      </c>
      <c r="F118" s="8" t="s">
        <v>32</v>
      </c>
      <c r="G118" s="8" t="s">
        <v>47</v>
      </c>
      <c r="H118" s="8" t="s">
        <v>301</v>
      </c>
      <c r="I118" s="8" t="s">
        <v>540</v>
      </c>
      <c r="J118" s="8" t="s">
        <v>36</v>
      </c>
      <c r="K118" s="8" t="s">
        <v>37</v>
      </c>
      <c r="L118" s="8" t="s">
        <v>541</v>
      </c>
      <c r="M118" s="9">
        <v>69833210</v>
      </c>
      <c r="N118" s="10">
        <v>1190656230.5</v>
      </c>
      <c r="O118" s="11">
        <f>_xlfn.XLOOKUP(A118,[1]MIC!A:A,[1]MIC!C:C)</f>
        <v>45344</v>
      </c>
      <c r="P118" s="11">
        <f>_xlfn.XLOOKUP(A118,[1]MIC!A:A,[1]MIC!D:D)</f>
        <v>45709</v>
      </c>
      <c r="Q118" s="5">
        <f>_xlfn.XLOOKUP(A118,'[1]Days Listed'!A:A,'[1]Days Listed'!B:B)</f>
        <v>256</v>
      </c>
      <c r="R118" s="5">
        <f>_xlfn.XLOOKUP(A118,'[1]Days Listed'!A:A,'[1]Days Listed'!C:C)</f>
        <v>129</v>
      </c>
      <c r="S118" s="5">
        <f>_xlfn.XLOOKUP(A118,'[1]Days With Trades'!A:A,'[1]Days With Trades'!B:B)</f>
        <v>244</v>
      </c>
      <c r="T118" s="5">
        <f>_xlfn.XLOOKUP(A118,'[1]Days With Trades'!A:A,'[1]Days With Trades'!C:C)</f>
        <v>125</v>
      </c>
      <c r="U118" s="12">
        <f>_xlfn.XLOOKUP(A118,'[1]Value Traded'!A:A,'[1]Value Traded'!B:B)</f>
        <v>13271863.5</v>
      </c>
      <c r="V118" s="12">
        <f>_xlfn.XLOOKUP(A118,'[1]Value Traded'!A:A,'[1]Value Traded'!C:C)</f>
        <v>8316730.4000000004</v>
      </c>
      <c r="W118" s="12">
        <f>_xlfn.XLOOKUP(A118,'[1]Value Traded'!A:A,'[1]Value Traded'!E:E)</f>
        <v>17594534.100000001</v>
      </c>
      <c r="X118" s="12">
        <f>_xlfn.XLOOKUP(A118,'[1]Value Traded'!A:A,'[1]Value Traded'!F:F)</f>
        <v>4322670.5999999996</v>
      </c>
      <c r="Y118" s="12">
        <f>_xlfn.XLOOKUP(A118,'[1]Value Traded'!A:A,'[1]Value Traded'!G:G)</f>
        <v>10322586.449999999</v>
      </c>
      <c r="Z118" s="12">
        <f>_xlfn.XLOOKUP(A118,'[1]Value Traded'!A:A,'[1]Value Traded'!H:H)</f>
        <v>2005856.05</v>
      </c>
    </row>
    <row r="119" spans="1:26" x14ac:dyDescent="0.25">
      <c r="A119" s="13">
        <v>2015556</v>
      </c>
      <c r="B119" s="13" t="s">
        <v>542</v>
      </c>
      <c r="C119" s="13" t="s">
        <v>542</v>
      </c>
      <c r="D119" s="13" t="s">
        <v>543</v>
      </c>
      <c r="E119" s="13" t="s">
        <v>544</v>
      </c>
      <c r="F119" s="13" t="s">
        <v>32</v>
      </c>
      <c r="G119" s="13" t="s">
        <v>47</v>
      </c>
      <c r="H119" s="13" t="s">
        <v>48</v>
      </c>
      <c r="I119" s="13" t="s">
        <v>545</v>
      </c>
      <c r="J119" s="13" t="s">
        <v>36</v>
      </c>
      <c r="K119" s="13" t="s">
        <v>37</v>
      </c>
      <c r="L119" s="13" t="s">
        <v>38</v>
      </c>
      <c r="M119" s="14">
        <v>82346796</v>
      </c>
      <c r="N119" s="15">
        <v>3117649696.5599999</v>
      </c>
      <c r="O119" s="11">
        <f>_xlfn.XLOOKUP(A119,[1]MIC!A:A,[1]MIC!C:C)</f>
        <v>45344</v>
      </c>
      <c r="P119" s="11">
        <f>_xlfn.XLOOKUP(A119,[1]MIC!A:A,[1]MIC!D:D)</f>
        <v>45709</v>
      </c>
      <c r="Q119" s="5">
        <f>_xlfn.XLOOKUP(A119,'[1]Days Listed'!A:A,'[1]Days Listed'!B:B)</f>
        <v>256</v>
      </c>
      <c r="R119" s="5">
        <f>_xlfn.XLOOKUP(A119,'[1]Days Listed'!A:A,'[1]Days Listed'!C:C)</f>
        <v>129</v>
      </c>
      <c r="S119" s="5">
        <f>_xlfn.XLOOKUP(A119,'[1]Days With Trades'!A:A,'[1]Days With Trades'!B:B)</f>
        <v>250</v>
      </c>
      <c r="T119" s="5">
        <f>_xlfn.XLOOKUP(A119,'[1]Days With Trades'!A:A,'[1]Days With Trades'!C:C)</f>
        <v>127</v>
      </c>
      <c r="U119" s="12">
        <f>_xlfn.XLOOKUP(A119,'[1]Value Traded'!A:A,'[1]Value Traded'!B:B)</f>
        <v>1865321023.3399999</v>
      </c>
      <c r="V119" s="12">
        <f>_xlfn.XLOOKUP(A119,'[1]Value Traded'!A:A,'[1]Value Traded'!C:C)</f>
        <v>735386355.77999997</v>
      </c>
      <c r="W119" s="12">
        <f>_xlfn.XLOOKUP(A119,'[1]Value Traded'!A:A,'[1]Value Traded'!E:E)</f>
        <v>2399245130.2199998</v>
      </c>
      <c r="X119" s="12">
        <f>_xlfn.XLOOKUP(A119,'[1]Value Traded'!A:A,'[1]Value Traded'!F:F)</f>
        <v>533924106.88</v>
      </c>
      <c r="Y119" s="12">
        <f>_xlfn.XLOOKUP(A119,'[1]Value Traded'!A:A,'[1]Value Traded'!G:G)</f>
        <v>988773255.34000003</v>
      </c>
      <c r="Z119" s="12">
        <f>_xlfn.XLOOKUP(A119,'[1]Value Traded'!A:A,'[1]Value Traded'!H:H)</f>
        <v>253386899.56</v>
      </c>
    </row>
    <row r="120" spans="1:26" x14ac:dyDescent="0.25">
      <c r="A120" s="8">
        <v>2015557</v>
      </c>
      <c r="B120" s="8" t="s">
        <v>546</v>
      </c>
      <c r="C120" s="8" t="s">
        <v>546</v>
      </c>
      <c r="D120" s="8" t="s">
        <v>547</v>
      </c>
      <c r="E120" s="8" t="s">
        <v>548</v>
      </c>
      <c r="F120" s="8" t="s">
        <v>32</v>
      </c>
      <c r="G120" s="8" t="s">
        <v>47</v>
      </c>
      <c r="H120" s="8" t="s">
        <v>48</v>
      </c>
      <c r="I120" s="8" t="s">
        <v>549</v>
      </c>
      <c r="J120" s="8" t="s">
        <v>36</v>
      </c>
      <c r="K120" s="8" t="s">
        <v>37</v>
      </c>
      <c r="L120" s="8" t="s">
        <v>271</v>
      </c>
      <c r="M120" s="9">
        <v>198917161</v>
      </c>
      <c r="N120" s="10">
        <v>8346564075.5600004</v>
      </c>
      <c r="O120" s="11">
        <f>_xlfn.XLOOKUP(A120,[1]MIC!A:A,[1]MIC!C:C)</f>
        <v>45344</v>
      </c>
      <c r="P120" s="11">
        <f>_xlfn.XLOOKUP(A120,[1]MIC!A:A,[1]MIC!D:D)</f>
        <v>45709</v>
      </c>
      <c r="Q120" s="5">
        <f>_xlfn.XLOOKUP(A120,'[1]Days Listed'!A:A,'[1]Days Listed'!B:B)</f>
        <v>256</v>
      </c>
      <c r="R120" s="5">
        <f>_xlfn.XLOOKUP(A120,'[1]Days Listed'!A:A,'[1]Days Listed'!C:C)</f>
        <v>129</v>
      </c>
      <c r="S120" s="5">
        <f>_xlfn.XLOOKUP(A120,'[1]Days With Trades'!A:A,'[1]Days With Trades'!B:B)</f>
        <v>250</v>
      </c>
      <c r="T120" s="5">
        <f>_xlfn.XLOOKUP(A120,'[1]Days With Trades'!A:A,'[1]Days With Trades'!C:C)</f>
        <v>127</v>
      </c>
      <c r="U120" s="12">
        <f>_xlfn.XLOOKUP(A120,'[1]Value Traded'!A:A,'[1]Value Traded'!B:B)</f>
        <v>3171350571.6900001</v>
      </c>
      <c r="V120" s="12">
        <f>_xlfn.XLOOKUP(A120,'[1]Value Traded'!A:A,'[1]Value Traded'!C:C)</f>
        <v>1626642561.47</v>
      </c>
      <c r="W120" s="12">
        <f>_xlfn.XLOOKUP(A120,'[1]Value Traded'!A:A,'[1]Value Traded'!E:E)</f>
        <v>4055599949.1700001</v>
      </c>
      <c r="X120" s="12">
        <f>_xlfn.XLOOKUP(A120,'[1]Value Traded'!A:A,'[1]Value Traded'!F:F)</f>
        <v>884249377.48000002</v>
      </c>
      <c r="Y120" s="12">
        <f>_xlfn.XLOOKUP(A120,'[1]Value Traded'!A:A,'[1]Value Traded'!G:G)</f>
        <v>2065219998.27</v>
      </c>
      <c r="Z120" s="12">
        <f>_xlfn.XLOOKUP(A120,'[1]Value Traded'!A:A,'[1]Value Traded'!H:H)</f>
        <v>438577436.80000001</v>
      </c>
    </row>
    <row r="121" spans="1:26" x14ac:dyDescent="0.25">
      <c r="A121" s="13">
        <v>2015558</v>
      </c>
      <c r="B121" s="13" t="s">
        <v>550</v>
      </c>
      <c r="C121" s="13" t="s">
        <v>550</v>
      </c>
      <c r="D121" s="13" t="s">
        <v>551</v>
      </c>
      <c r="E121" s="13" t="s">
        <v>552</v>
      </c>
      <c r="F121" s="13" t="s">
        <v>32</v>
      </c>
      <c r="G121" s="13" t="s">
        <v>47</v>
      </c>
      <c r="H121" s="13" t="s">
        <v>68</v>
      </c>
      <c r="I121" s="13" t="s">
        <v>553</v>
      </c>
      <c r="J121" s="13" t="s">
        <v>36</v>
      </c>
      <c r="K121" s="13" t="s">
        <v>37</v>
      </c>
      <c r="L121" s="13" t="s">
        <v>38</v>
      </c>
      <c r="M121" s="14">
        <v>196273293</v>
      </c>
      <c r="N121" s="15">
        <v>22139627450.400002</v>
      </c>
      <c r="O121" s="11">
        <f>_xlfn.XLOOKUP(A121,[1]MIC!A:A,[1]MIC!C:C)</f>
        <v>45344</v>
      </c>
      <c r="P121" s="11">
        <f>_xlfn.XLOOKUP(A121,[1]MIC!A:A,[1]MIC!D:D)</f>
        <v>45709</v>
      </c>
      <c r="Q121" s="5">
        <f>_xlfn.XLOOKUP(A121,'[1]Days Listed'!A:A,'[1]Days Listed'!B:B)</f>
        <v>256</v>
      </c>
      <c r="R121" s="5">
        <f>_xlfn.XLOOKUP(A121,'[1]Days Listed'!A:A,'[1]Days Listed'!C:C)</f>
        <v>129</v>
      </c>
      <c r="S121" s="5">
        <f>_xlfn.XLOOKUP(A121,'[1]Days With Trades'!A:A,'[1]Days With Trades'!B:B)</f>
        <v>250</v>
      </c>
      <c r="T121" s="5">
        <f>_xlfn.XLOOKUP(A121,'[1]Days With Trades'!A:A,'[1]Days With Trades'!C:C)</f>
        <v>127</v>
      </c>
      <c r="U121" s="12">
        <f>_xlfn.XLOOKUP(A121,'[1]Value Traded'!A:A,'[1]Value Traded'!B:B)</f>
        <v>11984414882.51</v>
      </c>
      <c r="V121" s="12">
        <f>_xlfn.XLOOKUP(A121,'[1]Value Traded'!A:A,'[1]Value Traded'!C:C)</f>
        <v>5787086835.1099997</v>
      </c>
      <c r="W121" s="12">
        <f>_xlfn.XLOOKUP(A121,'[1]Value Traded'!A:A,'[1]Value Traded'!E:E)</f>
        <v>13936085899.209999</v>
      </c>
      <c r="X121" s="12">
        <f>_xlfn.XLOOKUP(A121,'[1]Value Traded'!A:A,'[1]Value Traded'!F:F)</f>
        <v>1951671016.7</v>
      </c>
      <c r="Y121" s="12">
        <f>_xlfn.XLOOKUP(A121,'[1]Value Traded'!A:A,'[1]Value Traded'!G:G)</f>
        <v>6570382430.21</v>
      </c>
      <c r="Z121" s="12">
        <f>_xlfn.XLOOKUP(A121,'[1]Value Traded'!A:A,'[1]Value Traded'!H:H)</f>
        <v>783295595.10000002</v>
      </c>
    </row>
    <row r="122" spans="1:26" x14ac:dyDescent="0.25">
      <c r="A122" s="8">
        <v>2015559</v>
      </c>
      <c r="B122" s="8" t="s">
        <v>554</v>
      </c>
      <c r="C122" s="8" t="s">
        <v>554</v>
      </c>
      <c r="D122" s="8" t="s">
        <v>555</v>
      </c>
      <c r="E122" s="8" t="s">
        <v>556</v>
      </c>
      <c r="F122" s="8" t="s">
        <v>32</v>
      </c>
      <c r="G122" s="8" t="s">
        <v>47</v>
      </c>
      <c r="H122" s="8" t="s">
        <v>48</v>
      </c>
      <c r="I122" s="8" t="s">
        <v>557</v>
      </c>
      <c r="J122" s="8" t="s">
        <v>36</v>
      </c>
      <c r="K122" s="8" t="s">
        <v>37</v>
      </c>
      <c r="L122" s="8" t="s">
        <v>490</v>
      </c>
      <c r="M122" s="9">
        <v>109289800</v>
      </c>
      <c r="N122" s="10">
        <v>16415327960</v>
      </c>
      <c r="O122" s="11">
        <f>_xlfn.XLOOKUP(A122,[1]MIC!A:A,[1]MIC!C:C)</f>
        <v>45344</v>
      </c>
      <c r="P122" s="11">
        <f>_xlfn.XLOOKUP(A122,[1]MIC!A:A,[1]MIC!D:D)</f>
        <v>45709</v>
      </c>
      <c r="Q122" s="5">
        <f>_xlfn.XLOOKUP(A122,'[1]Days Listed'!A:A,'[1]Days Listed'!B:B)</f>
        <v>256</v>
      </c>
      <c r="R122" s="5">
        <f>_xlfn.XLOOKUP(A122,'[1]Days Listed'!A:A,'[1]Days Listed'!C:C)</f>
        <v>129</v>
      </c>
      <c r="S122" s="5">
        <f>_xlfn.XLOOKUP(A122,'[1]Days With Trades'!A:A,'[1]Days With Trades'!B:B)</f>
        <v>250</v>
      </c>
      <c r="T122" s="5">
        <f>_xlfn.XLOOKUP(A122,'[1]Days With Trades'!A:A,'[1]Days With Trades'!C:C)</f>
        <v>127</v>
      </c>
      <c r="U122" s="12">
        <f>_xlfn.XLOOKUP(A122,'[1]Value Traded'!A:A,'[1]Value Traded'!B:B)</f>
        <v>681123808.60000002</v>
      </c>
      <c r="V122" s="12">
        <f>_xlfn.XLOOKUP(A122,'[1]Value Traded'!A:A,'[1]Value Traded'!C:C)</f>
        <v>409670655.39999998</v>
      </c>
      <c r="W122" s="12">
        <f>_xlfn.XLOOKUP(A122,'[1]Value Traded'!A:A,'[1]Value Traded'!E:E)</f>
        <v>903916575.10000002</v>
      </c>
      <c r="X122" s="12">
        <f>_xlfn.XLOOKUP(A122,'[1]Value Traded'!A:A,'[1]Value Traded'!F:F)</f>
        <v>222792766.5</v>
      </c>
      <c r="Y122" s="12">
        <f>_xlfn.XLOOKUP(A122,'[1]Value Traded'!A:A,'[1]Value Traded'!G:G)</f>
        <v>549426283.29999995</v>
      </c>
      <c r="Z122" s="12">
        <f>_xlfn.XLOOKUP(A122,'[1]Value Traded'!A:A,'[1]Value Traded'!H:H)</f>
        <v>139755627.90000001</v>
      </c>
    </row>
    <row r="123" spans="1:26" x14ac:dyDescent="0.25">
      <c r="A123" s="13">
        <v>2015560</v>
      </c>
      <c r="B123" s="13" t="s">
        <v>558</v>
      </c>
      <c r="C123" s="13" t="s">
        <v>558</v>
      </c>
      <c r="D123" s="13" t="s">
        <v>559</v>
      </c>
      <c r="E123" s="13" t="s">
        <v>560</v>
      </c>
      <c r="F123" s="13" t="s">
        <v>32</v>
      </c>
      <c r="G123" s="13" t="s">
        <v>47</v>
      </c>
      <c r="H123" s="13" t="s">
        <v>48</v>
      </c>
      <c r="I123" s="13" t="s">
        <v>561</v>
      </c>
      <c r="J123" s="13" t="s">
        <v>36</v>
      </c>
      <c r="K123" s="13" t="s">
        <v>37</v>
      </c>
      <c r="L123" s="13" t="s">
        <v>562</v>
      </c>
      <c r="M123" s="14">
        <v>831576974</v>
      </c>
      <c r="N123" s="15">
        <v>99789236.879999995</v>
      </c>
      <c r="O123" s="11">
        <f>_xlfn.XLOOKUP(A123,[1]MIC!A:A,[1]MIC!C:C)</f>
        <v>45344</v>
      </c>
      <c r="P123" s="11">
        <f>_xlfn.XLOOKUP(A123,[1]MIC!A:A,[1]MIC!D:D)</f>
        <v>45709</v>
      </c>
      <c r="Q123" s="5">
        <f>_xlfn.XLOOKUP(A123,'[1]Days Listed'!A:A,'[1]Days Listed'!B:B)</f>
        <v>256</v>
      </c>
      <c r="R123" s="5">
        <f>_xlfn.XLOOKUP(A123,'[1]Days Listed'!A:A,'[1]Days Listed'!C:C)</f>
        <v>129</v>
      </c>
      <c r="S123" s="5">
        <f>_xlfn.XLOOKUP(A123,'[1]Days With Trades'!A:A,'[1]Days With Trades'!B:B)</f>
        <v>250</v>
      </c>
      <c r="T123" s="5">
        <f>_xlfn.XLOOKUP(A123,'[1]Days With Trades'!A:A,'[1]Days With Trades'!C:C)</f>
        <v>127</v>
      </c>
      <c r="U123" s="12">
        <f>_xlfn.XLOOKUP(A123,'[1]Value Traded'!A:A,'[1]Value Traded'!B:B)</f>
        <v>419396366.17000002</v>
      </c>
      <c r="V123" s="12">
        <f>_xlfn.XLOOKUP(A123,'[1]Value Traded'!A:A,'[1]Value Traded'!C:C)</f>
        <v>149122159.97</v>
      </c>
      <c r="W123" s="12">
        <f>_xlfn.XLOOKUP(A123,'[1]Value Traded'!A:A,'[1]Value Traded'!E:E)</f>
        <v>635758333.11000001</v>
      </c>
      <c r="X123" s="12">
        <f>_xlfn.XLOOKUP(A123,'[1]Value Traded'!A:A,'[1]Value Traded'!F:F)</f>
        <v>216361966.94</v>
      </c>
      <c r="Y123" s="12">
        <f>_xlfn.XLOOKUP(A123,'[1]Value Traded'!A:A,'[1]Value Traded'!G:G)</f>
        <v>241522497.05000001</v>
      </c>
      <c r="Z123" s="12">
        <f>_xlfn.XLOOKUP(A123,'[1]Value Traded'!A:A,'[1]Value Traded'!H:H)</f>
        <v>92400337.079999998</v>
      </c>
    </row>
    <row r="124" spans="1:26" x14ac:dyDescent="0.25">
      <c r="A124" s="8">
        <v>2015561</v>
      </c>
      <c r="B124" s="8" t="s">
        <v>563</v>
      </c>
      <c r="C124" s="8" t="s">
        <v>563</v>
      </c>
      <c r="D124" s="8" t="s">
        <v>564</v>
      </c>
      <c r="E124" s="8" t="s">
        <v>565</v>
      </c>
      <c r="F124" s="8" t="s">
        <v>32</v>
      </c>
      <c r="G124" s="8" t="s">
        <v>47</v>
      </c>
      <c r="H124" s="8" t="s">
        <v>48</v>
      </c>
      <c r="I124" s="8" t="s">
        <v>566</v>
      </c>
      <c r="J124" s="8" t="s">
        <v>36</v>
      </c>
      <c r="K124" s="8" t="s">
        <v>37</v>
      </c>
      <c r="L124" s="8" t="s">
        <v>567</v>
      </c>
      <c r="M124" s="9">
        <v>210070416</v>
      </c>
      <c r="N124" s="10">
        <v>6155063188.8000002</v>
      </c>
      <c r="O124" s="11">
        <f>_xlfn.XLOOKUP(A124,[1]MIC!A:A,[1]MIC!C:C)</f>
        <v>45344</v>
      </c>
      <c r="P124" s="11">
        <f>_xlfn.XLOOKUP(A124,[1]MIC!A:A,[1]MIC!D:D)</f>
        <v>45709</v>
      </c>
      <c r="Q124" s="5">
        <f>_xlfn.XLOOKUP(A124,'[1]Days Listed'!A:A,'[1]Days Listed'!B:B)</f>
        <v>256</v>
      </c>
      <c r="R124" s="5">
        <f>_xlfn.XLOOKUP(A124,'[1]Days Listed'!A:A,'[1]Days Listed'!C:C)</f>
        <v>129</v>
      </c>
      <c r="S124" s="5">
        <f>_xlfn.XLOOKUP(A124,'[1]Days With Trades'!A:A,'[1]Days With Trades'!B:B)</f>
        <v>250</v>
      </c>
      <c r="T124" s="5">
        <f>_xlfn.XLOOKUP(A124,'[1]Days With Trades'!A:A,'[1]Days With Trades'!C:C)</f>
        <v>127</v>
      </c>
      <c r="U124" s="12">
        <f>_xlfn.XLOOKUP(A124,'[1]Value Traded'!A:A,'[1]Value Traded'!B:B)</f>
        <v>3595129316.2600002</v>
      </c>
      <c r="V124" s="12">
        <f>_xlfn.XLOOKUP(A124,'[1]Value Traded'!A:A,'[1]Value Traded'!C:C)</f>
        <v>2244259126.1300001</v>
      </c>
      <c r="W124" s="12">
        <f>_xlfn.XLOOKUP(A124,'[1]Value Traded'!A:A,'[1]Value Traded'!E:E)</f>
        <v>4709228871.9499998</v>
      </c>
      <c r="X124" s="12">
        <f>_xlfn.XLOOKUP(A124,'[1]Value Traded'!A:A,'[1]Value Traded'!F:F)</f>
        <v>1114099555.6900001</v>
      </c>
      <c r="Y124" s="12">
        <f>_xlfn.XLOOKUP(A124,'[1]Value Traded'!A:A,'[1]Value Traded'!G:G)</f>
        <v>2905512618.98</v>
      </c>
      <c r="Z124" s="12">
        <f>_xlfn.XLOOKUP(A124,'[1]Value Traded'!A:A,'[1]Value Traded'!H:H)</f>
        <v>661253492.85000002</v>
      </c>
    </row>
    <row r="125" spans="1:26" x14ac:dyDescent="0.25">
      <c r="A125" s="13">
        <v>2015563</v>
      </c>
      <c r="B125" s="13" t="s">
        <v>568</v>
      </c>
      <c r="C125" s="13" t="s">
        <v>568</v>
      </c>
      <c r="D125" s="13" t="s">
        <v>569</v>
      </c>
      <c r="E125" s="13" t="s">
        <v>570</v>
      </c>
      <c r="F125" s="13" t="s">
        <v>32</v>
      </c>
      <c r="G125" s="13" t="s">
        <v>47</v>
      </c>
      <c r="H125" s="13" t="s">
        <v>68</v>
      </c>
      <c r="I125" s="13" t="s">
        <v>571</v>
      </c>
      <c r="J125" s="13" t="s">
        <v>36</v>
      </c>
      <c r="K125" s="13" t="s">
        <v>37</v>
      </c>
      <c r="L125" s="13" t="s">
        <v>572</v>
      </c>
      <c r="M125" s="14">
        <v>192781600</v>
      </c>
      <c r="N125" s="15">
        <v>29591975600</v>
      </c>
      <c r="O125" s="11">
        <f>_xlfn.XLOOKUP(A125,[1]MIC!A:A,[1]MIC!C:C)</f>
        <v>45344</v>
      </c>
      <c r="P125" s="11">
        <f>_xlfn.XLOOKUP(A125,[1]MIC!A:A,[1]MIC!D:D)</f>
        <v>45709</v>
      </c>
      <c r="Q125" s="5">
        <f>_xlfn.XLOOKUP(A125,'[1]Days Listed'!A:A,'[1]Days Listed'!B:B)</f>
        <v>256</v>
      </c>
      <c r="R125" s="5">
        <f>_xlfn.XLOOKUP(A125,'[1]Days Listed'!A:A,'[1]Days Listed'!C:C)</f>
        <v>129</v>
      </c>
      <c r="S125" s="5">
        <f>_xlfn.XLOOKUP(A125,'[1]Days With Trades'!A:A,'[1]Days With Trades'!B:B)</f>
        <v>250</v>
      </c>
      <c r="T125" s="5">
        <f>_xlfn.XLOOKUP(A125,'[1]Days With Trades'!A:A,'[1]Days With Trades'!C:C)</f>
        <v>127</v>
      </c>
      <c r="U125" s="12">
        <f>_xlfn.XLOOKUP(A125,'[1]Value Traded'!A:A,'[1]Value Traded'!B:B)</f>
        <v>15889588923.25</v>
      </c>
      <c r="V125" s="12">
        <f>_xlfn.XLOOKUP(A125,'[1]Value Traded'!A:A,'[1]Value Traded'!C:C)</f>
        <v>8672811682.4899998</v>
      </c>
      <c r="W125" s="12">
        <f>_xlfn.XLOOKUP(A125,'[1]Value Traded'!A:A,'[1]Value Traded'!E:E)</f>
        <v>19598139786.220001</v>
      </c>
      <c r="X125" s="12">
        <f>_xlfn.XLOOKUP(A125,'[1]Value Traded'!A:A,'[1]Value Traded'!F:F)</f>
        <v>3708550862.9699998</v>
      </c>
      <c r="Y125" s="12">
        <f>_xlfn.XLOOKUP(A125,'[1]Value Traded'!A:A,'[1]Value Traded'!G:G)</f>
        <v>10739870239.389999</v>
      </c>
      <c r="Z125" s="12">
        <f>_xlfn.XLOOKUP(A125,'[1]Value Traded'!A:A,'[1]Value Traded'!H:H)</f>
        <v>2067058556.9000001</v>
      </c>
    </row>
    <row r="126" spans="1:26" x14ac:dyDescent="0.25">
      <c r="A126" s="8">
        <v>2015564</v>
      </c>
      <c r="B126" s="8" t="s">
        <v>573</v>
      </c>
      <c r="C126" s="8" t="s">
        <v>573</v>
      </c>
      <c r="D126" s="8" t="s">
        <v>574</v>
      </c>
      <c r="E126" s="8" t="s">
        <v>575</v>
      </c>
      <c r="F126" s="8" t="s">
        <v>32</v>
      </c>
      <c r="G126" s="8" t="s">
        <v>47</v>
      </c>
      <c r="H126" s="8" t="s">
        <v>68</v>
      </c>
      <c r="I126" s="8" t="s">
        <v>576</v>
      </c>
      <c r="J126" s="8" t="s">
        <v>36</v>
      </c>
      <c r="K126" s="8" t="s">
        <v>37</v>
      </c>
      <c r="L126" s="8" t="s">
        <v>74</v>
      </c>
      <c r="M126" s="9">
        <v>517111091</v>
      </c>
      <c r="N126" s="10">
        <v>111334017892.3</v>
      </c>
      <c r="O126" s="11">
        <f>_xlfn.XLOOKUP(A126,[1]MIC!A:A,[1]MIC!C:C)</f>
        <v>45344</v>
      </c>
      <c r="P126" s="11">
        <f>_xlfn.XLOOKUP(A126,[1]MIC!A:A,[1]MIC!D:D)</f>
        <v>45709</v>
      </c>
      <c r="Q126" s="5">
        <f>_xlfn.XLOOKUP(A126,'[1]Days Listed'!A:A,'[1]Days Listed'!B:B)</f>
        <v>256</v>
      </c>
      <c r="R126" s="5">
        <f>_xlfn.XLOOKUP(A126,'[1]Days Listed'!A:A,'[1]Days Listed'!C:C)</f>
        <v>129</v>
      </c>
      <c r="S126" s="5">
        <f>_xlfn.XLOOKUP(A126,'[1]Days With Trades'!A:A,'[1]Days With Trades'!B:B)</f>
        <v>250</v>
      </c>
      <c r="T126" s="5">
        <f>_xlfn.XLOOKUP(A126,'[1]Days With Trades'!A:A,'[1]Days With Trades'!C:C)</f>
        <v>127</v>
      </c>
      <c r="U126" s="12">
        <f>_xlfn.XLOOKUP(A126,'[1]Value Traded'!A:A,'[1]Value Traded'!B:B)</f>
        <v>36234784011</v>
      </c>
      <c r="V126" s="12">
        <f>_xlfn.XLOOKUP(A126,'[1]Value Traded'!A:A,'[1]Value Traded'!C:C)</f>
        <v>19252365633.450001</v>
      </c>
      <c r="W126" s="12">
        <f>_xlfn.XLOOKUP(A126,'[1]Value Traded'!A:A,'[1]Value Traded'!E:E)</f>
        <v>41176637591.550003</v>
      </c>
      <c r="X126" s="12">
        <f>_xlfn.XLOOKUP(A126,'[1]Value Traded'!A:A,'[1]Value Traded'!F:F)</f>
        <v>4941853580.5500002</v>
      </c>
      <c r="Y126" s="12">
        <f>_xlfn.XLOOKUP(A126,'[1]Value Traded'!A:A,'[1]Value Traded'!G:G)</f>
        <v>21653961414.450001</v>
      </c>
      <c r="Z126" s="12">
        <f>_xlfn.XLOOKUP(A126,'[1]Value Traded'!A:A,'[1]Value Traded'!H:H)</f>
        <v>2401595781</v>
      </c>
    </row>
    <row r="127" spans="1:26" x14ac:dyDescent="0.25">
      <c r="A127" s="13">
        <v>2015565</v>
      </c>
      <c r="B127" s="13" t="s">
        <v>577</v>
      </c>
      <c r="C127" s="13" t="s">
        <v>577</v>
      </c>
      <c r="D127" s="13" t="s">
        <v>578</v>
      </c>
      <c r="E127" s="13" t="s">
        <v>579</v>
      </c>
      <c r="F127" s="13" t="s">
        <v>32</v>
      </c>
      <c r="G127" s="13" t="s">
        <v>47</v>
      </c>
      <c r="H127" s="13" t="s">
        <v>68</v>
      </c>
      <c r="I127" s="13" t="s">
        <v>580</v>
      </c>
      <c r="J127" s="13" t="s">
        <v>36</v>
      </c>
      <c r="K127" s="13" t="s">
        <v>37</v>
      </c>
      <c r="L127" s="13" t="s">
        <v>581</v>
      </c>
      <c r="M127" s="14">
        <v>447972681</v>
      </c>
      <c r="N127" s="15">
        <v>55279828835.400002</v>
      </c>
      <c r="O127" s="11">
        <f>_xlfn.XLOOKUP(A127,[1]MIC!A:A,[1]MIC!C:C)</f>
        <v>45344</v>
      </c>
      <c r="P127" s="11">
        <f>_xlfn.XLOOKUP(A127,[1]MIC!A:A,[1]MIC!D:D)</f>
        <v>45709</v>
      </c>
      <c r="Q127" s="5">
        <f>_xlfn.XLOOKUP(A127,'[1]Days Listed'!A:A,'[1]Days Listed'!B:B)</f>
        <v>256</v>
      </c>
      <c r="R127" s="5">
        <f>_xlfn.XLOOKUP(A127,'[1]Days Listed'!A:A,'[1]Days Listed'!C:C)</f>
        <v>129</v>
      </c>
      <c r="S127" s="5">
        <f>_xlfn.XLOOKUP(A127,'[1]Days With Trades'!A:A,'[1]Days With Trades'!B:B)</f>
        <v>250</v>
      </c>
      <c r="T127" s="5">
        <f>_xlfn.XLOOKUP(A127,'[1]Days With Trades'!A:A,'[1]Days With Trades'!C:C)</f>
        <v>127</v>
      </c>
      <c r="U127" s="12">
        <f>_xlfn.XLOOKUP(A127,'[1]Value Traded'!A:A,'[1]Value Traded'!B:B)</f>
        <v>16103976034.35</v>
      </c>
      <c r="V127" s="12">
        <f>_xlfn.XLOOKUP(A127,'[1]Value Traded'!A:A,'[1]Value Traded'!C:C)</f>
        <v>8187054295.6000004</v>
      </c>
      <c r="W127" s="12">
        <f>_xlfn.XLOOKUP(A127,'[1]Value Traded'!A:A,'[1]Value Traded'!E:E)</f>
        <v>18812430344.349998</v>
      </c>
      <c r="X127" s="12">
        <f>_xlfn.XLOOKUP(A127,'[1]Value Traded'!A:A,'[1]Value Traded'!F:F)</f>
        <v>2708454310</v>
      </c>
      <c r="Y127" s="12">
        <f>_xlfn.XLOOKUP(A127,'[1]Value Traded'!A:A,'[1]Value Traded'!G:G)</f>
        <v>9785125426.0499992</v>
      </c>
      <c r="Z127" s="12">
        <f>_xlfn.XLOOKUP(A127,'[1]Value Traded'!A:A,'[1]Value Traded'!H:H)</f>
        <v>1598071130.45</v>
      </c>
    </row>
    <row r="128" spans="1:26" x14ac:dyDescent="0.25">
      <c r="A128" s="8">
        <v>2015566</v>
      </c>
      <c r="B128" s="8" t="s">
        <v>582</v>
      </c>
      <c r="C128" s="8" t="s">
        <v>582</v>
      </c>
      <c r="D128" s="8" t="s">
        <v>583</v>
      </c>
      <c r="E128" s="8" t="s">
        <v>584</v>
      </c>
      <c r="F128" s="8" t="s">
        <v>32</v>
      </c>
      <c r="G128" s="8" t="s">
        <v>47</v>
      </c>
      <c r="H128" s="8" t="s">
        <v>48</v>
      </c>
      <c r="I128" s="8" t="s">
        <v>585</v>
      </c>
      <c r="J128" s="8" t="s">
        <v>36</v>
      </c>
      <c r="K128" s="8" t="s">
        <v>37</v>
      </c>
      <c r="L128" s="8" t="s">
        <v>38</v>
      </c>
      <c r="M128" s="9">
        <v>461892898</v>
      </c>
      <c r="N128" s="10">
        <v>1182445818.8800001</v>
      </c>
      <c r="O128" s="11">
        <f>_xlfn.XLOOKUP(A128,[1]MIC!A:A,[1]MIC!C:C)</f>
        <v>45344</v>
      </c>
      <c r="P128" s="11">
        <f>_xlfn.XLOOKUP(A128,[1]MIC!A:A,[1]MIC!D:D)</f>
        <v>45709</v>
      </c>
      <c r="Q128" s="5">
        <f>_xlfn.XLOOKUP(A128,'[1]Days Listed'!A:A,'[1]Days Listed'!B:B)</f>
        <v>256</v>
      </c>
      <c r="R128" s="5">
        <f>_xlfn.XLOOKUP(A128,'[1]Days Listed'!A:A,'[1]Days Listed'!C:C)</f>
        <v>129</v>
      </c>
      <c r="S128" s="5">
        <f>_xlfn.XLOOKUP(A128,'[1]Days With Trades'!A:A,'[1]Days With Trades'!B:B)</f>
        <v>250</v>
      </c>
      <c r="T128" s="5">
        <f>_xlfn.XLOOKUP(A128,'[1]Days With Trades'!A:A,'[1]Days With Trades'!C:C)</f>
        <v>127</v>
      </c>
      <c r="U128" s="12">
        <f>_xlfn.XLOOKUP(A128,'[1]Value Traded'!A:A,'[1]Value Traded'!B:B)</f>
        <v>467361906.74000001</v>
      </c>
      <c r="V128" s="12">
        <f>_xlfn.XLOOKUP(A128,'[1]Value Traded'!A:A,'[1]Value Traded'!C:C)</f>
        <v>282405773.13999999</v>
      </c>
      <c r="W128" s="12">
        <f>_xlfn.XLOOKUP(A128,'[1]Value Traded'!A:A,'[1]Value Traded'!E:E)</f>
        <v>657498648.99000001</v>
      </c>
      <c r="X128" s="12">
        <f>_xlfn.XLOOKUP(A128,'[1]Value Traded'!A:A,'[1]Value Traded'!F:F)</f>
        <v>190136742.25</v>
      </c>
      <c r="Y128" s="12">
        <f>_xlfn.XLOOKUP(A128,'[1]Value Traded'!A:A,'[1]Value Traded'!G:G)</f>
        <v>389904202.91000003</v>
      </c>
      <c r="Z128" s="12">
        <f>_xlfn.XLOOKUP(A128,'[1]Value Traded'!A:A,'[1]Value Traded'!H:H)</f>
        <v>107498429.77</v>
      </c>
    </row>
    <row r="129" spans="1:26" x14ac:dyDescent="0.25">
      <c r="A129" s="13">
        <v>2015567</v>
      </c>
      <c r="B129" s="13" t="s">
        <v>586</v>
      </c>
      <c r="C129" s="13" t="s">
        <v>586</v>
      </c>
      <c r="D129" s="13" t="s">
        <v>587</v>
      </c>
      <c r="E129" s="13" t="s">
        <v>588</v>
      </c>
      <c r="F129" s="13" t="s">
        <v>32</v>
      </c>
      <c r="G129" s="13" t="s">
        <v>47</v>
      </c>
      <c r="H129" s="13" t="s">
        <v>48</v>
      </c>
      <c r="I129" s="13" t="s">
        <v>589</v>
      </c>
      <c r="J129" s="13" t="s">
        <v>36</v>
      </c>
      <c r="K129" s="13" t="s">
        <v>37</v>
      </c>
      <c r="L129" s="13" t="s">
        <v>590</v>
      </c>
      <c r="M129" s="14">
        <v>107427112</v>
      </c>
      <c r="N129" s="15">
        <v>1090385186.8</v>
      </c>
      <c r="O129" s="11">
        <f>_xlfn.XLOOKUP(A129,[1]MIC!A:A,[1]MIC!C:C)</f>
        <v>45344</v>
      </c>
      <c r="P129" s="11">
        <f>_xlfn.XLOOKUP(A129,[1]MIC!A:A,[1]MIC!D:D)</f>
        <v>45709</v>
      </c>
      <c r="Q129" s="5">
        <f>_xlfn.XLOOKUP(A129,'[1]Days Listed'!A:A,'[1]Days Listed'!B:B)</f>
        <v>256</v>
      </c>
      <c r="R129" s="5">
        <f>_xlfn.XLOOKUP(A129,'[1]Days Listed'!A:A,'[1]Days Listed'!C:C)</f>
        <v>129</v>
      </c>
      <c r="S129" s="5">
        <f>_xlfn.XLOOKUP(A129,'[1]Days With Trades'!A:A,'[1]Days With Trades'!B:B)</f>
        <v>250</v>
      </c>
      <c r="T129" s="5">
        <f>_xlfn.XLOOKUP(A129,'[1]Days With Trades'!A:A,'[1]Days With Trades'!C:C)</f>
        <v>127</v>
      </c>
      <c r="U129" s="12">
        <f>_xlfn.XLOOKUP(A129,'[1]Value Traded'!A:A,'[1]Value Traded'!B:B)</f>
        <v>227417928.41</v>
      </c>
      <c r="V129" s="12">
        <f>_xlfn.XLOOKUP(A129,'[1]Value Traded'!A:A,'[1]Value Traded'!C:C)</f>
        <v>150808882.47999999</v>
      </c>
      <c r="W129" s="12">
        <f>_xlfn.XLOOKUP(A129,'[1]Value Traded'!A:A,'[1]Value Traded'!E:E)</f>
        <v>305300178.25999999</v>
      </c>
      <c r="X129" s="12">
        <f>_xlfn.XLOOKUP(A129,'[1]Value Traded'!A:A,'[1]Value Traded'!F:F)</f>
        <v>77882249.849999994</v>
      </c>
      <c r="Y129" s="12">
        <f>_xlfn.XLOOKUP(A129,'[1]Value Traded'!A:A,'[1]Value Traded'!G:G)</f>
        <v>205070672.94999999</v>
      </c>
      <c r="Z129" s="12">
        <f>_xlfn.XLOOKUP(A129,'[1]Value Traded'!A:A,'[1]Value Traded'!H:H)</f>
        <v>54261790.469999999</v>
      </c>
    </row>
    <row r="130" spans="1:26" x14ac:dyDescent="0.25">
      <c r="A130" s="8">
        <v>2015568</v>
      </c>
      <c r="B130" s="8" t="s">
        <v>591</v>
      </c>
      <c r="C130" s="8" t="s">
        <v>591</v>
      </c>
      <c r="D130" s="8" t="s">
        <v>592</v>
      </c>
      <c r="E130" s="8" t="s">
        <v>593</v>
      </c>
      <c r="F130" s="8" t="s">
        <v>32</v>
      </c>
      <c r="G130" s="8" t="s">
        <v>47</v>
      </c>
      <c r="H130" s="8" t="s">
        <v>91</v>
      </c>
      <c r="I130" s="8" t="s">
        <v>594</v>
      </c>
      <c r="J130" s="8" t="s">
        <v>36</v>
      </c>
      <c r="K130" s="8" t="s">
        <v>37</v>
      </c>
      <c r="L130" s="8" t="s">
        <v>515</v>
      </c>
      <c r="M130" s="9">
        <v>175921849</v>
      </c>
      <c r="N130" s="10">
        <v>235207512113</v>
      </c>
      <c r="O130" s="11">
        <f>_xlfn.XLOOKUP(A130,[1]MIC!A:A,[1]MIC!C:C)</f>
        <v>45344</v>
      </c>
      <c r="P130" s="11">
        <f>_xlfn.XLOOKUP(A130,[1]MIC!A:A,[1]MIC!D:D)</f>
        <v>45709</v>
      </c>
      <c r="Q130" s="5">
        <f>_xlfn.XLOOKUP(A130,'[1]Days Listed'!A:A,'[1]Days Listed'!B:B)</f>
        <v>256</v>
      </c>
      <c r="R130" s="5">
        <f>_xlfn.XLOOKUP(A130,'[1]Days Listed'!A:A,'[1]Days Listed'!C:C)</f>
        <v>129</v>
      </c>
      <c r="S130" s="5">
        <f>_xlfn.XLOOKUP(A130,'[1]Days With Trades'!A:A,'[1]Days With Trades'!B:B)</f>
        <v>250</v>
      </c>
      <c r="T130" s="5">
        <f>_xlfn.XLOOKUP(A130,'[1]Days With Trades'!A:A,'[1]Days With Trades'!C:C)</f>
        <v>127</v>
      </c>
      <c r="U130" s="12">
        <f>_xlfn.XLOOKUP(A130,'[1]Value Traded'!A:A,'[1]Value Traded'!B:B)</f>
        <v>50300477787.25</v>
      </c>
      <c r="V130" s="12">
        <f>_xlfn.XLOOKUP(A130,'[1]Value Traded'!A:A,'[1]Value Traded'!C:C)</f>
        <v>31143246264.5</v>
      </c>
      <c r="W130" s="12">
        <f>_xlfn.XLOOKUP(A130,'[1]Value Traded'!A:A,'[1]Value Traded'!E:E)</f>
        <v>57918777521.25</v>
      </c>
      <c r="X130" s="12">
        <f>_xlfn.XLOOKUP(A130,'[1]Value Traded'!A:A,'[1]Value Traded'!F:F)</f>
        <v>7618299734</v>
      </c>
      <c r="Y130" s="12">
        <f>_xlfn.XLOOKUP(A130,'[1]Value Traded'!A:A,'[1]Value Traded'!G:G)</f>
        <v>35156253155</v>
      </c>
      <c r="Z130" s="12">
        <f>_xlfn.XLOOKUP(A130,'[1]Value Traded'!A:A,'[1]Value Traded'!H:H)</f>
        <v>4013006890.5</v>
      </c>
    </row>
    <row r="131" spans="1:26" x14ac:dyDescent="0.25">
      <c r="A131" s="13">
        <v>2015569</v>
      </c>
      <c r="B131" s="13" t="s">
        <v>595</v>
      </c>
      <c r="C131" s="13" t="s">
        <v>595</v>
      </c>
      <c r="D131" s="13" t="s">
        <v>596</v>
      </c>
      <c r="E131" s="13" t="s">
        <v>597</v>
      </c>
      <c r="F131" s="13" t="s">
        <v>32</v>
      </c>
      <c r="G131" s="13" t="s">
        <v>47</v>
      </c>
      <c r="H131" s="13" t="s">
        <v>54</v>
      </c>
      <c r="I131" s="13" t="s">
        <v>598</v>
      </c>
      <c r="J131" s="13" t="s">
        <v>36</v>
      </c>
      <c r="K131" s="13" t="s">
        <v>37</v>
      </c>
      <c r="L131" s="13" t="s">
        <v>599</v>
      </c>
      <c r="M131" s="14">
        <v>951423131</v>
      </c>
      <c r="N131" s="15">
        <v>1434746081.55</v>
      </c>
      <c r="O131" s="11">
        <f>_xlfn.XLOOKUP(A131,[1]MIC!A:A,[1]MIC!C:C)</f>
        <v>45344</v>
      </c>
      <c r="P131" s="11">
        <f>_xlfn.XLOOKUP(A131,[1]MIC!A:A,[1]MIC!D:D)</f>
        <v>45709</v>
      </c>
      <c r="Q131" s="5">
        <f>_xlfn.XLOOKUP(A131,'[1]Days Listed'!A:A,'[1]Days Listed'!B:B)</f>
        <v>256</v>
      </c>
      <c r="R131" s="5">
        <f>_xlfn.XLOOKUP(A131,'[1]Days Listed'!A:A,'[1]Days Listed'!C:C)</f>
        <v>129</v>
      </c>
      <c r="S131" s="5">
        <f>_xlfn.XLOOKUP(A131,'[1]Days With Trades'!A:A,'[1]Days With Trades'!B:B)</f>
        <v>250</v>
      </c>
      <c r="T131" s="5">
        <f>_xlfn.XLOOKUP(A131,'[1]Days With Trades'!A:A,'[1]Days With Trades'!C:C)</f>
        <v>127</v>
      </c>
      <c r="U131" s="12">
        <f>_xlfn.XLOOKUP(A131,'[1]Value Traded'!A:A,'[1]Value Traded'!B:B)</f>
        <v>1381561020.0899999</v>
      </c>
      <c r="V131" s="12">
        <f>_xlfn.XLOOKUP(A131,'[1]Value Traded'!A:A,'[1]Value Traded'!C:C)</f>
        <v>861626562.96000004</v>
      </c>
      <c r="W131" s="12">
        <f>_xlfn.XLOOKUP(A131,'[1]Value Traded'!A:A,'[1]Value Traded'!E:E)</f>
        <v>1823833268.6900001</v>
      </c>
      <c r="X131" s="12">
        <f>_xlfn.XLOOKUP(A131,'[1]Value Traded'!A:A,'[1]Value Traded'!F:F)</f>
        <v>442272248.60000002</v>
      </c>
      <c r="Y131" s="12">
        <f>_xlfn.XLOOKUP(A131,'[1]Value Traded'!A:A,'[1]Value Traded'!G:G)</f>
        <v>1132335461.8399999</v>
      </c>
      <c r="Z131" s="12">
        <f>_xlfn.XLOOKUP(A131,'[1]Value Traded'!A:A,'[1]Value Traded'!H:H)</f>
        <v>270708898.88</v>
      </c>
    </row>
    <row r="132" spans="1:26" x14ac:dyDescent="0.25">
      <c r="A132" s="8">
        <v>2015570</v>
      </c>
      <c r="B132" s="8" t="s">
        <v>600</v>
      </c>
      <c r="C132" s="8" t="s">
        <v>600</v>
      </c>
      <c r="D132" s="8" t="s">
        <v>601</v>
      </c>
      <c r="E132" s="8" t="s">
        <v>602</v>
      </c>
      <c r="F132" s="8" t="s">
        <v>32</v>
      </c>
      <c r="G132" s="8" t="s">
        <v>47</v>
      </c>
      <c r="H132" s="8" t="s">
        <v>48</v>
      </c>
      <c r="I132" s="8" t="s">
        <v>603</v>
      </c>
      <c r="J132" s="8" t="s">
        <v>36</v>
      </c>
      <c r="K132" s="8" t="s">
        <v>37</v>
      </c>
      <c r="L132" s="8" t="s">
        <v>38</v>
      </c>
      <c r="M132" s="9">
        <v>275168875</v>
      </c>
      <c r="N132" s="10">
        <v>391840478</v>
      </c>
      <c r="O132" s="11">
        <f>_xlfn.XLOOKUP(A132,[1]MIC!A:A,[1]MIC!C:C)</f>
        <v>45344</v>
      </c>
      <c r="P132" s="11">
        <f>_xlfn.XLOOKUP(A132,[1]MIC!A:A,[1]MIC!D:D)</f>
        <v>45709</v>
      </c>
      <c r="Q132" s="5">
        <f>_xlfn.XLOOKUP(A132,'[1]Days Listed'!A:A,'[1]Days Listed'!B:B)</f>
        <v>256</v>
      </c>
      <c r="R132" s="5">
        <f>_xlfn.XLOOKUP(A132,'[1]Days Listed'!A:A,'[1]Days Listed'!C:C)</f>
        <v>129</v>
      </c>
      <c r="S132" s="5">
        <f>_xlfn.XLOOKUP(A132,'[1]Days With Trades'!A:A,'[1]Days With Trades'!B:B)</f>
        <v>250</v>
      </c>
      <c r="T132" s="5">
        <f>_xlfn.XLOOKUP(A132,'[1]Days With Trades'!A:A,'[1]Days With Trades'!C:C)</f>
        <v>127</v>
      </c>
      <c r="U132" s="12">
        <f>_xlfn.XLOOKUP(A132,'[1]Value Traded'!A:A,'[1]Value Traded'!B:B)</f>
        <v>66650786.549999997</v>
      </c>
      <c r="V132" s="12">
        <f>_xlfn.XLOOKUP(A132,'[1]Value Traded'!A:A,'[1]Value Traded'!C:C)</f>
        <v>27000434.5</v>
      </c>
      <c r="W132" s="12">
        <f>_xlfn.XLOOKUP(A132,'[1]Value Traded'!A:A,'[1]Value Traded'!E:E)</f>
        <v>118159603.40000001</v>
      </c>
      <c r="X132" s="12">
        <f>_xlfn.XLOOKUP(A132,'[1]Value Traded'!A:A,'[1]Value Traded'!F:F)</f>
        <v>51508816.850000001</v>
      </c>
      <c r="Y132" s="12">
        <f>_xlfn.XLOOKUP(A132,'[1]Value Traded'!A:A,'[1]Value Traded'!G:G)</f>
        <v>39182974.350000001</v>
      </c>
      <c r="Z132" s="12">
        <f>_xlfn.XLOOKUP(A132,'[1]Value Traded'!A:A,'[1]Value Traded'!H:H)</f>
        <v>12182539.85</v>
      </c>
    </row>
    <row r="133" spans="1:26" x14ac:dyDescent="0.25">
      <c r="A133" s="13">
        <v>2015571</v>
      </c>
      <c r="B133" s="13" t="s">
        <v>604</v>
      </c>
      <c r="C133" s="13" t="s">
        <v>604</v>
      </c>
      <c r="D133" s="13" t="s">
        <v>605</v>
      </c>
      <c r="E133" s="13" t="s">
        <v>606</v>
      </c>
      <c r="F133" s="13" t="s">
        <v>32</v>
      </c>
      <c r="G133" s="13" t="s">
        <v>47</v>
      </c>
      <c r="H133" s="13" t="s">
        <v>54</v>
      </c>
      <c r="I133" s="13" t="s">
        <v>607</v>
      </c>
      <c r="J133" s="13" t="s">
        <v>36</v>
      </c>
      <c r="K133" s="13" t="s">
        <v>37</v>
      </c>
      <c r="L133" s="13" t="s">
        <v>217</v>
      </c>
      <c r="M133" s="14">
        <v>74321862</v>
      </c>
      <c r="N133" s="15">
        <v>47045738646</v>
      </c>
      <c r="O133" s="11">
        <f>_xlfn.XLOOKUP(A133,[1]MIC!A:A,[1]MIC!C:C)</f>
        <v>45344</v>
      </c>
      <c r="P133" s="11">
        <f>_xlfn.XLOOKUP(A133,[1]MIC!A:A,[1]MIC!D:D)</f>
        <v>45709</v>
      </c>
      <c r="Q133" s="5">
        <f>_xlfn.XLOOKUP(A133,'[1]Days Listed'!A:A,'[1]Days Listed'!B:B)</f>
        <v>256</v>
      </c>
      <c r="R133" s="5">
        <f>_xlfn.XLOOKUP(A133,'[1]Days Listed'!A:A,'[1]Days Listed'!C:C)</f>
        <v>129</v>
      </c>
      <c r="S133" s="5">
        <f>_xlfn.XLOOKUP(A133,'[1]Days With Trades'!A:A,'[1]Days With Trades'!B:B)</f>
        <v>250</v>
      </c>
      <c r="T133" s="5">
        <f>_xlfn.XLOOKUP(A133,'[1]Days With Trades'!A:A,'[1]Days With Trades'!C:C)</f>
        <v>127</v>
      </c>
      <c r="U133" s="12">
        <f>_xlfn.XLOOKUP(A133,'[1]Value Traded'!A:A,'[1]Value Traded'!B:B)</f>
        <v>4272302428.5</v>
      </c>
      <c r="V133" s="12">
        <f>_xlfn.XLOOKUP(A133,'[1]Value Traded'!A:A,'[1]Value Traded'!C:C)</f>
        <v>2199034635</v>
      </c>
      <c r="W133" s="12">
        <f>_xlfn.XLOOKUP(A133,'[1]Value Traded'!A:A,'[1]Value Traded'!E:E)</f>
        <v>4854479421.5</v>
      </c>
      <c r="X133" s="12">
        <f>_xlfn.XLOOKUP(A133,'[1]Value Traded'!A:A,'[1]Value Traded'!F:F)</f>
        <v>582176993</v>
      </c>
      <c r="Y133" s="12">
        <f>_xlfn.XLOOKUP(A133,'[1]Value Traded'!A:A,'[1]Value Traded'!G:G)</f>
        <v>2519596961</v>
      </c>
      <c r="Z133" s="12">
        <f>_xlfn.XLOOKUP(A133,'[1]Value Traded'!A:A,'[1]Value Traded'!H:H)</f>
        <v>320562326</v>
      </c>
    </row>
    <row r="134" spans="1:26" x14ac:dyDescent="0.25">
      <c r="A134" s="8">
        <v>2015572</v>
      </c>
      <c r="B134" s="8" t="s">
        <v>608</v>
      </c>
      <c r="C134" s="8" t="s">
        <v>608</v>
      </c>
      <c r="D134" s="8" t="s">
        <v>609</v>
      </c>
      <c r="E134" s="8" t="s">
        <v>610</v>
      </c>
      <c r="F134" s="8" t="s">
        <v>32</v>
      </c>
      <c r="G134" s="8" t="s">
        <v>47</v>
      </c>
      <c r="H134" s="8" t="s">
        <v>48</v>
      </c>
      <c r="I134" s="8" t="s">
        <v>611</v>
      </c>
      <c r="J134" s="8" t="s">
        <v>36</v>
      </c>
      <c r="K134" s="8" t="s">
        <v>37</v>
      </c>
      <c r="L134" s="8" t="s">
        <v>38</v>
      </c>
      <c r="M134" s="9">
        <v>274000000</v>
      </c>
      <c r="N134" s="10">
        <v>3704480000</v>
      </c>
      <c r="O134" s="11">
        <f>_xlfn.XLOOKUP(A134,[1]MIC!A:A,[1]MIC!C:C)</f>
        <v>45344</v>
      </c>
      <c r="P134" s="11">
        <f>_xlfn.XLOOKUP(A134,[1]MIC!A:A,[1]MIC!D:D)</f>
        <v>45709</v>
      </c>
      <c r="Q134" s="5">
        <f>_xlfn.XLOOKUP(A134,'[1]Days Listed'!A:A,'[1]Days Listed'!B:B)</f>
        <v>256</v>
      </c>
      <c r="R134" s="5">
        <f>_xlfn.XLOOKUP(A134,'[1]Days Listed'!A:A,'[1]Days Listed'!C:C)</f>
        <v>129</v>
      </c>
      <c r="S134" s="5">
        <f>_xlfn.XLOOKUP(A134,'[1]Days With Trades'!A:A,'[1]Days With Trades'!B:B)</f>
        <v>250</v>
      </c>
      <c r="T134" s="5">
        <f>_xlfn.XLOOKUP(A134,'[1]Days With Trades'!A:A,'[1]Days With Trades'!C:C)</f>
        <v>127</v>
      </c>
      <c r="U134" s="12">
        <f>_xlfn.XLOOKUP(A134,'[1]Value Traded'!A:A,'[1]Value Traded'!B:B)</f>
        <v>480601600.52999997</v>
      </c>
      <c r="V134" s="12">
        <f>_xlfn.XLOOKUP(A134,'[1]Value Traded'!A:A,'[1]Value Traded'!C:C)</f>
        <v>191234721.16999999</v>
      </c>
      <c r="W134" s="12">
        <f>_xlfn.XLOOKUP(A134,'[1]Value Traded'!A:A,'[1]Value Traded'!E:E)</f>
        <v>641637425.97000003</v>
      </c>
      <c r="X134" s="12">
        <f>_xlfn.XLOOKUP(A134,'[1]Value Traded'!A:A,'[1]Value Traded'!F:F)</f>
        <v>161035825.44</v>
      </c>
      <c r="Y134" s="12">
        <f>_xlfn.XLOOKUP(A134,'[1]Value Traded'!A:A,'[1]Value Traded'!G:G)</f>
        <v>235679665.49000001</v>
      </c>
      <c r="Z134" s="12">
        <f>_xlfn.XLOOKUP(A134,'[1]Value Traded'!A:A,'[1]Value Traded'!H:H)</f>
        <v>44444944.32</v>
      </c>
    </row>
    <row r="135" spans="1:26" x14ac:dyDescent="0.25">
      <c r="A135" s="13">
        <v>2015573</v>
      </c>
      <c r="B135" s="13" t="s">
        <v>612</v>
      </c>
      <c r="C135" s="13" t="s">
        <v>612</v>
      </c>
      <c r="D135" s="13" t="s">
        <v>613</v>
      </c>
      <c r="E135" s="13" t="s">
        <v>614</v>
      </c>
      <c r="F135" s="13" t="s">
        <v>32</v>
      </c>
      <c r="G135" s="13" t="s">
        <v>47</v>
      </c>
      <c r="H135" s="13" t="s">
        <v>48</v>
      </c>
      <c r="I135" s="13" t="s">
        <v>615</v>
      </c>
      <c r="J135" s="13" t="s">
        <v>36</v>
      </c>
      <c r="K135" s="13" t="s">
        <v>37</v>
      </c>
      <c r="L135" s="13" t="s">
        <v>616</v>
      </c>
      <c r="M135" s="14">
        <v>82500000</v>
      </c>
      <c r="N135" s="15">
        <v>25492500000</v>
      </c>
      <c r="O135" s="11">
        <f>_xlfn.XLOOKUP(A135,[1]MIC!A:A,[1]MIC!C:C)</f>
        <v>45344</v>
      </c>
      <c r="P135" s="11">
        <f>_xlfn.XLOOKUP(A135,[1]MIC!A:A,[1]MIC!D:D)</f>
        <v>45709</v>
      </c>
      <c r="Q135" s="5">
        <f>_xlfn.XLOOKUP(A135,'[1]Days Listed'!A:A,'[1]Days Listed'!B:B)</f>
        <v>256</v>
      </c>
      <c r="R135" s="5">
        <f>_xlfn.XLOOKUP(A135,'[1]Days Listed'!A:A,'[1]Days Listed'!C:C)</f>
        <v>129</v>
      </c>
      <c r="S135" s="5">
        <f>_xlfn.XLOOKUP(A135,'[1]Days With Trades'!A:A,'[1]Days With Trades'!B:B)</f>
        <v>250</v>
      </c>
      <c r="T135" s="5">
        <f>_xlfn.XLOOKUP(A135,'[1]Days With Trades'!A:A,'[1]Days With Trades'!C:C)</f>
        <v>127</v>
      </c>
      <c r="U135" s="12">
        <f>_xlfn.XLOOKUP(A135,'[1]Value Traded'!A:A,'[1]Value Traded'!B:B)</f>
        <v>3448604701.75</v>
      </c>
      <c r="V135" s="12">
        <f>_xlfn.XLOOKUP(A135,'[1]Value Traded'!A:A,'[1]Value Traded'!C:C)</f>
        <v>1915599027.25</v>
      </c>
      <c r="W135" s="12">
        <f>_xlfn.XLOOKUP(A135,'[1]Value Traded'!A:A,'[1]Value Traded'!E:E)</f>
        <v>4141057797.75</v>
      </c>
      <c r="X135" s="12">
        <f>_xlfn.XLOOKUP(A135,'[1]Value Traded'!A:A,'[1]Value Traded'!F:F)</f>
        <v>692453096</v>
      </c>
      <c r="Y135" s="12">
        <f>_xlfn.XLOOKUP(A135,'[1]Value Traded'!A:A,'[1]Value Traded'!G:G)</f>
        <v>2233642555.75</v>
      </c>
      <c r="Z135" s="12">
        <f>_xlfn.XLOOKUP(A135,'[1]Value Traded'!A:A,'[1]Value Traded'!H:H)</f>
        <v>318043528.5</v>
      </c>
    </row>
    <row r="136" spans="1:26" x14ac:dyDescent="0.25">
      <c r="A136" s="8">
        <v>2015574</v>
      </c>
      <c r="B136" s="8" t="s">
        <v>617</v>
      </c>
      <c r="C136" s="8" t="s">
        <v>617</v>
      </c>
      <c r="D136" s="8" t="s">
        <v>618</v>
      </c>
      <c r="E136" s="8" t="s">
        <v>619</v>
      </c>
      <c r="F136" s="8" t="s">
        <v>32</v>
      </c>
      <c r="G136" s="8" t="s">
        <v>47</v>
      </c>
      <c r="H136" s="8" t="s">
        <v>68</v>
      </c>
      <c r="I136" s="8" t="s">
        <v>620</v>
      </c>
      <c r="J136" s="8" t="s">
        <v>36</v>
      </c>
      <c r="K136" s="8" t="s">
        <v>37</v>
      </c>
      <c r="L136" s="8" t="s">
        <v>621</v>
      </c>
      <c r="M136" s="9">
        <v>254725627</v>
      </c>
      <c r="N136" s="10">
        <v>81639563453.5</v>
      </c>
      <c r="O136" s="11">
        <f>_xlfn.XLOOKUP(A136,[1]MIC!A:A,[1]MIC!C:C)</f>
        <v>45344</v>
      </c>
      <c r="P136" s="11">
        <f>_xlfn.XLOOKUP(A136,[1]MIC!A:A,[1]MIC!D:D)</f>
        <v>45709</v>
      </c>
      <c r="Q136" s="5">
        <f>_xlfn.XLOOKUP(A136,'[1]Days Listed'!A:A,'[1]Days Listed'!B:B)</f>
        <v>256</v>
      </c>
      <c r="R136" s="5">
        <f>_xlfn.XLOOKUP(A136,'[1]Days Listed'!A:A,'[1]Days Listed'!C:C)</f>
        <v>129</v>
      </c>
      <c r="S136" s="5">
        <f>_xlfn.XLOOKUP(A136,'[1]Days With Trades'!A:A,'[1]Days With Trades'!B:B)</f>
        <v>250</v>
      </c>
      <c r="T136" s="5">
        <f>_xlfn.XLOOKUP(A136,'[1]Days With Trades'!A:A,'[1]Days With Trades'!C:C)</f>
        <v>127</v>
      </c>
      <c r="U136" s="12">
        <f>_xlfn.XLOOKUP(A136,'[1]Value Traded'!A:A,'[1]Value Traded'!B:B)</f>
        <v>41932683463.849998</v>
      </c>
      <c r="V136" s="12">
        <f>_xlfn.XLOOKUP(A136,'[1]Value Traded'!A:A,'[1]Value Traded'!C:C)</f>
        <v>18945979832.5</v>
      </c>
      <c r="W136" s="12">
        <f>_xlfn.XLOOKUP(A136,'[1]Value Traded'!A:A,'[1]Value Traded'!E:E)</f>
        <v>49832926556.800003</v>
      </c>
      <c r="X136" s="12">
        <f>_xlfn.XLOOKUP(A136,'[1]Value Traded'!A:A,'[1]Value Traded'!F:F)</f>
        <v>7900243092.9499998</v>
      </c>
      <c r="Y136" s="12">
        <f>_xlfn.XLOOKUP(A136,'[1]Value Traded'!A:A,'[1]Value Traded'!G:G)</f>
        <v>21670697322.400002</v>
      </c>
      <c r="Z136" s="12">
        <f>_xlfn.XLOOKUP(A136,'[1]Value Traded'!A:A,'[1]Value Traded'!H:H)</f>
        <v>2724717489.9000001</v>
      </c>
    </row>
    <row r="137" spans="1:26" x14ac:dyDescent="0.25">
      <c r="A137" s="13">
        <v>2015575</v>
      </c>
      <c r="B137" s="13" t="s">
        <v>622</v>
      </c>
      <c r="C137" s="13" t="s">
        <v>622</v>
      </c>
      <c r="D137" s="13" t="s">
        <v>623</v>
      </c>
      <c r="E137" s="13" t="s">
        <v>624</v>
      </c>
      <c r="F137" s="13" t="s">
        <v>32</v>
      </c>
      <c r="G137" s="13" t="s">
        <v>47</v>
      </c>
      <c r="H137" s="13" t="s">
        <v>48</v>
      </c>
      <c r="I137" s="13" t="s">
        <v>625</v>
      </c>
      <c r="J137" s="13" t="s">
        <v>36</v>
      </c>
      <c r="K137" s="13" t="s">
        <v>37</v>
      </c>
      <c r="L137" s="13" t="s">
        <v>626</v>
      </c>
      <c r="M137" s="14">
        <v>17662777</v>
      </c>
      <c r="N137" s="15">
        <v>377983427.80000001</v>
      </c>
      <c r="O137" s="11">
        <f>_xlfn.XLOOKUP(A137,[1]MIC!A:A,[1]MIC!C:C)</f>
        <v>45344</v>
      </c>
      <c r="P137" s="11">
        <f>_xlfn.XLOOKUP(A137,[1]MIC!A:A,[1]MIC!D:D)</f>
        <v>45709</v>
      </c>
      <c r="Q137" s="5">
        <f>_xlfn.XLOOKUP(A137,'[1]Days Listed'!A:A,'[1]Days Listed'!B:B)</f>
        <v>256</v>
      </c>
      <c r="R137" s="5">
        <f>_xlfn.XLOOKUP(A137,'[1]Days Listed'!A:A,'[1]Days Listed'!C:C)</f>
        <v>129</v>
      </c>
      <c r="S137" s="5">
        <f>_xlfn.XLOOKUP(A137,'[1]Days With Trades'!A:A,'[1]Days With Trades'!B:B)</f>
        <v>250</v>
      </c>
      <c r="T137" s="5">
        <f>_xlfn.XLOOKUP(A137,'[1]Days With Trades'!A:A,'[1]Days With Trades'!C:C)</f>
        <v>127</v>
      </c>
      <c r="U137" s="12">
        <f>_xlfn.XLOOKUP(A137,'[1]Value Traded'!A:A,'[1]Value Traded'!B:B)</f>
        <v>81954459.099999994</v>
      </c>
      <c r="V137" s="12">
        <f>_xlfn.XLOOKUP(A137,'[1]Value Traded'!A:A,'[1]Value Traded'!C:C)</f>
        <v>33043422.899999999</v>
      </c>
      <c r="W137" s="12">
        <f>_xlfn.XLOOKUP(A137,'[1]Value Traded'!A:A,'[1]Value Traded'!E:E)</f>
        <v>115549505.59999999</v>
      </c>
      <c r="X137" s="12">
        <f>_xlfn.XLOOKUP(A137,'[1]Value Traded'!A:A,'[1]Value Traded'!F:F)</f>
        <v>33595046.5</v>
      </c>
      <c r="Y137" s="12">
        <f>_xlfn.XLOOKUP(A137,'[1]Value Traded'!A:A,'[1]Value Traded'!G:G)</f>
        <v>44181646.100000001</v>
      </c>
      <c r="Z137" s="12">
        <f>_xlfn.XLOOKUP(A137,'[1]Value Traded'!A:A,'[1]Value Traded'!H:H)</f>
        <v>11138223.199999999</v>
      </c>
    </row>
    <row r="138" spans="1:26" x14ac:dyDescent="0.25">
      <c r="A138" s="8">
        <v>2015577</v>
      </c>
      <c r="B138" s="8" t="s">
        <v>627</v>
      </c>
      <c r="C138" s="8" t="s">
        <v>627</v>
      </c>
      <c r="D138" s="8" t="s">
        <v>628</v>
      </c>
      <c r="E138" s="8" t="s">
        <v>629</v>
      </c>
      <c r="F138" s="8" t="s">
        <v>32</v>
      </c>
      <c r="G138" s="8" t="s">
        <v>47</v>
      </c>
      <c r="H138" s="8" t="s">
        <v>68</v>
      </c>
      <c r="I138" s="8" t="s">
        <v>630</v>
      </c>
      <c r="J138" s="8" t="s">
        <v>36</v>
      </c>
      <c r="K138" s="8" t="s">
        <v>37</v>
      </c>
      <c r="L138" s="8" t="s">
        <v>631</v>
      </c>
      <c r="M138" s="9">
        <v>963880462</v>
      </c>
      <c r="N138" s="10">
        <v>10756905955.92</v>
      </c>
      <c r="O138" s="11">
        <f>_xlfn.XLOOKUP(A138,[1]MIC!A:A,[1]MIC!C:C)</f>
        <v>45344</v>
      </c>
      <c r="P138" s="11">
        <f>_xlfn.XLOOKUP(A138,[1]MIC!A:A,[1]MIC!D:D)</f>
        <v>45709</v>
      </c>
      <c r="Q138" s="5">
        <f>_xlfn.XLOOKUP(A138,'[1]Days Listed'!A:A,'[1]Days Listed'!B:B)</f>
        <v>256</v>
      </c>
      <c r="R138" s="5">
        <f>_xlfn.XLOOKUP(A138,'[1]Days Listed'!A:A,'[1]Days Listed'!C:C)</f>
        <v>129</v>
      </c>
      <c r="S138" s="5">
        <f>_xlfn.XLOOKUP(A138,'[1]Days With Trades'!A:A,'[1]Days With Trades'!B:B)</f>
        <v>250</v>
      </c>
      <c r="T138" s="5">
        <f>_xlfn.XLOOKUP(A138,'[1]Days With Trades'!A:A,'[1]Days With Trades'!C:C)</f>
        <v>127</v>
      </c>
      <c r="U138" s="12">
        <f>_xlfn.XLOOKUP(A138,'[1]Value Traded'!A:A,'[1]Value Traded'!B:B)</f>
        <v>17246821389.509998</v>
      </c>
      <c r="V138" s="12">
        <f>_xlfn.XLOOKUP(A138,'[1]Value Traded'!A:A,'[1]Value Traded'!C:C)</f>
        <v>6189598825.1499996</v>
      </c>
      <c r="W138" s="12">
        <f>_xlfn.XLOOKUP(A138,'[1]Value Traded'!A:A,'[1]Value Traded'!E:E)</f>
        <v>21197037490.41</v>
      </c>
      <c r="X138" s="12">
        <f>_xlfn.XLOOKUP(A138,'[1]Value Traded'!A:A,'[1]Value Traded'!F:F)</f>
        <v>3950216100.9000001</v>
      </c>
      <c r="Y138" s="12">
        <f>_xlfn.XLOOKUP(A138,'[1]Value Traded'!A:A,'[1]Value Traded'!G:G)</f>
        <v>7329357493.8100004</v>
      </c>
      <c r="Z138" s="12">
        <f>_xlfn.XLOOKUP(A138,'[1]Value Traded'!A:A,'[1]Value Traded'!H:H)</f>
        <v>1139758668.6600001</v>
      </c>
    </row>
    <row r="139" spans="1:26" x14ac:dyDescent="0.25">
      <c r="A139" s="13">
        <v>2015578</v>
      </c>
      <c r="B139" s="13" t="s">
        <v>632</v>
      </c>
      <c r="C139" s="13" t="s">
        <v>632</v>
      </c>
      <c r="D139" s="13" t="s">
        <v>633</v>
      </c>
      <c r="E139" s="13" t="s">
        <v>634</v>
      </c>
      <c r="F139" s="13" t="s">
        <v>32</v>
      </c>
      <c r="G139" s="13" t="s">
        <v>47</v>
      </c>
      <c r="H139" s="13" t="s">
        <v>48</v>
      </c>
      <c r="I139" s="13" t="s">
        <v>635</v>
      </c>
      <c r="J139" s="13" t="s">
        <v>36</v>
      </c>
      <c r="K139" s="13" t="s">
        <v>37</v>
      </c>
      <c r="L139" s="13" t="s">
        <v>636</v>
      </c>
      <c r="M139" s="14">
        <v>65781825</v>
      </c>
      <c r="N139" s="15">
        <v>1591920165</v>
      </c>
      <c r="O139" s="11">
        <f>_xlfn.XLOOKUP(A139,[1]MIC!A:A,[1]MIC!C:C)</f>
        <v>45344</v>
      </c>
      <c r="P139" s="11">
        <f>_xlfn.XLOOKUP(A139,[1]MIC!A:A,[1]MIC!D:D)</f>
        <v>45709</v>
      </c>
      <c r="Q139" s="5">
        <f>_xlfn.XLOOKUP(A139,'[1]Days Listed'!A:A,'[1]Days Listed'!B:B)</f>
        <v>256</v>
      </c>
      <c r="R139" s="5">
        <f>_xlfn.XLOOKUP(A139,'[1]Days Listed'!A:A,'[1]Days Listed'!C:C)</f>
        <v>129</v>
      </c>
      <c r="S139" s="5">
        <f>_xlfn.XLOOKUP(A139,'[1]Days With Trades'!A:A,'[1]Days With Trades'!B:B)</f>
        <v>250</v>
      </c>
      <c r="T139" s="5">
        <f>_xlfn.XLOOKUP(A139,'[1]Days With Trades'!A:A,'[1]Days With Trades'!C:C)</f>
        <v>127</v>
      </c>
      <c r="U139" s="12">
        <f>_xlfn.XLOOKUP(A139,'[1]Value Traded'!A:A,'[1]Value Traded'!B:B)</f>
        <v>872169577.73000002</v>
      </c>
      <c r="V139" s="12">
        <f>_xlfn.XLOOKUP(A139,'[1]Value Traded'!A:A,'[1]Value Traded'!C:C)</f>
        <v>371528642.14999998</v>
      </c>
      <c r="W139" s="12">
        <f>_xlfn.XLOOKUP(A139,'[1]Value Traded'!A:A,'[1]Value Traded'!E:E)</f>
        <v>1031211327.1799999</v>
      </c>
      <c r="X139" s="12">
        <f>_xlfn.XLOOKUP(A139,'[1]Value Traded'!A:A,'[1]Value Traded'!F:F)</f>
        <v>159041749.44999999</v>
      </c>
      <c r="Y139" s="12">
        <f>_xlfn.XLOOKUP(A139,'[1]Value Traded'!A:A,'[1]Value Traded'!G:G)</f>
        <v>434857564.64999998</v>
      </c>
      <c r="Z139" s="12">
        <f>_xlfn.XLOOKUP(A139,'[1]Value Traded'!A:A,'[1]Value Traded'!H:H)</f>
        <v>63328922.5</v>
      </c>
    </row>
    <row r="140" spans="1:26" x14ac:dyDescent="0.25">
      <c r="A140" s="8">
        <v>2015579</v>
      </c>
      <c r="B140" s="8" t="s">
        <v>637</v>
      </c>
      <c r="C140" s="8" t="s">
        <v>637</v>
      </c>
      <c r="D140" s="8" t="s">
        <v>638</v>
      </c>
      <c r="E140" s="8" t="s">
        <v>639</v>
      </c>
      <c r="F140" s="8" t="s">
        <v>32</v>
      </c>
      <c r="G140" s="8" t="s">
        <v>47</v>
      </c>
      <c r="H140" s="8" t="s">
        <v>48</v>
      </c>
      <c r="I140" s="8" t="s">
        <v>640</v>
      </c>
      <c r="J140" s="8" t="s">
        <v>36</v>
      </c>
      <c r="K140" s="8" t="s">
        <v>37</v>
      </c>
      <c r="L140" s="8" t="s">
        <v>43</v>
      </c>
      <c r="M140" s="9">
        <v>18337336</v>
      </c>
      <c r="N140" s="10">
        <v>2897299088</v>
      </c>
      <c r="O140" s="11">
        <f>_xlfn.XLOOKUP(A140,[1]MIC!A:A,[1]MIC!C:C)</f>
        <v>45344</v>
      </c>
      <c r="P140" s="11">
        <f>_xlfn.XLOOKUP(A140,[1]MIC!A:A,[1]MIC!D:D)</f>
        <v>45709</v>
      </c>
      <c r="Q140" s="5">
        <f>_xlfn.XLOOKUP(A140,'[1]Days Listed'!A:A,'[1]Days Listed'!B:B)</f>
        <v>256</v>
      </c>
      <c r="R140" s="5">
        <f>_xlfn.XLOOKUP(A140,'[1]Days Listed'!A:A,'[1]Days Listed'!C:C)</f>
        <v>129</v>
      </c>
      <c r="S140" s="5">
        <f>_xlfn.XLOOKUP(A140,'[1]Days With Trades'!A:A,'[1]Days With Trades'!B:B)</f>
        <v>248</v>
      </c>
      <c r="T140" s="5">
        <f>_xlfn.XLOOKUP(A140,'[1]Days With Trades'!A:A,'[1]Days With Trades'!C:C)</f>
        <v>127</v>
      </c>
      <c r="U140" s="12">
        <f>_xlfn.XLOOKUP(A140,'[1]Value Traded'!A:A,'[1]Value Traded'!B:B)</f>
        <v>112492901</v>
      </c>
      <c r="V140" s="12">
        <f>_xlfn.XLOOKUP(A140,'[1]Value Traded'!A:A,'[1]Value Traded'!C:C)</f>
        <v>70594362.5</v>
      </c>
      <c r="W140" s="12">
        <f>_xlfn.XLOOKUP(A140,'[1]Value Traded'!A:A,'[1]Value Traded'!E:E)</f>
        <v>145658612.5</v>
      </c>
      <c r="X140" s="12">
        <f>_xlfn.XLOOKUP(A140,'[1]Value Traded'!A:A,'[1]Value Traded'!F:F)</f>
        <v>33165711.5</v>
      </c>
      <c r="Y140" s="12">
        <f>_xlfn.XLOOKUP(A140,'[1]Value Traded'!A:A,'[1]Value Traded'!G:G)</f>
        <v>87439494.5</v>
      </c>
      <c r="Z140" s="12">
        <f>_xlfn.XLOOKUP(A140,'[1]Value Traded'!A:A,'[1]Value Traded'!H:H)</f>
        <v>16845132</v>
      </c>
    </row>
    <row r="141" spans="1:26" x14ac:dyDescent="0.25">
      <c r="A141" s="13">
        <v>2015581</v>
      </c>
      <c r="B141" s="13" t="s">
        <v>641</v>
      </c>
      <c r="C141" s="13" t="s">
        <v>641</v>
      </c>
      <c r="D141" s="13" t="s">
        <v>642</v>
      </c>
      <c r="E141" s="13" t="s">
        <v>643</v>
      </c>
      <c r="F141" s="13" t="s">
        <v>32</v>
      </c>
      <c r="G141" s="13" t="s">
        <v>47</v>
      </c>
      <c r="H141" s="13" t="s">
        <v>54</v>
      </c>
      <c r="I141" s="13" t="s">
        <v>644</v>
      </c>
      <c r="J141" s="13" t="s">
        <v>36</v>
      </c>
      <c r="K141" s="13" t="s">
        <v>37</v>
      </c>
      <c r="L141" s="13" t="s">
        <v>645</v>
      </c>
      <c r="M141" s="14">
        <v>420625659</v>
      </c>
      <c r="N141" s="15">
        <v>521155191.5</v>
      </c>
      <c r="O141" s="11">
        <f>_xlfn.XLOOKUP(A141,[1]MIC!A:A,[1]MIC!C:C)</f>
        <v>45344</v>
      </c>
      <c r="P141" s="11">
        <f>_xlfn.XLOOKUP(A141,[1]MIC!A:A,[1]MIC!D:D)</f>
        <v>45709</v>
      </c>
      <c r="Q141" s="5">
        <f>_xlfn.XLOOKUP(A141,'[1]Days Listed'!A:A,'[1]Days Listed'!B:B)</f>
        <v>256</v>
      </c>
      <c r="R141" s="5">
        <f>_xlfn.XLOOKUP(A141,'[1]Days Listed'!A:A,'[1]Days Listed'!C:C)</f>
        <v>129</v>
      </c>
      <c r="S141" s="5">
        <f>_xlfn.XLOOKUP(A141,'[1]Days With Trades'!A:A,'[1]Days With Trades'!B:B)</f>
        <v>250</v>
      </c>
      <c r="T141" s="5">
        <f>_xlfn.XLOOKUP(A141,'[1]Days With Trades'!A:A,'[1]Days With Trades'!C:C)</f>
        <v>127</v>
      </c>
      <c r="U141" s="12">
        <f>_xlfn.XLOOKUP(A141,'[1]Value Traded'!A:A,'[1]Value Traded'!B:B)</f>
        <v>3250722181.27</v>
      </c>
      <c r="V141" s="12">
        <f>_xlfn.XLOOKUP(A141,'[1]Value Traded'!A:A,'[1]Value Traded'!C:C)</f>
        <v>1740519078.8699999</v>
      </c>
      <c r="W141" s="12">
        <f>_xlfn.XLOOKUP(A141,'[1]Value Traded'!A:A,'[1]Value Traded'!E:E)</f>
        <v>4397404744.7200003</v>
      </c>
      <c r="X141" s="12">
        <f>_xlfn.XLOOKUP(A141,'[1]Value Traded'!A:A,'[1]Value Traded'!F:F)</f>
        <v>1146682563.45</v>
      </c>
      <c r="Y141" s="12">
        <f>_xlfn.XLOOKUP(A141,'[1]Value Traded'!A:A,'[1]Value Traded'!G:G)</f>
        <v>2527277582.4699998</v>
      </c>
      <c r="Z141" s="12">
        <f>_xlfn.XLOOKUP(A141,'[1]Value Traded'!A:A,'[1]Value Traded'!H:H)</f>
        <v>786758503.60000002</v>
      </c>
    </row>
    <row r="142" spans="1:26" x14ac:dyDescent="0.25">
      <c r="A142" s="8">
        <v>2015582</v>
      </c>
      <c r="B142" s="8" t="s">
        <v>646</v>
      </c>
      <c r="C142" s="8" t="s">
        <v>646</v>
      </c>
      <c r="D142" s="8" t="s">
        <v>647</v>
      </c>
      <c r="E142" s="8" t="s">
        <v>648</v>
      </c>
      <c r="F142" s="8" t="s">
        <v>32</v>
      </c>
      <c r="G142" s="8" t="s">
        <v>47</v>
      </c>
      <c r="H142" s="8" t="s">
        <v>48</v>
      </c>
      <c r="I142" s="8" t="s">
        <v>649</v>
      </c>
      <c r="J142" s="8" t="s">
        <v>36</v>
      </c>
      <c r="K142" s="8" t="s">
        <v>37</v>
      </c>
      <c r="L142" s="8" t="s">
        <v>297</v>
      </c>
      <c r="M142" s="9">
        <v>44888352</v>
      </c>
      <c r="N142" s="10">
        <v>448883520</v>
      </c>
      <c r="O142" s="11">
        <f>_xlfn.XLOOKUP(A142,[1]MIC!A:A,[1]MIC!C:C)</f>
        <v>45344</v>
      </c>
      <c r="P142" s="11">
        <f>_xlfn.XLOOKUP(A142,[1]MIC!A:A,[1]MIC!D:D)</f>
        <v>45709</v>
      </c>
      <c r="Q142" s="5">
        <f>_xlfn.XLOOKUP(A142,'[1]Days Listed'!A:A,'[1]Days Listed'!B:B)</f>
        <v>256</v>
      </c>
      <c r="R142" s="5">
        <f>_xlfn.XLOOKUP(A142,'[1]Days Listed'!A:A,'[1]Days Listed'!C:C)</f>
        <v>129</v>
      </c>
      <c r="S142" s="5">
        <f>_xlfn.XLOOKUP(A142,'[1]Days With Trades'!A:A,'[1]Days With Trades'!B:B)</f>
        <v>250</v>
      </c>
      <c r="T142" s="5">
        <f>_xlfn.XLOOKUP(A142,'[1]Days With Trades'!A:A,'[1]Days With Trades'!C:C)</f>
        <v>127</v>
      </c>
      <c r="U142" s="12">
        <f>_xlfn.XLOOKUP(A142,'[1]Value Traded'!A:A,'[1]Value Traded'!B:B)</f>
        <v>99056500.840000004</v>
      </c>
      <c r="V142" s="12">
        <f>_xlfn.XLOOKUP(A142,'[1]Value Traded'!A:A,'[1]Value Traded'!C:C)</f>
        <v>44906885.689999998</v>
      </c>
      <c r="W142" s="12">
        <f>_xlfn.XLOOKUP(A142,'[1]Value Traded'!A:A,'[1]Value Traded'!E:E)</f>
        <v>131204842.18000001</v>
      </c>
      <c r="X142" s="12">
        <f>_xlfn.XLOOKUP(A142,'[1]Value Traded'!A:A,'[1]Value Traded'!F:F)</f>
        <v>32148341.34</v>
      </c>
      <c r="Y142" s="12">
        <f>_xlfn.XLOOKUP(A142,'[1]Value Traded'!A:A,'[1]Value Traded'!G:G)</f>
        <v>58192618.979999997</v>
      </c>
      <c r="Z142" s="12">
        <f>_xlfn.XLOOKUP(A142,'[1]Value Traded'!A:A,'[1]Value Traded'!H:H)</f>
        <v>13285733.289999999</v>
      </c>
    </row>
    <row r="143" spans="1:26" x14ac:dyDescent="0.25">
      <c r="A143" s="13">
        <v>2015583</v>
      </c>
      <c r="B143" s="13" t="s">
        <v>650</v>
      </c>
      <c r="C143" s="13" t="s">
        <v>650</v>
      </c>
      <c r="D143" s="13" t="s">
        <v>651</v>
      </c>
      <c r="E143" s="13" t="s">
        <v>652</v>
      </c>
      <c r="F143" s="13" t="s">
        <v>32</v>
      </c>
      <c r="G143" s="13" t="s">
        <v>47</v>
      </c>
      <c r="H143" s="13" t="s">
        <v>68</v>
      </c>
      <c r="I143" s="13" t="s">
        <v>653</v>
      </c>
      <c r="J143" s="13" t="s">
        <v>36</v>
      </c>
      <c r="K143" s="13" t="s">
        <v>37</v>
      </c>
      <c r="L143" s="13" t="s">
        <v>654</v>
      </c>
      <c r="M143" s="14">
        <v>2792781230</v>
      </c>
      <c r="N143" s="15">
        <v>720956474524.5</v>
      </c>
      <c r="O143" s="11">
        <f>_xlfn.XLOOKUP(A143,[1]MIC!A:A,[1]MIC!C:C)</f>
        <v>45344</v>
      </c>
      <c r="P143" s="11">
        <f>_xlfn.XLOOKUP(A143,[1]MIC!A:A,[1]MIC!D:D)</f>
        <v>45709</v>
      </c>
      <c r="Q143" s="5">
        <f>_xlfn.XLOOKUP(A143,'[1]Days Listed'!A:A,'[1]Days Listed'!B:B)</f>
        <v>256</v>
      </c>
      <c r="R143" s="5">
        <f>_xlfn.XLOOKUP(A143,'[1]Days Listed'!A:A,'[1]Days Listed'!C:C)</f>
        <v>129</v>
      </c>
      <c r="S143" s="5">
        <f>_xlfn.XLOOKUP(A143,'[1]Days With Trades'!A:A,'[1]Days With Trades'!B:B)</f>
        <v>250</v>
      </c>
      <c r="T143" s="5">
        <f>_xlfn.XLOOKUP(A143,'[1]Days With Trades'!A:A,'[1]Days With Trades'!C:C)</f>
        <v>127</v>
      </c>
      <c r="U143" s="12">
        <f>_xlfn.XLOOKUP(A143,'[1]Value Traded'!A:A,'[1]Value Traded'!B:B)</f>
        <v>179220958633.10999</v>
      </c>
      <c r="V143" s="12">
        <f>_xlfn.XLOOKUP(A143,'[1]Value Traded'!A:A,'[1]Value Traded'!C:C)</f>
        <v>97680754945.940002</v>
      </c>
      <c r="W143" s="12">
        <f>_xlfn.XLOOKUP(A143,'[1]Value Traded'!A:A,'[1]Value Traded'!E:E)</f>
        <v>201469307658.13</v>
      </c>
      <c r="X143" s="12">
        <f>_xlfn.XLOOKUP(A143,'[1]Value Traded'!A:A,'[1]Value Traded'!F:F)</f>
        <v>22248349025.02</v>
      </c>
      <c r="Y143" s="12">
        <f>_xlfn.XLOOKUP(A143,'[1]Value Traded'!A:A,'[1]Value Traded'!G:G)</f>
        <v>109611531340.86</v>
      </c>
      <c r="Z143" s="12">
        <f>_xlfn.XLOOKUP(A143,'[1]Value Traded'!A:A,'[1]Value Traded'!H:H)</f>
        <v>11930776394.92</v>
      </c>
    </row>
    <row r="144" spans="1:26" x14ac:dyDescent="0.25">
      <c r="A144" s="8">
        <v>2015584</v>
      </c>
      <c r="B144" s="8" t="s">
        <v>655</v>
      </c>
      <c r="C144" s="8" t="s">
        <v>655</v>
      </c>
      <c r="D144" s="8" t="s">
        <v>656</v>
      </c>
      <c r="E144" s="8" t="s">
        <v>657</v>
      </c>
      <c r="F144" s="8" t="s">
        <v>32</v>
      </c>
      <c r="G144" s="8" t="s">
        <v>47</v>
      </c>
      <c r="H144" s="8" t="s">
        <v>54</v>
      </c>
      <c r="I144" s="8" t="s">
        <v>658</v>
      </c>
      <c r="J144" s="8" t="s">
        <v>36</v>
      </c>
      <c r="K144" s="8" t="s">
        <v>37</v>
      </c>
      <c r="L144" s="8" t="s">
        <v>636</v>
      </c>
      <c r="M144" s="9">
        <v>1671325304</v>
      </c>
      <c r="N144" s="10">
        <v>3939313741.5300002</v>
      </c>
      <c r="O144" s="11">
        <f>_xlfn.XLOOKUP(A144,[1]MIC!A:A,[1]MIC!C:C)</f>
        <v>45344</v>
      </c>
      <c r="P144" s="11">
        <f>_xlfn.XLOOKUP(A144,[1]MIC!A:A,[1]MIC!D:D)</f>
        <v>45709</v>
      </c>
      <c r="Q144" s="5">
        <f>_xlfn.XLOOKUP(A144,'[1]Days Listed'!A:A,'[1]Days Listed'!B:B)</f>
        <v>256</v>
      </c>
      <c r="R144" s="5">
        <f>_xlfn.XLOOKUP(A144,'[1]Days Listed'!A:A,'[1]Days Listed'!C:C)</f>
        <v>129</v>
      </c>
      <c r="S144" s="5">
        <f>_xlfn.XLOOKUP(A144,'[1]Days With Trades'!A:A,'[1]Days With Trades'!B:B)</f>
        <v>250</v>
      </c>
      <c r="T144" s="5">
        <f>_xlfn.XLOOKUP(A144,'[1]Days With Trades'!A:A,'[1]Days With Trades'!C:C)</f>
        <v>127</v>
      </c>
      <c r="U144" s="12">
        <f>_xlfn.XLOOKUP(A144,'[1]Value Traded'!A:A,'[1]Value Traded'!B:B)</f>
        <v>6307932612.2299995</v>
      </c>
      <c r="V144" s="12">
        <f>_xlfn.XLOOKUP(A144,'[1]Value Traded'!A:A,'[1]Value Traded'!C:C)</f>
        <v>2211455629.6999998</v>
      </c>
      <c r="W144" s="12">
        <f>_xlfn.XLOOKUP(A144,'[1]Value Traded'!A:A,'[1]Value Traded'!E:E)</f>
        <v>8067042658.8500004</v>
      </c>
      <c r="X144" s="12">
        <f>_xlfn.XLOOKUP(A144,'[1]Value Traded'!A:A,'[1]Value Traded'!F:F)</f>
        <v>1759110046.6199999</v>
      </c>
      <c r="Y144" s="12">
        <f>_xlfn.XLOOKUP(A144,'[1]Value Traded'!A:A,'[1]Value Traded'!G:G)</f>
        <v>2722891227.5999999</v>
      </c>
      <c r="Z144" s="12">
        <f>_xlfn.XLOOKUP(A144,'[1]Value Traded'!A:A,'[1]Value Traded'!H:H)</f>
        <v>511435597.89999998</v>
      </c>
    </row>
    <row r="145" spans="1:26" x14ac:dyDescent="0.25">
      <c r="A145" s="13">
        <v>2015585</v>
      </c>
      <c r="B145" s="13" t="s">
        <v>659</v>
      </c>
      <c r="C145" s="13" t="s">
        <v>659</v>
      </c>
      <c r="D145" s="13" t="s">
        <v>660</v>
      </c>
      <c r="E145" s="13" t="s">
        <v>661</v>
      </c>
      <c r="F145" s="13" t="s">
        <v>32</v>
      </c>
      <c r="G145" s="13" t="s">
        <v>47</v>
      </c>
      <c r="H145" s="13" t="s">
        <v>48</v>
      </c>
      <c r="I145" s="13" t="s">
        <v>662</v>
      </c>
      <c r="J145" s="13" t="s">
        <v>36</v>
      </c>
      <c r="K145" s="13" t="s">
        <v>37</v>
      </c>
      <c r="L145" s="13" t="s">
        <v>74</v>
      </c>
      <c r="M145" s="14">
        <v>202717374</v>
      </c>
      <c r="N145" s="15">
        <v>21508313381.400002</v>
      </c>
      <c r="O145" s="11">
        <f>_xlfn.XLOOKUP(A145,[1]MIC!A:A,[1]MIC!C:C)</f>
        <v>45344</v>
      </c>
      <c r="P145" s="11">
        <f>_xlfn.XLOOKUP(A145,[1]MIC!A:A,[1]MIC!D:D)</f>
        <v>45709</v>
      </c>
      <c r="Q145" s="5">
        <f>_xlfn.XLOOKUP(A145,'[1]Days Listed'!A:A,'[1]Days Listed'!B:B)</f>
        <v>256</v>
      </c>
      <c r="R145" s="5">
        <f>_xlfn.XLOOKUP(A145,'[1]Days Listed'!A:A,'[1]Days Listed'!C:C)</f>
        <v>129</v>
      </c>
      <c r="S145" s="5">
        <f>_xlfn.XLOOKUP(A145,'[1]Days With Trades'!A:A,'[1]Days With Trades'!B:B)</f>
        <v>250</v>
      </c>
      <c r="T145" s="5">
        <f>_xlfn.XLOOKUP(A145,'[1]Days With Trades'!A:A,'[1]Days With Trades'!C:C)</f>
        <v>127</v>
      </c>
      <c r="U145" s="12">
        <f>_xlfn.XLOOKUP(A145,'[1]Value Traded'!A:A,'[1]Value Traded'!B:B)</f>
        <v>2444228351.1900001</v>
      </c>
      <c r="V145" s="12">
        <f>_xlfn.XLOOKUP(A145,'[1]Value Traded'!A:A,'[1]Value Traded'!C:C)</f>
        <v>1161751758.1500001</v>
      </c>
      <c r="W145" s="12">
        <f>_xlfn.XLOOKUP(A145,'[1]Value Traded'!A:A,'[1]Value Traded'!E:E)</f>
        <v>2875120440.8400002</v>
      </c>
      <c r="X145" s="12">
        <f>_xlfn.XLOOKUP(A145,'[1]Value Traded'!A:A,'[1]Value Traded'!F:F)</f>
        <v>430892089.64999998</v>
      </c>
      <c r="Y145" s="12">
        <f>_xlfn.XLOOKUP(A145,'[1]Value Traded'!A:A,'[1]Value Traded'!G:G)</f>
        <v>1309410785.3</v>
      </c>
      <c r="Z145" s="12">
        <f>_xlfn.XLOOKUP(A145,'[1]Value Traded'!A:A,'[1]Value Traded'!H:H)</f>
        <v>147659027.15000001</v>
      </c>
    </row>
    <row r="146" spans="1:26" x14ac:dyDescent="0.25">
      <c r="A146" s="8">
        <v>2015587</v>
      </c>
      <c r="B146" s="8" t="s">
        <v>663</v>
      </c>
      <c r="C146" s="8" t="s">
        <v>663</v>
      </c>
      <c r="D146" s="8" t="s">
        <v>664</v>
      </c>
      <c r="E146" s="8" t="s">
        <v>665</v>
      </c>
      <c r="F146" s="8" t="s">
        <v>32</v>
      </c>
      <c r="G146" s="8" t="s">
        <v>47</v>
      </c>
      <c r="H146" s="8" t="s">
        <v>68</v>
      </c>
      <c r="I146" s="8" t="s">
        <v>666</v>
      </c>
      <c r="J146" s="8" t="s">
        <v>36</v>
      </c>
      <c r="K146" s="8" t="s">
        <v>37</v>
      </c>
      <c r="L146" s="8" t="s">
        <v>667</v>
      </c>
      <c r="M146" s="9">
        <v>1368349989</v>
      </c>
      <c r="N146" s="10">
        <v>193211018446.79999</v>
      </c>
      <c r="O146" s="11">
        <f>_xlfn.XLOOKUP(A146,[1]MIC!A:A,[1]MIC!C:C)</f>
        <v>45344</v>
      </c>
      <c r="P146" s="11">
        <f>_xlfn.XLOOKUP(A146,[1]MIC!A:A,[1]MIC!D:D)</f>
        <v>45709</v>
      </c>
      <c r="Q146" s="5">
        <f>_xlfn.XLOOKUP(A146,'[1]Days Listed'!A:A,'[1]Days Listed'!B:B)</f>
        <v>256</v>
      </c>
      <c r="R146" s="5">
        <f>_xlfn.XLOOKUP(A146,'[1]Days Listed'!A:A,'[1]Days Listed'!C:C)</f>
        <v>129</v>
      </c>
      <c r="S146" s="5">
        <f>_xlfn.XLOOKUP(A146,'[1]Days With Trades'!A:A,'[1]Days With Trades'!B:B)</f>
        <v>250</v>
      </c>
      <c r="T146" s="5">
        <f>_xlfn.XLOOKUP(A146,'[1]Days With Trades'!A:A,'[1]Days With Trades'!C:C)</f>
        <v>127</v>
      </c>
      <c r="U146" s="12">
        <f>_xlfn.XLOOKUP(A146,'[1]Value Traded'!A:A,'[1]Value Traded'!B:B)</f>
        <v>36399237214.550003</v>
      </c>
      <c r="V146" s="12">
        <f>_xlfn.XLOOKUP(A146,'[1]Value Traded'!A:A,'[1]Value Traded'!C:C)</f>
        <v>18897683573.349998</v>
      </c>
      <c r="W146" s="12">
        <f>_xlfn.XLOOKUP(A146,'[1]Value Traded'!A:A,'[1]Value Traded'!E:E)</f>
        <v>41686374909.050003</v>
      </c>
      <c r="X146" s="12">
        <f>_xlfn.XLOOKUP(A146,'[1]Value Traded'!A:A,'[1]Value Traded'!F:F)</f>
        <v>5287137694.5</v>
      </c>
      <c r="Y146" s="12">
        <f>_xlfn.XLOOKUP(A146,'[1]Value Traded'!A:A,'[1]Value Traded'!G:G)</f>
        <v>21185622623.150002</v>
      </c>
      <c r="Z146" s="12">
        <f>_xlfn.XLOOKUP(A146,'[1]Value Traded'!A:A,'[1]Value Traded'!H:H)</f>
        <v>2287939049.8000002</v>
      </c>
    </row>
    <row r="147" spans="1:26" x14ac:dyDescent="0.25">
      <c r="A147" s="13">
        <v>2015588</v>
      </c>
      <c r="B147" s="13" t="s">
        <v>668</v>
      </c>
      <c r="C147" s="13" t="s">
        <v>668</v>
      </c>
      <c r="D147" s="13" t="s">
        <v>669</v>
      </c>
      <c r="E147" s="13" t="s">
        <v>670</v>
      </c>
      <c r="F147" s="13" t="s">
        <v>32</v>
      </c>
      <c r="G147" s="13" t="s">
        <v>47</v>
      </c>
      <c r="H147" s="13" t="s">
        <v>48</v>
      </c>
      <c r="I147" s="13" t="s">
        <v>671</v>
      </c>
      <c r="J147" s="13" t="s">
        <v>36</v>
      </c>
      <c r="K147" s="13" t="s">
        <v>37</v>
      </c>
      <c r="L147" s="13" t="s">
        <v>378</v>
      </c>
      <c r="M147" s="14">
        <v>91099729</v>
      </c>
      <c r="N147" s="15">
        <v>683247967.5</v>
      </c>
      <c r="O147" s="11">
        <f>_xlfn.XLOOKUP(A147,[1]MIC!A:A,[1]MIC!C:C)</f>
        <v>45344</v>
      </c>
      <c r="P147" s="11">
        <f>_xlfn.XLOOKUP(A147,[1]MIC!A:A,[1]MIC!D:D)</f>
        <v>45709</v>
      </c>
      <c r="Q147" s="5">
        <f>_xlfn.XLOOKUP(A147,'[1]Days Listed'!A:A,'[1]Days Listed'!B:B)</f>
        <v>256</v>
      </c>
      <c r="R147" s="5">
        <f>_xlfn.XLOOKUP(A147,'[1]Days Listed'!A:A,'[1]Days Listed'!C:C)</f>
        <v>129</v>
      </c>
      <c r="S147" s="5">
        <f>_xlfn.XLOOKUP(A147,'[1]Days With Trades'!A:A,'[1]Days With Trades'!B:B)</f>
        <v>249</v>
      </c>
      <c r="T147" s="5">
        <f>_xlfn.XLOOKUP(A147,'[1]Days With Trades'!A:A,'[1]Days With Trades'!C:C)</f>
        <v>127</v>
      </c>
      <c r="U147" s="12">
        <f>_xlfn.XLOOKUP(A147,'[1]Value Traded'!A:A,'[1]Value Traded'!B:B)</f>
        <v>168235129.19999999</v>
      </c>
      <c r="V147" s="12">
        <f>_xlfn.XLOOKUP(A147,'[1]Value Traded'!A:A,'[1]Value Traded'!C:C)</f>
        <v>132440853.02</v>
      </c>
      <c r="W147" s="12">
        <f>_xlfn.XLOOKUP(A147,'[1]Value Traded'!A:A,'[1]Value Traded'!E:E)</f>
        <v>255802375.78</v>
      </c>
      <c r="X147" s="12">
        <f>_xlfn.XLOOKUP(A147,'[1]Value Traded'!A:A,'[1]Value Traded'!F:F)</f>
        <v>87567246.579999998</v>
      </c>
      <c r="Y147" s="12">
        <f>_xlfn.XLOOKUP(A147,'[1]Value Traded'!A:A,'[1]Value Traded'!G:G)</f>
        <v>181003065.5</v>
      </c>
      <c r="Z147" s="12">
        <f>_xlfn.XLOOKUP(A147,'[1]Value Traded'!A:A,'[1]Value Traded'!H:H)</f>
        <v>48562212.479999997</v>
      </c>
    </row>
    <row r="148" spans="1:26" x14ac:dyDescent="0.25">
      <c r="A148" s="8">
        <v>2015589</v>
      </c>
      <c r="B148" s="8" t="s">
        <v>672</v>
      </c>
      <c r="C148" s="8" t="s">
        <v>672</v>
      </c>
      <c r="D148" s="8" t="s">
        <v>673</v>
      </c>
      <c r="E148" s="8" t="s">
        <v>674</v>
      </c>
      <c r="F148" s="8" t="s">
        <v>32</v>
      </c>
      <c r="G148" s="8" t="s">
        <v>47</v>
      </c>
      <c r="H148" s="8" t="s">
        <v>68</v>
      </c>
      <c r="I148" s="8" t="s">
        <v>675</v>
      </c>
      <c r="J148" s="8" t="s">
        <v>36</v>
      </c>
      <c r="K148" s="8" t="s">
        <v>37</v>
      </c>
      <c r="L148" s="8" t="s">
        <v>107</v>
      </c>
      <c r="M148" s="9">
        <v>1492530286</v>
      </c>
      <c r="N148" s="10">
        <v>377013150243.59998</v>
      </c>
      <c r="O148" s="11">
        <f>_xlfn.XLOOKUP(A148,[1]MIC!A:A,[1]MIC!C:C)</f>
        <v>45344</v>
      </c>
      <c r="P148" s="11">
        <f>_xlfn.XLOOKUP(A148,[1]MIC!A:A,[1]MIC!D:D)</f>
        <v>45709</v>
      </c>
      <c r="Q148" s="5">
        <f>_xlfn.XLOOKUP(A148,'[1]Days Listed'!A:A,'[1]Days Listed'!B:B)</f>
        <v>256</v>
      </c>
      <c r="R148" s="5">
        <f>_xlfn.XLOOKUP(A148,'[1]Days Listed'!A:A,'[1]Days Listed'!C:C)</f>
        <v>129</v>
      </c>
      <c r="S148" s="5">
        <f>_xlfn.XLOOKUP(A148,'[1]Days With Trades'!A:A,'[1]Days With Trades'!B:B)</f>
        <v>250</v>
      </c>
      <c r="T148" s="5">
        <f>_xlfn.XLOOKUP(A148,'[1]Days With Trades'!A:A,'[1]Days With Trades'!C:C)</f>
        <v>127</v>
      </c>
      <c r="U148" s="12">
        <f>_xlfn.XLOOKUP(A148,'[1]Value Traded'!A:A,'[1]Value Traded'!B:B)</f>
        <v>65641834372.25</v>
      </c>
      <c r="V148" s="12">
        <f>_xlfn.XLOOKUP(A148,'[1]Value Traded'!A:A,'[1]Value Traded'!C:C)</f>
        <v>32977909891.549999</v>
      </c>
      <c r="W148" s="12">
        <f>_xlfn.XLOOKUP(A148,'[1]Value Traded'!A:A,'[1]Value Traded'!E:E)</f>
        <v>75743759260.25</v>
      </c>
      <c r="X148" s="12">
        <f>_xlfn.XLOOKUP(A148,'[1]Value Traded'!A:A,'[1]Value Traded'!F:F)</f>
        <v>10101924888</v>
      </c>
      <c r="Y148" s="12">
        <f>_xlfn.XLOOKUP(A148,'[1]Value Traded'!A:A,'[1]Value Traded'!G:G)</f>
        <v>37690274093.949997</v>
      </c>
      <c r="Z148" s="12">
        <f>_xlfn.XLOOKUP(A148,'[1]Value Traded'!A:A,'[1]Value Traded'!H:H)</f>
        <v>4712364202.3999996</v>
      </c>
    </row>
    <row r="149" spans="1:26" x14ac:dyDescent="0.25">
      <c r="A149" s="13">
        <v>2015590</v>
      </c>
      <c r="B149" s="13" t="s">
        <v>676</v>
      </c>
      <c r="C149" s="13" t="s">
        <v>676</v>
      </c>
      <c r="D149" s="13" t="s">
        <v>677</v>
      </c>
      <c r="E149" s="13" t="s">
        <v>678</v>
      </c>
      <c r="F149" s="13" t="s">
        <v>32</v>
      </c>
      <c r="G149" s="13" t="s">
        <v>47</v>
      </c>
      <c r="H149" s="13" t="s">
        <v>48</v>
      </c>
      <c r="I149" s="13" t="s">
        <v>679</v>
      </c>
      <c r="J149" s="13" t="s">
        <v>36</v>
      </c>
      <c r="K149" s="13" t="s">
        <v>37</v>
      </c>
      <c r="L149" s="13" t="s">
        <v>116</v>
      </c>
      <c r="M149" s="14">
        <v>51071390</v>
      </c>
      <c r="N149" s="15">
        <v>965249271</v>
      </c>
      <c r="O149" s="11">
        <f>_xlfn.XLOOKUP(A149,[1]MIC!A:A,[1]MIC!C:C)</f>
        <v>45344</v>
      </c>
      <c r="P149" s="11">
        <f>_xlfn.XLOOKUP(A149,[1]MIC!A:A,[1]MIC!D:D)</f>
        <v>45709</v>
      </c>
      <c r="Q149" s="5">
        <f>_xlfn.XLOOKUP(A149,'[1]Days Listed'!A:A,'[1]Days Listed'!B:B)</f>
        <v>256</v>
      </c>
      <c r="R149" s="5">
        <f>_xlfn.XLOOKUP(A149,'[1]Days Listed'!A:A,'[1]Days Listed'!C:C)</f>
        <v>129</v>
      </c>
      <c r="S149" s="5">
        <f>_xlfn.XLOOKUP(A149,'[1]Days With Trades'!A:A,'[1]Days With Trades'!B:B)</f>
        <v>250</v>
      </c>
      <c r="T149" s="5">
        <f>_xlfn.XLOOKUP(A149,'[1]Days With Trades'!A:A,'[1]Days With Trades'!C:C)</f>
        <v>127</v>
      </c>
      <c r="U149" s="12">
        <f>_xlfn.XLOOKUP(A149,'[1]Value Traded'!A:A,'[1]Value Traded'!B:B)</f>
        <v>181530626.97999999</v>
      </c>
      <c r="V149" s="12">
        <f>_xlfn.XLOOKUP(A149,'[1]Value Traded'!A:A,'[1]Value Traded'!C:C)</f>
        <v>106666397.95999999</v>
      </c>
      <c r="W149" s="12">
        <f>_xlfn.XLOOKUP(A149,'[1]Value Traded'!A:A,'[1]Value Traded'!E:E)</f>
        <v>257880270.66999999</v>
      </c>
      <c r="X149" s="12">
        <f>_xlfn.XLOOKUP(A149,'[1]Value Traded'!A:A,'[1]Value Traded'!F:F)</f>
        <v>76349643.689999998</v>
      </c>
      <c r="Y149" s="12">
        <f>_xlfn.XLOOKUP(A149,'[1]Value Traded'!A:A,'[1]Value Traded'!G:G)</f>
        <v>158309089.13999999</v>
      </c>
      <c r="Z149" s="12">
        <f>_xlfn.XLOOKUP(A149,'[1]Value Traded'!A:A,'[1]Value Traded'!H:H)</f>
        <v>51642691.18</v>
      </c>
    </row>
    <row r="150" spans="1:26" x14ac:dyDescent="0.25">
      <c r="A150" s="8">
        <v>2015591</v>
      </c>
      <c r="B150" s="8" t="s">
        <v>680</v>
      </c>
      <c r="C150" s="8" t="s">
        <v>680</v>
      </c>
      <c r="D150" s="8" t="s">
        <v>681</v>
      </c>
      <c r="E150" s="8" t="s">
        <v>682</v>
      </c>
      <c r="F150" s="8" t="s">
        <v>32</v>
      </c>
      <c r="G150" s="8" t="s">
        <v>47</v>
      </c>
      <c r="H150" s="8" t="s">
        <v>48</v>
      </c>
      <c r="I150" s="8" t="s">
        <v>683</v>
      </c>
      <c r="J150" s="8" t="s">
        <v>36</v>
      </c>
      <c r="K150" s="8" t="s">
        <v>37</v>
      </c>
      <c r="L150" s="8" t="s">
        <v>297</v>
      </c>
      <c r="M150" s="9">
        <v>82186624</v>
      </c>
      <c r="N150" s="10">
        <v>751185743.36000001</v>
      </c>
      <c r="O150" s="11">
        <f>_xlfn.XLOOKUP(A150,[1]MIC!A:A,[1]MIC!C:C)</f>
        <v>45344</v>
      </c>
      <c r="P150" s="11">
        <f>_xlfn.XLOOKUP(A150,[1]MIC!A:A,[1]MIC!D:D)</f>
        <v>45709</v>
      </c>
      <c r="Q150" s="5">
        <f>_xlfn.XLOOKUP(A150,'[1]Days Listed'!A:A,'[1]Days Listed'!B:B)</f>
        <v>256</v>
      </c>
      <c r="R150" s="5">
        <f>_xlfn.XLOOKUP(A150,'[1]Days Listed'!A:A,'[1]Days Listed'!C:C)</f>
        <v>129</v>
      </c>
      <c r="S150" s="5">
        <f>_xlfn.XLOOKUP(A150,'[1]Days With Trades'!A:A,'[1]Days With Trades'!B:B)</f>
        <v>247</v>
      </c>
      <c r="T150" s="5">
        <f>_xlfn.XLOOKUP(A150,'[1]Days With Trades'!A:A,'[1]Days With Trades'!C:C)</f>
        <v>125</v>
      </c>
      <c r="U150" s="12">
        <f>_xlfn.XLOOKUP(A150,'[1]Value Traded'!A:A,'[1]Value Traded'!B:B)</f>
        <v>42137159.609999999</v>
      </c>
      <c r="V150" s="12">
        <f>_xlfn.XLOOKUP(A150,'[1]Value Traded'!A:A,'[1]Value Traded'!C:C)</f>
        <v>26682481.02</v>
      </c>
      <c r="W150" s="12">
        <f>_xlfn.XLOOKUP(A150,'[1]Value Traded'!A:A,'[1]Value Traded'!E:E)</f>
        <v>57590361.859999999</v>
      </c>
      <c r="X150" s="12">
        <f>_xlfn.XLOOKUP(A150,'[1]Value Traded'!A:A,'[1]Value Traded'!F:F)</f>
        <v>15453202.25</v>
      </c>
      <c r="Y150" s="12">
        <f>_xlfn.XLOOKUP(A150,'[1]Value Traded'!A:A,'[1]Value Traded'!G:G)</f>
        <v>36998787.159999996</v>
      </c>
      <c r="Z150" s="12">
        <f>_xlfn.XLOOKUP(A150,'[1]Value Traded'!A:A,'[1]Value Traded'!H:H)</f>
        <v>10316306.140000001</v>
      </c>
    </row>
    <row r="151" spans="1:26" x14ac:dyDescent="0.25">
      <c r="A151" s="13">
        <v>2015592</v>
      </c>
      <c r="B151" s="13" t="s">
        <v>684</v>
      </c>
      <c r="C151" s="13" t="s">
        <v>684</v>
      </c>
      <c r="D151" s="13" t="s">
        <v>685</v>
      </c>
      <c r="E151" s="13" t="s">
        <v>686</v>
      </c>
      <c r="F151" s="13" t="s">
        <v>32</v>
      </c>
      <c r="G151" s="13" t="s">
        <v>47</v>
      </c>
      <c r="H151" s="13" t="s">
        <v>54</v>
      </c>
      <c r="I151" s="13" t="s">
        <v>687</v>
      </c>
      <c r="J151" s="13" t="s">
        <v>36</v>
      </c>
      <c r="K151" s="13" t="s">
        <v>37</v>
      </c>
      <c r="L151" s="13" t="s">
        <v>626</v>
      </c>
      <c r="M151" s="14">
        <v>27120820</v>
      </c>
      <c r="N151" s="15">
        <v>1396722230</v>
      </c>
      <c r="O151" s="11">
        <f>_xlfn.XLOOKUP(A151,[1]MIC!A:A,[1]MIC!C:C)</f>
        <v>45344</v>
      </c>
      <c r="P151" s="11">
        <f>_xlfn.XLOOKUP(A151,[1]MIC!A:A,[1]MIC!D:D)</f>
        <v>45709</v>
      </c>
      <c r="Q151" s="5">
        <f>_xlfn.XLOOKUP(A151,'[1]Days Listed'!A:A,'[1]Days Listed'!B:B)</f>
        <v>256</v>
      </c>
      <c r="R151" s="5">
        <f>_xlfn.XLOOKUP(A151,'[1]Days Listed'!A:A,'[1]Days Listed'!C:C)</f>
        <v>129</v>
      </c>
      <c r="S151" s="5">
        <f>_xlfn.XLOOKUP(A151,'[1]Days With Trades'!A:A,'[1]Days With Trades'!B:B)</f>
        <v>250</v>
      </c>
      <c r="T151" s="5">
        <f>_xlfn.XLOOKUP(A151,'[1]Days With Trades'!A:A,'[1]Days With Trades'!C:C)</f>
        <v>127</v>
      </c>
      <c r="U151" s="12">
        <f>_xlfn.XLOOKUP(A151,'[1]Value Traded'!A:A,'[1]Value Traded'!B:B)</f>
        <v>680599892.39999998</v>
      </c>
      <c r="V151" s="12">
        <f>_xlfn.XLOOKUP(A151,'[1]Value Traded'!A:A,'[1]Value Traded'!C:C)</f>
        <v>325047126.89999998</v>
      </c>
      <c r="W151" s="12">
        <f>_xlfn.XLOOKUP(A151,'[1]Value Traded'!A:A,'[1]Value Traded'!E:E)</f>
        <v>838203483.35000002</v>
      </c>
      <c r="X151" s="12">
        <f>_xlfn.XLOOKUP(A151,'[1]Value Traded'!A:A,'[1]Value Traded'!F:F)</f>
        <v>157603590.94999999</v>
      </c>
      <c r="Y151" s="12">
        <f>_xlfn.XLOOKUP(A151,'[1]Value Traded'!A:A,'[1]Value Traded'!G:G)</f>
        <v>390600733.30000001</v>
      </c>
      <c r="Z151" s="12">
        <f>_xlfn.XLOOKUP(A151,'[1]Value Traded'!A:A,'[1]Value Traded'!H:H)</f>
        <v>65553606.399999999</v>
      </c>
    </row>
    <row r="152" spans="1:26" x14ac:dyDescent="0.25">
      <c r="A152" s="8">
        <v>2015593</v>
      </c>
      <c r="B152" s="8" t="s">
        <v>688</v>
      </c>
      <c r="C152" s="8" t="s">
        <v>688</v>
      </c>
      <c r="D152" s="8" t="s">
        <v>689</v>
      </c>
      <c r="E152" s="8" t="s">
        <v>690</v>
      </c>
      <c r="F152" s="8" t="s">
        <v>32</v>
      </c>
      <c r="G152" s="8" t="s">
        <v>47</v>
      </c>
      <c r="H152" s="8" t="s">
        <v>48</v>
      </c>
      <c r="I152" s="8" t="s">
        <v>691</v>
      </c>
      <c r="J152" s="8" t="s">
        <v>63</v>
      </c>
      <c r="K152" s="8" t="s">
        <v>37</v>
      </c>
      <c r="L152" s="8" t="s">
        <v>107</v>
      </c>
      <c r="M152" s="9">
        <v>144215590</v>
      </c>
      <c r="N152" s="10">
        <v>26074178672</v>
      </c>
      <c r="O152" s="11">
        <f>_xlfn.XLOOKUP(A152,[1]MIC!A:A,[1]MIC!C:C)</f>
        <v>45344</v>
      </c>
      <c r="P152" s="11">
        <f>_xlfn.XLOOKUP(A152,[1]MIC!A:A,[1]MIC!D:D)</f>
        <v>45709</v>
      </c>
      <c r="Q152" s="5">
        <f>_xlfn.XLOOKUP(A152,'[1]Days Listed'!A:A,'[1]Days Listed'!B:B)</f>
        <v>256</v>
      </c>
      <c r="R152" s="5">
        <f>_xlfn.XLOOKUP(A152,'[1]Days Listed'!A:A,'[1]Days Listed'!C:C)</f>
        <v>129</v>
      </c>
      <c r="S152" s="5">
        <f>_xlfn.XLOOKUP(A152,'[1]Days With Trades'!A:A,'[1]Days With Trades'!B:B)</f>
        <v>250</v>
      </c>
      <c r="T152" s="5">
        <f>_xlfn.XLOOKUP(A152,'[1]Days With Trades'!A:A,'[1]Days With Trades'!C:C)</f>
        <v>127</v>
      </c>
      <c r="U152" s="12">
        <f>_xlfn.XLOOKUP(A152,'[1]Value Traded'!A:A,'[1]Value Traded'!B:B)</f>
        <v>3271303782.5799999</v>
      </c>
      <c r="V152" s="12">
        <f>_xlfn.XLOOKUP(A152,'[1]Value Traded'!A:A,'[1]Value Traded'!C:C)</f>
        <v>1988812558.04</v>
      </c>
      <c r="W152" s="12">
        <f>_xlfn.XLOOKUP(A152,'[1]Value Traded'!A:A,'[1]Value Traded'!E:E)</f>
        <v>3770051092.96</v>
      </c>
      <c r="X152" s="12">
        <f>_xlfn.XLOOKUP(A152,'[1]Value Traded'!A:A,'[1]Value Traded'!F:F)</f>
        <v>498747310.38</v>
      </c>
      <c r="Y152" s="12">
        <f>_xlfn.XLOOKUP(A152,'[1]Value Traded'!A:A,'[1]Value Traded'!G:G)</f>
        <v>2232272420.5999999</v>
      </c>
      <c r="Z152" s="12">
        <f>_xlfn.XLOOKUP(A152,'[1]Value Traded'!A:A,'[1]Value Traded'!H:H)</f>
        <v>243459862.56</v>
      </c>
    </row>
    <row r="153" spans="1:26" x14ac:dyDescent="0.25">
      <c r="A153" s="13">
        <v>2015594</v>
      </c>
      <c r="B153" s="13" t="s">
        <v>692</v>
      </c>
      <c r="C153" s="13" t="s">
        <v>692</v>
      </c>
      <c r="D153" s="13" t="s">
        <v>693</v>
      </c>
      <c r="E153" s="13" t="s">
        <v>694</v>
      </c>
      <c r="F153" s="13" t="s">
        <v>32</v>
      </c>
      <c r="G153" s="13" t="s">
        <v>47</v>
      </c>
      <c r="H153" s="13" t="s">
        <v>48</v>
      </c>
      <c r="I153" s="13" t="s">
        <v>695</v>
      </c>
      <c r="J153" s="13" t="s">
        <v>63</v>
      </c>
      <c r="K153" s="13" t="s">
        <v>37</v>
      </c>
      <c r="L153" s="13" t="s">
        <v>107</v>
      </c>
      <c r="M153" s="14">
        <v>109721186</v>
      </c>
      <c r="N153" s="15">
        <v>15360966040</v>
      </c>
      <c r="O153" s="11">
        <f>_xlfn.XLOOKUP(A153,[1]MIC!A:A,[1]MIC!C:C)</f>
        <v>45344</v>
      </c>
      <c r="P153" s="11">
        <f>_xlfn.XLOOKUP(A153,[1]MIC!A:A,[1]MIC!D:D)</f>
        <v>45709</v>
      </c>
      <c r="Q153" s="5">
        <f>_xlfn.XLOOKUP(A153,'[1]Days Listed'!A:A,'[1]Days Listed'!B:B)</f>
        <v>256</v>
      </c>
      <c r="R153" s="5">
        <f>_xlfn.XLOOKUP(A153,'[1]Days Listed'!A:A,'[1]Days Listed'!C:C)</f>
        <v>129</v>
      </c>
      <c r="S153" s="5">
        <f>_xlfn.XLOOKUP(A153,'[1]Days With Trades'!A:A,'[1]Days With Trades'!B:B)</f>
        <v>250</v>
      </c>
      <c r="T153" s="5">
        <f>_xlfn.XLOOKUP(A153,'[1]Days With Trades'!A:A,'[1]Days With Trades'!C:C)</f>
        <v>127</v>
      </c>
      <c r="U153" s="12">
        <f>_xlfn.XLOOKUP(A153,'[1]Value Traded'!A:A,'[1]Value Traded'!B:B)</f>
        <v>1715062949.3299999</v>
      </c>
      <c r="V153" s="12">
        <f>_xlfn.XLOOKUP(A153,'[1]Value Traded'!A:A,'[1]Value Traded'!C:C)</f>
        <v>1005860948.87</v>
      </c>
      <c r="W153" s="12">
        <f>_xlfn.XLOOKUP(A153,'[1]Value Traded'!A:A,'[1]Value Traded'!E:E)</f>
        <v>2011907109.3199999</v>
      </c>
      <c r="X153" s="12">
        <f>_xlfn.XLOOKUP(A153,'[1]Value Traded'!A:A,'[1]Value Traded'!F:F)</f>
        <v>296844159.99000001</v>
      </c>
      <c r="Y153" s="12">
        <f>_xlfn.XLOOKUP(A153,'[1]Value Traded'!A:A,'[1]Value Traded'!G:G)</f>
        <v>1187410579.5799999</v>
      </c>
      <c r="Z153" s="12">
        <f>_xlfn.XLOOKUP(A153,'[1]Value Traded'!A:A,'[1]Value Traded'!H:H)</f>
        <v>181549630.71000001</v>
      </c>
    </row>
    <row r="154" spans="1:26" x14ac:dyDescent="0.25">
      <c r="A154" s="8">
        <v>2015595</v>
      </c>
      <c r="B154" s="8" t="s">
        <v>696</v>
      </c>
      <c r="C154" s="8" t="s">
        <v>696</v>
      </c>
      <c r="D154" s="8" t="s">
        <v>697</v>
      </c>
      <c r="E154" s="8" t="s">
        <v>698</v>
      </c>
      <c r="F154" s="8" t="s">
        <v>32</v>
      </c>
      <c r="G154" s="8" t="s">
        <v>47</v>
      </c>
      <c r="H154" s="8" t="s">
        <v>48</v>
      </c>
      <c r="I154" s="8" t="s">
        <v>699</v>
      </c>
      <c r="J154" s="8" t="s">
        <v>63</v>
      </c>
      <c r="K154" s="8" t="s">
        <v>37</v>
      </c>
      <c r="L154" s="8" t="s">
        <v>107</v>
      </c>
      <c r="M154" s="9">
        <v>100398016</v>
      </c>
      <c r="N154" s="10">
        <v>13142100294.4</v>
      </c>
      <c r="O154" s="11">
        <f>_xlfn.XLOOKUP(A154,[1]MIC!A:A,[1]MIC!C:C)</f>
        <v>45344</v>
      </c>
      <c r="P154" s="11">
        <f>_xlfn.XLOOKUP(A154,[1]MIC!A:A,[1]MIC!D:D)</f>
        <v>45709</v>
      </c>
      <c r="Q154" s="5">
        <f>_xlfn.XLOOKUP(A154,'[1]Days Listed'!A:A,'[1]Days Listed'!B:B)</f>
        <v>256</v>
      </c>
      <c r="R154" s="5">
        <f>_xlfn.XLOOKUP(A154,'[1]Days Listed'!A:A,'[1]Days Listed'!C:C)</f>
        <v>129</v>
      </c>
      <c r="S154" s="5">
        <f>_xlfn.XLOOKUP(A154,'[1]Days With Trades'!A:A,'[1]Days With Trades'!B:B)</f>
        <v>250</v>
      </c>
      <c r="T154" s="5">
        <f>_xlfn.XLOOKUP(A154,'[1]Days With Trades'!A:A,'[1]Days With Trades'!C:C)</f>
        <v>127</v>
      </c>
      <c r="U154" s="12">
        <f>_xlfn.XLOOKUP(A154,'[1]Value Traded'!A:A,'[1]Value Traded'!B:B)</f>
        <v>1952844987.1300001</v>
      </c>
      <c r="V154" s="12">
        <f>_xlfn.XLOOKUP(A154,'[1]Value Traded'!A:A,'[1]Value Traded'!C:C)</f>
        <v>1031900110.04</v>
      </c>
      <c r="W154" s="12">
        <f>_xlfn.XLOOKUP(A154,'[1]Value Traded'!A:A,'[1]Value Traded'!E:E)</f>
        <v>2225483309.6700001</v>
      </c>
      <c r="X154" s="12">
        <f>_xlfn.XLOOKUP(A154,'[1]Value Traded'!A:A,'[1]Value Traded'!F:F)</f>
        <v>272638322.54000002</v>
      </c>
      <c r="Y154" s="12">
        <f>_xlfn.XLOOKUP(A154,'[1]Value Traded'!A:A,'[1]Value Traded'!G:G)</f>
        <v>1172493612.98</v>
      </c>
      <c r="Z154" s="12">
        <f>_xlfn.XLOOKUP(A154,'[1]Value Traded'!A:A,'[1]Value Traded'!H:H)</f>
        <v>140593502.94</v>
      </c>
    </row>
    <row r="155" spans="1:26" x14ac:dyDescent="0.25">
      <c r="A155" s="13">
        <v>2015596</v>
      </c>
      <c r="B155" s="13" t="s">
        <v>700</v>
      </c>
      <c r="C155" s="13" t="s">
        <v>700</v>
      </c>
      <c r="D155" s="13" t="s">
        <v>701</v>
      </c>
      <c r="E155" s="13" t="s">
        <v>702</v>
      </c>
      <c r="F155" s="13" t="s">
        <v>32</v>
      </c>
      <c r="G155" s="13" t="s">
        <v>47</v>
      </c>
      <c r="H155" s="13" t="s">
        <v>48</v>
      </c>
      <c r="I155" s="13" t="s">
        <v>703</v>
      </c>
      <c r="J155" s="13" t="s">
        <v>36</v>
      </c>
      <c r="K155" s="13" t="s">
        <v>37</v>
      </c>
      <c r="L155" s="13" t="s">
        <v>490</v>
      </c>
      <c r="M155" s="14">
        <v>134956267</v>
      </c>
      <c r="N155" s="15">
        <v>19406711194.599998</v>
      </c>
      <c r="O155" s="11">
        <f>_xlfn.XLOOKUP(A155,[1]MIC!A:A,[1]MIC!C:C)</f>
        <v>45344</v>
      </c>
      <c r="P155" s="11">
        <f>_xlfn.XLOOKUP(A155,[1]MIC!A:A,[1]MIC!D:D)</f>
        <v>45709</v>
      </c>
      <c r="Q155" s="5">
        <f>_xlfn.XLOOKUP(A155,'[1]Days Listed'!A:A,'[1]Days Listed'!B:B)</f>
        <v>256</v>
      </c>
      <c r="R155" s="5">
        <f>_xlfn.XLOOKUP(A155,'[1]Days Listed'!A:A,'[1]Days Listed'!C:C)</f>
        <v>129</v>
      </c>
      <c r="S155" s="5">
        <f>_xlfn.XLOOKUP(A155,'[1]Days With Trades'!A:A,'[1]Days With Trades'!B:B)</f>
        <v>250</v>
      </c>
      <c r="T155" s="5">
        <f>_xlfn.XLOOKUP(A155,'[1]Days With Trades'!A:A,'[1]Days With Trades'!C:C)</f>
        <v>127</v>
      </c>
      <c r="U155" s="12">
        <f>_xlfn.XLOOKUP(A155,'[1]Value Traded'!A:A,'[1]Value Traded'!B:B)</f>
        <v>1564477191.5999999</v>
      </c>
      <c r="V155" s="12">
        <f>_xlfn.XLOOKUP(A155,'[1]Value Traded'!A:A,'[1]Value Traded'!C:C)</f>
        <v>807318033.60000002</v>
      </c>
      <c r="W155" s="12">
        <f>_xlfn.XLOOKUP(A155,'[1]Value Traded'!A:A,'[1]Value Traded'!E:E)</f>
        <v>2224008581.1999998</v>
      </c>
      <c r="X155" s="12">
        <f>_xlfn.XLOOKUP(A155,'[1]Value Traded'!A:A,'[1]Value Traded'!F:F)</f>
        <v>659531389.60000002</v>
      </c>
      <c r="Y155" s="12">
        <f>_xlfn.XLOOKUP(A155,'[1]Value Traded'!A:A,'[1]Value Traded'!G:G)</f>
        <v>930014612.79999995</v>
      </c>
      <c r="Z155" s="12">
        <f>_xlfn.XLOOKUP(A155,'[1]Value Traded'!A:A,'[1]Value Traded'!H:H)</f>
        <v>122696579.2</v>
      </c>
    </row>
    <row r="156" spans="1:26" x14ac:dyDescent="0.25">
      <c r="A156" s="8">
        <v>2015597</v>
      </c>
      <c r="B156" s="8" t="s">
        <v>704</v>
      </c>
      <c r="C156" s="8" t="s">
        <v>704</v>
      </c>
      <c r="D156" s="8" t="s">
        <v>705</v>
      </c>
      <c r="E156" s="8" t="s">
        <v>706</v>
      </c>
      <c r="F156" s="8" t="s">
        <v>32</v>
      </c>
      <c r="G156" s="8" t="s">
        <v>47</v>
      </c>
      <c r="H156" s="8" t="s">
        <v>68</v>
      </c>
      <c r="I156" s="8" t="s">
        <v>707</v>
      </c>
      <c r="J156" s="8" t="s">
        <v>36</v>
      </c>
      <c r="K156" s="8" t="s">
        <v>37</v>
      </c>
      <c r="L156" s="8" t="s">
        <v>288</v>
      </c>
      <c r="M156" s="9">
        <v>296040156</v>
      </c>
      <c r="N156" s="10">
        <v>51807027300</v>
      </c>
      <c r="O156" s="11">
        <f>_xlfn.XLOOKUP(A156,[1]MIC!A:A,[1]MIC!C:C)</f>
        <v>45344</v>
      </c>
      <c r="P156" s="11">
        <f>_xlfn.XLOOKUP(A156,[1]MIC!A:A,[1]MIC!D:D)</f>
        <v>45709</v>
      </c>
      <c r="Q156" s="5">
        <f>_xlfn.XLOOKUP(A156,'[1]Days Listed'!A:A,'[1]Days Listed'!B:B)</f>
        <v>256</v>
      </c>
      <c r="R156" s="5">
        <f>_xlfn.XLOOKUP(A156,'[1]Days Listed'!A:A,'[1]Days Listed'!C:C)</f>
        <v>129</v>
      </c>
      <c r="S156" s="5">
        <f>_xlfn.XLOOKUP(A156,'[1]Days With Trades'!A:A,'[1]Days With Trades'!B:B)</f>
        <v>250</v>
      </c>
      <c r="T156" s="5">
        <f>_xlfn.XLOOKUP(A156,'[1]Days With Trades'!A:A,'[1]Days With Trades'!C:C)</f>
        <v>127</v>
      </c>
      <c r="U156" s="12">
        <f>_xlfn.XLOOKUP(A156,'[1]Value Traded'!A:A,'[1]Value Traded'!B:B)</f>
        <v>10733051690.299999</v>
      </c>
      <c r="V156" s="12">
        <f>_xlfn.XLOOKUP(A156,'[1]Value Traded'!A:A,'[1]Value Traded'!C:C)</f>
        <v>4755343763.6499996</v>
      </c>
      <c r="W156" s="12">
        <f>_xlfn.XLOOKUP(A156,'[1]Value Traded'!A:A,'[1]Value Traded'!E:E)</f>
        <v>12927436069.200001</v>
      </c>
      <c r="X156" s="12">
        <f>_xlfn.XLOOKUP(A156,'[1]Value Traded'!A:A,'[1]Value Traded'!F:F)</f>
        <v>2194384378.9000001</v>
      </c>
      <c r="Y156" s="12">
        <f>_xlfn.XLOOKUP(A156,'[1]Value Traded'!A:A,'[1]Value Traded'!G:G)</f>
        <v>5975673327.3500004</v>
      </c>
      <c r="Z156" s="12">
        <f>_xlfn.XLOOKUP(A156,'[1]Value Traded'!A:A,'[1]Value Traded'!H:H)</f>
        <v>1220329563.7</v>
      </c>
    </row>
    <row r="157" spans="1:26" x14ac:dyDescent="0.25">
      <c r="A157" s="13">
        <v>2015598</v>
      </c>
      <c r="B157" s="13" t="s">
        <v>708</v>
      </c>
      <c r="C157" s="13" t="s">
        <v>708</v>
      </c>
      <c r="D157" s="13" t="s">
        <v>709</v>
      </c>
      <c r="E157" s="13" t="s">
        <v>710</v>
      </c>
      <c r="F157" s="13" t="s">
        <v>32</v>
      </c>
      <c r="G157" s="13" t="s">
        <v>47</v>
      </c>
      <c r="H157" s="13" t="s">
        <v>48</v>
      </c>
      <c r="I157" s="13" t="s">
        <v>711</v>
      </c>
      <c r="J157" s="13" t="s">
        <v>36</v>
      </c>
      <c r="K157" s="13" t="s">
        <v>37</v>
      </c>
      <c r="L157" s="13" t="s">
        <v>97</v>
      </c>
      <c r="M157" s="14">
        <v>101478908</v>
      </c>
      <c r="N157" s="15">
        <v>25065290276</v>
      </c>
      <c r="O157" s="11">
        <f>_xlfn.XLOOKUP(A157,[1]MIC!A:A,[1]MIC!C:C)</f>
        <v>45344</v>
      </c>
      <c r="P157" s="11">
        <f>_xlfn.XLOOKUP(A157,[1]MIC!A:A,[1]MIC!D:D)</f>
        <v>45709</v>
      </c>
      <c r="Q157" s="5">
        <f>_xlfn.XLOOKUP(A157,'[1]Days Listed'!A:A,'[1]Days Listed'!B:B)</f>
        <v>256</v>
      </c>
      <c r="R157" s="5">
        <f>_xlfn.XLOOKUP(A157,'[1]Days Listed'!A:A,'[1]Days Listed'!C:C)</f>
        <v>129</v>
      </c>
      <c r="S157" s="5">
        <f>_xlfn.XLOOKUP(A157,'[1]Days With Trades'!A:A,'[1]Days With Trades'!B:B)</f>
        <v>250</v>
      </c>
      <c r="T157" s="5">
        <f>_xlfn.XLOOKUP(A157,'[1]Days With Trades'!A:A,'[1]Days With Trades'!C:C)</f>
        <v>127</v>
      </c>
      <c r="U157" s="12">
        <f>_xlfn.XLOOKUP(A157,'[1]Value Traded'!A:A,'[1]Value Traded'!B:B)</f>
        <v>198620662</v>
      </c>
      <c r="V157" s="12">
        <f>_xlfn.XLOOKUP(A157,'[1]Value Traded'!A:A,'[1]Value Traded'!C:C)</f>
        <v>119862692</v>
      </c>
      <c r="W157" s="12">
        <f>_xlfn.XLOOKUP(A157,'[1]Value Traded'!A:A,'[1]Value Traded'!E:E)</f>
        <v>249220960</v>
      </c>
      <c r="X157" s="12">
        <f>_xlfn.XLOOKUP(A157,'[1]Value Traded'!A:A,'[1]Value Traded'!F:F)</f>
        <v>50600298</v>
      </c>
      <c r="Y157" s="12">
        <f>_xlfn.XLOOKUP(A157,'[1]Value Traded'!A:A,'[1]Value Traded'!G:G)</f>
        <v>147672305</v>
      </c>
      <c r="Z157" s="12">
        <f>_xlfn.XLOOKUP(A157,'[1]Value Traded'!A:A,'[1]Value Traded'!H:H)</f>
        <v>27809613</v>
      </c>
    </row>
    <row r="158" spans="1:26" x14ac:dyDescent="0.25">
      <c r="A158" s="8">
        <v>2015599</v>
      </c>
      <c r="B158" s="8" t="s">
        <v>712</v>
      </c>
      <c r="C158" s="8" t="s">
        <v>712</v>
      </c>
      <c r="D158" s="8" t="s">
        <v>713</v>
      </c>
      <c r="E158" s="8" t="s">
        <v>714</v>
      </c>
      <c r="F158" s="8" t="s">
        <v>32</v>
      </c>
      <c r="G158" s="8" t="s">
        <v>47</v>
      </c>
      <c r="H158" s="8" t="s">
        <v>68</v>
      </c>
      <c r="I158" s="8" t="s">
        <v>715</v>
      </c>
      <c r="J158" s="8" t="s">
        <v>36</v>
      </c>
      <c r="K158" s="8" t="s">
        <v>37</v>
      </c>
      <c r="L158" s="8" t="s">
        <v>716</v>
      </c>
      <c r="M158" s="9">
        <v>2009015998</v>
      </c>
      <c r="N158" s="10">
        <v>133479022907.12</v>
      </c>
      <c r="O158" s="11">
        <f>_xlfn.XLOOKUP(A158,[1]MIC!A:A,[1]MIC!C:C)</f>
        <v>45344</v>
      </c>
      <c r="P158" s="11">
        <f>_xlfn.XLOOKUP(A158,[1]MIC!A:A,[1]MIC!D:D)</f>
        <v>45709</v>
      </c>
      <c r="Q158" s="5">
        <f>_xlfn.XLOOKUP(A158,'[1]Days Listed'!A:A,'[1]Days Listed'!B:B)</f>
        <v>256</v>
      </c>
      <c r="R158" s="5">
        <f>_xlfn.XLOOKUP(A158,'[1]Days Listed'!A:A,'[1]Days Listed'!C:C)</f>
        <v>129</v>
      </c>
      <c r="S158" s="5">
        <f>_xlfn.XLOOKUP(A158,'[1]Days With Trades'!A:A,'[1]Days With Trades'!B:B)</f>
        <v>250</v>
      </c>
      <c r="T158" s="5">
        <f>_xlfn.XLOOKUP(A158,'[1]Days With Trades'!A:A,'[1]Days With Trades'!C:C)</f>
        <v>127</v>
      </c>
      <c r="U158" s="12">
        <f>_xlfn.XLOOKUP(A158,'[1]Value Traded'!A:A,'[1]Value Traded'!B:B)</f>
        <v>58678153465.230003</v>
      </c>
      <c r="V158" s="12">
        <f>_xlfn.XLOOKUP(A158,'[1]Value Traded'!A:A,'[1]Value Traded'!C:C)</f>
        <v>30704126009.299999</v>
      </c>
      <c r="W158" s="12">
        <f>_xlfn.XLOOKUP(A158,'[1]Value Traded'!A:A,'[1]Value Traded'!E:E)</f>
        <v>65329004628.559998</v>
      </c>
      <c r="X158" s="12">
        <f>_xlfn.XLOOKUP(A158,'[1]Value Traded'!A:A,'[1]Value Traded'!F:F)</f>
        <v>6650851163.3299999</v>
      </c>
      <c r="Y158" s="12">
        <f>_xlfn.XLOOKUP(A158,'[1]Value Traded'!A:A,'[1]Value Traded'!G:G)</f>
        <v>33929151890.25</v>
      </c>
      <c r="Z158" s="12">
        <f>_xlfn.XLOOKUP(A158,'[1]Value Traded'!A:A,'[1]Value Traded'!H:H)</f>
        <v>3225025880.9499998</v>
      </c>
    </row>
    <row r="159" spans="1:26" x14ac:dyDescent="0.25">
      <c r="A159" s="13">
        <v>2015600</v>
      </c>
      <c r="B159" s="13" t="s">
        <v>717</v>
      </c>
      <c r="C159" s="13" t="s">
        <v>717</v>
      </c>
      <c r="D159" s="13" t="s">
        <v>718</v>
      </c>
      <c r="E159" s="13" t="s">
        <v>719</v>
      </c>
      <c r="F159" s="13" t="s">
        <v>32</v>
      </c>
      <c r="G159" s="13" t="s">
        <v>47</v>
      </c>
      <c r="H159" s="13" t="s">
        <v>48</v>
      </c>
      <c r="I159" s="13" t="s">
        <v>720</v>
      </c>
      <c r="J159" s="13" t="s">
        <v>36</v>
      </c>
      <c r="K159" s="13" t="s">
        <v>37</v>
      </c>
      <c r="L159" s="13" t="s">
        <v>170</v>
      </c>
      <c r="M159" s="14">
        <v>29544875</v>
      </c>
      <c r="N159" s="15">
        <v>264131182.5</v>
      </c>
      <c r="O159" s="11">
        <f>_xlfn.XLOOKUP(A159,[1]MIC!A:A,[1]MIC!C:C)</f>
        <v>45344</v>
      </c>
      <c r="P159" s="11">
        <f>_xlfn.XLOOKUP(A159,[1]MIC!A:A,[1]MIC!D:D)</f>
        <v>45709</v>
      </c>
      <c r="Q159" s="5">
        <f>_xlfn.XLOOKUP(A159,'[1]Days Listed'!A:A,'[1]Days Listed'!B:B)</f>
        <v>256</v>
      </c>
      <c r="R159" s="5">
        <f>_xlfn.XLOOKUP(A159,'[1]Days Listed'!A:A,'[1]Days Listed'!C:C)</f>
        <v>129</v>
      </c>
      <c r="S159" s="5">
        <f>_xlfn.XLOOKUP(A159,'[1]Days With Trades'!A:A,'[1]Days With Trades'!B:B)</f>
        <v>250</v>
      </c>
      <c r="T159" s="5">
        <f>_xlfn.XLOOKUP(A159,'[1]Days With Trades'!A:A,'[1]Days With Trades'!C:C)</f>
        <v>127</v>
      </c>
      <c r="U159" s="12">
        <f>_xlfn.XLOOKUP(A159,'[1]Value Traded'!A:A,'[1]Value Traded'!B:B)</f>
        <v>61601806.380000003</v>
      </c>
      <c r="V159" s="12">
        <f>_xlfn.XLOOKUP(A159,'[1]Value Traded'!A:A,'[1]Value Traded'!C:C)</f>
        <v>21927825.140000001</v>
      </c>
      <c r="W159" s="12">
        <f>_xlfn.XLOOKUP(A159,'[1]Value Traded'!A:A,'[1]Value Traded'!E:E)</f>
        <v>98137454.420000002</v>
      </c>
      <c r="X159" s="12">
        <f>_xlfn.XLOOKUP(A159,'[1]Value Traded'!A:A,'[1]Value Traded'!F:F)</f>
        <v>36535648.039999999</v>
      </c>
      <c r="Y159" s="12">
        <f>_xlfn.XLOOKUP(A159,'[1]Value Traded'!A:A,'[1]Value Traded'!G:G)</f>
        <v>31757349.670000002</v>
      </c>
      <c r="Z159" s="12">
        <f>_xlfn.XLOOKUP(A159,'[1]Value Traded'!A:A,'[1]Value Traded'!H:H)</f>
        <v>9829524.5299999993</v>
      </c>
    </row>
    <row r="160" spans="1:26" x14ac:dyDescent="0.25">
      <c r="A160" s="8">
        <v>2015602</v>
      </c>
      <c r="B160" s="8" t="s">
        <v>721</v>
      </c>
      <c r="C160" s="8" t="s">
        <v>721</v>
      </c>
      <c r="D160" s="8" t="s">
        <v>722</v>
      </c>
      <c r="E160" s="8" t="s">
        <v>723</v>
      </c>
      <c r="F160" s="8" t="s">
        <v>32</v>
      </c>
      <c r="G160" s="8" t="s">
        <v>47</v>
      </c>
      <c r="H160" s="8" t="s">
        <v>54</v>
      </c>
      <c r="I160" s="8" t="s">
        <v>724</v>
      </c>
      <c r="J160" s="8" t="s">
        <v>36</v>
      </c>
      <c r="K160" s="8" t="s">
        <v>37</v>
      </c>
      <c r="L160" s="8" t="s">
        <v>116</v>
      </c>
      <c r="M160" s="9">
        <v>39087116</v>
      </c>
      <c r="N160" s="10">
        <v>352565786.31999999</v>
      </c>
      <c r="O160" s="11">
        <f>_xlfn.XLOOKUP(A160,[1]MIC!A:A,[1]MIC!C:C)</f>
        <v>45344</v>
      </c>
      <c r="P160" s="11">
        <f>_xlfn.XLOOKUP(A160,[1]MIC!A:A,[1]MIC!D:D)</f>
        <v>45709</v>
      </c>
      <c r="Q160" s="5">
        <f>_xlfn.XLOOKUP(A160,'[1]Days Listed'!A:A,'[1]Days Listed'!B:B)</f>
        <v>256</v>
      </c>
      <c r="R160" s="5">
        <f>_xlfn.XLOOKUP(A160,'[1]Days Listed'!A:A,'[1]Days Listed'!C:C)</f>
        <v>129</v>
      </c>
      <c r="S160" s="5">
        <f>_xlfn.XLOOKUP(A160,'[1]Days With Trades'!A:A,'[1]Days With Trades'!B:B)</f>
        <v>250</v>
      </c>
      <c r="T160" s="5">
        <f>_xlfn.XLOOKUP(A160,'[1]Days With Trades'!A:A,'[1]Days With Trades'!C:C)</f>
        <v>127</v>
      </c>
      <c r="U160" s="12">
        <f>_xlfn.XLOOKUP(A160,'[1]Value Traded'!A:A,'[1]Value Traded'!B:B)</f>
        <v>751717266.19000006</v>
      </c>
      <c r="V160" s="12">
        <f>_xlfn.XLOOKUP(A160,'[1]Value Traded'!A:A,'[1]Value Traded'!C:C)</f>
        <v>217148615.41999999</v>
      </c>
      <c r="W160" s="12">
        <f>_xlfn.XLOOKUP(A160,'[1]Value Traded'!A:A,'[1]Value Traded'!E:E)</f>
        <v>1010238097.98</v>
      </c>
      <c r="X160" s="12">
        <f>_xlfn.XLOOKUP(A160,'[1]Value Traded'!A:A,'[1]Value Traded'!F:F)</f>
        <v>258520831.78999999</v>
      </c>
      <c r="Y160" s="12">
        <f>_xlfn.XLOOKUP(A160,'[1]Value Traded'!A:A,'[1]Value Traded'!G:G)</f>
        <v>319380359.80000001</v>
      </c>
      <c r="Z160" s="12">
        <f>_xlfn.XLOOKUP(A160,'[1]Value Traded'!A:A,'[1]Value Traded'!H:H)</f>
        <v>102231744.38</v>
      </c>
    </row>
    <row r="161" spans="1:26" x14ac:dyDescent="0.25">
      <c r="A161" s="13">
        <v>2015603</v>
      </c>
      <c r="B161" s="13" t="s">
        <v>725</v>
      </c>
      <c r="C161" s="13" t="s">
        <v>725</v>
      </c>
      <c r="D161" s="13" t="s">
        <v>726</v>
      </c>
      <c r="E161" s="13" t="s">
        <v>727</v>
      </c>
      <c r="F161" s="13" t="s">
        <v>32</v>
      </c>
      <c r="G161" s="13" t="s">
        <v>47</v>
      </c>
      <c r="H161" s="13" t="s">
        <v>48</v>
      </c>
      <c r="I161" s="13" t="s">
        <v>728</v>
      </c>
      <c r="J161" s="13" t="s">
        <v>36</v>
      </c>
      <c r="K161" s="13" t="s">
        <v>37</v>
      </c>
      <c r="L161" s="13" t="s">
        <v>729</v>
      </c>
      <c r="M161" s="14">
        <v>368532152</v>
      </c>
      <c r="N161" s="15">
        <v>3906440811.1999998</v>
      </c>
      <c r="O161" s="11">
        <f>_xlfn.XLOOKUP(A161,[1]MIC!A:A,[1]MIC!C:C)</f>
        <v>45344</v>
      </c>
      <c r="P161" s="11">
        <f>_xlfn.XLOOKUP(A161,[1]MIC!A:A,[1]MIC!D:D)</f>
        <v>45709</v>
      </c>
      <c r="Q161" s="5">
        <f>_xlfn.XLOOKUP(A161,'[1]Days Listed'!A:A,'[1]Days Listed'!B:B)</f>
        <v>256</v>
      </c>
      <c r="R161" s="5">
        <f>_xlfn.XLOOKUP(A161,'[1]Days Listed'!A:A,'[1]Days Listed'!C:C)</f>
        <v>129</v>
      </c>
      <c r="S161" s="5">
        <f>_xlfn.XLOOKUP(A161,'[1]Days With Trades'!A:A,'[1]Days With Trades'!B:B)</f>
        <v>250</v>
      </c>
      <c r="T161" s="5">
        <f>_xlfn.XLOOKUP(A161,'[1]Days With Trades'!A:A,'[1]Days With Trades'!C:C)</f>
        <v>127</v>
      </c>
      <c r="U161" s="12">
        <f>_xlfn.XLOOKUP(A161,'[1]Value Traded'!A:A,'[1]Value Traded'!B:B)</f>
        <v>495560139.30000001</v>
      </c>
      <c r="V161" s="12">
        <f>_xlfn.XLOOKUP(A161,'[1]Value Traded'!A:A,'[1]Value Traded'!C:C)</f>
        <v>238568636.36000001</v>
      </c>
      <c r="W161" s="12">
        <f>_xlfn.XLOOKUP(A161,'[1]Value Traded'!A:A,'[1]Value Traded'!E:E)</f>
        <v>610984274.00999999</v>
      </c>
      <c r="X161" s="12">
        <f>_xlfn.XLOOKUP(A161,'[1]Value Traded'!A:A,'[1]Value Traded'!F:F)</f>
        <v>115424134.70999999</v>
      </c>
      <c r="Y161" s="12">
        <f>_xlfn.XLOOKUP(A161,'[1]Value Traded'!A:A,'[1]Value Traded'!G:G)</f>
        <v>294119539.22000003</v>
      </c>
      <c r="Z161" s="12">
        <f>_xlfn.XLOOKUP(A161,'[1]Value Traded'!A:A,'[1]Value Traded'!H:H)</f>
        <v>55550902.859999999</v>
      </c>
    </row>
    <row r="162" spans="1:26" x14ac:dyDescent="0.25">
      <c r="A162" s="8">
        <v>2015604</v>
      </c>
      <c r="B162" s="8" t="s">
        <v>730</v>
      </c>
      <c r="C162" s="8" t="s">
        <v>730</v>
      </c>
      <c r="D162" s="8" t="s">
        <v>731</v>
      </c>
      <c r="E162" s="8" t="s">
        <v>732</v>
      </c>
      <c r="F162" s="8" t="s">
        <v>32</v>
      </c>
      <c r="G162" s="8" t="s">
        <v>47</v>
      </c>
      <c r="H162" s="8" t="s">
        <v>54</v>
      </c>
      <c r="I162" s="8" t="s">
        <v>733</v>
      </c>
      <c r="J162" s="8" t="s">
        <v>36</v>
      </c>
      <c r="K162" s="8" t="s">
        <v>37</v>
      </c>
      <c r="L162" s="8" t="s">
        <v>107</v>
      </c>
      <c r="M162" s="9">
        <v>375456307</v>
      </c>
      <c r="N162" s="10">
        <v>59322096506</v>
      </c>
      <c r="O162" s="11">
        <f>_xlfn.XLOOKUP(A162,[1]MIC!A:A,[1]MIC!C:C)</f>
        <v>45344</v>
      </c>
      <c r="P162" s="11">
        <f>_xlfn.XLOOKUP(A162,[1]MIC!A:A,[1]MIC!D:D)</f>
        <v>45709</v>
      </c>
      <c r="Q162" s="5">
        <f>_xlfn.XLOOKUP(A162,'[1]Days Listed'!A:A,'[1]Days Listed'!B:B)</f>
        <v>256</v>
      </c>
      <c r="R162" s="5">
        <f>_xlfn.XLOOKUP(A162,'[1]Days Listed'!A:A,'[1]Days Listed'!C:C)</f>
        <v>129</v>
      </c>
      <c r="S162" s="5">
        <f>_xlfn.XLOOKUP(A162,'[1]Days With Trades'!A:A,'[1]Days With Trades'!B:B)</f>
        <v>250</v>
      </c>
      <c r="T162" s="5">
        <f>_xlfn.XLOOKUP(A162,'[1]Days With Trades'!A:A,'[1]Days With Trades'!C:C)</f>
        <v>127</v>
      </c>
      <c r="U162" s="12">
        <f>_xlfn.XLOOKUP(A162,'[1]Value Traded'!A:A,'[1]Value Traded'!B:B)</f>
        <v>4429180683.3000002</v>
      </c>
      <c r="V162" s="12">
        <f>_xlfn.XLOOKUP(A162,'[1]Value Traded'!A:A,'[1]Value Traded'!C:C)</f>
        <v>2575876929.4000001</v>
      </c>
      <c r="W162" s="12">
        <f>_xlfn.XLOOKUP(A162,'[1]Value Traded'!A:A,'[1]Value Traded'!E:E)</f>
        <v>5501478801.5</v>
      </c>
      <c r="X162" s="12">
        <f>_xlfn.XLOOKUP(A162,'[1]Value Traded'!A:A,'[1]Value Traded'!F:F)</f>
        <v>1072298118.2</v>
      </c>
      <c r="Y162" s="12">
        <f>_xlfn.XLOOKUP(A162,'[1]Value Traded'!A:A,'[1]Value Traded'!G:G)</f>
        <v>3378100411.8000002</v>
      </c>
      <c r="Z162" s="12">
        <f>_xlfn.XLOOKUP(A162,'[1]Value Traded'!A:A,'[1]Value Traded'!H:H)</f>
        <v>802223482.39999998</v>
      </c>
    </row>
    <row r="163" spans="1:26" x14ac:dyDescent="0.25">
      <c r="A163" s="13">
        <v>2015605</v>
      </c>
      <c r="B163" s="13" t="s">
        <v>734</v>
      </c>
      <c r="C163" s="13" t="s">
        <v>734</v>
      </c>
      <c r="D163" s="13" t="s">
        <v>735</v>
      </c>
      <c r="E163" s="13" t="s">
        <v>736</v>
      </c>
      <c r="F163" s="13" t="s">
        <v>32</v>
      </c>
      <c r="G163" s="13" t="s">
        <v>47</v>
      </c>
      <c r="H163" s="13" t="s">
        <v>48</v>
      </c>
      <c r="I163" s="13" t="s">
        <v>737</v>
      </c>
      <c r="J163" s="13" t="s">
        <v>36</v>
      </c>
      <c r="K163" s="13" t="s">
        <v>37</v>
      </c>
      <c r="L163" s="13" t="s">
        <v>312</v>
      </c>
      <c r="M163" s="14">
        <v>115154535</v>
      </c>
      <c r="N163" s="15">
        <v>707048844.89999998</v>
      </c>
      <c r="O163" s="11">
        <f>_xlfn.XLOOKUP(A163,[1]MIC!A:A,[1]MIC!C:C)</f>
        <v>45344</v>
      </c>
      <c r="P163" s="11">
        <f>_xlfn.XLOOKUP(A163,[1]MIC!A:A,[1]MIC!D:D)</f>
        <v>45709</v>
      </c>
      <c r="Q163" s="5">
        <f>_xlfn.XLOOKUP(A163,'[1]Days Listed'!A:A,'[1]Days Listed'!B:B)</f>
        <v>256</v>
      </c>
      <c r="R163" s="5">
        <f>_xlfn.XLOOKUP(A163,'[1]Days Listed'!A:A,'[1]Days Listed'!C:C)</f>
        <v>129</v>
      </c>
      <c r="S163" s="5">
        <f>_xlfn.XLOOKUP(A163,'[1]Days With Trades'!A:A,'[1]Days With Trades'!B:B)</f>
        <v>250</v>
      </c>
      <c r="T163" s="5">
        <f>_xlfn.XLOOKUP(A163,'[1]Days With Trades'!A:A,'[1]Days With Trades'!C:C)</f>
        <v>127</v>
      </c>
      <c r="U163" s="12">
        <f>_xlfn.XLOOKUP(A163,'[1]Value Traded'!A:A,'[1]Value Traded'!B:B)</f>
        <v>175264009.63999999</v>
      </c>
      <c r="V163" s="12">
        <f>_xlfn.XLOOKUP(A163,'[1]Value Traded'!A:A,'[1]Value Traded'!C:C)</f>
        <v>86016378.239999995</v>
      </c>
      <c r="W163" s="12">
        <f>_xlfn.XLOOKUP(A163,'[1]Value Traded'!A:A,'[1]Value Traded'!E:E)</f>
        <v>214429852.25999999</v>
      </c>
      <c r="X163" s="12">
        <f>_xlfn.XLOOKUP(A163,'[1]Value Traded'!A:A,'[1]Value Traded'!F:F)</f>
        <v>39165842.619999997</v>
      </c>
      <c r="Y163" s="12">
        <f>_xlfn.XLOOKUP(A163,'[1]Value Traded'!A:A,'[1]Value Traded'!G:G)</f>
        <v>100841077.58</v>
      </c>
      <c r="Z163" s="12">
        <f>_xlfn.XLOOKUP(A163,'[1]Value Traded'!A:A,'[1]Value Traded'!H:H)</f>
        <v>14824699.34</v>
      </c>
    </row>
    <row r="164" spans="1:26" x14ac:dyDescent="0.25">
      <c r="A164" s="8">
        <v>2015606</v>
      </c>
      <c r="B164" s="8" t="s">
        <v>738</v>
      </c>
      <c r="C164" s="8" t="s">
        <v>738</v>
      </c>
      <c r="D164" s="8" t="s">
        <v>739</v>
      </c>
      <c r="E164" s="8" t="s">
        <v>740</v>
      </c>
      <c r="F164" s="8" t="s">
        <v>32</v>
      </c>
      <c r="G164" s="8" t="s">
        <v>47</v>
      </c>
      <c r="H164" s="8" t="s">
        <v>48</v>
      </c>
      <c r="I164" s="8" t="s">
        <v>741</v>
      </c>
      <c r="J164" s="8" t="s">
        <v>36</v>
      </c>
      <c r="K164" s="8" t="s">
        <v>37</v>
      </c>
      <c r="L164" s="8" t="s">
        <v>79</v>
      </c>
      <c r="M164" s="9">
        <v>93765688</v>
      </c>
      <c r="N164" s="10">
        <v>3403694474.4000001</v>
      </c>
      <c r="O164" s="11">
        <f>_xlfn.XLOOKUP(A164,[1]MIC!A:A,[1]MIC!C:C)</f>
        <v>45344</v>
      </c>
      <c r="P164" s="11">
        <f>_xlfn.XLOOKUP(A164,[1]MIC!A:A,[1]MIC!D:D)</f>
        <v>45709</v>
      </c>
      <c r="Q164" s="5">
        <f>_xlfn.XLOOKUP(A164,'[1]Days Listed'!A:A,'[1]Days Listed'!B:B)</f>
        <v>256</v>
      </c>
      <c r="R164" s="5">
        <f>_xlfn.XLOOKUP(A164,'[1]Days Listed'!A:A,'[1]Days Listed'!C:C)</f>
        <v>129</v>
      </c>
      <c r="S164" s="5">
        <f>_xlfn.XLOOKUP(A164,'[1]Days With Trades'!A:A,'[1]Days With Trades'!B:B)</f>
        <v>250</v>
      </c>
      <c r="T164" s="5">
        <f>_xlfn.XLOOKUP(A164,'[1]Days With Trades'!A:A,'[1]Days With Trades'!C:C)</f>
        <v>127</v>
      </c>
      <c r="U164" s="12">
        <f>_xlfn.XLOOKUP(A164,'[1]Value Traded'!A:A,'[1]Value Traded'!B:B)</f>
        <v>252143606.11000001</v>
      </c>
      <c r="V164" s="12">
        <f>_xlfn.XLOOKUP(A164,'[1]Value Traded'!A:A,'[1]Value Traded'!C:C)</f>
        <v>132849403.90000001</v>
      </c>
      <c r="W164" s="12">
        <f>_xlfn.XLOOKUP(A164,'[1]Value Traded'!A:A,'[1]Value Traded'!E:E)</f>
        <v>307683656.61000001</v>
      </c>
      <c r="X164" s="12">
        <f>_xlfn.XLOOKUP(A164,'[1]Value Traded'!A:A,'[1]Value Traded'!F:F)</f>
        <v>55540050.5</v>
      </c>
      <c r="Y164" s="12">
        <f>_xlfn.XLOOKUP(A164,'[1]Value Traded'!A:A,'[1]Value Traded'!G:G)</f>
        <v>162012405.15000001</v>
      </c>
      <c r="Z164" s="12">
        <f>_xlfn.XLOOKUP(A164,'[1]Value Traded'!A:A,'[1]Value Traded'!H:H)</f>
        <v>29163001.25</v>
      </c>
    </row>
    <row r="165" spans="1:26" x14ac:dyDescent="0.25">
      <c r="A165" s="13">
        <v>2015608</v>
      </c>
      <c r="B165" s="13" t="s">
        <v>742</v>
      </c>
      <c r="C165" s="13" t="s">
        <v>742</v>
      </c>
      <c r="D165" s="13" t="s">
        <v>743</v>
      </c>
      <c r="E165" s="13" t="s">
        <v>744</v>
      </c>
      <c r="F165" s="13" t="s">
        <v>32</v>
      </c>
      <c r="G165" s="13" t="s">
        <v>47</v>
      </c>
      <c r="H165" s="13" t="s">
        <v>48</v>
      </c>
      <c r="I165" s="13" t="s">
        <v>745</v>
      </c>
      <c r="J165" s="13" t="s">
        <v>36</v>
      </c>
      <c r="K165" s="13" t="s">
        <v>37</v>
      </c>
      <c r="L165" s="13" t="s">
        <v>116</v>
      </c>
      <c r="M165" s="14">
        <v>314408521</v>
      </c>
      <c r="N165" s="15">
        <v>760868620.82000005</v>
      </c>
      <c r="O165" s="11">
        <f>_xlfn.XLOOKUP(A165,[1]MIC!A:A,[1]MIC!C:C)</f>
        <v>45344</v>
      </c>
      <c r="P165" s="11">
        <f>_xlfn.XLOOKUP(A165,[1]MIC!A:A,[1]MIC!D:D)</f>
        <v>45709</v>
      </c>
      <c r="Q165" s="5">
        <f>_xlfn.XLOOKUP(A165,'[1]Days Listed'!A:A,'[1]Days Listed'!B:B)</f>
        <v>256</v>
      </c>
      <c r="R165" s="5">
        <f>_xlfn.XLOOKUP(A165,'[1]Days Listed'!A:A,'[1]Days Listed'!C:C)</f>
        <v>129</v>
      </c>
      <c r="S165" s="5">
        <f>_xlfn.XLOOKUP(A165,'[1]Days With Trades'!A:A,'[1]Days With Trades'!B:B)</f>
        <v>250</v>
      </c>
      <c r="T165" s="5">
        <f>_xlfn.XLOOKUP(A165,'[1]Days With Trades'!A:A,'[1]Days With Trades'!C:C)</f>
        <v>127</v>
      </c>
      <c r="U165" s="12">
        <f>_xlfn.XLOOKUP(A165,'[1]Value Traded'!A:A,'[1]Value Traded'!B:B)</f>
        <v>507271870.76999998</v>
      </c>
      <c r="V165" s="12">
        <f>_xlfn.XLOOKUP(A165,'[1]Value Traded'!A:A,'[1]Value Traded'!C:C)</f>
        <v>625956089.04999995</v>
      </c>
      <c r="W165" s="12">
        <f>_xlfn.XLOOKUP(A165,'[1]Value Traded'!A:A,'[1]Value Traded'!E:E)</f>
        <v>1183504245.8900001</v>
      </c>
      <c r="X165" s="12">
        <f>_xlfn.XLOOKUP(A165,'[1]Value Traded'!A:A,'[1]Value Traded'!F:F)</f>
        <v>676232375.12</v>
      </c>
      <c r="Y165" s="12">
        <f>_xlfn.XLOOKUP(A165,'[1]Value Traded'!A:A,'[1]Value Traded'!G:G)</f>
        <v>1128328393.8699999</v>
      </c>
      <c r="Z165" s="12">
        <f>_xlfn.XLOOKUP(A165,'[1]Value Traded'!A:A,'[1]Value Traded'!H:H)</f>
        <v>502372304.81999999</v>
      </c>
    </row>
    <row r="166" spans="1:26" x14ac:dyDescent="0.25">
      <c r="A166" s="8">
        <v>2015610</v>
      </c>
      <c r="B166" s="8" t="s">
        <v>746</v>
      </c>
      <c r="C166" s="8" t="s">
        <v>746</v>
      </c>
      <c r="D166" s="8" t="s">
        <v>747</v>
      </c>
      <c r="E166" s="8" t="s">
        <v>748</v>
      </c>
      <c r="F166" s="8" t="s">
        <v>32</v>
      </c>
      <c r="G166" s="8" t="s">
        <v>47</v>
      </c>
      <c r="H166" s="8" t="s">
        <v>68</v>
      </c>
      <c r="I166" s="8" t="s">
        <v>749</v>
      </c>
      <c r="J166" s="8" t="s">
        <v>36</v>
      </c>
      <c r="K166" s="8" t="s">
        <v>37</v>
      </c>
      <c r="L166" s="8" t="s">
        <v>616</v>
      </c>
      <c r="M166" s="9">
        <v>500000000</v>
      </c>
      <c r="N166" s="10">
        <v>112300000000</v>
      </c>
      <c r="O166" s="11">
        <f>_xlfn.XLOOKUP(A166,[1]MIC!A:A,[1]MIC!C:C)</f>
        <v>45344</v>
      </c>
      <c r="P166" s="11">
        <f>_xlfn.XLOOKUP(A166,[1]MIC!A:A,[1]MIC!D:D)</f>
        <v>45709</v>
      </c>
      <c r="Q166" s="5">
        <f>_xlfn.XLOOKUP(A166,'[1]Days Listed'!A:A,'[1]Days Listed'!B:B)</f>
        <v>256</v>
      </c>
      <c r="R166" s="5">
        <f>_xlfn.XLOOKUP(A166,'[1]Days Listed'!A:A,'[1]Days Listed'!C:C)</f>
        <v>129</v>
      </c>
      <c r="S166" s="5">
        <f>_xlfn.XLOOKUP(A166,'[1]Days With Trades'!A:A,'[1]Days With Trades'!B:B)</f>
        <v>250</v>
      </c>
      <c r="T166" s="5">
        <f>_xlfn.XLOOKUP(A166,'[1]Days With Trades'!A:A,'[1]Days With Trades'!C:C)</f>
        <v>127</v>
      </c>
      <c r="U166" s="12">
        <f>_xlfn.XLOOKUP(A166,'[1]Value Traded'!A:A,'[1]Value Traded'!B:B)</f>
        <v>11046127421.299999</v>
      </c>
      <c r="V166" s="12">
        <f>_xlfn.XLOOKUP(A166,'[1]Value Traded'!A:A,'[1]Value Traded'!C:C)</f>
        <v>5763847182</v>
      </c>
      <c r="W166" s="12">
        <f>_xlfn.XLOOKUP(A166,'[1]Value Traded'!A:A,'[1]Value Traded'!E:E)</f>
        <v>13467195675.6</v>
      </c>
      <c r="X166" s="12">
        <f>_xlfn.XLOOKUP(A166,'[1]Value Traded'!A:A,'[1]Value Traded'!F:F)</f>
        <v>2421068254.3000002</v>
      </c>
      <c r="Y166" s="12">
        <f>_xlfn.XLOOKUP(A166,'[1]Value Traded'!A:A,'[1]Value Traded'!G:G)</f>
        <v>7094968356.8000002</v>
      </c>
      <c r="Z166" s="12">
        <f>_xlfn.XLOOKUP(A166,'[1]Value Traded'!A:A,'[1]Value Traded'!H:H)</f>
        <v>1331121174.8</v>
      </c>
    </row>
    <row r="167" spans="1:26" x14ac:dyDescent="0.25">
      <c r="A167" s="13">
        <v>2015611</v>
      </c>
      <c r="B167" s="13" t="s">
        <v>750</v>
      </c>
      <c r="C167" s="13" t="s">
        <v>750</v>
      </c>
      <c r="D167" s="13" t="s">
        <v>751</v>
      </c>
      <c r="E167" s="13" t="s">
        <v>752</v>
      </c>
      <c r="F167" s="13" t="s">
        <v>32</v>
      </c>
      <c r="G167" s="13" t="s">
        <v>47</v>
      </c>
      <c r="H167" s="13" t="s">
        <v>48</v>
      </c>
      <c r="I167" s="13" t="s">
        <v>753</v>
      </c>
      <c r="J167" s="13" t="s">
        <v>36</v>
      </c>
      <c r="K167" s="13" t="s">
        <v>37</v>
      </c>
      <c r="L167" s="13" t="s">
        <v>754</v>
      </c>
      <c r="M167" s="14">
        <v>10580000</v>
      </c>
      <c r="N167" s="15">
        <v>4052140000</v>
      </c>
      <c r="O167" s="11">
        <f>_xlfn.XLOOKUP(A167,[1]MIC!A:A,[1]MIC!C:C)</f>
        <v>45344</v>
      </c>
      <c r="P167" s="11">
        <f>_xlfn.XLOOKUP(A167,[1]MIC!A:A,[1]MIC!D:D)</f>
        <v>45709</v>
      </c>
      <c r="Q167" s="5">
        <f>_xlfn.XLOOKUP(A167,'[1]Days Listed'!A:A,'[1]Days Listed'!B:B)</f>
        <v>256</v>
      </c>
      <c r="R167" s="5">
        <f>_xlfn.XLOOKUP(A167,'[1]Days Listed'!A:A,'[1]Days Listed'!C:C)</f>
        <v>129</v>
      </c>
      <c r="S167" s="5">
        <f>_xlfn.XLOOKUP(A167,'[1]Days With Trades'!A:A,'[1]Days With Trades'!B:B)</f>
        <v>250</v>
      </c>
      <c r="T167" s="5">
        <f>_xlfn.XLOOKUP(A167,'[1]Days With Trades'!A:A,'[1]Days With Trades'!C:C)</f>
        <v>127</v>
      </c>
      <c r="U167" s="12">
        <f>_xlfn.XLOOKUP(A167,'[1]Value Traded'!A:A,'[1]Value Traded'!B:B)</f>
        <v>456436682.5</v>
      </c>
      <c r="V167" s="12">
        <f>_xlfn.XLOOKUP(A167,'[1]Value Traded'!A:A,'[1]Value Traded'!C:C)</f>
        <v>316466308.5</v>
      </c>
      <c r="W167" s="12">
        <f>_xlfn.XLOOKUP(A167,'[1]Value Traded'!A:A,'[1]Value Traded'!E:E)</f>
        <v>557490808.5</v>
      </c>
      <c r="X167" s="12">
        <f>_xlfn.XLOOKUP(A167,'[1]Value Traded'!A:A,'[1]Value Traded'!F:F)</f>
        <v>101054126</v>
      </c>
      <c r="Y167" s="12">
        <f>_xlfn.XLOOKUP(A167,'[1]Value Traded'!A:A,'[1]Value Traded'!G:G)</f>
        <v>368757655.5</v>
      </c>
      <c r="Z167" s="12">
        <f>_xlfn.XLOOKUP(A167,'[1]Value Traded'!A:A,'[1]Value Traded'!H:H)</f>
        <v>52291347</v>
      </c>
    </row>
    <row r="168" spans="1:26" x14ac:dyDescent="0.25">
      <c r="A168" s="8">
        <v>2015612</v>
      </c>
      <c r="B168" s="8" t="s">
        <v>755</v>
      </c>
      <c r="C168" s="8" t="s">
        <v>755</v>
      </c>
      <c r="D168" s="8" t="s">
        <v>756</v>
      </c>
      <c r="E168" s="8" t="s">
        <v>757</v>
      </c>
      <c r="F168" s="8" t="s">
        <v>32</v>
      </c>
      <c r="G168" s="8" t="s">
        <v>47</v>
      </c>
      <c r="H168" s="8" t="s">
        <v>48</v>
      </c>
      <c r="I168" s="8" t="s">
        <v>758</v>
      </c>
      <c r="J168" s="8" t="s">
        <v>36</v>
      </c>
      <c r="K168" s="8" t="s">
        <v>37</v>
      </c>
      <c r="L168" s="8" t="s">
        <v>754</v>
      </c>
      <c r="M168" s="9">
        <v>34000000</v>
      </c>
      <c r="N168" s="10">
        <v>13447000000</v>
      </c>
      <c r="O168" s="11">
        <f>_xlfn.XLOOKUP(A168,[1]MIC!A:A,[1]MIC!C:C)</f>
        <v>45344</v>
      </c>
      <c r="P168" s="11">
        <f>_xlfn.XLOOKUP(A168,[1]MIC!A:A,[1]MIC!D:D)</f>
        <v>45709</v>
      </c>
      <c r="Q168" s="5">
        <f>_xlfn.XLOOKUP(A168,'[1]Days Listed'!A:A,'[1]Days Listed'!B:B)</f>
        <v>256</v>
      </c>
      <c r="R168" s="5">
        <f>_xlfn.XLOOKUP(A168,'[1]Days Listed'!A:A,'[1]Days Listed'!C:C)</f>
        <v>129</v>
      </c>
      <c r="S168" s="5">
        <f>_xlfn.XLOOKUP(A168,'[1]Days With Trades'!A:A,'[1]Days With Trades'!B:B)</f>
        <v>250</v>
      </c>
      <c r="T168" s="5">
        <f>_xlfn.XLOOKUP(A168,'[1]Days With Trades'!A:A,'[1]Days With Trades'!C:C)</f>
        <v>127</v>
      </c>
      <c r="U168" s="12">
        <f>_xlfn.XLOOKUP(A168,'[1]Value Traded'!A:A,'[1]Value Traded'!B:B)</f>
        <v>1556747513.75</v>
      </c>
      <c r="V168" s="12">
        <f>_xlfn.XLOOKUP(A168,'[1]Value Traded'!A:A,'[1]Value Traded'!C:C)</f>
        <v>1002819676.75</v>
      </c>
      <c r="W168" s="12">
        <f>_xlfn.XLOOKUP(A168,'[1]Value Traded'!A:A,'[1]Value Traded'!E:E)</f>
        <v>2076811356.75</v>
      </c>
      <c r="X168" s="12">
        <f>_xlfn.XLOOKUP(A168,'[1]Value Traded'!A:A,'[1]Value Traded'!F:F)</f>
        <v>520063843</v>
      </c>
      <c r="Y168" s="12">
        <f>_xlfn.XLOOKUP(A168,'[1]Value Traded'!A:A,'[1]Value Traded'!G:G)</f>
        <v>1303518804.25</v>
      </c>
      <c r="Z168" s="12">
        <f>_xlfn.XLOOKUP(A168,'[1]Value Traded'!A:A,'[1]Value Traded'!H:H)</f>
        <v>300699127.5</v>
      </c>
    </row>
    <row r="169" spans="1:26" x14ac:dyDescent="0.25">
      <c r="A169" s="13">
        <v>2015613</v>
      </c>
      <c r="B169" s="13" t="s">
        <v>759</v>
      </c>
      <c r="C169" s="13" t="s">
        <v>759</v>
      </c>
      <c r="D169" s="13" t="s">
        <v>760</v>
      </c>
      <c r="E169" s="13" t="s">
        <v>761</v>
      </c>
      <c r="F169" s="13" t="s">
        <v>32</v>
      </c>
      <c r="G169" s="13" t="s">
        <v>47</v>
      </c>
      <c r="H169" s="13" t="s">
        <v>91</v>
      </c>
      <c r="I169" s="13" t="s">
        <v>762</v>
      </c>
      <c r="J169" s="13" t="s">
        <v>36</v>
      </c>
      <c r="K169" s="13" t="s">
        <v>37</v>
      </c>
      <c r="L169" s="13" t="s">
        <v>50</v>
      </c>
      <c r="M169" s="14">
        <v>423104938</v>
      </c>
      <c r="N169" s="15">
        <v>39369914480.900002</v>
      </c>
      <c r="O169" s="11">
        <f>_xlfn.XLOOKUP(A169,[1]MIC!A:A,[1]MIC!C:C)</f>
        <v>45344</v>
      </c>
      <c r="P169" s="11">
        <f>_xlfn.XLOOKUP(A169,[1]MIC!A:A,[1]MIC!D:D)</f>
        <v>45709</v>
      </c>
      <c r="Q169" s="5">
        <f>_xlfn.XLOOKUP(A169,'[1]Days Listed'!A:A,'[1]Days Listed'!B:B)</f>
        <v>256</v>
      </c>
      <c r="R169" s="5">
        <f>_xlfn.XLOOKUP(A169,'[1]Days Listed'!A:A,'[1]Days Listed'!C:C)</f>
        <v>129</v>
      </c>
      <c r="S169" s="5">
        <f>_xlfn.XLOOKUP(A169,'[1]Days With Trades'!A:A,'[1]Days With Trades'!B:B)</f>
        <v>250</v>
      </c>
      <c r="T169" s="5">
        <f>_xlfn.XLOOKUP(A169,'[1]Days With Trades'!A:A,'[1]Days With Trades'!C:C)</f>
        <v>127</v>
      </c>
      <c r="U169" s="12">
        <f>_xlfn.XLOOKUP(A169,'[1]Value Traded'!A:A,'[1]Value Traded'!B:B)</f>
        <v>11090764659.76</v>
      </c>
      <c r="V169" s="12">
        <f>_xlfn.XLOOKUP(A169,'[1]Value Traded'!A:A,'[1]Value Traded'!C:C)</f>
        <v>5716951189.5100002</v>
      </c>
      <c r="W169" s="12">
        <f>_xlfn.XLOOKUP(A169,'[1]Value Traded'!A:A,'[1]Value Traded'!E:E)</f>
        <v>12777927545.91</v>
      </c>
      <c r="X169" s="12">
        <f>_xlfn.XLOOKUP(A169,'[1]Value Traded'!A:A,'[1]Value Traded'!F:F)</f>
        <v>1687162886.1500001</v>
      </c>
      <c r="Y169" s="12">
        <f>_xlfn.XLOOKUP(A169,'[1]Value Traded'!A:A,'[1]Value Traded'!G:G)</f>
        <v>6610568726.0100002</v>
      </c>
      <c r="Z169" s="12">
        <f>_xlfn.XLOOKUP(A169,'[1]Value Traded'!A:A,'[1]Value Traded'!H:H)</f>
        <v>893617536.5</v>
      </c>
    </row>
    <row r="170" spans="1:26" x14ac:dyDescent="0.25">
      <c r="A170" s="8">
        <v>2015614</v>
      </c>
      <c r="B170" s="8" t="s">
        <v>763</v>
      </c>
      <c r="C170" s="8" t="s">
        <v>763</v>
      </c>
      <c r="D170" s="8" t="s">
        <v>764</v>
      </c>
      <c r="E170" s="8" t="s">
        <v>765</v>
      </c>
      <c r="F170" s="8" t="s">
        <v>32</v>
      </c>
      <c r="G170" s="8" t="s">
        <v>47</v>
      </c>
      <c r="H170" s="8" t="s">
        <v>48</v>
      </c>
      <c r="I170" s="8" t="s">
        <v>766</v>
      </c>
      <c r="J170" s="8" t="s">
        <v>36</v>
      </c>
      <c r="K170" s="8" t="s">
        <v>37</v>
      </c>
      <c r="L170" s="8" t="s">
        <v>160</v>
      </c>
      <c r="M170" s="9">
        <v>116944048</v>
      </c>
      <c r="N170" s="10">
        <v>3274433344</v>
      </c>
      <c r="O170" s="11">
        <f>_xlfn.XLOOKUP(A170,[1]MIC!A:A,[1]MIC!C:C)</f>
        <v>45344</v>
      </c>
      <c r="P170" s="11">
        <f>_xlfn.XLOOKUP(A170,[1]MIC!A:A,[1]MIC!D:D)</f>
        <v>45709</v>
      </c>
      <c r="Q170" s="5">
        <f>_xlfn.XLOOKUP(A170,'[1]Days Listed'!A:A,'[1]Days Listed'!B:B)</f>
        <v>256</v>
      </c>
      <c r="R170" s="5">
        <f>_xlfn.XLOOKUP(A170,'[1]Days Listed'!A:A,'[1]Days Listed'!C:C)</f>
        <v>129</v>
      </c>
      <c r="S170" s="5">
        <f>_xlfn.XLOOKUP(A170,'[1]Days With Trades'!A:A,'[1]Days With Trades'!B:B)</f>
        <v>250</v>
      </c>
      <c r="T170" s="5">
        <f>_xlfn.XLOOKUP(A170,'[1]Days With Trades'!A:A,'[1]Days With Trades'!C:C)</f>
        <v>127</v>
      </c>
      <c r="U170" s="12">
        <f>_xlfn.XLOOKUP(A170,'[1]Value Traded'!A:A,'[1]Value Traded'!B:B)</f>
        <v>1767203738.47</v>
      </c>
      <c r="V170" s="12">
        <f>_xlfn.XLOOKUP(A170,'[1]Value Traded'!A:A,'[1]Value Traded'!C:C)</f>
        <v>753115544.58000004</v>
      </c>
      <c r="W170" s="12">
        <f>_xlfn.XLOOKUP(A170,'[1]Value Traded'!A:A,'[1]Value Traded'!E:E)</f>
        <v>2139531946.77</v>
      </c>
      <c r="X170" s="12">
        <f>_xlfn.XLOOKUP(A170,'[1]Value Traded'!A:A,'[1]Value Traded'!F:F)</f>
        <v>372328208.30000001</v>
      </c>
      <c r="Y170" s="12">
        <f>_xlfn.XLOOKUP(A170,'[1]Value Traded'!A:A,'[1]Value Traded'!G:G)</f>
        <v>887841807.48000002</v>
      </c>
      <c r="Z170" s="12">
        <f>_xlfn.XLOOKUP(A170,'[1]Value Traded'!A:A,'[1]Value Traded'!H:H)</f>
        <v>134726262.90000001</v>
      </c>
    </row>
    <row r="171" spans="1:26" x14ac:dyDescent="0.25">
      <c r="A171" s="13">
        <v>2015615</v>
      </c>
      <c r="B171" s="13" t="s">
        <v>767</v>
      </c>
      <c r="C171" s="13" t="s">
        <v>767</v>
      </c>
      <c r="D171" s="13" t="s">
        <v>768</v>
      </c>
      <c r="E171" s="13" t="s">
        <v>769</v>
      </c>
      <c r="F171" s="13" t="s">
        <v>32</v>
      </c>
      <c r="G171" s="13" t="s">
        <v>47</v>
      </c>
      <c r="H171" s="13" t="s">
        <v>48</v>
      </c>
      <c r="I171" s="13" t="s">
        <v>770</v>
      </c>
      <c r="J171" s="13" t="s">
        <v>36</v>
      </c>
      <c r="K171" s="13" t="s">
        <v>37</v>
      </c>
      <c r="L171" s="13" t="s">
        <v>116</v>
      </c>
      <c r="M171" s="14">
        <v>37326390</v>
      </c>
      <c r="N171" s="15">
        <v>47703126.420000002</v>
      </c>
      <c r="O171" s="11">
        <f>_xlfn.XLOOKUP(A171,[1]MIC!A:A,[1]MIC!C:C)</f>
        <v>45344</v>
      </c>
      <c r="P171" s="11">
        <f>_xlfn.XLOOKUP(A171,[1]MIC!A:A,[1]MIC!D:D)</f>
        <v>45709</v>
      </c>
      <c r="Q171" s="5">
        <f>_xlfn.XLOOKUP(A171,'[1]Days Listed'!A:A,'[1]Days Listed'!B:B)</f>
        <v>256</v>
      </c>
      <c r="R171" s="5">
        <f>_xlfn.XLOOKUP(A171,'[1]Days Listed'!A:A,'[1]Days Listed'!C:C)</f>
        <v>129</v>
      </c>
      <c r="S171" s="5">
        <f>_xlfn.XLOOKUP(A171,'[1]Days With Trades'!A:A,'[1]Days With Trades'!B:B)</f>
        <v>250</v>
      </c>
      <c r="T171" s="5">
        <f>_xlfn.XLOOKUP(A171,'[1]Days With Trades'!A:A,'[1]Days With Trades'!C:C)</f>
        <v>127</v>
      </c>
      <c r="U171" s="12">
        <f>_xlfn.XLOOKUP(A171,'[1]Value Traded'!A:A,'[1]Value Traded'!B:B)</f>
        <v>32978792.199999999</v>
      </c>
      <c r="V171" s="12">
        <f>_xlfn.XLOOKUP(A171,'[1]Value Traded'!A:A,'[1]Value Traded'!C:C)</f>
        <v>14450017.689999999</v>
      </c>
      <c r="W171" s="12">
        <f>_xlfn.XLOOKUP(A171,'[1]Value Traded'!A:A,'[1]Value Traded'!E:E)</f>
        <v>95730823.219999999</v>
      </c>
      <c r="X171" s="12">
        <f>_xlfn.XLOOKUP(A171,'[1]Value Traded'!A:A,'[1]Value Traded'!F:F)</f>
        <v>62752031.020000003</v>
      </c>
      <c r="Y171" s="12">
        <f>_xlfn.XLOOKUP(A171,'[1]Value Traded'!A:A,'[1]Value Traded'!G:G)</f>
        <v>19960439.850000001</v>
      </c>
      <c r="Z171" s="12">
        <f>_xlfn.XLOOKUP(A171,'[1]Value Traded'!A:A,'[1]Value Traded'!H:H)</f>
        <v>5510422.1600000001</v>
      </c>
    </row>
    <row r="172" spans="1:26" x14ac:dyDescent="0.25">
      <c r="A172" s="8">
        <v>2015616</v>
      </c>
      <c r="B172" s="8" t="s">
        <v>771</v>
      </c>
      <c r="C172" s="8" t="s">
        <v>771</v>
      </c>
      <c r="D172" s="8" t="s">
        <v>772</v>
      </c>
      <c r="E172" s="8" t="s">
        <v>773</v>
      </c>
      <c r="F172" s="8" t="s">
        <v>32</v>
      </c>
      <c r="G172" s="8" t="s">
        <v>47</v>
      </c>
      <c r="H172" s="8" t="s">
        <v>48</v>
      </c>
      <c r="I172" s="8" t="s">
        <v>774</v>
      </c>
      <c r="J172" s="8" t="s">
        <v>36</v>
      </c>
      <c r="K172" s="8" t="s">
        <v>37</v>
      </c>
      <c r="L172" s="8" t="s">
        <v>107</v>
      </c>
      <c r="M172" s="9">
        <v>76782423</v>
      </c>
      <c r="N172" s="10">
        <v>5835464148</v>
      </c>
      <c r="O172" s="11">
        <f>_xlfn.XLOOKUP(A172,[1]MIC!A:A,[1]MIC!C:C)</f>
        <v>45344</v>
      </c>
      <c r="P172" s="11">
        <f>_xlfn.XLOOKUP(A172,[1]MIC!A:A,[1]MIC!D:D)</f>
        <v>45709</v>
      </c>
      <c r="Q172" s="5">
        <f>_xlfn.XLOOKUP(A172,'[1]Days Listed'!A:A,'[1]Days Listed'!B:B)</f>
        <v>256</v>
      </c>
      <c r="R172" s="5">
        <f>_xlfn.XLOOKUP(A172,'[1]Days Listed'!A:A,'[1]Days Listed'!C:C)</f>
        <v>129</v>
      </c>
      <c r="S172" s="5">
        <f>_xlfn.XLOOKUP(A172,'[1]Days With Trades'!A:A,'[1]Days With Trades'!B:B)</f>
        <v>250</v>
      </c>
      <c r="T172" s="5">
        <f>_xlfn.XLOOKUP(A172,'[1]Days With Trades'!A:A,'[1]Days With Trades'!C:C)</f>
        <v>127</v>
      </c>
      <c r="U172" s="12">
        <f>_xlfn.XLOOKUP(A172,'[1]Value Traded'!A:A,'[1]Value Traded'!B:B)</f>
        <v>307432326.94999999</v>
      </c>
      <c r="V172" s="12">
        <f>_xlfn.XLOOKUP(A172,'[1]Value Traded'!A:A,'[1]Value Traded'!C:C)</f>
        <v>160748332.5</v>
      </c>
      <c r="W172" s="12">
        <f>_xlfn.XLOOKUP(A172,'[1]Value Traded'!A:A,'[1]Value Traded'!E:E)</f>
        <v>385341674.55000001</v>
      </c>
      <c r="X172" s="12">
        <f>_xlfn.XLOOKUP(A172,'[1]Value Traded'!A:A,'[1]Value Traded'!F:F)</f>
        <v>77909347.599999994</v>
      </c>
      <c r="Y172" s="12">
        <f>_xlfn.XLOOKUP(A172,'[1]Value Traded'!A:A,'[1]Value Traded'!G:G)</f>
        <v>205052955.5</v>
      </c>
      <c r="Z172" s="12">
        <f>_xlfn.XLOOKUP(A172,'[1]Value Traded'!A:A,'[1]Value Traded'!H:H)</f>
        <v>44304623</v>
      </c>
    </row>
    <row r="173" spans="1:26" x14ac:dyDescent="0.25">
      <c r="A173" s="13">
        <v>2015618</v>
      </c>
      <c r="B173" s="13" t="s">
        <v>775</v>
      </c>
      <c r="C173" s="13" t="s">
        <v>775</v>
      </c>
      <c r="D173" s="13" t="s">
        <v>776</v>
      </c>
      <c r="E173" s="13" t="s">
        <v>777</v>
      </c>
      <c r="F173" s="13" t="s">
        <v>32</v>
      </c>
      <c r="G173" s="13" t="s">
        <v>47</v>
      </c>
      <c r="H173" s="13" t="s">
        <v>48</v>
      </c>
      <c r="I173" s="13" t="s">
        <v>778</v>
      </c>
      <c r="J173" s="13" t="s">
        <v>36</v>
      </c>
      <c r="K173" s="13" t="s">
        <v>37</v>
      </c>
      <c r="L173" s="13" t="s">
        <v>515</v>
      </c>
      <c r="M173" s="14">
        <v>37777716</v>
      </c>
      <c r="N173" s="15">
        <v>2878661959.1999998</v>
      </c>
      <c r="O173" s="11">
        <f>_xlfn.XLOOKUP(A173,[1]MIC!A:A,[1]MIC!C:C)</f>
        <v>45344</v>
      </c>
      <c r="P173" s="11">
        <f>_xlfn.XLOOKUP(A173,[1]MIC!A:A,[1]MIC!D:D)</f>
        <v>45709</v>
      </c>
      <c r="Q173" s="5">
        <f>_xlfn.XLOOKUP(A173,'[1]Days Listed'!A:A,'[1]Days Listed'!B:B)</f>
        <v>256</v>
      </c>
      <c r="R173" s="5">
        <f>_xlfn.XLOOKUP(A173,'[1]Days Listed'!A:A,'[1]Days Listed'!C:C)</f>
        <v>129</v>
      </c>
      <c r="S173" s="5">
        <f>_xlfn.XLOOKUP(A173,'[1]Days With Trades'!A:A,'[1]Days With Trades'!B:B)</f>
        <v>250</v>
      </c>
      <c r="T173" s="5">
        <f>_xlfn.XLOOKUP(A173,'[1]Days With Trades'!A:A,'[1]Days With Trades'!C:C)</f>
        <v>127</v>
      </c>
      <c r="U173" s="12">
        <f>_xlfn.XLOOKUP(A173,'[1]Value Traded'!A:A,'[1]Value Traded'!B:B)</f>
        <v>631174214.64999998</v>
      </c>
      <c r="V173" s="12">
        <f>_xlfn.XLOOKUP(A173,'[1]Value Traded'!A:A,'[1]Value Traded'!C:C)</f>
        <v>541727426.25</v>
      </c>
      <c r="W173" s="12">
        <f>_xlfn.XLOOKUP(A173,'[1]Value Traded'!A:A,'[1]Value Traded'!E:E)</f>
        <v>801514090.60000002</v>
      </c>
      <c r="X173" s="12">
        <f>_xlfn.XLOOKUP(A173,'[1]Value Traded'!A:A,'[1]Value Traded'!F:F)</f>
        <v>170339875.94999999</v>
      </c>
      <c r="Y173" s="12">
        <f>_xlfn.XLOOKUP(A173,'[1]Value Traded'!A:A,'[1]Value Traded'!G:G)</f>
        <v>648861551.35000002</v>
      </c>
      <c r="Z173" s="12">
        <f>_xlfn.XLOOKUP(A173,'[1]Value Traded'!A:A,'[1]Value Traded'!H:H)</f>
        <v>107134125.09999999</v>
      </c>
    </row>
    <row r="174" spans="1:26" x14ac:dyDescent="0.25">
      <c r="A174" s="8">
        <v>2015619</v>
      </c>
      <c r="B174" s="8" t="s">
        <v>779</v>
      </c>
      <c r="C174" s="8" t="s">
        <v>779</v>
      </c>
      <c r="D174" s="8" t="s">
        <v>780</v>
      </c>
      <c r="E174" s="8" t="s">
        <v>781</v>
      </c>
      <c r="F174" s="8" t="s">
        <v>32</v>
      </c>
      <c r="G174" s="8" t="s">
        <v>47</v>
      </c>
      <c r="H174" s="8" t="s">
        <v>48</v>
      </c>
      <c r="I174" s="8" t="s">
        <v>782</v>
      </c>
      <c r="J174" s="8" t="s">
        <v>36</v>
      </c>
      <c r="K174" s="8" t="s">
        <v>37</v>
      </c>
      <c r="L174" s="8" t="s">
        <v>160</v>
      </c>
      <c r="M174" s="9">
        <v>26498640</v>
      </c>
      <c r="N174" s="10">
        <v>18231064320</v>
      </c>
      <c r="O174" s="11">
        <f>_xlfn.XLOOKUP(A174,[1]MIC!A:A,[1]MIC!C:C)</f>
        <v>45344</v>
      </c>
      <c r="P174" s="11">
        <f>_xlfn.XLOOKUP(A174,[1]MIC!A:A,[1]MIC!D:D)</f>
        <v>45709</v>
      </c>
      <c r="Q174" s="5">
        <f>_xlfn.XLOOKUP(A174,'[1]Days Listed'!A:A,'[1]Days Listed'!B:B)</f>
        <v>256</v>
      </c>
      <c r="R174" s="5">
        <f>_xlfn.XLOOKUP(A174,'[1]Days Listed'!A:A,'[1]Days Listed'!C:C)</f>
        <v>129</v>
      </c>
      <c r="S174" s="5">
        <f>_xlfn.XLOOKUP(A174,'[1]Days With Trades'!A:A,'[1]Days With Trades'!B:B)</f>
        <v>250</v>
      </c>
      <c r="T174" s="5">
        <f>_xlfn.XLOOKUP(A174,'[1]Days With Trades'!A:A,'[1]Days With Trades'!C:C)</f>
        <v>127</v>
      </c>
      <c r="U174" s="12">
        <f>_xlfn.XLOOKUP(A174,'[1]Value Traded'!A:A,'[1]Value Traded'!B:B)</f>
        <v>3152750290.25</v>
      </c>
      <c r="V174" s="12">
        <f>_xlfn.XLOOKUP(A174,'[1]Value Traded'!A:A,'[1]Value Traded'!C:C)</f>
        <v>1944424223.25</v>
      </c>
      <c r="W174" s="12">
        <f>_xlfn.XLOOKUP(A174,'[1]Value Traded'!A:A,'[1]Value Traded'!E:E)</f>
        <v>3689811842.75</v>
      </c>
      <c r="X174" s="12">
        <f>_xlfn.XLOOKUP(A174,'[1]Value Traded'!A:A,'[1]Value Traded'!F:F)</f>
        <v>537061552.5</v>
      </c>
      <c r="Y174" s="12">
        <f>_xlfn.XLOOKUP(A174,'[1]Value Traded'!A:A,'[1]Value Traded'!G:G)</f>
        <v>2242633199.25</v>
      </c>
      <c r="Z174" s="12">
        <f>_xlfn.XLOOKUP(A174,'[1]Value Traded'!A:A,'[1]Value Traded'!H:H)</f>
        <v>298208976</v>
      </c>
    </row>
    <row r="175" spans="1:26" x14ac:dyDescent="0.25">
      <c r="A175" s="13">
        <v>2015620</v>
      </c>
      <c r="B175" s="13" t="s">
        <v>783</v>
      </c>
      <c r="C175" s="13" t="s">
        <v>783</v>
      </c>
      <c r="D175" s="13" t="s">
        <v>784</v>
      </c>
      <c r="E175" s="13" t="s">
        <v>785</v>
      </c>
      <c r="F175" s="13" t="s">
        <v>32</v>
      </c>
      <c r="G175" s="13" t="s">
        <v>47</v>
      </c>
      <c r="H175" s="13" t="s">
        <v>54</v>
      </c>
      <c r="I175" s="13" t="s">
        <v>786</v>
      </c>
      <c r="J175" s="13" t="s">
        <v>36</v>
      </c>
      <c r="K175" s="13" t="s">
        <v>37</v>
      </c>
      <c r="L175" s="13" t="s">
        <v>74</v>
      </c>
      <c r="M175" s="14">
        <v>113447042</v>
      </c>
      <c r="N175" s="15">
        <v>5746092677.3000002</v>
      </c>
      <c r="O175" s="11">
        <f>_xlfn.XLOOKUP(A175,[1]MIC!A:A,[1]MIC!C:C)</f>
        <v>45344</v>
      </c>
      <c r="P175" s="11">
        <f>_xlfn.XLOOKUP(A175,[1]MIC!A:A,[1]MIC!D:D)</f>
        <v>45709</v>
      </c>
      <c r="Q175" s="5">
        <f>_xlfn.XLOOKUP(A175,'[1]Days Listed'!A:A,'[1]Days Listed'!B:B)</f>
        <v>256</v>
      </c>
      <c r="R175" s="5">
        <f>_xlfn.XLOOKUP(A175,'[1]Days Listed'!A:A,'[1]Days Listed'!C:C)</f>
        <v>129</v>
      </c>
      <c r="S175" s="5">
        <f>_xlfn.XLOOKUP(A175,'[1]Days With Trades'!A:A,'[1]Days With Trades'!B:B)</f>
        <v>250</v>
      </c>
      <c r="T175" s="5">
        <f>_xlfn.XLOOKUP(A175,'[1]Days With Trades'!A:A,'[1]Days With Trades'!C:C)</f>
        <v>127</v>
      </c>
      <c r="U175" s="12">
        <f>_xlfn.XLOOKUP(A175,'[1]Value Traded'!A:A,'[1]Value Traded'!B:B)</f>
        <v>4822336316.4200001</v>
      </c>
      <c r="V175" s="12">
        <f>_xlfn.XLOOKUP(A175,'[1]Value Traded'!A:A,'[1]Value Traded'!C:C)</f>
        <v>2529344963.1700001</v>
      </c>
      <c r="W175" s="12">
        <f>_xlfn.XLOOKUP(A175,'[1]Value Traded'!A:A,'[1]Value Traded'!E:E)</f>
        <v>5900002767.0200005</v>
      </c>
      <c r="X175" s="12">
        <f>_xlfn.XLOOKUP(A175,'[1]Value Traded'!A:A,'[1]Value Traded'!F:F)</f>
        <v>1077666450.5999999</v>
      </c>
      <c r="Y175" s="12">
        <f>_xlfn.XLOOKUP(A175,'[1]Value Traded'!A:A,'[1]Value Traded'!G:G)</f>
        <v>3023244846.77</v>
      </c>
      <c r="Z175" s="12">
        <f>_xlfn.XLOOKUP(A175,'[1]Value Traded'!A:A,'[1]Value Traded'!H:H)</f>
        <v>493899883.60000002</v>
      </c>
    </row>
    <row r="176" spans="1:26" x14ac:dyDescent="0.25">
      <c r="A176" s="8">
        <v>2015621</v>
      </c>
      <c r="B176" s="8" t="s">
        <v>787</v>
      </c>
      <c r="C176" s="8" t="s">
        <v>787</v>
      </c>
      <c r="D176" s="8" t="s">
        <v>788</v>
      </c>
      <c r="E176" s="8" t="s">
        <v>789</v>
      </c>
      <c r="F176" s="8" t="s">
        <v>32</v>
      </c>
      <c r="G176" s="8" t="s">
        <v>47</v>
      </c>
      <c r="H176" s="8" t="s">
        <v>48</v>
      </c>
      <c r="I176" s="8" t="s">
        <v>790</v>
      </c>
      <c r="J176" s="8" t="s">
        <v>36</v>
      </c>
      <c r="K176" s="8" t="s">
        <v>37</v>
      </c>
      <c r="L176" s="8" t="s">
        <v>297</v>
      </c>
      <c r="M176" s="9">
        <v>103800637</v>
      </c>
      <c r="N176" s="10">
        <v>7494405991.3999996</v>
      </c>
      <c r="O176" s="11">
        <f>_xlfn.XLOOKUP(A176,[1]MIC!A:A,[1]MIC!C:C)</f>
        <v>45344</v>
      </c>
      <c r="P176" s="11">
        <f>_xlfn.XLOOKUP(A176,[1]MIC!A:A,[1]MIC!D:D)</f>
        <v>45709</v>
      </c>
      <c r="Q176" s="5">
        <f>_xlfn.XLOOKUP(A176,'[1]Days Listed'!A:A,'[1]Days Listed'!B:B)</f>
        <v>256</v>
      </c>
      <c r="R176" s="5">
        <f>_xlfn.XLOOKUP(A176,'[1]Days Listed'!A:A,'[1]Days Listed'!C:C)</f>
        <v>129</v>
      </c>
      <c r="S176" s="5">
        <f>_xlfn.XLOOKUP(A176,'[1]Days With Trades'!A:A,'[1]Days With Trades'!B:B)</f>
        <v>250</v>
      </c>
      <c r="T176" s="5">
        <f>_xlfn.XLOOKUP(A176,'[1]Days With Trades'!A:A,'[1]Days With Trades'!C:C)</f>
        <v>127</v>
      </c>
      <c r="U176" s="12">
        <f>_xlfn.XLOOKUP(A176,'[1]Value Traded'!A:A,'[1]Value Traded'!B:B)</f>
        <v>461245580</v>
      </c>
      <c r="V176" s="12">
        <f>_xlfn.XLOOKUP(A176,'[1]Value Traded'!A:A,'[1]Value Traded'!C:C)</f>
        <v>285148238</v>
      </c>
      <c r="W176" s="12">
        <f>_xlfn.XLOOKUP(A176,'[1]Value Traded'!A:A,'[1]Value Traded'!E:E)</f>
        <v>569149807.95000005</v>
      </c>
      <c r="X176" s="12">
        <f>_xlfn.XLOOKUP(A176,'[1]Value Traded'!A:A,'[1]Value Traded'!F:F)</f>
        <v>107904227.95</v>
      </c>
      <c r="Y176" s="12">
        <f>_xlfn.XLOOKUP(A176,'[1]Value Traded'!A:A,'[1]Value Traded'!G:G)</f>
        <v>354654205.44999999</v>
      </c>
      <c r="Z176" s="12">
        <f>_xlfn.XLOOKUP(A176,'[1]Value Traded'!A:A,'[1]Value Traded'!H:H)</f>
        <v>69505967.450000003</v>
      </c>
    </row>
    <row r="177" spans="1:26" x14ac:dyDescent="0.25">
      <c r="A177" s="13">
        <v>2015622</v>
      </c>
      <c r="B177" s="13" t="s">
        <v>791</v>
      </c>
      <c r="C177" s="13" t="s">
        <v>791</v>
      </c>
      <c r="D177" s="13" t="s">
        <v>792</v>
      </c>
      <c r="E177" s="13" t="s">
        <v>793</v>
      </c>
      <c r="F177" s="13" t="s">
        <v>32</v>
      </c>
      <c r="G177" s="13" t="s">
        <v>47</v>
      </c>
      <c r="H177" s="13" t="s">
        <v>48</v>
      </c>
      <c r="I177" s="13" t="s">
        <v>794</v>
      </c>
      <c r="J177" s="13" t="s">
        <v>36</v>
      </c>
      <c r="K177" s="13" t="s">
        <v>37</v>
      </c>
      <c r="L177" s="13" t="s">
        <v>97</v>
      </c>
      <c r="M177" s="14">
        <v>416738276</v>
      </c>
      <c r="N177" s="15">
        <v>34589276.909999996</v>
      </c>
      <c r="O177" s="11">
        <f>_xlfn.XLOOKUP(A177,[1]MIC!A:A,[1]MIC!C:C)</f>
        <v>45344</v>
      </c>
      <c r="P177" s="11">
        <f>_xlfn.XLOOKUP(A177,[1]MIC!A:A,[1]MIC!D:D)</f>
        <v>45709</v>
      </c>
      <c r="Q177" s="5">
        <f>_xlfn.XLOOKUP(A177,'[1]Days Listed'!A:A,'[1]Days Listed'!B:B)</f>
        <v>256</v>
      </c>
      <c r="R177" s="5">
        <f>_xlfn.XLOOKUP(A177,'[1]Days Listed'!A:A,'[1]Days Listed'!C:C)</f>
        <v>129</v>
      </c>
      <c r="S177" s="5">
        <f>_xlfn.XLOOKUP(A177,'[1]Days With Trades'!A:A,'[1]Days With Trades'!B:B)</f>
        <v>250</v>
      </c>
      <c r="T177" s="5">
        <f>_xlfn.XLOOKUP(A177,'[1]Days With Trades'!A:A,'[1]Days With Trades'!C:C)</f>
        <v>127</v>
      </c>
      <c r="U177" s="12">
        <f>_xlfn.XLOOKUP(A177,'[1]Value Traded'!A:A,'[1]Value Traded'!B:B)</f>
        <v>124021911.36</v>
      </c>
      <c r="V177" s="12">
        <f>_xlfn.XLOOKUP(A177,'[1]Value Traded'!A:A,'[1]Value Traded'!C:C)</f>
        <v>48910456.859999999</v>
      </c>
      <c r="W177" s="12">
        <f>_xlfn.XLOOKUP(A177,'[1]Value Traded'!A:A,'[1]Value Traded'!E:E)</f>
        <v>291964838.56</v>
      </c>
      <c r="X177" s="12">
        <f>_xlfn.XLOOKUP(A177,'[1]Value Traded'!A:A,'[1]Value Traded'!F:F)</f>
        <v>167942927.19999999</v>
      </c>
      <c r="Y177" s="12">
        <f>_xlfn.XLOOKUP(A177,'[1]Value Traded'!A:A,'[1]Value Traded'!G:G)</f>
        <v>142243084.62</v>
      </c>
      <c r="Z177" s="12">
        <f>_xlfn.XLOOKUP(A177,'[1]Value Traded'!A:A,'[1]Value Traded'!H:H)</f>
        <v>93332627.760000005</v>
      </c>
    </row>
    <row r="178" spans="1:26" x14ac:dyDescent="0.25">
      <c r="A178" s="8">
        <v>2015623</v>
      </c>
      <c r="B178" s="8" t="s">
        <v>795</v>
      </c>
      <c r="C178" s="8" t="s">
        <v>795</v>
      </c>
      <c r="D178" s="8" t="s">
        <v>796</v>
      </c>
      <c r="E178" s="8" t="s">
        <v>797</v>
      </c>
      <c r="F178" s="8" t="s">
        <v>32</v>
      </c>
      <c r="G178" s="8" t="s">
        <v>47</v>
      </c>
      <c r="H178" s="8" t="s">
        <v>48</v>
      </c>
      <c r="I178" s="8" t="s">
        <v>798</v>
      </c>
      <c r="J178" s="8" t="s">
        <v>36</v>
      </c>
      <c r="K178" s="8" t="s">
        <v>37</v>
      </c>
      <c r="L178" s="8" t="s">
        <v>38</v>
      </c>
      <c r="M178" s="9">
        <v>130969690</v>
      </c>
      <c r="N178" s="10">
        <v>278310591.25</v>
      </c>
      <c r="O178" s="11">
        <f>_xlfn.XLOOKUP(A178,[1]MIC!A:A,[1]MIC!C:C)</f>
        <v>45344</v>
      </c>
      <c r="P178" s="11">
        <f>_xlfn.XLOOKUP(A178,[1]MIC!A:A,[1]MIC!D:D)</f>
        <v>45709</v>
      </c>
      <c r="Q178" s="5">
        <f>_xlfn.XLOOKUP(A178,'[1]Days Listed'!A:A,'[1]Days Listed'!B:B)</f>
        <v>256</v>
      </c>
      <c r="R178" s="5">
        <f>_xlfn.XLOOKUP(A178,'[1]Days Listed'!A:A,'[1]Days Listed'!C:C)</f>
        <v>129</v>
      </c>
      <c r="S178" s="5">
        <f>_xlfn.XLOOKUP(A178,'[1]Days With Trades'!A:A,'[1]Days With Trades'!B:B)</f>
        <v>250</v>
      </c>
      <c r="T178" s="5">
        <f>_xlfn.XLOOKUP(A178,'[1]Days With Trades'!A:A,'[1]Days With Trades'!C:C)</f>
        <v>127</v>
      </c>
      <c r="U178" s="12">
        <f>_xlfn.XLOOKUP(A178,'[1]Value Traded'!A:A,'[1]Value Traded'!B:B)</f>
        <v>77630843.920000002</v>
      </c>
      <c r="V178" s="12">
        <f>_xlfn.XLOOKUP(A178,'[1]Value Traded'!A:A,'[1]Value Traded'!C:C)</f>
        <v>30801493.98</v>
      </c>
      <c r="W178" s="12">
        <f>_xlfn.XLOOKUP(A178,'[1]Value Traded'!A:A,'[1]Value Traded'!E:E)</f>
        <v>103980207.81</v>
      </c>
      <c r="X178" s="12">
        <f>_xlfn.XLOOKUP(A178,'[1]Value Traded'!A:A,'[1]Value Traded'!F:F)</f>
        <v>26349363.890000001</v>
      </c>
      <c r="Y178" s="12">
        <f>_xlfn.XLOOKUP(A178,'[1]Value Traded'!A:A,'[1]Value Traded'!G:G)</f>
        <v>39331040.560000002</v>
      </c>
      <c r="Z178" s="12">
        <f>_xlfn.XLOOKUP(A178,'[1]Value Traded'!A:A,'[1]Value Traded'!H:H)</f>
        <v>8529546.5800000001</v>
      </c>
    </row>
    <row r="179" spans="1:26" x14ac:dyDescent="0.25">
      <c r="A179" s="13">
        <v>2015624</v>
      </c>
      <c r="B179" s="13" t="s">
        <v>799</v>
      </c>
      <c r="C179" s="13" t="s">
        <v>799</v>
      </c>
      <c r="D179" s="13" t="s">
        <v>800</v>
      </c>
      <c r="E179" s="13" t="s">
        <v>801</v>
      </c>
      <c r="F179" s="13" t="s">
        <v>32</v>
      </c>
      <c r="G179" s="13" t="s">
        <v>47</v>
      </c>
      <c r="H179" s="13" t="s">
        <v>68</v>
      </c>
      <c r="I179" s="13" t="s">
        <v>802</v>
      </c>
      <c r="J179" s="13" t="s">
        <v>36</v>
      </c>
      <c r="K179" s="13" t="s">
        <v>37</v>
      </c>
      <c r="L179" s="13" t="s">
        <v>160</v>
      </c>
      <c r="M179" s="14">
        <v>632022210</v>
      </c>
      <c r="N179" s="15">
        <v>150547690422</v>
      </c>
      <c r="O179" s="11">
        <f>_xlfn.XLOOKUP(A179,[1]MIC!A:A,[1]MIC!C:C)</f>
        <v>45344</v>
      </c>
      <c r="P179" s="11">
        <f>_xlfn.XLOOKUP(A179,[1]MIC!A:A,[1]MIC!D:D)</f>
        <v>45709</v>
      </c>
      <c r="Q179" s="5">
        <f>_xlfn.XLOOKUP(A179,'[1]Days Listed'!A:A,'[1]Days Listed'!B:B)</f>
        <v>256</v>
      </c>
      <c r="R179" s="5">
        <f>_xlfn.XLOOKUP(A179,'[1]Days Listed'!A:A,'[1]Days Listed'!C:C)</f>
        <v>129</v>
      </c>
      <c r="S179" s="5">
        <f>_xlfn.XLOOKUP(A179,'[1]Days With Trades'!A:A,'[1]Days With Trades'!B:B)</f>
        <v>250</v>
      </c>
      <c r="T179" s="5">
        <f>_xlfn.XLOOKUP(A179,'[1]Days With Trades'!A:A,'[1]Days With Trades'!C:C)</f>
        <v>127</v>
      </c>
      <c r="U179" s="12">
        <f>_xlfn.XLOOKUP(A179,'[1]Value Traded'!A:A,'[1]Value Traded'!B:B)</f>
        <v>61910460030.800003</v>
      </c>
      <c r="V179" s="12">
        <f>_xlfn.XLOOKUP(A179,'[1]Value Traded'!A:A,'[1]Value Traded'!C:C)</f>
        <v>32828978846.200001</v>
      </c>
      <c r="W179" s="12">
        <f>_xlfn.XLOOKUP(A179,'[1]Value Traded'!A:A,'[1]Value Traded'!E:E)</f>
        <v>69213429996.800003</v>
      </c>
      <c r="X179" s="12">
        <f>_xlfn.XLOOKUP(A179,'[1]Value Traded'!A:A,'[1]Value Traded'!F:F)</f>
        <v>7302969966</v>
      </c>
      <c r="Y179" s="12">
        <f>_xlfn.XLOOKUP(A179,'[1]Value Traded'!A:A,'[1]Value Traded'!G:G)</f>
        <v>36374548437.099998</v>
      </c>
      <c r="Z179" s="12">
        <f>_xlfn.XLOOKUP(A179,'[1]Value Traded'!A:A,'[1]Value Traded'!H:H)</f>
        <v>3545569590.9000001</v>
      </c>
    </row>
    <row r="180" spans="1:26" x14ac:dyDescent="0.25">
      <c r="A180" s="8">
        <v>2015628</v>
      </c>
      <c r="B180" s="8" t="s">
        <v>803</v>
      </c>
      <c r="C180" s="8" t="s">
        <v>803</v>
      </c>
      <c r="D180" s="8" t="s">
        <v>804</v>
      </c>
      <c r="E180" s="8" t="s">
        <v>805</v>
      </c>
      <c r="F180" s="8" t="s">
        <v>32</v>
      </c>
      <c r="G180" s="8" t="s">
        <v>47</v>
      </c>
      <c r="H180" s="8" t="s">
        <v>91</v>
      </c>
      <c r="I180" s="8" t="s">
        <v>806</v>
      </c>
      <c r="J180" s="8" t="s">
        <v>36</v>
      </c>
      <c r="K180" s="8" t="s">
        <v>37</v>
      </c>
      <c r="L180" s="8" t="s">
        <v>74</v>
      </c>
      <c r="M180" s="9">
        <v>132038920</v>
      </c>
      <c r="N180" s="10">
        <v>75922379000</v>
      </c>
      <c r="O180" s="11">
        <f>_xlfn.XLOOKUP(A180,[1]MIC!A:A,[1]MIC!C:C)</f>
        <v>45344</v>
      </c>
      <c r="P180" s="11">
        <f>_xlfn.XLOOKUP(A180,[1]MIC!A:A,[1]MIC!D:D)</f>
        <v>45709</v>
      </c>
      <c r="Q180" s="5">
        <f>_xlfn.XLOOKUP(A180,'[1]Days Listed'!A:A,'[1]Days Listed'!B:B)</f>
        <v>256</v>
      </c>
      <c r="R180" s="5">
        <f>_xlfn.XLOOKUP(A180,'[1]Days Listed'!A:A,'[1]Days Listed'!C:C)</f>
        <v>129</v>
      </c>
      <c r="S180" s="5">
        <f>_xlfn.XLOOKUP(A180,'[1]Days With Trades'!A:A,'[1]Days With Trades'!B:B)</f>
        <v>250</v>
      </c>
      <c r="T180" s="5">
        <f>_xlfn.XLOOKUP(A180,'[1]Days With Trades'!A:A,'[1]Days With Trades'!C:C)</f>
        <v>127</v>
      </c>
      <c r="U180" s="12">
        <f>_xlfn.XLOOKUP(A180,'[1]Value Traded'!A:A,'[1]Value Traded'!B:B)</f>
        <v>20557745313.099998</v>
      </c>
      <c r="V180" s="12">
        <f>_xlfn.XLOOKUP(A180,'[1]Value Traded'!A:A,'[1]Value Traded'!C:C)</f>
        <v>10762856591.5</v>
      </c>
      <c r="W180" s="12">
        <f>_xlfn.XLOOKUP(A180,'[1]Value Traded'!A:A,'[1]Value Traded'!E:E)</f>
        <v>23969720381.400002</v>
      </c>
      <c r="X180" s="12">
        <f>_xlfn.XLOOKUP(A180,'[1]Value Traded'!A:A,'[1]Value Traded'!F:F)</f>
        <v>3411975068.3000002</v>
      </c>
      <c r="Y180" s="12">
        <f>_xlfn.XLOOKUP(A180,'[1]Value Traded'!A:A,'[1]Value Traded'!G:G)</f>
        <v>12059475502.75</v>
      </c>
      <c r="Z180" s="12">
        <f>_xlfn.XLOOKUP(A180,'[1]Value Traded'!A:A,'[1]Value Traded'!H:H)</f>
        <v>1296618911.25</v>
      </c>
    </row>
    <row r="181" spans="1:26" x14ac:dyDescent="0.25">
      <c r="A181" s="13">
        <v>2015629</v>
      </c>
      <c r="B181" s="13" t="s">
        <v>807</v>
      </c>
      <c r="C181" s="13" t="s">
        <v>807</v>
      </c>
      <c r="D181" s="13" t="s">
        <v>808</v>
      </c>
      <c r="E181" s="13" t="s">
        <v>809</v>
      </c>
      <c r="F181" s="13" t="s">
        <v>32</v>
      </c>
      <c r="G181" s="13" t="s">
        <v>47</v>
      </c>
      <c r="H181" s="13" t="s">
        <v>48</v>
      </c>
      <c r="I181" s="13" t="s">
        <v>810</v>
      </c>
      <c r="J181" s="13" t="s">
        <v>36</v>
      </c>
      <c r="K181" s="13" t="s">
        <v>37</v>
      </c>
      <c r="L181" s="13" t="s">
        <v>271</v>
      </c>
      <c r="M181" s="14">
        <v>740229477</v>
      </c>
      <c r="N181" s="15">
        <v>847118613.48000002</v>
      </c>
      <c r="O181" s="11">
        <f>_xlfn.XLOOKUP(A181,[1]MIC!A:A,[1]MIC!C:C)</f>
        <v>45344</v>
      </c>
      <c r="P181" s="11">
        <f>_xlfn.XLOOKUP(A181,[1]MIC!A:A,[1]MIC!D:D)</f>
        <v>45709</v>
      </c>
      <c r="Q181" s="5">
        <f>_xlfn.XLOOKUP(A181,'[1]Days Listed'!A:A,'[1]Days Listed'!B:B)</f>
        <v>256</v>
      </c>
      <c r="R181" s="5">
        <f>_xlfn.XLOOKUP(A181,'[1]Days Listed'!A:A,'[1]Days Listed'!C:C)</f>
        <v>129</v>
      </c>
      <c r="S181" s="5">
        <f>_xlfn.XLOOKUP(A181,'[1]Days With Trades'!A:A,'[1]Days With Trades'!B:B)</f>
        <v>249</v>
      </c>
      <c r="T181" s="5">
        <f>_xlfn.XLOOKUP(A181,'[1]Days With Trades'!A:A,'[1]Days With Trades'!C:C)</f>
        <v>126</v>
      </c>
      <c r="U181" s="12">
        <f>_xlfn.XLOOKUP(A181,'[1]Value Traded'!A:A,'[1]Value Traded'!B:B)</f>
        <v>1283575918</v>
      </c>
      <c r="V181" s="12">
        <f>_xlfn.XLOOKUP(A181,'[1]Value Traded'!A:A,'[1]Value Traded'!C:C)</f>
        <v>358058839.56</v>
      </c>
      <c r="W181" s="12">
        <f>_xlfn.XLOOKUP(A181,'[1]Value Traded'!A:A,'[1]Value Traded'!E:E)</f>
        <v>1976233890.25</v>
      </c>
      <c r="X181" s="12">
        <f>_xlfn.XLOOKUP(A181,'[1]Value Traded'!A:A,'[1]Value Traded'!F:F)</f>
        <v>692657972.25</v>
      </c>
      <c r="Y181" s="12">
        <f>_xlfn.XLOOKUP(A181,'[1]Value Traded'!A:A,'[1]Value Traded'!G:G)</f>
        <v>433377452.98000002</v>
      </c>
      <c r="Z181" s="12">
        <f>_xlfn.XLOOKUP(A181,'[1]Value Traded'!A:A,'[1]Value Traded'!H:H)</f>
        <v>75318613.420000002</v>
      </c>
    </row>
    <row r="182" spans="1:26" x14ac:dyDescent="0.25">
      <c r="A182" s="8">
        <v>2015630</v>
      </c>
      <c r="B182" s="8" t="s">
        <v>811</v>
      </c>
      <c r="C182" s="8" t="s">
        <v>811</v>
      </c>
      <c r="D182" s="8" t="s">
        <v>812</v>
      </c>
      <c r="E182" s="8" t="s">
        <v>813</v>
      </c>
      <c r="F182" s="8" t="s">
        <v>32</v>
      </c>
      <c r="G182" s="8" t="s">
        <v>47</v>
      </c>
      <c r="H182" s="8" t="s">
        <v>48</v>
      </c>
      <c r="I182" s="8" t="s">
        <v>814</v>
      </c>
      <c r="J182" s="8" t="s">
        <v>63</v>
      </c>
      <c r="K182" s="8" t="s">
        <v>37</v>
      </c>
      <c r="L182" s="8" t="s">
        <v>107</v>
      </c>
      <c r="M182" s="9">
        <v>12388560</v>
      </c>
      <c r="N182" s="10">
        <v>5252749440</v>
      </c>
      <c r="O182" s="11">
        <f>_xlfn.XLOOKUP(A182,[1]MIC!A:A,[1]MIC!C:C)</f>
        <v>45344</v>
      </c>
      <c r="P182" s="11">
        <f>_xlfn.XLOOKUP(A182,[1]MIC!A:A,[1]MIC!D:D)</f>
        <v>45709</v>
      </c>
      <c r="Q182" s="5">
        <f>_xlfn.XLOOKUP(A182,'[1]Days Listed'!A:A,'[1]Days Listed'!B:B)</f>
        <v>256</v>
      </c>
      <c r="R182" s="5">
        <f>_xlfn.XLOOKUP(A182,'[1]Days Listed'!A:A,'[1]Days Listed'!C:C)</f>
        <v>129</v>
      </c>
      <c r="S182" s="5">
        <f>_xlfn.XLOOKUP(A182,'[1]Days With Trades'!A:A,'[1]Days With Trades'!B:B)</f>
        <v>210</v>
      </c>
      <c r="T182" s="5">
        <f>_xlfn.XLOOKUP(A182,'[1]Days With Trades'!A:A,'[1]Days With Trades'!C:C)</f>
        <v>105</v>
      </c>
      <c r="U182" s="12">
        <f>_xlfn.XLOOKUP(A182,'[1]Value Traded'!A:A,'[1]Value Traded'!B:B)</f>
        <v>19201978.600000001</v>
      </c>
      <c r="V182" s="12">
        <f>_xlfn.XLOOKUP(A182,'[1]Value Traded'!A:A,'[1]Value Traded'!C:C)</f>
        <v>13049970.6</v>
      </c>
      <c r="W182" s="12">
        <f>_xlfn.XLOOKUP(A182,'[1]Value Traded'!A:A,'[1]Value Traded'!E:E)</f>
        <v>28634213.850000001</v>
      </c>
      <c r="X182" s="12">
        <f>_xlfn.XLOOKUP(A182,'[1]Value Traded'!A:A,'[1]Value Traded'!F:F)</f>
        <v>9432235.25</v>
      </c>
      <c r="Y182" s="12">
        <f>_xlfn.XLOOKUP(A182,'[1]Value Traded'!A:A,'[1]Value Traded'!G:G)</f>
        <v>18350545.850000001</v>
      </c>
      <c r="Z182" s="12">
        <f>_xlfn.XLOOKUP(A182,'[1]Value Traded'!A:A,'[1]Value Traded'!H:H)</f>
        <v>5300575.25</v>
      </c>
    </row>
    <row r="183" spans="1:26" x14ac:dyDescent="0.25">
      <c r="A183" s="13">
        <v>2015631</v>
      </c>
      <c r="B183" s="13" t="s">
        <v>815</v>
      </c>
      <c r="C183" s="13" t="s">
        <v>815</v>
      </c>
      <c r="D183" s="13" t="s">
        <v>816</v>
      </c>
      <c r="E183" s="13" t="s">
        <v>817</v>
      </c>
      <c r="F183" s="13" t="s">
        <v>32</v>
      </c>
      <c r="G183" s="13" t="s">
        <v>47</v>
      </c>
      <c r="H183" s="13" t="s">
        <v>48</v>
      </c>
      <c r="I183" s="13" t="s">
        <v>818</v>
      </c>
      <c r="J183" s="13" t="s">
        <v>36</v>
      </c>
      <c r="K183" s="13" t="s">
        <v>37</v>
      </c>
      <c r="L183" s="13" t="s">
        <v>160</v>
      </c>
      <c r="M183" s="14">
        <v>20134428</v>
      </c>
      <c r="N183" s="15">
        <v>37051374.409999996</v>
      </c>
      <c r="O183" s="11">
        <f>_xlfn.XLOOKUP(A183,[1]MIC!A:A,[1]MIC!C:C)</f>
        <v>45344</v>
      </c>
      <c r="P183" s="11">
        <f>_xlfn.XLOOKUP(A183,[1]MIC!A:A,[1]MIC!D:D)</f>
        <v>45709</v>
      </c>
      <c r="Q183" s="5">
        <f>_xlfn.XLOOKUP(A183,'[1]Days Listed'!A:A,'[1]Days Listed'!B:B)</f>
        <v>256</v>
      </c>
      <c r="R183" s="5">
        <f>_xlfn.XLOOKUP(A183,'[1]Days Listed'!A:A,'[1]Days Listed'!C:C)</f>
        <v>129</v>
      </c>
      <c r="S183" s="5">
        <f>_xlfn.XLOOKUP(A183,'[1]Days With Trades'!A:A,'[1]Days With Trades'!B:B)</f>
        <v>249</v>
      </c>
      <c r="T183" s="5">
        <f>_xlfn.XLOOKUP(A183,'[1]Days With Trades'!A:A,'[1]Days With Trades'!C:C)</f>
        <v>127</v>
      </c>
      <c r="U183" s="12">
        <f>_xlfn.XLOOKUP(A183,'[1]Value Traded'!A:A,'[1]Value Traded'!B:B)</f>
        <v>65550594.700000003</v>
      </c>
      <c r="V183" s="12">
        <f>_xlfn.XLOOKUP(A183,'[1]Value Traded'!A:A,'[1]Value Traded'!C:C)</f>
        <v>17826356.579999998</v>
      </c>
      <c r="W183" s="12">
        <f>_xlfn.XLOOKUP(A183,'[1]Value Traded'!A:A,'[1]Value Traded'!E:E)</f>
        <v>227386419.30000001</v>
      </c>
      <c r="X183" s="12">
        <f>_xlfn.XLOOKUP(A183,'[1]Value Traded'!A:A,'[1]Value Traded'!F:F)</f>
        <v>161835824.59999999</v>
      </c>
      <c r="Y183" s="12">
        <f>_xlfn.XLOOKUP(A183,'[1]Value Traded'!A:A,'[1]Value Traded'!G:G)</f>
        <v>25850342.030000001</v>
      </c>
      <c r="Z183" s="12">
        <f>_xlfn.XLOOKUP(A183,'[1]Value Traded'!A:A,'[1]Value Traded'!H:H)</f>
        <v>8023985.4500000002</v>
      </c>
    </row>
    <row r="184" spans="1:26" x14ac:dyDescent="0.25">
      <c r="A184" s="8">
        <v>2015632</v>
      </c>
      <c r="B184" s="8" t="s">
        <v>819</v>
      </c>
      <c r="C184" s="8" t="s">
        <v>819</v>
      </c>
      <c r="D184" s="8" t="s">
        <v>820</v>
      </c>
      <c r="E184" s="8" t="s">
        <v>821</v>
      </c>
      <c r="F184" s="8" t="s">
        <v>32</v>
      </c>
      <c r="G184" s="8" t="s">
        <v>47</v>
      </c>
      <c r="H184" s="8" t="s">
        <v>48</v>
      </c>
      <c r="I184" s="8" t="s">
        <v>822</v>
      </c>
      <c r="J184" s="8" t="s">
        <v>36</v>
      </c>
      <c r="K184" s="8" t="s">
        <v>37</v>
      </c>
      <c r="L184" s="8" t="s">
        <v>50</v>
      </c>
      <c r="M184" s="9">
        <v>71863838</v>
      </c>
      <c r="N184" s="10">
        <v>1925950858.4000001</v>
      </c>
      <c r="O184" s="11">
        <f>_xlfn.XLOOKUP(A184,[1]MIC!A:A,[1]MIC!C:C)</f>
        <v>45344</v>
      </c>
      <c r="P184" s="11">
        <f>_xlfn.XLOOKUP(A184,[1]MIC!A:A,[1]MIC!D:D)</f>
        <v>45709</v>
      </c>
      <c r="Q184" s="5">
        <f>_xlfn.XLOOKUP(A184,'[1]Days Listed'!A:A,'[1]Days Listed'!B:B)</f>
        <v>256</v>
      </c>
      <c r="R184" s="5">
        <f>_xlfn.XLOOKUP(A184,'[1]Days Listed'!A:A,'[1]Days Listed'!C:C)</f>
        <v>129</v>
      </c>
      <c r="S184" s="5">
        <f>_xlfn.XLOOKUP(A184,'[1]Days With Trades'!A:A,'[1]Days With Trades'!B:B)</f>
        <v>250</v>
      </c>
      <c r="T184" s="5">
        <f>_xlfn.XLOOKUP(A184,'[1]Days With Trades'!A:A,'[1]Days With Trades'!C:C)</f>
        <v>127</v>
      </c>
      <c r="U184" s="12">
        <f>_xlfn.XLOOKUP(A184,'[1]Value Traded'!A:A,'[1]Value Traded'!B:B)</f>
        <v>430105309.64999998</v>
      </c>
      <c r="V184" s="12">
        <f>_xlfn.XLOOKUP(A184,'[1]Value Traded'!A:A,'[1]Value Traded'!C:C)</f>
        <v>159670704.90000001</v>
      </c>
      <c r="W184" s="12">
        <f>_xlfn.XLOOKUP(A184,'[1]Value Traded'!A:A,'[1]Value Traded'!E:E)</f>
        <v>523364200</v>
      </c>
      <c r="X184" s="12">
        <f>_xlfn.XLOOKUP(A184,'[1]Value Traded'!A:A,'[1]Value Traded'!F:F)</f>
        <v>93258890.349999994</v>
      </c>
      <c r="Y184" s="12">
        <f>_xlfn.XLOOKUP(A184,'[1]Value Traded'!A:A,'[1]Value Traded'!G:G)</f>
        <v>198253143.09999999</v>
      </c>
      <c r="Z184" s="12">
        <f>_xlfn.XLOOKUP(A184,'[1]Value Traded'!A:A,'[1]Value Traded'!H:H)</f>
        <v>38582438.200000003</v>
      </c>
    </row>
    <row r="185" spans="1:26" x14ac:dyDescent="0.25">
      <c r="A185" s="13">
        <v>2015633</v>
      </c>
      <c r="B185" s="13" t="s">
        <v>823</v>
      </c>
      <c r="C185" s="13" t="s">
        <v>823</v>
      </c>
      <c r="D185" s="13" t="s">
        <v>824</v>
      </c>
      <c r="E185" s="13" t="s">
        <v>825</v>
      </c>
      <c r="F185" s="13" t="s">
        <v>32</v>
      </c>
      <c r="G185" s="13" t="s">
        <v>47</v>
      </c>
      <c r="H185" s="13" t="s">
        <v>48</v>
      </c>
      <c r="I185" s="13" t="s">
        <v>826</v>
      </c>
      <c r="J185" s="13" t="s">
        <v>36</v>
      </c>
      <c r="K185" s="13" t="s">
        <v>37</v>
      </c>
      <c r="L185" s="13" t="s">
        <v>38</v>
      </c>
      <c r="M185" s="14">
        <v>72983333</v>
      </c>
      <c r="N185" s="15">
        <v>966299328.91999996</v>
      </c>
      <c r="O185" s="11">
        <f>_xlfn.XLOOKUP(A185,[1]MIC!A:A,[1]MIC!C:C)</f>
        <v>45344</v>
      </c>
      <c r="P185" s="11">
        <f>_xlfn.XLOOKUP(A185,[1]MIC!A:A,[1]MIC!D:D)</f>
        <v>45709</v>
      </c>
      <c r="Q185" s="5">
        <f>_xlfn.XLOOKUP(A185,'[1]Days Listed'!A:A,'[1]Days Listed'!B:B)</f>
        <v>256</v>
      </c>
      <c r="R185" s="5">
        <f>_xlfn.XLOOKUP(A185,'[1]Days Listed'!A:A,'[1]Days Listed'!C:C)</f>
        <v>129</v>
      </c>
      <c r="S185" s="5">
        <f>_xlfn.XLOOKUP(A185,'[1]Days With Trades'!A:A,'[1]Days With Trades'!B:B)</f>
        <v>250</v>
      </c>
      <c r="T185" s="5">
        <f>_xlfn.XLOOKUP(A185,'[1]Days With Trades'!A:A,'[1]Days With Trades'!C:C)</f>
        <v>127</v>
      </c>
      <c r="U185" s="12">
        <f>_xlfn.XLOOKUP(A185,'[1]Value Traded'!A:A,'[1]Value Traded'!B:B)</f>
        <v>188315183.96000001</v>
      </c>
      <c r="V185" s="12">
        <f>_xlfn.XLOOKUP(A185,'[1]Value Traded'!A:A,'[1]Value Traded'!C:C)</f>
        <v>60830558.740000002</v>
      </c>
      <c r="W185" s="12">
        <f>_xlfn.XLOOKUP(A185,'[1]Value Traded'!A:A,'[1]Value Traded'!E:E)</f>
        <v>236233390.02000001</v>
      </c>
      <c r="X185" s="12">
        <f>_xlfn.XLOOKUP(A185,'[1]Value Traded'!A:A,'[1]Value Traded'!F:F)</f>
        <v>47918206.060000002</v>
      </c>
      <c r="Y185" s="12">
        <f>_xlfn.XLOOKUP(A185,'[1]Value Traded'!A:A,'[1]Value Traded'!G:G)</f>
        <v>75083990.239999995</v>
      </c>
      <c r="Z185" s="12">
        <f>_xlfn.XLOOKUP(A185,'[1]Value Traded'!A:A,'[1]Value Traded'!H:H)</f>
        <v>14253431.5</v>
      </c>
    </row>
    <row r="186" spans="1:26" x14ac:dyDescent="0.25">
      <c r="A186" s="8">
        <v>2015650</v>
      </c>
      <c r="B186" s="8" t="s">
        <v>827</v>
      </c>
      <c r="C186" s="8" t="s">
        <v>827</v>
      </c>
      <c r="D186" s="8" t="s">
        <v>828</v>
      </c>
      <c r="E186" s="8" t="s">
        <v>829</v>
      </c>
      <c r="F186" s="8" t="s">
        <v>32</v>
      </c>
      <c r="G186" s="8" t="s">
        <v>47</v>
      </c>
      <c r="H186" s="8" t="s">
        <v>48</v>
      </c>
      <c r="I186" s="8" t="s">
        <v>830</v>
      </c>
      <c r="J186" s="8" t="s">
        <v>36</v>
      </c>
      <c r="K186" s="8" t="s">
        <v>37</v>
      </c>
      <c r="L186" s="8" t="s">
        <v>645</v>
      </c>
      <c r="M186" s="9">
        <v>100000000</v>
      </c>
      <c r="N186" s="10">
        <v>19600000000</v>
      </c>
      <c r="O186" s="11">
        <f>_xlfn.XLOOKUP(A186,[1]MIC!A:A,[1]MIC!C:C)</f>
        <v>45344</v>
      </c>
      <c r="P186" s="11">
        <f>_xlfn.XLOOKUP(A186,[1]MIC!A:A,[1]MIC!D:D)</f>
        <v>45709</v>
      </c>
      <c r="Q186" s="5">
        <f>_xlfn.XLOOKUP(A186,'[1]Days Listed'!A:A,'[1]Days Listed'!B:B)</f>
        <v>256</v>
      </c>
      <c r="R186" s="5">
        <f>_xlfn.XLOOKUP(A186,'[1]Days Listed'!A:A,'[1]Days Listed'!C:C)</f>
        <v>129</v>
      </c>
      <c r="S186" s="5">
        <f>_xlfn.XLOOKUP(A186,'[1]Days With Trades'!A:A,'[1]Days With Trades'!B:B)</f>
        <v>250</v>
      </c>
      <c r="T186" s="5">
        <f>_xlfn.XLOOKUP(A186,'[1]Days With Trades'!A:A,'[1]Days With Trades'!C:C)</f>
        <v>127</v>
      </c>
      <c r="U186" s="12">
        <f>_xlfn.XLOOKUP(A186,'[1]Value Traded'!A:A,'[1]Value Traded'!B:B)</f>
        <v>2138218038.5</v>
      </c>
      <c r="V186" s="12">
        <f>_xlfn.XLOOKUP(A186,'[1]Value Traded'!A:A,'[1]Value Traded'!C:C)</f>
        <v>1350030049.4000001</v>
      </c>
      <c r="W186" s="12">
        <f>_xlfn.XLOOKUP(A186,'[1]Value Traded'!A:A,'[1]Value Traded'!E:E)</f>
        <v>3089035175.3000002</v>
      </c>
      <c r="X186" s="12">
        <f>_xlfn.XLOOKUP(A186,'[1]Value Traded'!A:A,'[1]Value Traded'!F:F)</f>
        <v>950817136.79999995</v>
      </c>
      <c r="Y186" s="12">
        <f>_xlfn.XLOOKUP(A186,'[1]Value Traded'!A:A,'[1]Value Traded'!G:G)</f>
        <v>2163029855.9000001</v>
      </c>
      <c r="Z186" s="12">
        <f>_xlfn.XLOOKUP(A186,'[1]Value Traded'!A:A,'[1]Value Traded'!H:H)</f>
        <v>812999806.5</v>
      </c>
    </row>
    <row r="187" spans="1:26" x14ac:dyDescent="0.25">
      <c r="A187" s="13">
        <v>2015652</v>
      </c>
      <c r="B187" s="13" t="s">
        <v>831</v>
      </c>
      <c r="C187" s="13" t="s">
        <v>831</v>
      </c>
      <c r="D187" s="13" t="s">
        <v>832</v>
      </c>
      <c r="E187" s="13" t="s">
        <v>833</v>
      </c>
      <c r="F187" s="13" t="s">
        <v>32</v>
      </c>
      <c r="G187" s="13" t="s">
        <v>47</v>
      </c>
      <c r="H187" s="13" t="s">
        <v>48</v>
      </c>
      <c r="I187" s="13" t="s">
        <v>834</v>
      </c>
      <c r="J187" s="13" t="s">
        <v>36</v>
      </c>
      <c r="K187" s="13" t="s">
        <v>37</v>
      </c>
      <c r="L187" s="13" t="s">
        <v>116</v>
      </c>
      <c r="M187" s="14">
        <v>81644238</v>
      </c>
      <c r="N187" s="15">
        <v>51272581.460000001</v>
      </c>
      <c r="O187" s="11">
        <f>_xlfn.XLOOKUP(A187,[1]MIC!A:A,[1]MIC!C:C)</f>
        <v>45344</v>
      </c>
      <c r="P187" s="11">
        <f>_xlfn.XLOOKUP(A187,[1]MIC!A:A,[1]MIC!D:D)</f>
        <v>45709</v>
      </c>
      <c r="Q187" s="5">
        <f>_xlfn.XLOOKUP(A187,'[1]Days Listed'!A:A,'[1]Days Listed'!B:B)</f>
        <v>256</v>
      </c>
      <c r="R187" s="5">
        <f>_xlfn.XLOOKUP(A187,'[1]Days Listed'!A:A,'[1]Days Listed'!C:C)</f>
        <v>129</v>
      </c>
      <c r="S187" s="5">
        <f>_xlfn.XLOOKUP(A187,'[1]Days With Trades'!A:A,'[1]Days With Trades'!B:B)</f>
        <v>250</v>
      </c>
      <c r="T187" s="5">
        <f>_xlfn.XLOOKUP(A187,'[1]Days With Trades'!A:A,'[1]Days With Trades'!C:C)</f>
        <v>127</v>
      </c>
      <c r="U187" s="12">
        <f>_xlfn.XLOOKUP(A187,'[1]Value Traded'!A:A,'[1]Value Traded'!B:B)</f>
        <v>128435981.59</v>
      </c>
      <c r="V187" s="12">
        <f>_xlfn.XLOOKUP(A187,'[1]Value Traded'!A:A,'[1]Value Traded'!C:C)</f>
        <v>88481544.469999999</v>
      </c>
      <c r="W187" s="12">
        <f>_xlfn.XLOOKUP(A187,'[1]Value Traded'!A:A,'[1]Value Traded'!E:E)</f>
        <v>289632700.99000001</v>
      </c>
      <c r="X187" s="12">
        <f>_xlfn.XLOOKUP(A187,'[1]Value Traded'!A:A,'[1]Value Traded'!F:F)</f>
        <v>161196719.40000001</v>
      </c>
      <c r="Y187" s="12">
        <f>_xlfn.XLOOKUP(A187,'[1]Value Traded'!A:A,'[1]Value Traded'!G:G)</f>
        <v>171049418.75</v>
      </c>
      <c r="Z187" s="12">
        <f>_xlfn.XLOOKUP(A187,'[1]Value Traded'!A:A,'[1]Value Traded'!H:H)</f>
        <v>82567874.280000001</v>
      </c>
    </row>
    <row r="188" spans="1:26" x14ac:dyDescent="0.25">
      <c r="A188" s="8">
        <v>2015653</v>
      </c>
      <c r="B188" s="8" t="s">
        <v>835</v>
      </c>
      <c r="C188" s="8" t="s">
        <v>835</v>
      </c>
      <c r="D188" s="8" t="s">
        <v>836</v>
      </c>
      <c r="E188" s="8" t="s">
        <v>837</v>
      </c>
      <c r="F188" s="8" t="s">
        <v>32</v>
      </c>
      <c r="G188" s="8" t="s">
        <v>47</v>
      </c>
      <c r="H188" s="8" t="s">
        <v>48</v>
      </c>
      <c r="I188" s="8" t="s">
        <v>838</v>
      </c>
      <c r="J188" s="8" t="s">
        <v>36</v>
      </c>
      <c r="K188" s="8" t="s">
        <v>37</v>
      </c>
      <c r="L188" s="8" t="s">
        <v>107</v>
      </c>
      <c r="M188" s="9">
        <v>229770786</v>
      </c>
      <c r="N188" s="10">
        <v>2044959995.4000001</v>
      </c>
      <c r="O188" s="11">
        <f>_xlfn.XLOOKUP(A188,[1]MIC!A:A,[1]MIC!C:C)</f>
        <v>45344</v>
      </c>
      <c r="P188" s="11">
        <f>_xlfn.XLOOKUP(A188,[1]MIC!A:A,[1]MIC!D:D)</f>
        <v>45709</v>
      </c>
      <c r="Q188" s="5">
        <f>_xlfn.XLOOKUP(A188,'[1]Days Listed'!A:A,'[1]Days Listed'!B:B)</f>
        <v>256</v>
      </c>
      <c r="R188" s="5">
        <f>_xlfn.XLOOKUP(A188,'[1]Days Listed'!A:A,'[1]Days Listed'!C:C)</f>
        <v>129</v>
      </c>
      <c r="S188" s="5">
        <f>_xlfn.XLOOKUP(A188,'[1]Days With Trades'!A:A,'[1]Days With Trades'!B:B)</f>
        <v>250</v>
      </c>
      <c r="T188" s="5">
        <f>_xlfn.XLOOKUP(A188,'[1]Days With Trades'!A:A,'[1]Days With Trades'!C:C)</f>
        <v>127</v>
      </c>
      <c r="U188" s="12">
        <f>_xlfn.XLOOKUP(A188,'[1]Value Traded'!A:A,'[1]Value Traded'!B:B)</f>
        <v>250462099.09999999</v>
      </c>
      <c r="V188" s="12">
        <f>_xlfn.XLOOKUP(A188,'[1]Value Traded'!A:A,'[1]Value Traded'!C:C)</f>
        <v>199279467.25999999</v>
      </c>
      <c r="W188" s="12">
        <f>_xlfn.XLOOKUP(A188,'[1]Value Traded'!A:A,'[1]Value Traded'!E:E)</f>
        <v>322866682.66000003</v>
      </c>
      <c r="X188" s="12">
        <f>_xlfn.XLOOKUP(A188,'[1]Value Traded'!A:A,'[1]Value Traded'!F:F)</f>
        <v>72404583.560000002</v>
      </c>
      <c r="Y188" s="12">
        <f>_xlfn.XLOOKUP(A188,'[1]Value Traded'!A:A,'[1]Value Traded'!G:G)</f>
        <v>245602648.22</v>
      </c>
      <c r="Z188" s="12">
        <f>_xlfn.XLOOKUP(A188,'[1]Value Traded'!A:A,'[1]Value Traded'!H:H)</f>
        <v>46323180.960000001</v>
      </c>
    </row>
    <row r="189" spans="1:26" x14ac:dyDescent="0.25">
      <c r="A189" s="13">
        <v>2015654</v>
      </c>
      <c r="B189" s="13" t="s">
        <v>839</v>
      </c>
      <c r="C189" s="13" t="s">
        <v>839</v>
      </c>
      <c r="D189" s="13" t="s">
        <v>840</v>
      </c>
      <c r="E189" s="13" t="s">
        <v>841</v>
      </c>
      <c r="F189" s="13" t="s">
        <v>32</v>
      </c>
      <c r="G189" s="13" t="s">
        <v>47</v>
      </c>
      <c r="H189" s="13" t="s">
        <v>48</v>
      </c>
      <c r="I189" s="13" t="s">
        <v>842</v>
      </c>
      <c r="J189" s="13" t="s">
        <v>36</v>
      </c>
      <c r="K189" s="13" t="s">
        <v>37</v>
      </c>
      <c r="L189" s="13" t="s">
        <v>50</v>
      </c>
      <c r="M189" s="14">
        <v>75396009</v>
      </c>
      <c r="N189" s="15">
        <v>392059246.80000001</v>
      </c>
      <c r="O189" s="11">
        <f>_xlfn.XLOOKUP(A189,[1]MIC!A:A,[1]MIC!C:C)</f>
        <v>45344</v>
      </c>
      <c r="P189" s="11">
        <f>_xlfn.XLOOKUP(A189,[1]MIC!A:A,[1]MIC!D:D)</f>
        <v>45709</v>
      </c>
      <c r="Q189" s="5">
        <f>_xlfn.XLOOKUP(A189,'[1]Days Listed'!A:A,'[1]Days Listed'!B:B)</f>
        <v>256</v>
      </c>
      <c r="R189" s="5">
        <f>_xlfn.XLOOKUP(A189,'[1]Days Listed'!A:A,'[1]Days Listed'!C:C)</f>
        <v>129</v>
      </c>
      <c r="S189" s="5">
        <f>_xlfn.XLOOKUP(A189,'[1]Days With Trades'!A:A,'[1]Days With Trades'!B:B)</f>
        <v>250</v>
      </c>
      <c r="T189" s="5">
        <f>_xlfn.XLOOKUP(A189,'[1]Days With Trades'!A:A,'[1]Days With Trades'!C:C)</f>
        <v>127</v>
      </c>
      <c r="U189" s="12">
        <f>_xlfn.XLOOKUP(A189,'[1]Value Traded'!A:A,'[1]Value Traded'!B:B)</f>
        <v>28720663.379999999</v>
      </c>
      <c r="V189" s="12">
        <f>_xlfn.XLOOKUP(A189,'[1]Value Traded'!A:A,'[1]Value Traded'!C:C)</f>
        <v>15763148.42</v>
      </c>
      <c r="W189" s="12">
        <f>_xlfn.XLOOKUP(A189,'[1]Value Traded'!A:A,'[1]Value Traded'!E:E)</f>
        <v>40636505.829999998</v>
      </c>
      <c r="X189" s="12">
        <f>_xlfn.XLOOKUP(A189,'[1]Value Traded'!A:A,'[1]Value Traded'!F:F)</f>
        <v>11915842.449999999</v>
      </c>
      <c r="Y189" s="12">
        <f>_xlfn.XLOOKUP(A189,'[1]Value Traded'!A:A,'[1]Value Traded'!G:G)</f>
        <v>22549176.859999999</v>
      </c>
      <c r="Z189" s="12">
        <f>_xlfn.XLOOKUP(A189,'[1]Value Traded'!A:A,'[1]Value Traded'!H:H)</f>
        <v>6786028.4400000004</v>
      </c>
    </row>
    <row r="190" spans="1:26" x14ac:dyDescent="0.25">
      <c r="A190" s="8">
        <v>2015655</v>
      </c>
      <c r="B190" s="8" t="s">
        <v>843</v>
      </c>
      <c r="C190" s="8" t="s">
        <v>843</v>
      </c>
      <c r="D190" s="8" t="s">
        <v>844</v>
      </c>
      <c r="E190" s="8" t="s">
        <v>845</v>
      </c>
      <c r="F190" s="8" t="s">
        <v>32</v>
      </c>
      <c r="G190" s="8" t="s">
        <v>47</v>
      </c>
      <c r="H190" s="8" t="s">
        <v>48</v>
      </c>
      <c r="I190" s="8" t="s">
        <v>846</v>
      </c>
      <c r="J190" s="8" t="s">
        <v>36</v>
      </c>
      <c r="K190" s="8" t="s">
        <v>37</v>
      </c>
      <c r="L190" s="8" t="s">
        <v>297</v>
      </c>
      <c r="M190" s="9">
        <v>22135279</v>
      </c>
      <c r="N190" s="10">
        <v>1859363436</v>
      </c>
      <c r="O190" s="11">
        <f>_xlfn.XLOOKUP(A190,[1]MIC!A:A,[1]MIC!C:C)</f>
        <v>45344</v>
      </c>
      <c r="P190" s="11">
        <f>_xlfn.XLOOKUP(A190,[1]MIC!A:A,[1]MIC!D:D)</f>
        <v>45709</v>
      </c>
      <c r="Q190" s="5">
        <f>_xlfn.XLOOKUP(A190,'[1]Days Listed'!A:A,'[1]Days Listed'!B:B)</f>
        <v>256</v>
      </c>
      <c r="R190" s="5">
        <f>_xlfn.XLOOKUP(A190,'[1]Days Listed'!A:A,'[1]Days Listed'!C:C)</f>
        <v>129</v>
      </c>
      <c r="S190" s="5">
        <f>_xlfn.XLOOKUP(A190,'[1]Days With Trades'!A:A,'[1]Days With Trades'!B:B)</f>
        <v>249</v>
      </c>
      <c r="T190" s="5">
        <f>_xlfn.XLOOKUP(A190,'[1]Days With Trades'!A:A,'[1]Days With Trades'!C:C)</f>
        <v>126</v>
      </c>
      <c r="U190" s="12">
        <f>_xlfn.XLOOKUP(A190,'[1]Value Traded'!A:A,'[1]Value Traded'!B:B)</f>
        <v>123675455.40000001</v>
      </c>
      <c r="V190" s="12">
        <f>_xlfn.XLOOKUP(A190,'[1]Value Traded'!A:A,'[1]Value Traded'!C:C)</f>
        <v>61685118</v>
      </c>
      <c r="W190" s="12">
        <f>_xlfn.XLOOKUP(A190,'[1]Value Traded'!A:A,'[1]Value Traded'!E:E)</f>
        <v>158314605.40000001</v>
      </c>
      <c r="X190" s="12">
        <f>_xlfn.XLOOKUP(A190,'[1]Value Traded'!A:A,'[1]Value Traded'!F:F)</f>
        <v>34639150</v>
      </c>
      <c r="Y190" s="12">
        <f>_xlfn.XLOOKUP(A190,'[1]Value Traded'!A:A,'[1]Value Traded'!G:G)</f>
        <v>76504390.599999994</v>
      </c>
      <c r="Z190" s="12">
        <f>_xlfn.XLOOKUP(A190,'[1]Value Traded'!A:A,'[1]Value Traded'!H:H)</f>
        <v>14819272.6</v>
      </c>
    </row>
    <row r="191" spans="1:26" x14ac:dyDescent="0.25">
      <c r="A191" s="13">
        <v>2015656</v>
      </c>
      <c r="B191" s="13" t="s">
        <v>847</v>
      </c>
      <c r="C191" s="13" t="s">
        <v>847</v>
      </c>
      <c r="D191" s="13" t="s">
        <v>848</v>
      </c>
      <c r="E191" s="13" t="s">
        <v>849</v>
      </c>
      <c r="F191" s="13" t="s">
        <v>32</v>
      </c>
      <c r="G191" s="13" t="s">
        <v>47</v>
      </c>
      <c r="H191" s="13" t="s">
        <v>54</v>
      </c>
      <c r="I191" s="13" t="s">
        <v>850</v>
      </c>
      <c r="J191" s="13" t="s">
        <v>36</v>
      </c>
      <c r="K191" s="13" t="s">
        <v>37</v>
      </c>
      <c r="L191" s="13" t="s">
        <v>187</v>
      </c>
      <c r="M191" s="14">
        <v>158917275</v>
      </c>
      <c r="N191" s="15">
        <v>12395547450</v>
      </c>
      <c r="O191" s="11">
        <f>_xlfn.XLOOKUP(A191,[1]MIC!A:A,[1]MIC!C:C)</f>
        <v>45344</v>
      </c>
      <c r="P191" s="11">
        <f>_xlfn.XLOOKUP(A191,[1]MIC!A:A,[1]MIC!D:D)</f>
        <v>45709</v>
      </c>
      <c r="Q191" s="5">
        <f>_xlfn.XLOOKUP(A191,'[1]Days Listed'!A:A,'[1]Days Listed'!B:B)</f>
        <v>256</v>
      </c>
      <c r="R191" s="5">
        <f>_xlfn.XLOOKUP(A191,'[1]Days Listed'!A:A,'[1]Days Listed'!C:C)</f>
        <v>129</v>
      </c>
      <c r="S191" s="5">
        <f>_xlfn.XLOOKUP(A191,'[1]Days With Trades'!A:A,'[1]Days With Trades'!B:B)</f>
        <v>250</v>
      </c>
      <c r="T191" s="5">
        <f>_xlfn.XLOOKUP(A191,'[1]Days With Trades'!A:A,'[1]Days With Trades'!C:C)</f>
        <v>127</v>
      </c>
      <c r="U191" s="12">
        <f>_xlfn.XLOOKUP(A191,'[1]Value Traded'!A:A,'[1]Value Traded'!B:B)</f>
        <v>4805037522.2799997</v>
      </c>
      <c r="V191" s="12">
        <f>_xlfn.XLOOKUP(A191,'[1]Value Traded'!A:A,'[1]Value Traded'!C:C)</f>
        <v>2423672688.4499998</v>
      </c>
      <c r="W191" s="12">
        <f>_xlfn.XLOOKUP(A191,'[1]Value Traded'!A:A,'[1]Value Traded'!E:E)</f>
        <v>5800126413.96</v>
      </c>
      <c r="X191" s="12">
        <f>_xlfn.XLOOKUP(A191,'[1]Value Traded'!A:A,'[1]Value Traded'!F:F)</f>
        <v>995088891.67999995</v>
      </c>
      <c r="Y191" s="12">
        <f>_xlfn.XLOOKUP(A191,'[1]Value Traded'!A:A,'[1]Value Traded'!G:G)</f>
        <v>2862714421.8499999</v>
      </c>
      <c r="Z191" s="12">
        <f>_xlfn.XLOOKUP(A191,'[1]Value Traded'!A:A,'[1]Value Traded'!H:H)</f>
        <v>439041733.39999998</v>
      </c>
    </row>
    <row r="192" spans="1:26" x14ac:dyDescent="0.25">
      <c r="A192" s="8">
        <v>2015657</v>
      </c>
      <c r="B192" s="8" t="s">
        <v>851</v>
      </c>
      <c r="C192" s="8" t="s">
        <v>851</v>
      </c>
      <c r="D192" s="8" t="s">
        <v>852</v>
      </c>
      <c r="E192" s="8" t="s">
        <v>853</v>
      </c>
      <c r="F192" s="8" t="s">
        <v>32</v>
      </c>
      <c r="G192" s="8" t="s">
        <v>47</v>
      </c>
      <c r="H192" s="8" t="s">
        <v>48</v>
      </c>
      <c r="I192" s="8" t="s">
        <v>854</v>
      </c>
      <c r="J192" s="8" t="s">
        <v>36</v>
      </c>
      <c r="K192" s="8" t="s">
        <v>37</v>
      </c>
      <c r="L192" s="8" t="s">
        <v>102</v>
      </c>
      <c r="M192" s="9">
        <v>131092867</v>
      </c>
      <c r="N192" s="10">
        <v>1289953811.28</v>
      </c>
      <c r="O192" s="11">
        <f>_xlfn.XLOOKUP(A192,[1]MIC!A:A,[1]MIC!C:C)</f>
        <v>45344</v>
      </c>
      <c r="P192" s="11">
        <f>_xlfn.XLOOKUP(A192,[1]MIC!A:A,[1]MIC!D:D)</f>
        <v>45709</v>
      </c>
      <c r="Q192" s="5">
        <f>_xlfn.XLOOKUP(A192,'[1]Days Listed'!A:A,'[1]Days Listed'!B:B)</f>
        <v>256</v>
      </c>
      <c r="R192" s="5">
        <f>_xlfn.XLOOKUP(A192,'[1]Days Listed'!A:A,'[1]Days Listed'!C:C)</f>
        <v>129</v>
      </c>
      <c r="S192" s="5">
        <f>_xlfn.XLOOKUP(A192,'[1]Days With Trades'!A:A,'[1]Days With Trades'!B:B)</f>
        <v>250</v>
      </c>
      <c r="T192" s="5">
        <f>_xlfn.XLOOKUP(A192,'[1]Days With Trades'!A:A,'[1]Days With Trades'!C:C)</f>
        <v>127</v>
      </c>
      <c r="U192" s="12">
        <f>_xlfn.XLOOKUP(A192,'[1]Value Traded'!A:A,'[1]Value Traded'!B:B)</f>
        <v>130924225.37</v>
      </c>
      <c r="V192" s="12">
        <f>_xlfn.XLOOKUP(A192,'[1]Value Traded'!A:A,'[1]Value Traded'!C:C)</f>
        <v>55810819.100000001</v>
      </c>
      <c r="W192" s="12">
        <f>_xlfn.XLOOKUP(A192,'[1]Value Traded'!A:A,'[1]Value Traded'!E:E)</f>
        <v>169859265.66</v>
      </c>
      <c r="X192" s="12">
        <f>_xlfn.XLOOKUP(A192,'[1]Value Traded'!A:A,'[1]Value Traded'!F:F)</f>
        <v>38935040.289999999</v>
      </c>
      <c r="Y192" s="12">
        <f>_xlfn.XLOOKUP(A192,'[1]Value Traded'!A:A,'[1]Value Traded'!G:G)</f>
        <v>74880556.810000002</v>
      </c>
      <c r="Z192" s="12">
        <f>_xlfn.XLOOKUP(A192,'[1]Value Traded'!A:A,'[1]Value Traded'!H:H)</f>
        <v>19069737.710000001</v>
      </c>
    </row>
    <row r="193" spans="1:26" x14ac:dyDescent="0.25">
      <c r="A193" s="13">
        <v>2015658</v>
      </c>
      <c r="B193" s="13" t="s">
        <v>855</v>
      </c>
      <c r="C193" s="13" t="s">
        <v>855</v>
      </c>
      <c r="D193" s="13" t="s">
        <v>856</v>
      </c>
      <c r="E193" s="13" t="s">
        <v>857</v>
      </c>
      <c r="F193" s="13" t="s">
        <v>32</v>
      </c>
      <c r="G193" s="13" t="s">
        <v>47</v>
      </c>
      <c r="H193" s="13" t="s">
        <v>54</v>
      </c>
      <c r="I193" s="13" t="s">
        <v>858</v>
      </c>
      <c r="J193" s="13" t="s">
        <v>36</v>
      </c>
      <c r="K193" s="13" t="s">
        <v>37</v>
      </c>
      <c r="L193" s="13" t="s">
        <v>97</v>
      </c>
      <c r="M193" s="14">
        <v>182132055</v>
      </c>
      <c r="N193" s="15">
        <v>20945186325</v>
      </c>
      <c r="O193" s="11">
        <f>_xlfn.XLOOKUP(A193,[1]MIC!A:A,[1]MIC!C:C)</f>
        <v>45344</v>
      </c>
      <c r="P193" s="11">
        <f>_xlfn.XLOOKUP(A193,[1]MIC!A:A,[1]MIC!D:D)</f>
        <v>45709</v>
      </c>
      <c r="Q193" s="5">
        <f>_xlfn.XLOOKUP(A193,'[1]Days Listed'!A:A,'[1]Days Listed'!B:B)</f>
        <v>256</v>
      </c>
      <c r="R193" s="5">
        <f>_xlfn.XLOOKUP(A193,'[1]Days Listed'!A:A,'[1]Days Listed'!C:C)</f>
        <v>129</v>
      </c>
      <c r="S193" s="5">
        <f>_xlfn.XLOOKUP(A193,'[1]Days With Trades'!A:A,'[1]Days With Trades'!B:B)</f>
        <v>250</v>
      </c>
      <c r="T193" s="5">
        <f>_xlfn.XLOOKUP(A193,'[1]Days With Trades'!A:A,'[1]Days With Trades'!C:C)</f>
        <v>127</v>
      </c>
      <c r="U193" s="12">
        <f>_xlfn.XLOOKUP(A193,'[1]Value Traded'!A:A,'[1]Value Traded'!B:B)</f>
        <v>2252326212.4000001</v>
      </c>
      <c r="V193" s="12">
        <f>_xlfn.XLOOKUP(A193,'[1]Value Traded'!A:A,'[1]Value Traded'!C:C)</f>
        <v>1158497437</v>
      </c>
      <c r="W193" s="12">
        <f>_xlfn.XLOOKUP(A193,'[1]Value Traded'!A:A,'[1]Value Traded'!E:E)</f>
        <v>2709423579.0999999</v>
      </c>
      <c r="X193" s="12">
        <f>_xlfn.XLOOKUP(A193,'[1]Value Traded'!A:A,'[1]Value Traded'!F:F)</f>
        <v>457097366.69999999</v>
      </c>
      <c r="Y193" s="12">
        <f>_xlfn.XLOOKUP(A193,'[1]Value Traded'!A:A,'[1]Value Traded'!G:G)</f>
        <v>1424393102.4000001</v>
      </c>
      <c r="Z193" s="12">
        <f>_xlfn.XLOOKUP(A193,'[1]Value Traded'!A:A,'[1]Value Traded'!H:H)</f>
        <v>265895665.40000001</v>
      </c>
    </row>
    <row r="194" spans="1:26" x14ac:dyDescent="0.25">
      <c r="A194" s="8">
        <v>2015659</v>
      </c>
      <c r="B194" s="8" t="s">
        <v>859</v>
      </c>
      <c r="C194" s="8" t="s">
        <v>859</v>
      </c>
      <c r="D194" s="8" t="s">
        <v>860</v>
      </c>
      <c r="E194" s="8" t="s">
        <v>861</v>
      </c>
      <c r="F194" s="8" t="s">
        <v>32</v>
      </c>
      <c r="G194" s="8" t="s">
        <v>47</v>
      </c>
      <c r="H194" s="8" t="s">
        <v>54</v>
      </c>
      <c r="I194" s="8" t="s">
        <v>862</v>
      </c>
      <c r="J194" s="8" t="s">
        <v>36</v>
      </c>
      <c r="K194" s="8" t="s">
        <v>37</v>
      </c>
      <c r="L194" s="8" t="s">
        <v>38</v>
      </c>
      <c r="M194" s="9">
        <v>492167089</v>
      </c>
      <c r="N194" s="10">
        <v>16202140569.879999</v>
      </c>
      <c r="O194" s="11">
        <f>_xlfn.XLOOKUP(A194,[1]MIC!A:A,[1]MIC!C:C)</f>
        <v>45344</v>
      </c>
      <c r="P194" s="11">
        <f>_xlfn.XLOOKUP(A194,[1]MIC!A:A,[1]MIC!D:D)</f>
        <v>45709</v>
      </c>
      <c r="Q194" s="5">
        <f>_xlfn.XLOOKUP(A194,'[1]Days Listed'!A:A,'[1]Days Listed'!B:B)</f>
        <v>256</v>
      </c>
      <c r="R194" s="5">
        <f>_xlfn.XLOOKUP(A194,'[1]Days Listed'!A:A,'[1]Days Listed'!C:C)</f>
        <v>129</v>
      </c>
      <c r="S194" s="5">
        <f>_xlfn.XLOOKUP(A194,'[1]Days With Trades'!A:A,'[1]Days With Trades'!B:B)</f>
        <v>250</v>
      </c>
      <c r="T194" s="5">
        <f>_xlfn.XLOOKUP(A194,'[1]Days With Trades'!A:A,'[1]Days With Trades'!C:C)</f>
        <v>127</v>
      </c>
      <c r="U194" s="12">
        <f>_xlfn.XLOOKUP(A194,'[1]Value Traded'!A:A,'[1]Value Traded'!B:B)</f>
        <v>8037400663.4399996</v>
      </c>
      <c r="V194" s="12">
        <f>_xlfn.XLOOKUP(A194,'[1]Value Traded'!A:A,'[1]Value Traded'!C:C)</f>
        <v>4898363518.9399996</v>
      </c>
      <c r="W194" s="12">
        <f>_xlfn.XLOOKUP(A194,'[1]Value Traded'!A:A,'[1]Value Traded'!E:E)</f>
        <v>10164707094.049999</v>
      </c>
      <c r="X194" s="12">
        <f>_xlfn.XLOOKUP(A194,'[1]Value Traded'!A:A,'[1]Value Traded'!F:F)</f>
        <v>2127306430.6099999</v>
      </c>
      <c r="Y194" s="12">
        <f>_xlfn.XLOOKUP(A194,'[1]Value Traded'!A:A,'[1]Value Traded'!G:G)</f>
        <v>6170345975.6000004</v>
      </c>
      <c r="Z194" s="12">
        <f>_xlfn.XLOOKUP(A194,'[1]Value Traded'!A:A,'[1]Value Traded'!H:H)</f>
        <v>1271982456.6600001</v>
      </c>
    </row>
    <row r="195" spans="1:26" x14ac:dyDescent="0.25">
      <c r="A195" s="13">
        <v>2015660</v>
      </c>
      <c r="B195" s="13" t="s">
        <v>863</v>
      </c>
      <c r="C195" s="13" t="s">
        <v>863</v>
      </c>
      <c r="D195" s="13" t="s">
        <v>864</v>
      </c>
      <c r="E195" s="13" t="s">
        <v>865</v>
      </c>
      <c r="F195" s="13" t="s">
        <v>32</v>
      </c>
      <c r="G195" s="13" t="s">
        <v>47</v>
      </c>
      <c r="H195" s="13" t="s">
        <v>54</v>
      </c>
      <c r="I195" s="13" t="s">
        <v>866</v>
      </c>
      <c r="J195" s="13" t="s">
        <v>36</v>
      </c>
      <c r="K195" s="13" t="s">
        <v>37</v>
      </c>
      <c r="L195" s="13" t="s">
        <v>867</v>
      </c>
      <c r="M195" s="14">
        <v>19991380</v>
      </c>
      <c r="N195" s="15">
        <v>229940852.75999999</v>
      </c>
      <c r="O195" s="11">
        <f>_xlfn.XLOOKUP(A195,[1]MIC!A:A,[1]MIC!C:C)</f>
        <v>45344</v>
      </c>
      <c r="P195" s="11">
        <f>_xlfn.XLOOKUP(A195,[1]MIC!A:A,[1]MIC!D:D)</f>
        <v>45709</v>
      </c>
      <c r="Q195" s="5">
        <f>_xlfn.XLOOKUP(A195,'[1]Days Listed'!A:A,'[1]Days Listed'!B:B)</f>
        <v>256</v>
      </c>
      <c r="R195" s="5">
        <f>_xlfn.XLOOKUP(A195,'[1]Days Listed'!A:A,'[1]Days Listed'!C:C)</f>
        <v>129</v>
      </c>
      <c r="S195" s="5">
        <f>_xlfn.XLOOKUP(A195,'[1]Days With Trades'!A:A,'[1]Days With Trades'!B:B)</f>
        <v>250</v>
      </c>
      <c r="T195" s="5">
        <f>_xlfn.XLOOKUP(A195,'[1]Days With Trades'!A:A,'[1]Days With Trades'!C:C)</f>
        <v>127</v>
      </c>
      <c r="U195" s="12">
        <f>_xlfn.XLOOKUP(A195,'[1]Value Traded'!A:A,'[1]Value Traded'!B:B)</f>
        <v>173516712.63</v>
      </c>
      <c r="V195" s="12">
        <f>_xlfn.XLOOKUP(A195,'[1]Value Traded'!A:A,'[1]Value Traded'!C:C)</f>
        <v>48793147.380000003</v>
      </c>
      <c r="W195" s="12">
        <f>_xlfn.XLOOKUP(A195,'[1]Value Traded'!A:A,'[1]Value Traded'!E:E)</f>
        <v>266348705.5</v>
      </c>
      <c r="X195" s="12">
        <f>_xlfn.XLOOKUP(A195,'[1]Value Traded'!A:A,'[1]Value Traded'!F:F)</f>
        <v>92831992.870000005</v>
      </c>
      <c r="Y195" s="12">
        <f>_xlfn.XLOOKUP(A195,'[1]Value Traded'!A:A,'[1]Value Traded'!G:G)</f>
        <v>75508214.599999994</v>
      </c>
      <c r="Z195" s="12">
        <f>_xlfn.XLOOKUP(A195,'[1]Value Traded'!A:A,'[1]Value Traded'!H:H)</f>
        <v>26715067.219999999</v>
      </c>
    </row>
    <row r="196" spans="1:26" x14ac:dyDescent="0.25">
      <c r="A196" s="8">
        <v>2015661</v>
      </c>
      <c r="B196" s="8" t="s">
        <v>868</v>
      </c>
      <c r="C196" s="8" t="s">
        <v>868</v>
      </c>
      <c r="D196" s="8" t="s">
        <v>869</v>
      </c>
      <c r="E196" s="8" t="s">
        <v>870</v>
      </c>
      <c r="F196" s="8" t="s">
        <v>32</v>
      </c>
      <c r="G196" s="8" t="s">
        <v>47</v>
      </c>
      <c r="H196" s="8" t="s">
        <v>48</v>
      </c>
      <c r="I196" s="8" t="s">
        <v>871</v>
      </c>
      <c r="J196" s="8" t="s">
        <v>36</v>
      </c>
      <c r="K196" s="8" t="s">
        <v>37</v>
      </c>
      <c r="L196" s="8" t="s">
        <v>626</v>
      </c>
      <c r="M196" s="9">
        <v>44344592</v>
      </c>
      <c r="N196" s="10">
        <v>1050966830.4</v>
      </c>
      <c r="O196" s="11">
        <f>_xlfn.XLOOKUP(A196,[1]MIC!A:A,[1]MIC!C:C)</f>
        <v>45344</v>
      </c>
      <c r="P196" s="11">
        <f>_xlfn.XLOOKUP(A196,[1]MIC!A:A,[1]MIC!D:D)</f>
        <v>45709</v>
      </c>
      <c r="Q196" s="5">
        <f>_xlfn.XLOOKUP(A196,'[1]Days Listed'!A:A,'[1]Days Listed'!B:B)</f>
        <v>256</v>
      </c>
      <c r="R196" s="5">
        <f>_xlfn.XLOOKUP(A196,'[1]Days Listed'!A:A,'[1]Days Listed'!C:C)</f>
        <v>129</v>
      </c>
      <c r="S196" s="5">
        <f>_xlfn.XLOOKUP(A196,'[1]Days With Trades'!A:A,'[1]Days With Trades'!B:B)</f>
        <v>249</v>
      </c>
      <c r="T196" s="5">
        <f>_xlfn.XLOOKUP(A196,'[1]Days With Trades'!A:A,'[1]Days With Trades'!C:C)</f>
        <v>126</v>
      </c>
      <c r="U196" s="12">
        <f>_xlfn.XLOOKUP(A196,'[1]Value Traded'!A:A,'[1]Value Traded'!B:B)</f>
        <v>64380519.100000001</v>
      </c>
      <c r="V196" s="12">
        <f>_xlfn.XLOOKUP(A196,'[1]Value Traded'!A:A,'[1]Value Traded'!C:C)</f>
        <v>43938200.600000001</v>
      </c>
      <c r="W196" s="12">
        <f>_xlfn.XLOOKUP(A196,'[1]Value Traded'!A:A,'[1]Value Traded'!E:E)</f>
        <v>95396914.400000006</v>
      </c>
      <c r="X196" s="12">
        <f>_xlfn.XLOOKUP(A196,'[1]Value Traded'!A:A,'[1]Value Traded'!F:F)</f>
        <v>31016395.300000001</v>
      </c>
      <c r="Y196" s="12">
        <f>_xlfn.XLOOKUP(A196,'[1]Value Traded'!A:A,'[1]Value Traded'!G:G)</f>
        <v>63476329.899999999</v>
      </c>
      <c r="Z196" s="12">
        <f>_xlfn.XLOOKUP(A196,'[1]Value Traded'!A:A,'[1]Value Traded'!H:H)</f>
        <v>19538129.300000001</v>
      </c>
    </row>
    <row r="197" spans="1:26" x14ac:dyDescent="0.25">
      <c r="A197" s="13">
        <v>2015662</v>
      </c>
      <c r="B197" s="13" t="s">
        <v>872</v>
      </c>
      <c r="C197" s="13" t="s">
        <v>872</v>
      </c>
      <c r="D197" s="13" t="s">
        <v>873</v>
      </c>
      <c r="E197" s="13" t="s">
        <v>874</v>
      </c>
      <c r="F197" s="13" t="s">
        <v>32</v>
      </c>
      <c r="G197" s="13" t="s">
        <v>47</v>
      </c>
      <c r="H197" s="13" t="s">
        <v>48</v>
      </c>
      <c r="I197" s="13" t="s">
        <v>875</v>
      </c>
      <c r="J197" s="13" t="s">
        <v>36</v>
      </c>
      <c r="K197" s="13" t="s">
        <v>37</v>
      </c>
      <c r="L197" s="13" t="s">
        <v>876</v>
      </c>
      <c r="M197" s="14">
        <v>27674911</v>
      </c>
      <c r="N197" s="15">
        <v>5258233090</v>
      </c>
      <c r="O197" s="11">
        <f>_xlfn.XLOOKUP(A197,[1]MIC!A:A,[1]MIC!C:C)</f>
        <v>45344</v>
      </c>
      <c r="P197" s="11">
        <f>_xlfn.XLOOKUP(A197,[1]MIC!A:A,[1]MIC!D:D)</f>
        <v>45709</v>
      </c>
      <c r="Q197" s="5">
        <f>_xlfn.XLOOKUP(A197,'[1]Days Listed'!A:A,'[1]Days Listed'!B:B)</f>
        <v>256</v>
      </c>
      <c r="R197" s="5">
        <f>_xlfn.XLOOKUP(A197,'[1]Days Listed'!A:A,'[1]Days Listed'!C:C)</f>
        <v>129</v>
      </c>
      <c r="S197" s="5">
        <f>_xlfn.XLOOKUP(A197,'[1]Days With Trades'!A:A,'[1]Days With Trades'!B:B)</f>
        <v>250</v>
      </c>
      <c r="T197" s="5">
        <f>_xlfn.XLOOKUP(A197,'[1]Days With Trades'!A:A,'[1]Days With Trades'!C:C)</f>
        <v>127</v>
      </c>
      <c r="U197" s="12">
        <f>_xlfn.XLOOKUP(A197,'[1]Value Traded'!A:A,'[1]Value Traded'!B:B)</f>
        <v>281401502.5</v>
      </c>
      <c r="V197" s="12">
        <f>_xlfn.XLOOKUP(A197,'[1]Value Traded'!A:A,'[1]Value Traded'!C:C)</f>
        <v>192420308.5</v>
      </c>
      <c r="W197" s="12">
        <f>_xlfn.XLOOKUP(A197,'[1]Value Traded'!A:A,'[1]Value Traded'!E:E)</f>
        <v>347166770.5</v>
      </c>
      <c r="X197" s="12">
        <f>_xlfn.XLOOKUP(A197,'[1]Value Traded'!A:A,'[1]Value Traded'!F:F)</f>
        <v>65765268</v>
      </c>
      <c r="Y197" s="12">
        <f>_xlfn.XLOOKUP(A197,'[1]Value Traded'!A:A,'[1]Value Traded'!G:G)</f>
        <v>227726895.5</v>
      </c>
      <c r="Z197" s="12">
        <f>_xlfn.XLOOKUP(A197,'[1]Value Traded'!A:A,'[1]Value Traded'!H:H)</f>
        <v>35306587</v>
      </c>
    </row>
    <row r="198" spans="1:26" x14ac:dyDescent="0.25">
      <c r="A198" s="8">
        <v>2015663</v>
      </c>
      <c r="B198" s="8" t="s">
        <v>877</v>
      </c>
      <c r="C198" s="8" t="s">
        <v>877</v>
      </c>
      <c r="D198" s="8" t="s">
        <v>878</v>
      </c>
      <c r="E198" s="8" t="s">
        <v>879</v>
      </c>
      <c r="F198" s="8" t="s">
        <v>32</v>
      </c>
      <c r="G198" s="8" t="s">
        <v>47</v>
      </c>
      <c r="H198" s="8" t="s">
        <v>54</v>
      </c>
      <c r="I198" s="8" t="s">
        <v>880</v>
      </c>
      <c r="J198" s="8" t="s">
        <v>36</v>
      </c>
      <c r="K198" s="8" t="s">
        <v>37</v>
      </c>
      <c r="L198" s="8" t="s">
        <v>881</v>
      </c>
      <c r="M198" s="9">
        <v>166968888</v>
      </c>
      <c r="N198" s="10">
        <v>13549525261.200001</v>
      </c>
      <c r="O198" s="11">
        <f>_xlfn.XLOOKUP(A198,[1]MIC!A:A,[1]MIC!C:C)</f>
        <v>45344</v>
      </c>
      <c r="P198" s="11">
        <f>_xlfn.XLOOKUP(A198,[1]MIC!A:A,[1]MIC!D:D)</f>
        <v>45709</v>
      </c>
      <c r="Q198" s="5">
        <f>_xlfn.XLOOKUP(A198,'[1]Days Listed'!A:A,'[1]Days Listed'!B:B)</f>
        <v>256</v>
      </c>
      <c r="R198" s="5">
        <f>_xlfn.XLOOKUP(A198,'[1]Days Listed'!A:A,'[1]Days Listed'!C:C)</f>
        <v>129</v>
      </c>
      <c r="S198" s="5">
        <f>_xlfn.XLOOKUP(A198,'[1]Days With Trades'!A:A,'[1]Days With Trades'!B:B)</f>
        <v>250</v>
      </c>
      <c r="T198" s="5">
        <f>_xlfn.XLOOKUP(A198,'[1]Days With Trades'!A:A,'[1]Days With Trades'!C:C)</f>
        <v>127</v>
      </c>
      <c r="U198" s="12">
        <f>_xlfn.XLOOKUP(A198,'[1]Value Traded'!A:A,'[1]Value Traded'!B:B)</f>
        <v>2500719173.5</v>
      </c>
      <c r="V198" s="12">
        <f>_xlfn.XLOOKUP(A198,'[1]Value Traded'!A:A,'[1]Value Traded'!C:C)</f>
        <v>1187321456.25</v>
      </c>
      <c r="W198" s="12">
        <f>_xlfn.XLOOKUP(A198,'[1]Value Traded'!A:A,'[1]Value Traded'!E:E)</f>
        <v>3183246290.0799999</v>
      </c>
      <c r="X198" s="12">
        <f>_xlfn.XLOOKUP(A198,'[1]Value Traded'!A:A,'[1]Value Traded'!F:F)</f>
        <v>682527116.58000004</v>
      </c>
      <c r="Y198" s="12">
        <f>_xlfn.XLOOKUP(A198,'[1]Value Traded'!A:A,'[1]Value Traded'!G:G)</f>
        <v>1482794436.28</v>
      </c>
      <c r="Z198" s="12">
        <f>_xlfn.XLOOKUP(A198,'[1]Value Traded'!A:A,'[1]Value Traded'!H:H)</f>
        <v>295472980.02999997</v>
      </c>
    </row>
    <row r="199" spans="1:26" x14ac:dyDescent="0.25">
      <c r="A199" s="13">
        <v>2015664</v>
      </c>
      <c r="B199" s="13" t="s">
        <v>882</v>
      </c>
      <c r="C199" s="13" t="s">
        <v>882</v>
      </c>
      <c r="D199" s="13" t="s">
        <v>883</v>
      </c>
      <c r="E199" s="13" t="s">
        <v>884</v>
      </c>
      <c r="F199" s="13" t="s">
        <v>32</v>
      </c>
      <c r="G199" s="13" t="s">
        <v>47</v>
      </c>
      <c r="H199" s="13" t="s">
        <v>48</v>
      </c>
      <c r="I199" s="13" t="s">
        <v>885</v>
      </c>
      <c r="J199" s="13" t="s">
        <v>36</v>
      </c>
      <c r="K199" s="13" t="s">
        <v>37</v>
      </c>
      <c r="L199" s="13" t="s">
        <v>886</v>
      </c>
      <c r="M199" s="14">
        <v>204694588</v>
      </c>
      <c r="N199" s="15">
        <v>6447879522</v>
      </c>
      <c r="O199" s="11">
        <f>_xlfn.XLOOKUP(A199,[1]MIC!A:A,[1]MIC!C:C)</f>
        <v>45344</v>
      </c>
      <c r="P199" s="11">
        <f>_xlfn.XLOOKUP(A199,[1]MIC!A:A,[1]MIC!D:D)</f>
        <v>45709</v>
      </c>
      <c r="Q199" s="5">
        <f>_xlfn.XLOOKUP(A199,'[1]Days Listed'!A:A,'[1]Days Listed'!B:B)</f>
        <v>256</v>
      </c>
      <c r="R199" s="5">
        <f>_xlfn.XLOOKUP(A199,'[1]Days Listed'!A:A,'[1]Days Listed'!C:C)</f>
        <v>129</v>
      </c>
      <c r="S199" s="5">
        <f>_xlfn.XLOOKUP(A199,'[1]Days With Trades'!A:A,'[1]Days With Trades'!B:B)</f>
        <v>250</v>
      </c>
      <c r="T199" s="5">
        <f>_xlfn.XLOOKUP(A199,'[1]Days With Trades'!A:A,'[1]Days With Trades'!C:C)</f>
        <v>127</v>
      </c>
      <c r="U199" s="12">
        <f>_xlfn.XLOOKUP(A199,'[1]Value Traded'!A:A,'[1]Value Traded'!B:B)</f>
        <v>1137067617.5599999</v>
      </c>
      <c r="V199" s="12">
        <f>_xlfn.XLOOKUP(A199,'[1]Value Traded'!A:A,'[1]Value Traded'!C:C)</f>
        <v>844549471.40999997</v>
      </c>
      <c r="W199" s="12">
        <f>_xlfn.XLOOKUP(A199,'[1]Value Traded'!A:A,'[1]Value Traded'!E:E)</f>
        <v>1490684050.8499999</v>
      </c>
      <c r="X199" s="12">
        <f>_xlfn.XLOOKUP(A199,'[1]Value Traded'!A:A,'[1]Value Traded'!F:F)</f>
        <v>353616433.29000002</v>
      </c>
      <c r="Y199" s="12">
        <f>_xlfn.XLOOKUP(A199,'[1]Value Traded'!A:A,'[1]Value Traded'!G:G)</f>
        <v>1065569925.79</v>
      </c>
      <c r="Z199" s="12">
        <f>_xlfn.XLOOKUP(A199,'[1]Value Traded'!A:A,'[1]Value Traded'!H:H)</f>
        <v>221020454.38</v>
      </c>
    </row>
    <row r="200" spans="1:26" x14ac:dyDescent="0.25">
      <c r="A200" s="8">
        <v>2015665</v>
      </c>
      <c r="B200" s="8" t="s">
        <v>887</v>
      </c>
      <c r="C200" s="8" t="s">
        <v>887</v>
      </c>
      <c r="D200" s="8" t="s">
        <v>888</v>
      </c>
      <c r="E200" s="8" t="s">
        <v>889</v>
      </c>
      <c r="F200" s="8" t="s">
        <v>32</v>
      </c>
      <c r="G200" s="8" t="s">
        <v>47</v>
      </c>
      <c r="H200" s="8" t="s">
        <v>48</v>
      </c>
      <c r="I200" s="8" t="s">
        <v>890</v>
      </c>
      <c r="J200" s="8" t="s">
        <v>36</v>
      </c>
      <c r="K200" s="8" t="s">
        <v>37</v>
      </c>
      <c r="L200" s="8" t="s">
        <v>38</v>
      </c>
      <c r="M200" s="9">
        <v>17868651</v>
      </c>
      <c r="N200" s="10">
        <v>134908315.05000001</v>
      </c>
      <c r="O200" s="11">
        <f>_xlfn.XLOOKUP(A200,[1]MIC!A:A,[1]MIC!C:C)</f>
        <v>45344</v>
      </c>
      <c r="P200" s="11">
        <f>_xlfn.XLOOKUP(A200,[1]MIC!A:A,[1]MIC!D:D)</f>
        <v>45709</v>
      </c>
      <c r="Q200" s="5">
        <f>_xlfn.XLOOKUP(A200,'[1]Days Listed'!A:A,'[1]Days Listed'!B:B)</f>
        <v>256</v>
      </c>
      <c r="R200" s="5">
        <f>_xlfn.XLOOKUP(A200,'[1]Days Listed'!A:A,'[1]Days Listed'!C:C)</f>
        <v>129</v>
      </c>
      <c r="S200" s="5">
        <f>_xlfn.XLOOKUP(A200,'[1]Days With Trades'!A:A,'[1]Days With Trades'!B:B)</f>
        <v>250</v>
      </c>
      <c r="T200" s="5">
        <f>_xlfn.XLOOKUP(A200,'[1]Days With Trades'!A:A,'[1]Days With Trades'!C:C)</f>
        <v>127</v>
      </c>
      <c r="U200" s="12">
        <f>_xlfn.XLOOKUP(A200,'[1]Value Traded'!A:A,'[1]Value Traded'!B:B)</f>
        <v>173585766.63999999</v>
      </c>
      <c r="V200" s="12">
        <f>_xlfn.XLOOKUP(A200,'[1]Value Traded'!A:A,'[1]Value Traded'!C:C)</f>
        <v>41325976.710000001</v>
      </c>
      <c r="W200" s="12">
        <f>_xlfn.XLOOKUP(A200,'[1]Value Traded'!A:A,'[1]Value Traded'!E:E)</f>
        <v>261984074.16</v>
      </c>
      <c r="X200" s="12">
        <f>_xlfn.XLOOKUP(A200,'[1]Value Traded'!A:A,'[1]Value Traded'!F:F)</f>
        <v>88398307.519999996</v>
      </c>
      <c r="Y200" s="12">
        <f>_xlfn.XLOOKUP(A200,'[1]Value Traded'!A:A,'[1]Value Traded'!G:G)</f>
        <v>61198510.310000002</v>
      </c>
      <c r="Z200" s="12">
        <f>_xlfn.XLOOKUP(A200,'[1]Value Traded'!A:A,'[1]Value Traded'!H:H)</f>
        <v>19872533.600000001</v>
      </c>
    </row>
    <row r="201" spans="1:26" x14ac:dyDescent="0.25">
      <c r="A201" s="13">
        <v>2015666</v>
      </c>
      <c r="B201" s="13" t="s">
        <v>891</v>
      </c>
      <c r="C201" s="13" t="s">
        <v>891</v>
      </c>
      <c r="D201" s="13" t="s">
        <v>892</v>
      </c>
      <c r="E201" s="13" t="s">
        <v>893</v>
      </c>
      <c r="F201" s="13" t="s">
        <v>32</v>
      </c>
      <c r="G201" s="13" t="s">
        <v>47</v>
      </c>
      <c r="H201" s="13" t="s">
        <v>48</v>
      </c>
      <c r="I201" s="13" t="s">
        <v>894</v>
      </c>
      <c r="J201" s="13" t="s">
        <v>36</v>
      </c>
      <c r="K201" s="13" t="s">
        <v>37</v>
      </c>
      <c r="L201" s="13" t="s">
        <v>895</v>
      </c>
      <c r="M201" s="14">
        <v>84838235</v>
      </c>
      <c r="N201" s="15">
        <v>2010666169.5</v>
      </c>
      <c r="O201" s="11">
        <f>_xlfn.XLOOKUP(A201,[1]MIC!A:A,[1]MIC!C:C)</f>
        <v>45344</v>
      </c>
      <c r="P201" s="11">
        <f>_xlfn.XLOOKUP(A201,[1]MIC!A:A,[1]MIC!D:D)</f>
        <v>45709</v>
      </c>
      <c r="Q201" s="5">
        <f>_xlfn.XLOOKUP(A201,'[1]Days Listed'!A:A,'[1]Days Listed'!B:B)</f>
        <v>256</v>
      </c>
      <c r="R201" s="5">
        <f>_xlfn.XLOOKUP(A201,'[1]Days Listed'!A:A,'[1]Days Listed'!C:C)</f>
        <v>129</v>
      </c>
      <c r="S201" s="5">
        <f>_xlfn.XLOOKUP(A201,'[1]Days With Trades'!A:A,'[1]Days With Trades'!B:B)</f>
        <v>250</v>
      </c>
      <c r="T201" s="5">
        <f>_xlfn.XLOOKUP(A201,'[1]Days With Trades'!A:A,'[1]Days With Trades'!C:C)</f>
        <v>127</v>
      </c>
      <c r="U201" s="12">
        <f>_xlfn.XLOOKUP(A201,'[1]Value Traded'!A:A,'[1]Value Traded'!B:B)</f>
        <v>1683275060.5699999</v>
      </c>
      <c r="V201" s="12">
        <f>_xlfn.XLOOKUP(A201,'[1]Value Traded'!A:A,'[1]Value Traded'!C:C)</f>
        <v>899595105.72000003</v>
      </c>
      <c r="W201" s="12">
        <f>_xlfn.XLOOKUP(A201,'[1]Value Traded'!A:A,'[1]Value Traded'!E:E)</f>
        <v>2167434160.04</v>
      </c>
      <c r="X201" s="12">
        <f>_xlfn.XLOOKUP(A201,'[1]Value Traded'!A:A,'[1]Value Traded'!F:F)</f>
        <v>484159099.47000003</v>
      </c>
      <c r="Y201" s="12">
        <f>_xlfn.XLOOKUP(A201,'[1]Value Traded'!A:A,'[1]Value Traded'!G:G)</f>
        <v>1143684246.6199999</v>
      </c>
      <c r="Z201" s="12">
        <f>_xlfn.XLOOKUP(A201,'[1]Value Traded'!A:A,'[1]Value Traded'!H:H)</f>
        <v>244089140.90000001</v>
      </c>
    </row>
    <row r="202" spans="1:26" x14ac:dyDescent="0.25">
      <c r="A202" s="8">
        <v>2015668</v>
      </c>
      <c r="B202" s="8" t="s">
        <v>896</v>
      </c>
      <c r="C202" s="8" t="s">
        <v>896</v>
      </c>
      <c r="D202" s="8" t="s">
        <v>897</v>
      </c>
      <c r="E202" s="8" t="s">
        <v>898</v>
      </c>
      <c r="F202" s="8" t="s">
        <v>32</v>
      </c>
      <c r="G202" s="8" t="s">
        <v>47</v>
      </c>
      <c r="H202" s="8" t="s">
        <v>48</v>
      </c>
      <c r="I202" s="8" t="s">
        <v>899</v>
      </c>
      <c r="J202" s="8" t="s">
        <v>36</v>
      </c>
      <c r="K202" s="8" t="s">
        <v>37</v>
      </c>
      <c r="L202" s="8" t="s">
        <v>217</v>
      </c>
      <c r="M202" s="9">
        <v>302145464</v>
      </c>
      <c r="N202" s="10">
        <v>1403465680.28</v>
      </c>
      <c r="O202" s="11">
        <f>_xlfn.XLOOKUP(A202,[1]MIC!A:A,[1]MIC!C:C)</f>
        <v>45344</v>
      </c>
      <c r="P202" s="11">
        <f>_xlfn.XLOOKUP(A202,[1]MIC!A:A,[1]MIC!D:D)</f>
        <v>45709</v>
      </c>
      <c r="Q202" s="5">
        <f>_xlfn.XLOOKUP(A202,'[1]Days Listed'!A:A,'[1]Days Listed'!B:B)</f>
        <v>256</v>
      </c>
      <c r="R202" s="5">
        <f>_xlfn.XLOOKUP(A202,'[1]Days Listed'!A:A,'[1]Days Listed'!C:C)</f>
        <v>129</v>
      </c>
      <c r="S202" s="5">
        <f>_xlfn.XLOOKUP(A202,'[1]Days With Trades'!A:A,'[1]Days With Trades'!B:B)</f>
        <v>250</v>
      </c>
      <c r="T202" s="5">
        <f>_xlfn.XLOOKUP(A202,'[1]Days With Trades'!A:A,'[1]Days With Trades'!C:C)</f>
        <v>127</v>
      </c>
      <c r="U202" s="12">
        <f>_xlfn.XLOOKUP(A202,'[1]Value Traded'!A:A,'[1]Value Traded'!B:B)</f>
        <v>192642747.41</v>
      </c>
      <c r="V202" s="12">
        <f>_xlfn.XLOOKUP(A202,'[1]Value Traded'!A:A,'[1]Value Traded'!C:C)</f>
        <v>88340281.969999999</v>
      </c>
      <c r="W202" s="12">
        <f>_xlfn.XLOOKUP(A202,'[1]Value Traded'!A:A,'[1]Value Traded'!E:E)</f>
        <v>251589441.13</v>
      </c>
      <c r="X202" s="12">
        <f>_xlfn.XLOOKUP(A202,'[1]Value Traded'!A:A,'[1]Value Traded'!F:F)</f>
        <v>58946693.719999999</v>
      </c>
      <c r="Y202" s="12">
        <f>_xlfn.XLOOKUP(A202,'[1]Value Traded'!A:A,'[1]Value Traded'!G:G)</f>
        <v>115287853.72</v>
      </c>
      <c r="Z202" s="12">
        <f>_xlfn.XLOOKUP(A202,'[1]Value Traded'!A:A,'[1]Value Traded'!H:H)</f>
        <v>26947571.75</v>
      </c>
    </row>
    <row r="203" spans="1:26" x14ac:dyDescent="0.25">
      <c r="A203" s="13">
        <v>2015669</v>
      </c>
      <c r="B203" s="13" t="s">
        <v>900</v>
      </c>
      <c r="C203" s="13" t="s">
        <v>900</v>
      </c>
      <c r="D203" s="13" t="s">
        <v>901</v>
      </c>
      <c r="E203" s="13" t="s">
        <v>902</v>
      </c>
      <c r="F203" s="13" t="s">
        <v>32</v>
      </c>
      <c r="G203" s="13" t="s">
        <v>47</v>
      </c>
      <c r="H203" s="13" t="s">
        <v>54</v>
      </c>
      <c r="I203" s="13" t="s">
        <v>903</v>
      </c>
      <c r="J203" s="13" t="s">
        <v>36</v>
      </c>
      <c r="K203" s="13" t="s">
        <v>37</v>
      </c>
      <c r="L203" s="13" t="s">
        <v>147</v>
      </c>
      <c r="M203" s="14">
        <v>104429671</v>
      </c>
      <c r="N203" s="15">
        <v>4532247721.3999996</v>
      </c>
      <c r="O203" s="11">
        <f>_xlfn.XLOOKUP(A203,[1]MIC!A:A,[1]MIC!C:C)</f>
        <v>45344</v>
      </c>
      <c r="P203" s="11">
        <f>_xlfn.XLOOKUP(A203,[1]MIC!A:A,[1]MIC!D:D)</f>
        <v>45709</v>
      </c>
      <c r="Q203" s="5">
        <f>_xlfn.XLOOKUP(A203,'[1]Days Listed'!A:A,'[1]Days Listed'!B:B)</f>
        <v>256</v>
      </c>
      <c r="R203" s="5">
        <f>_xlfn.XLOOKUP(A203,'[1]Days Listed'!A:A,'[1]Days Listed'!C:C)</f>
        <v>129</v>
      </c>
      <c r="S203" s="5">
        <f>_xlfn.XLOOKUP(A203,'[1]Days With Trades'!A:A,'[1]Days With Trades'!B:B)</f>
        <v>250</v>
      </c>
      <c r="T203" s="5">
        <f>_xlfn.XLOOKUP(A203,'[1]Days With Trades'!A:A,'[1]Days With Trades'!C:C)</f>
        <v>127</v>
      </c>
      <c r="U203" s="12">
        <f>_xlfn.XLOOKUP(A203,'[1]Value Traded'!A:A,'[1]Value Traded'!B:B)</f>
        <v>1258753680.97</v>
      </c>
      <c r="V203" s="12">
        <f>_xlfn.XLOOKUP(A203,'[1]Value Traded'!A:A,'[1]Value Traded'!C:C)</f>
        <v>709399833.87</v>
      </c>
      <c r="W203" s="12">
        <f>_xlfn.XLOOKUP(A203,'[1]Value Traded'!A:A,'[1]Value Traded'!E:E)</f>
        <v>1526333645.6199999</v>
      </c>
      <c r="X203" s="12">
        <f>_xlfn.XLOOKUP(A203,'[1]Value Traded'!A:A,'[1]Value Traded'!F:F)</f>
        <v>267579964.65000001</v>
      </c>
      <c r="Y203" s="12">
        <f>_xlfn.XLOOKUP(A203,'[1]Value Traded'!A:A,'[1]Value Traded'!G:G)</f>
        <v>836590641.82000005</v>
      </c>
      <c r="Z203" s="12">
        <f>_xlfn.XLOOKUP(A203,'[1]Value Traded'!A:A,'[1]Value Traded'!H:H)</f>
        <v>127190807.95</v>
      </c>
    </row>
    <row r="204" spans="1:26" x14ac:dyDescent="0.25">
      <c r="A204" s="8">
        <v>2015670</v>
      </c>
      <c r="B204" s="8" t="s">
        <v>904</v>
      </c>
      <c r="C204" s="8" t="s">
        <v>904</v>
      </c>
      <c r="D204" s="8" t="s">
        <v>905</v>
      </c>
      <c r="E204" s="8" t="s">
        <v>906</v>
      </c>
      <c r="F204" s="8" t="s">
        <v>32</v>
      </c>
      <c r="G204" s="8" t="s">
        <v>47</v>
      </c>
      <c r="H204" s="8" t="s">
        <v>54</v>
      </c>
      <c r="I204" s="8" t="s">
        <v>907</v>
      </c>
      <c r="J204" s="8" t="s">
        <v>36</v>
      </c>
      <c r="K204" s="8" t="s">
        <v>37</v>
      </c>
      <c r="L204" s="8" t="s">
        <v>908</v>
      </c>
      <c r="M204" s="9">
        <v>639441378</v>
      </c>
      <c r="N204" s="10">
        <v>15116394175.92</v>
      </c>
      <c r="O204" s="11">
        <f>_xlfn.XLOOKUP(A204,[1]MIC!A:A,[1]MIC!C:C)</f>
        <v>45344</v>
      </c>
      <c r="P204" s="11">
        <f>_xlfn.XLOOKUP(A204,[1]MIC!A:A,[1]MIC!D:D)</f>
        <v>45709</v>
      </c>
      <c r="Q204" s="5">
        <f>_xlfn.XLOOKUP(A204,'[1]Days Listed'!A:A,'[1]Days Listed'!B:B)</f>
        <v>256</v>
      </c>
      <c r="R204" s="5">
        <f>_xlfn.XLOOKUP(A204,'[1]Days Listed'!A:A,'[1]Days Listed'!C:C)</f>
        <v>129</v>
      </c>
      <c r="S204" s="5">
        <f>_xlfn.XLOOKUP(A204,'[1]Days With Trades'!A:A,'[1]Days With Trades'!B:B)</f>
        <v>250</v>
      </c>
      <c r="T204" s="5">
        <f>_xlfn.XLOOKUP(A204,'[1]Days With Trades'!A:A,'[1]Days With Trades'!C:C)</f>
        <v>127</v>
      </c>
      <c r="U204" s="12">
        <f>_xlfn.XLOOKUP(A204,'[1]Value Traded'!A:A,'[1]Value Traded'!B:B)</f>
        <v>4310736591.75</v>
      </c>
      <c r="V204" s="12">
        <f>_xlfn.XLOOKUP(A204,'[1]Value Traded'!A:A,'[1]Value Traded'!C:C)</f>
        <v>2305302669.6700001</v>
      </c>
      <c r="W204" s="12">
        <f>_xlfn.XLOOKUP(A204,'[1]Value Traded'!A:A,'[1]Value Traded'!E:E)</f>
        <v>5358722788.8800001</v>
      </c>
      <c r="X204" s="12">
        <f>_xlfn.XLOOKUP(A204,'[1]Value Traded'!A:A,'[1]Value Traded'!F:F)</f>
        <v>1047986197.13</v>
      </c>
      <c r="Y204" s="12">
        <f>_xlfn.XLOOKUP(A204,'[1]Value Traded'!A:A,'[1]Value Traded'!G:G)</f>
        <v>2898394654.9400001</v>
      </c>
      <c r="Z204" s="12">
        <f>_xlfn.XLOOKUP(A204,'[1]Value Traded'!A:A,'[1]Value Traded'!H:H)</f>
        <v>593091985.26999998</v>
      </c>
    </row>
    <row r="205" spans="1:26" x14ac:dyDescent="0.25">
      <c r="A205" s="13">
        <v>2015671</v>
      </c>
      <c r="B205" s="13" t="s">
        <v>909</v>
      </c>
      <c r="C205" s="13" t="s">
        <v>909</v>
      </c>
      <c r="D205" s="13" t="s">
        <v>910</v>
      </c>
      <c r="E205" s="13" t="s">
        <v>911</v>
      </c>
      <c r="F205" s="13" t="s">
        <v>32</v>
      </c>
      <c r="G205" s="13" t="s">
        <v>47</v>
      </c>
      <c r="H205" s="13" t="s">
        <v>48</v>
      </c>
      <c r="I205" s="13" t="s">
        <v>912</v>
      </c>
      <c r="J205" s="13" t="s">
        <v>36</v>
      </c>
      <c r="K205" s="13" t="s">
        <v>37</v>
      </c>
      <c r="L205" s="13" t="s">
        <v>297</v>
      </c>
      <c r="M205" s="14">
        <v>89574924</v>
      </c>
      <c r="N205" s="15">
        <v>10525053570</v>
      </c>
      <c r="O205" s="11">
        <f>_xlfn.XLOOKUP(A205,[1]MIC!A:A,[1]MIC!C:C)</f>
        <v>45344</v>
      </c>
      <c r="P205" s="11">
        <f>_xlfn.XLOOKUP(A205,[1]MIC!A:A,[1]MIC!D:D)</f>
        <v>45709</v>
      </c>
      <c r="Q205" s="5">
        <f>_xlfn.XLOOKUP(A205,'[1]Days Listed'!A:A,'[1]Days Listed'!B:B)</f>
        <v>256</v>
      </c>
      <c r="R205" s="5">
        <f>_xlfn.XLOOKUP(A205,'[1]Days Listed'!A:A,'[1]Days Listed'!C:C)</f>
        <v>129</v>
      </c>
      <c r="S205" s="5">
        <f>_xlfn.XLOOKUP(A205,'[1]Days With Trades'!A:A,'[1]Days With Trades'!B:B)</f>
        <v>250</v>
      </c>
      <c r="T205" s="5">
        <f>_xlfn.XLOOKUP(A205,'[1]Days With Trades'!A:A,'[1]Days With Trades'!C:C)</f>
        <v>127</v>
      </c>
      <c r="U205" s="12">
        <f>_xlfn.XLOOKUP(A205,'[1]Value Traded'!A:A,'[1]Value Traded'!B:B)</f>
        <v>6205724738.5</v>
      </c>
      <c r="V205" s="12">
        <f>_xlfn.XLOOKUP(A205,'[1]Value Traded'!A:A,'[1]Value Traded'!C:C)</f>
        <v>3298374955</v>
      </c>
      <c r="W205" s="12">
        <f>_xlfn.XLOOKUP(A205,'[1]Value Traded'!A:A,'[1]Value Traded'!E:E)</f>
        <v>8020398384.8500004</v>
      </c>
      <c r="X205" s="12">
        <f>_xlfn.XLOOKUP(A205,'[1]Value Traded'!A:A,'[1]Value Traded'!F:F)</f>
        <v>1814673646.3499999</v>
      </c>
      <c r="Y205" s="12">
        <f>_xlfn.XLOOKUP(A205,'[1]Value Traded'!A:A,'[1]Value Traded'!G:G)</f>
        <v>4291741383.3000002</v>
      </c>
      <c r="Z205" s="12">
        <f>_xlfn.XLOOKUP(A205,'[1]Value Traded'!A:A,'[1]Value Traded'!H:H)</f>
        <v>993366428.29999995</v>
      </c>
    </row>
    <row r="206" spans="1:26" x14ac:dyDescent="0.25">
      <c r="A206" s="8">
        <v>2015676</v>
      </c>
      <c r="B206" s="8" t="s">
        <v>913</v>
      </c>
      <c r="C206" s="8" t="s">
        <v>913</v>
      </c>
      <c r="D206" s="8" t="s">
        <v>914</v>
      </c>
      <c r="E206" s="8" t="s">
        <v>915</v>
      </c>
      <c r="F206" s="8" t="s">
        <v>32</v>
      </c>
      <c r="G206" s="8" t="s">
        <v>47</v>
      </c>
      <c r="H206" s="8" t="s">
        <v>48</v>
      </c>
      <c r="I206" s="8" t="s">
        <v>916</v>
      </c>
      <c r="J206" s="8" t="s">
        <v>36</v>
      </c>
      <c r="K206" s="8" t="s">
        <v>37</v>
      </c>
      <c r="L206" s="8" t="s">
        <v>217</v>
      </c>
      <c r="M206" s="9">
        <v>204722663</v>
      </c>
      <c r="N206" s="10">
        <v>6428291618.1999998</v>
      </c>
      <c r="O206" s="11">
        <f>_xlfn.XLOOKUP(A206,[1]MIC!A:A,[1]MIC!C:C)</f>
        <v>45344</v>
      </c>
      <c r="P206" s="11">
        <f>_xlfn.XLOOKUP(A206,[1]MIC!A:A,[1]MIC!D:D)</f>
        <v>45709</v>
      </c>
      <c r="Q206" s="5">
        <f>_xlfn.XLOOKUP(A206,'[1]Days Listed'!A:A,'[1]Days Listed'!B:B)</f>
        <v>256</v>
      </c>
      <c r="R206" s="5">
        <f>_xlfn.XLOOKUP(A206,'[1]Days Listed'!A:A,'[1]Days Listed'!C:C)</f>
        <v>129</v>
      </c>
      <c r="S206" s="5">
        <f>_xlfn.XLOOKUP(A206,'[1]Days With Trades'!A:A,'[1]Days With Trades'!B:B)</f>
        <v>248</v>
      </c>
      <c r="T206" s="5">
        <f>_xlfn.XLOOKUP(A206,'[1]Days With Trades'!A:A,'[1]Days With Trades'!C:C)</f>
        <v>126</v>
      </c>
      <c r="U206" s="12">
        <f>_xlfn.XLOOKUP(A206,'[1]Value Traded'!A:A,'[1]Value Traded'!B:B)</f>
        <v>35201493.950000003</v>
      </c>
      <c r="V206" s="12">
        <f>_xlfn.XLOOKUP(A206,'[1]Value Traded'!A:A,'[1]Value Traded'!C:C)</f>
        <v>15705001.800000001</v>
      </c>
      <c r="W206" s="12">
        <f>_xlfn.XLOOKUP(A206,'[1]Value Traded'!A:A,'[1]Value Traded'!E:E)</f>
        <v>50853219.350000001</v>
      </c>
      <c r="X206" s="12">
        <f>_xlfn.XLOOKUP(A206,'[1]Value Traded'!A:A,'[1]Value Traded'!F:F)</f>
        <v>15651725.4</v>
      </c>
      <c r="Y206" s="12">
        <f>_xlfn.XLOOKUP(A206,'[1]Value Traded'!A:A,'[1]Value Traded'!G:G)</f>
        <v>26268115.199999999</v>
      </c>
      <c r="Z206" s="12">
        <f>_xlfn.XLOOKUP(A206,'[1]Value Traded'!A:A,'[1]Value Traded'!H:H)</f>
        <v>10563113.4</v>
      </c>
    </row>
    <row r="207" spans="1:26" x14ac:dyDescent="0.25">
      <c r="A207" s="13">
        <v>2015677</v>
      </c>
      <c r="B207" s="13" t="s">
        <v>917</v>
      </c>
      <c r="C207" s="13" t="s">
        <v>917</v>
      </c>
      <c r="D207" s="13" t="s">
        <v>918</v>
      </c>
      <c r="E207" s="13" t="s">
        <v>919</v>
      </c>
      <c r="F207" s="13" t="s">
        <v>32</v>
      </c>
      <c r="G207" s="13" t="s">
        <v>47</v>
      </c>
      <c r="H207" s="13" t="s">
        <v>48</v>
      </c>
      <c r="I207" s="13" t="s">
        <v>920</v>
      </c>
      <c r="J207" s="13" t="s">
        <v>36</v>
      </c>
      <c r="K207" s="13" t="s">
        <v>37</v>
      </c>
      <c r="L207" s="13" t="s">
        <v>921</v>
      </c>
      <c r="M207" s="14">
        <v>40645162</v>
      </c>
      <c r="N207" s="15">
        <v>5885419457.6000004</v>
      </c>
      <c r="O207" s="11">
        <f>_xlfn.XLOOKUP(A207,[1]MIC!A:A,[1]MIC!C:C)</f>
        <v>45344</v>
      </c>
      <c r="P207" s="11">
        <f>_xlfn.XLOOKUP(A207,[1]MIC!A:A,[1]MIC!D:D)</f>
        <v>45709</v>
      </c>
      <c r="Q207" s="5">
        <f>_xlfn.XLOOKUP(A207,'[1]Days Listed'!A:A,'[1]Days Listed'!B:B)</f>
        <v>256</v>
      </c>
      <c r="R207" s="5">
        <f>_xlfn.XLOOKUP(A207,'[1]Days Listed'!A:A,'[1]Days Listed'!C:C)</f>
        <v>129</v>
      </c>
      <c r="S207" s="5">
        <f>_xlfn.XLOOKUP(A207,'[1]Days With Trades'!A:A,'[1]Days With Trades'!B:B)</f>
        <v>250</v>
      </c>
      <c r="T207" s="5">
        <f>_xlfn.XLOOKUP(A207,'[1]Days With Trades'!A:A,'[1]Days With Trades'!C:C)</f>
        <v>127</v>
      </c>
      <c r="U207" s="12">
        <f>_xlfn.XLOOKUP(A207,'[1]Value Traded'!A:A,'[1]Value Traded'!B:B)</f>
        <v>1109904750.4000001</v>
      </c>
      <c r="V207" s="12">
        <f>_xlfn.XLOOKUP(A207,'[1]Value Traded'!A:A,'[1]Value Traded'!C:C)</f>
        <v>745501396.5</v>
      </c>
      <c r="W207" s="12">
        <f>_xlfn.XLOOKUP(A207,'[1]Value Traded'!A:A,'[1]Value Traded'!E:E)</f>
        <v>1406534016.4000001</v>
      </c>
      <c r="X207" s="12">
        <f>_xlfn.XLOOKUP(A207,'[1]Value Traded'!A:A,'[1]Value Traded'!F:F)</f>
        <v>296629266</v>
      </c>
      <c r="Y207" s="12">
        <f>_xlfn.XLOOKUP(A207,'[1]Value Traded'!A:A,'[1]Value Traded'!G:G)</f>
        <v>941992799.29999995</v>
      </c>
      <c r="Z207" s="12">
        <f>_xlfn.XLOOKUP(A207,'[1]Value Traded'!A:A,'[1]Value Traded'!H:H)</f>
        <v>196491402.80000001</v>
      </c>
    </row>
    <row r="208" spans="1:26" x14ac:dyDescent="0.25">
      <c r="A208" s="8">
        <v>2015679</v>
      </c>
      <c r="B208" s="8" t="s">
        <v>922</v>
      </c>
      <c r="C208" s="8" t="s">
        <v>922</v>
      </c>
      <c r="D208" s="8" t="s">
        <v>923</v>
      </c>
      <c r="E208" s="8" t="s">
        <v>924</v>
      </c>
      <c r="F208" s="8" t="s">
        <v>32</v>
      </c>
      <c r="G208" s="8" t="s">
        <v>47</v>
      </c>
      <c r="H208" s="8" t="s">
        <v>48</v>
      </c>
      <c r="I208" s="8" t="s">
        <v>925</v>
      </c>
      <c r="J208" s="8" t="s">
        <v>36</v>
      </c>
      <c r="K208" s="8" t="s">
        <v>37</v>
      </c>
      <c r="L208" s="8" t="s">
        <v>378</v>
      </c>
      <c r="M208" s="9">
        <v>133386513</v>
      </c>
      <c r="N208" s="10">
        <v>40629531859.800003</v>
      </c>
      <c r="O208" s="11">
        <f>_xlfn.XLOOKUP(A208,[1]MIC!A:A,[1]MIC!C:C)</f>
        <v>45344</v>
      </c>
      <c r="P208" s="11">
        <f>_xlfn.XLOOKUP(A208,[1]MIC!A:A,[1]MIC!D:D)</f>
        <v>45709</v>
      </c>
      <c r="Q208" s="5">
        <f>_xlfn.XLOOKUP(A208,'[1]Days Listed'!A:A,'[1]Days Listed'!B:B)</f>
        <v>256</v>
      </c>
      <c r="R208" s="5">
        <f>_xlfn.XLOOKUP(A208,'[1]Days Listed'!A:A,'[1]Days Listed'!C:C)</f>
        <v>129</v>
      </c>
      <c r="S208" s="5">
        <f>_xlfn.XLOOKUP(A208,'[1]Days With Trades'!A:A,'[1]Days With Trades'!B:B)</f>
        <v>250</v>
      </c>
      <c r="T208" s="5">
        <f>_xlfn.XLOOKUP(A208,'[1]Days With Trades'!A:A,'[1]Days With Trades'!C:C)</f>
        <v>127</v>
      </c>
      <c r="U208" s="12">
        <f>_xlfn.XLOOKUP(A208,'[1]Value Traded'!A:A,'[1]Value Traded'!B:B)</f>
        <v>7986572851.6000004</v>
      </c>
      <c r="V208" s="12">
        <f>_xlfn.XLOOKUP(A208,'[1]Value Traded'!A:A,'[1]Value Traded'!C:C)</f>
        <v>4936784056.3999996</v>
      </c>
      <c r="W208" s="12">
        <f>_xlfn.XLOOKUP(A208,'[1]Value Traded'!A:A,'[1]Value Traded'!E:E)</f>
        <v>9331021814</v>
      </c>
      <c r="X208" s="12">
        <f>_xlfn.XLOOKUP(A208,'[1]Value Traded'!A:A,'[1]Value Traded'!F:F)</f>
        <v>1344448962.4000001</v>
      </c>
      <c r="Y208" s="12">
        <f>_xlfn.XLOOKUP(A208,'[1]Value Traded'!A:A,'[1]Value Traded'!G:G)</f>
        <v>5645199135.8000002</v>
      </c>
      <c r="Z208" s="12">
        <f>_xlfn.XLOOKUP(A208,'[1]Value Traded'!A:A,'[1]Value Traded'!H:H)</f>
        <v>708415079.39999998</v>
      </c>
    </row>
    <row r="209" spans="1:26" x14ac:dyDescent="0.25">
      <c r="A209" s="13">
        <v>2015680</v>
      </c>
      <c r="B209" s="13" t="s">
        <v>926</v>
      </c>
      <c r="C209" s="13" t="s">
        <v>926</v>
      </c>
      <c r="D209" s="13" t="s">
        <v>927</v>
      </c>
      <c r="E209" s="13" t="s">
        <v>928</v>
      </c>
      <c r="F209" s="13" t="s">
        <v>32</v>
      </c>
      <c r="G209" s="13" t="s">
        <v>47</v>
      </c>
      <c r="H209" s="13" t="s">
        <v>48</v>
      </c>
      <c r="I209" s="13" t="s">
        <v>929</v>
      </c>
      <c r="J209" s="13" t="s">
        <v>36</v>
      </c>
      <c r="K209" s="13" t="s">
        <v>37</v>
      </c>
      <c r="L209" s="13" t="s">
        <v>930</v>
      </c>
      <c r="M209" s="14">
        <v>134707974</v>
      </c>
      <c r="N209" s="15">
        <v>2983781624.0999999</v>
      </c>
      <c r="O209" s="11">
        <f>_xlfn.XLOOKUP(A209,[1]MIC!A:A,[1]MIC!C:C)</f>
        <v>45344</v>
      </c>
      <c r="P209" s="11">
        <f>_xlfn.XLOOKUP(A209,[1]MIC!A:A,[1]MIC!D:D)</f>
        <v>45709</v>
      </c>
      <c r="Q209" s="5">
        <f>_xlfn.XLOOKUP(A209,'[1]Days Listed'!A:A,'[1]Days Listed'!B:B)</f>
        <v>256</v>
      </c>
      <c r="R209" s="5">
        <f>_xlfn.XLOOKUP(A209,'[1]Days Listed'!A:A,'[1]Days Listed'!C:C)</f>
        <v>129</v>
      </c>
      <c r="S209" s="5">
        <f>_xlfn.XLOOKUP(A209,'[1]Days With Trades'!A:A,'[1]Days With Trades'!B:B)</f>
        <v>250</v>
      </c>
      <c r="T209" s="5">
        <f>_xlfn.XLOOKUP(A209,'[1]Days With Trades'!A:A,'[1]Days With Trades'!C:C)</f>
        <v>127</v>
      </c>
      <c r="U209" s="12">
        <f>_xlfn.XLOOKUP(A209,'[1]Value Traded'!A:A,'[1]Value Traded'!B:B)</f>
        <v>135017175.69999999</v>
      </c>
      <c r="V209" s="12">
        <f>_xlfn.XLOOKUP(A209,'[1]Value Traded'!A:A,'[1]Value Traded'!C:C)</f>
        <v>44722244</v>
      </c>
      <c r="W209" s="12">
        <f>_xlfn.XLOOKUP(A209,'[1]Value Traded'!A:A,'[1]Value Traded'!E:E)</f>
        <v>174710318.34999999</v>
      </c>
      <c r="X209" s="12">
        <f>_xlfn.XLOOKUP(A209,'[1]Value Traded'!A:A,'[1]Value Traded'!F:F)</f>
        <v>39693142.649999999</v>
      </c>
      <c r="Y209" s="12">
        <f>_xlfn.XLOOKUP(A209,'[1]Value Traded'!A:A,'[1]Value Traded'!G:G)</f>
        <v>60076292.600000001</v>
      </c>
      <c r="Z209" s="12">
        <f>_xlfn.XLOOKUP(A209,'[1]Value Traded'!A:A,'[1]Value Traded'!H:H)</f>
        <v>15354048.6</v>
      </c>
    </row>
    <row r="210" spans="1:26" x14ac:dyDescent="0.25">
      <c r="A210" s="8">
        <v>2015682</v>
      </c>
      <c r="B210" s="8" t="s">
        <v>931</v>
      </c>
      <c r="C210" s="8" t="s">
        <v>931</v>
      </c>
      <c r="D210" s="8" t="s">
        <v>932</v>
      </c>
      <c r="E210" s="8" t="s">
        <v>933</v>
      </c>
      <c r="F210" s="8" t="s">
        <v>32</v>
      </c>
      <c r="G210" s="8" t="s">
        <v>47</v>
      </c>
      <c r="H210" s="8" t="s">
        <v>48</v>
      </c>
      <c r="I210" s="8" t="s">
        <v>934</v>
      </c>
      <c r="J210" s="8" t="s">
        <v>36</v>
      </c>
      <c r="K210" s="8" t="s">
        <v>37</v>
      </c>
      <c r="L210" s="8" t="s">
        <v>147</v>
      </c>
      <c r="M210" s="9">
        <v>77367500</v>
      </c>
      <c r="N210" s="10">
        <v>487415250</v>
      </c>
      <c r="O210" s="11">
        <f>_xlfn.XLOOKUP(A210,[1]MIC!A:A,[1]MIC!C:C)</f>
        <v>45344</v>
      </c>
      <c r="P210" s="11">
        <f>_xlfn.XLOOKUP(A210,[1]MIC!A:A,[1]MIC!D:D)</f>
        <v>45709</v>
      </c>
      <c r="Q210" s="5">
        <f>_xlfn.XLOOKUP(A210,'[1]Days Listed'!A:A,'[1]Days Listed'!B:B)</f>
        <v>256</v>
      </c>
      <c r="R210" s="5">
        <f>_xlfn.XLOOKUP(A210,'[1]Days Listed'!A:A,'[1]Days Listed'!C:C)</f>
        <v>129</v>
      </c>
      <c r="S210" s="5">
        <f>_xlfn.XLOOKUP(A210,'[1]Days With Trades'!A:A,'[1]Days With Trades'!B:B)</f>
        <v>250</v>
      </c>
      <c r="T210" s="5">
        <f>_xlfn.XLOOKUP(A210,'[1]Days With Trades'!A:A,'[1]Days With Trades'!C:C)</f>
        <v>127</v>
      </c>
      <c r="U210" s="12">
        <f>_xlfn.XLOOKUP(A210,'[1]Value Traded'!A:A,'[1]Value Traded'!B:B)</f>
        <v>55173337.350000001</v>
      </c>
      <c r="V210" s="12">
        <f>_xlfn.XLOOKUP(A210,'[1]Value Traded'!A:A,'[1]Value Traded'!C:C)</f>
        <v>24267709.390000001</v>
      </c>
      <c r="W210" s="12">
        <f>_xlfn.XLOOKUP(A210,'[1]Value Traded'!A:A,'[1]Value Traded'!E:E)</f>
        <v>78654804.890000001</v>
      </c>
      <c r="X210" s="12">
        <f>_xlfn.XLOOKUP(A210,'[1]Value Traded'!A:A,'[1]Value Traded'!F:F)</f>
        <v>23481467.539999999</v>
      </c>
      <c r="Y210" s="12">
        <f>_xlfn.XLOOKUP(A210,'[1]Value Traded'!A:A,'[1]Value Traded'!G:G)</f>
        <v>38976344.289999999</v>
      </c>
      <c r="Z210" s="12">
        <f>_xlfn.XLOOKUP(A210,'[1]Value Traded'!A:A,'[1]Value Traded'!H:H)</f>
        <v>14708634.9</v>
      </c>
    </row>
    <row r="211" spans="1:26" x14ac:dyDescent="0.25">
      <c r="A211" s="13">
        <v>2023235</v>
      </c>
      <c r="B211" s="13" t="s">
        <v>935</v>
      </c>
      <c r="C211" s="13" t="s">
        <v>935</v>
      </c>
      <c r="D211" s="13" t="s">
        <v>936</v>
      </c>
      <c r="E211" s="13" t="s">
        <v>937</v>
      </c>
      <c r="F211" s="13" t="s">
        <v>32</v>
      </c>
      <c r="G211" s="13" t="s">
        <v>47</v>
      </c>
      <c r="H211" s="13" t="s">
        <v>48</v>
      </c>
      <c r="I211" s="13" t="s">
        <v>938</v>
      </c>
      <c r="J211" s="13" t="s">
        <v>36</v>
      </c>
      <c r="K211" s="13" t="s">
        <v>37</v>
      </c>
      <c r="L211" s="13" t="s">
        <v>271</v>
      </c>
      <c r="M211" s="14">
        <v>87520790</v>
      </c>
      <c r="N211" s="15">
        <v>1641014812.5</v>
      </c>
      <c r="O211" s="11">
        <f>_xlfn.XLOOKUP(A211,[1]MIC!A:A,[1]MIC!C:C)</f>
        <v>45344</v>
      </c>
      <c r="P211" s="11">
        <f>_xlfn.XLOOKUP(A211,[1]MIC!A:A,[1]MIC!D:D)</f>
        <v>45709</v>
      </c>
      <c r="Q211" s="5">
        <f>_xlfn.XLOOKUP(A211,'[1]Days Listed'!A:A,'[1]Days Listed'!B:B)</f>
        <v>256</v>
      </c>
      <c r="R211" s="5">
        <f>_xlfn.XLOOKUP(A211,'[1]Days Listed'!A:A,'[1]Days Listed'!C:C)</f>
        <v>129</v>
      </c>
      <c r="S211" s="5">
        <f>_xlfn.XLOOKUP(A211,'[1]Days With Trades'!A:A,'[1]Days With Trades'!B:B)</f>
        <v>250</v>
      </c>
      <c r="T211" s="5">
        <f>_xlfn.XLOOKUP(A211,'[1]Days With Trades'!A:A,'[1]Days With Trades'!C:C)</f>
        <v>127</v>
      </c>
      <c r="U211" s="12">
        <f>_xlfn.XLOOKUP(A211,'[1]Value Traded'!A:A,'[1]Value Traded'!B:B)</f>
        <v>943642022.90999997</v>
      </c>
      <c r="V211" s="12">
        <f>_xlfn.XLOOKUP(A211,'[1]Value Traded'!A:A,'[1]Value Traded'!C:C)</f>
        <v>480330312.58999997</v>
      </c>
      <c r="W211" s="12">
        <f>_xlfn.XLOOKUP(A211,'[1]Value Traded'!A:A,'[1]Value Traded'!E:E)</f>
        <v>1244802836.98</v>
      </c>
      <c r="X211" s="12">
        <f>_xlfn.XLOOKUP(A211,'[1]Value Traded'!A:A,'[1]Value Traded'!F:F)</f>
        <v>301160814.06999999</v>
      </c>
      <c r="Y211" s="12">
        <f>_xlfn.XLOOKUP(A211,'[1]Value Traded'!A:A,'[1]Value Traded'!G:G)</f>
        <v>653538504.64999998</v>
      </c>
      <c r="Z211" s="12">
        <f>_xlfn.XLOOKUP(A211,'[1]Value Traded'!A:A,'[1]Value Traded'!H:H)</f>
        <v>173208192.06</v>
      </c>
    </row>
    <row r="212" spans="1:26" x14ac:dyDescent="0.25">
      <c r="A212" s="8">
        <v>2023236</v>
      </c>
      <c r="B212" s="8" t="s">
        <v>939</v>
      </c>
      <c r="C212" s="8" t="s">
        <v>939</v>
      </c>
      <c r="D212" s="8" t="s">
        <v>940</v>
      </c>
      <c r="E212" s="8" t="s">
        <v>941</v>
      </c>
      <c r="F212" s="8" t="s">
        <v>32</v>
      </c>
      <c r="G212" s="8" t="s">
        <v>47</v>
      </c>
      <c r="H212" s="8" t="s">
        <v>48</v>
      </c>
      <c r="I212" s="8" t="s">
        <v>942</v>
      </c>
      <c r="J212" s="8" t="s">
        <v>36</v>
      </c>
      <c r="K212" s="8" t="s">
        <v>37</v>
      </c>
      <c r="L212" s="8" t="s">
        <v>116</v>
      </c>
      <c r="M212" s="9">
        <v>326546444</v>
      </c>
      <c r="N212" s="10">
        <v>841836732.63</v>
      </c>
      <c r="O212" s="11">
        <f>_xlfn.XLOOKUP(A212,[1]MIC!A:A,[1]MIC!C:C)</f>
        <v>45344</v>
      </c>
      <c r="P212" s="11">
        <f>_xlfn.XLOOKUP(A212,[1]MIC!A:A,[1]MIC!D:D)</f>
        <v>45709</v>
      </c>
      <c r="Q212" s="5">
        <f>_xlfn.XLOOKUP(A212,'[1]Days Listed'!A:A,'[1]Days Listed'!B:B)</f>
        <v>256</v>
      </c>
      <c r="R212" s="5">
        <f>_xlfn.XLOOKUP(A212,'[1]Days Listed'!A:A,'[1]Days Listed'!C:C)</f>
        <v>129</v>
      </c>
      <c r="S212" s="5">
        <f>_xlfn.XLOOKUP(A212,'[1]Days With Trades'!A:A,'[1]Days With Trades'!B:B)</f>
        <v>250</v>
      </c>
      <c r="T212" s="5">
        <f>_xlfn.XLOOKUP(A212,'[1]Days With Trades'!A:A,'[1]Days With Trades'!C:C)</f>
        <v>127</v>
      </c>
      <c r="U212" s="12">
        <f>_xlfn.XLOOKUP(A212,'[1]Value Traded'!A:A,'[1]Value Traded'!B:B)</f>
        <v>2096446021.03</v>
      </c>
      <c r="V212" s="12">
        <f>_xlfn.XLOOKUP(A212,'[1]Value Traded'!A:A,'[1]Value Traded'!C:C)</f>
        <v>703841014.60000002</v>
      </c>
      <c r="W212" s="12">
        <f>_xlfn.XLOOKUP(A212,'[1]Value Traded'!A:A,'[1]Value Traded'!E:E)</f>
        <v>2767349780.0500002</v>
      </c>
      <c r="X212" s="12">
        <f>_xlfn.XLOOKUP(A212,'[1]Value Traded'!A:A,'[1]Value Traded'!F:F)</f>
        <v>670903759.01999998</v>
      </c>
      <c r="Y212" s="12">
        <f>_xlfn.XLOOKUP(A212,'[1]Value Traded'!A:A,'[1]Value Traded'!G:G)</f>
        <v>959917336.09000003</v>
      </c>
      <c r="Z212" s="12">
        <f>_xlfn.XLOOKUP(A212,'[1]Value Traded'!A:A,'[1]Value Traded'!H:H)</f>
        <v>256076321.49000001</v>
      </c>
    </row>
    <row r="213" spans="1:26" x14ac:dyDescent="0.25">
      <c r="A213" s="13">
        <v>2023237</v>
      </c>
      <c r="B213" s="13" t="s">
        <v>943</v>
      </c>
      <c r="C213" s="13" t="s">
        <v>943</v>
      </c>
      <c r="D213" s="13" t="s">
        <v>944</v>
      </c>
      <c r="E213" s="13" t="s">
        <v>945</v>
      </c>
      <c r="F213" s="13" t="s">
        <v>32</v>
      </c>
      <c r="G213" s="13" t="s">
        <v>47</v>
      </c>
      <c r="H213" s="13" t="s">
        <v>48</v>
      </c>
      <c r="I213" s="13" t="s">
        <v>946</v>
      </c>
      <c r="J213" s="13" t="s">
        <v>36</v>
      </c>
      <c r="K213" s="13" t="s">
        <v>37</v>
      </c>
      <c r="L213" s="13" t="s">
        <v>947</v>
      </c>
      <c r="M213" s="14">
        <v>109686204</v>
      </c>
      <c r="N213" s="15">
        <v>3005401989.5999999</v>
      </c>
      <c r="O213" s="11">
        <f>_xlfn.XLOOKUP(A213,[1]MIC!A:A,[1]MIC!C:C)</f>
        <v>45344</v>
      </c>
      <c r="P213" s="11">
        <f>_xlfn.XLOOKUP(A213,[1]MIC!A:A,[1]MIC!D:D)</f>
        <v>45709</v>
      </c>
      <c r="Q213" s="5">
        <f>_xlfn.XLOOKUP(A213,'[1]Days Listed'!A:A,'[1]Days Listed'!B:B)</f>
        <v>256</v>
      </c>
      <c r="R213" s="5">
        <f>_xlfn.XLOOKUP(A213,'[1]Days Listed'!A:A,'[1]Days Listed'!C:C)</f>
        <v>129</v>
      </c>
      <c r="S213" s="5">
        <f>_xlfn.XLOOKUP(A213,'[1]Days With Trades'!A:A,'[1]Days With Trades'!B:B)</f>
        <v>250</v>
      </c>
      <c r="T213" s="5">
        <f>_xlfn.XLOOKUP(A213,'[1]Days With Trades'!A:A,'[1]Days With Trades'!C:C)</f>
        <v>127</v>
      </c>
      <c r="U213" s="12">
        <f>_xlfn.XLOOKUP(A213,'[1]Value Traded'!A:A,'[1]Value Traded'!B:B)</f>
        <v>307031805.60000002</v>
      </c>
      <c r="V213" s="12">
        <f>_xlfn.XLOOKUP(A213,'[1]Value Traded'!A:A,'[1]Value Traded'!C:C)</f>
        <v>154978513.34999999</v>
      </c>
      <c r="W213" s="12">
        <f>_xlfn.XLOOKUP(A213,'[1]Value Traded'!A:A,'[1]Value Traded'!E:E)</f>
        <v>411291330.44999999</v>
      </c>
      <c r="X213" s="12">
        <f>_xlfn.XLOOKUP(A213,'[1]Value Traded'!A:A,'[1]Value Traded'!F:F)</f>
        <v>104259524.84999999</v>
      </c>
      <c r="Y213" s="12">
        <f>_xlfn.XLOOKUP(A213,'[1]Value Traded'!A:A,'[1]Value Traded'!G:G)</f>
        <v>216292350</v>
      </c>
      <c r="Z213" s="12">
        <f>_xlfn.XLOOKUP(A213,'[1]Value Traded'!A:A,'[1]Value Traded'!H:H)</f>
        <v>61313836.649999999</v>
      </c>
    </row>
    <row r="214" spans="1:26" x14ac:dyDescent="0.25">
      <c r="A214" s="8">
        <v>2023239</v>
      </c>
      <c r="B214" s="8" t="s">
        <v>948</v>
      </c>
      <c r="C214" s="8" t="s">
        <v>948</v>
      </c>
      <c r="D214" s="8" t="s">
        <v>949</v>
      </c>
      <c r="E214" s="8" t="s">
        <v>950</v>
      </c>
      <c r="F214" s="8" t="s">
        <v>32</v>
      </c>
      <c r="G214" s="8" t="s">
        <v>47</v>
      </c>
      <c r="H214" s="8" t="s">
        <v>48</v>
      </c>
      <c r="I214" s="8" t="s">
        <v>951</v>
      </c>
      <c r="J214" s="8" t="s">
        <v>36</v>
      </c>
      <c r="K214" s="8" t="s">
        <v>37</v>
      </c>
      <c r="L214" s="8" t="s">
        <v>74</v>
      </c>
      <c r="M214" s="9">
        <v>462603306</v>
      </c>
      <c r="N214" s="10">
        <v>3048555786.54</v>
      </c>
      <c r="O214" s="11">
        <f>_xlfn.XLOOKUP(A214,[1]MIC!A:A,[1]MIC!C:C)</f>
        <v>45344</v>
      </c>
      <c r="P214" s="11">
        <f>_xlfn.XLOOKUP(A214,[1]MIC!A:A,[1]MIC!D:D)</f>
        <v>45709</v>
      </c>
      <c r="Q214" s="5">
        <f>_xlfn.XLOOKUP(A214,'[1]Days Listed'!A:A,'[1]Days Listed'!B:B)</f>
        <v>256</v>
      </c>
      <c r="R214" s="5">
        <f>_xlfn.XLOOKUP(A214,'[1]Days Listed'!A:A,'[1]Days Listed'!C:C)</f>
        <v>129</v>
      </c>
      <c r="S214" s="5">
        <f>_xlfn.XLOOKUP(A214,'[1]Days With Trades'!A:A,'[1]Days With Trades'!B:B)</f>
        <v>250</v>
      </c>
      <c r="T214" s="5">
        <f>_xlfn.XLOOKUP(A214,'[1]Days With Trades'!A:A,'[1]Days With Trades'!C:C)</f>
        <v>127</v>
      </c>
      <c r="U214" s="12">
        <f>_xlfn.XLOOKUP(A214,'[1]Value Traded'!A:A,'[1]Value Traded'!B:B)</f>
        <v>937980598.69000006</v>
      </c>
      <c r="V214" s="12">
        <f>_xlfn.XLOOKUP(A214,'[1]Value Traded'!A:A,'[1]Value Traded'!C:C)</f>
        <v>360126330.05000001</v>
      </c>
      <c r="W214" s="12">
        <f>_xlfn.XLOOKUP(A214,'[1]Value Traded'!A:A,'[1]Value Traded'!E:E)</f>
        <v>1180220093.04</v>
      </c>
      <c r="X214" s="12">
        <f>_xlfn.XLOOKUP(A214,'[1]Value Traded'!A:A,'[1]Value Traded'!F:F)</f>
        <v>242239494.34999999</v>
      </c>
      <c r="Y214" s="12">
        <f>_xlfn.XLOOKUP(A214,'[1]Value Traded'!A:A,'[1]Value Traded'!G:G)</f>
        <v>414937642.33999997</v>
      </c>
      <c r="Z214" s="12">
        <f>_xlfn.XLOOKUP(A214,'[1]Value Traded'!A:A,'[1]Value Traded'!H:H)</f>
        <v>54811312.289999999</v>
      </c>
    </row>
    <row r="215" spans="1:26" x14ac:dyDescent="0.25">
      <c r="A215" s="13">
        <v>2023241</v>
      </c>
      <c r="B215" s="13" t="s">
        <v>952</v>
      </c>
      <c r="C215" s="13" t="s">
        <v>952</v>
      </c>
      <c r="D215" s="13" t="s">
        <v>953</v>
      </c>
      <c r="E215" s="13" t="s">
        <v>954</v>
      </c>
      <c r="F215" s="13" t="s">
        <v>32</v>
      </c>
      <c r="G215" s="13" t="s">
        <v>60</v>
      </c>
      <c r="H215" s="13" t="s">
        <v>61</v>
      </c>
      <c r="I215" s="13" t="s">
        <v>955</v>
      </c>
      <c r="J215" s="13" t="s">
        <v>36</v>
      </c>
      <c r="K215" s="13" t="s">
        <v>37</v>
      </c>
      <c r="L215" s="13" t="s">
        <v>956</v>
      </c>
      <c r="M215" s="14">
        <v>21322345</v>
      </c>
      <c r="N215" s="15">
        <v>776133358</v>
      </c>
      <c r="O215" s="11">
        <f>_xlfn.XLOOKUP(A215,[1]MIC!A:A,[1]MIC!C:C)</f>
        <v>45344</v>
      </c>
      <c r="P215" s="11">
        <f>_xlfn.XLOOKUP(A215,[1]MIC!A:A,[1]MIC!D:D)</f>
        <v>45709</v>
      </c>
      <c r="Q215" s="5">
        <f>_xlfn.XLOOKUP(A215,'[1]Days Listed'!A:A,'[1]Days Listed'!B:B)</f>
        <v>256</v>
      </c>
      <c r="R215" s="5">
        <f>_xlfn.XLOOKUP(A215,'[1]Days Listed'!A:A,'[1]Days Listed'!C:C)</f>
        <v>129</v>
      </c>
      <c r="S215" s="5">
        <f>_xlfn.XLOOKUP(A215,'[1]Days With Trades'!A:A,'[1]Days With Trades'!B:B)</f>
        <v>239</v>
      </c>
      <c r="T215" s="5">
        <f>_xlfn.XLOOKUP(A215,'[1]Days With Trades'!A:A,'[1]Days With Trades'!C:C)</f>
        <v>120</v>
      </c>
      <c r="U215" s="12">
        <f>_xlfn.XLOOKUP(A215,'[1]Value Traded'!A:A,'[1]Value Traded'!B:B)</f>
        <v>65648347.799999997</v>
      </c>
      <c r="V215" s="12">
        <f>_xlfn.XLOOKUP(A215,'[1]Value Traded'!A:A,'[1]Value Traded'!C:C)</f>
        <v>18823980.600000001</v>
      </c>
      <c r="W215" s="12">
        <f>_xlfn.XLOOKUP(A215,'[1]Value Traded'!A:A,'[1]Value Traded'!E:E)</f>
        <v>94236632.400000006</v>
      </c>
      <c r="X215" s="12">
        <f>_xlfn.XLOOKUP(A215,'[1]Value Traded'!A:A,'[1]Value Traded'!F:F)</f>
        <v>28588284.600000001</v>
      </c>
      <c r="Y215" s="12">
        <f>_xlfn.XLOOKUP(A215,'[1]Value Traded'!A:A,'[1]Value Traded'!G:G)</f>
        <v>25825613.899999999</v>
      </c>
      <c r="Z215" s="12">
        <f>_xlfn.XLOOKUP(A215,'[1]Value Traded'!A:A,'[1]Value Traded'!H:H)</f>
        <v>7001633.2999999998</v>
      </c>
    </row>
    <row r="216" spans="1:26" x14ac:dyDescent="0.25">
      <c r="A216" s="8">
        <v>2030553</v>
      </c>
      <c r="B216" s="8" t="s">
        <v>957</v>
      </c>
      <c r="C216" s="8" t="s">
        <v>957</v>
      </c>
      <c r="D216" s="8" t="s">
        <v>958</v>
      </c>
      <c r="E216" s="8" t="s">
        <v>959</v>
      </c>
      <c r="F216" s="8" t="s">
        <v>32</v>
      </c>
      <c r="G216" s="8" t="s">
        <v>47</v>
      </c>
      <c r="H216" s="8" t="s">
        <v>48</v>
      </c>
      <c r="I216" s="8" t="s">
        <v>960</v>
      </c>
      <c r="J216" s="8" t="s">
        <v>36</v>
      </c>
      <c r="K216" s="8" t="s">
        <v>37</v>
      </c>
      <c r="L216" s="8" t="s">
        <v>147</v>
      </c>
      <c r="M216" s="9">
        <v>105274968</v>
      </c>
      <c r="N216" s="10">
        <v>1084332170.4000001</v>
      </c>
      <c r="O216" s="11">
        <f>_xlfn.XLOOKUP(A216,[1]MIC!A:A,[1]MIC!C:C)</f>
        <v>45344</v>
      </c>
      <c r="P216" s="11">
        <f>_xlfn.XLOOKUP(A216,[1]MIC!A:A,[1]MIC!D:D)</f>
        <v>45709</v>
      </c>
      <c r="Q216" s="5">
        <f>_xlfn.XLOOKUP(A216,'[1]Days Listed'!A:A,'[1]Days Listed'!B:B)</f>
        <v>256</v>
      </c>
      <c r="R216" s="5">
        <f>_xlfn.XLOOKUP(A216,'[1]Days Listed'!A:A,'[1]Days Listed'!C:C)</f>
        <v>129</v>
      </c>
      <c r="S216" s="5">
        <f>_xlfn.XLOOKUP(A216,'[1]Days With Trades'!A:A,'[1]Days With Trades'!B:B)</f>
        <v>250</v>
      </c>
      <c r="T216" s="5">
        <f>_xlfn.XLOOKUP(A216,'[1]Days With Trades'!A:A,'[1]Days With Trades'!C:C)</f>
        <v>127</v>
      </c>
      <c r="U216" s="12">
        <f>_xlfn.XLOOKUP(A216,'[1]Value Traded'!A:A,'[1]Value Traded'!B:B)</f>
        <v>429180230.18000001</v>
      </c>
      <c r="V216" s="12">
        <f>_xlfn.XLOOKUP(A216,'[1]Value Traded'!A:A,'[1]Value Traded'!C:C)</f>
        <v>198137137.24000001</v>
      </c>
      <c r="W216" s="12">
        <f>_xlfn.XLOOKUP(A216,'[1]Value Traded'!A:A,'[1]Value Traded'!E:E)</f>
        <v>558310814.91999996</v>
      </c>
      <c r="X216" s="12">
        <f>_xlfn.XLOOKUP(A216,'[1]Value Traded'!A:A,'[1]Value Traded'!F:F)</f>
        <v>129130584.73999999</v>
      </c>
      <c r="Y216" s="12">
        <f>_xlfn.XLOOKUP(A216,'[1]Value Traded'!A:A,'[1]Value Traded'!G:G)</f>
        <v>256595749.63</v>
      </c>
      <c r="Z216" s="12">
        <f>_xlfn.XLOOKUP(A216,'[1]Value Traded'!A:A,'[1]Value Traded'!H:H)</f>
        <v>58458612.390000001</v>
      </c>
    </row>
    <row r="217" spans="1:26" x14ac:dyDescent="0.25">
      <c r="A217" s="13">
        <v>2030555</v>
      </c>
      <c r="B217" s="13" t="s">
        <v>961</v>
      </c>
      <c r="C217" s="13" t="s">
        <v>961</v>
      </c>
      <c r="D217" s="13" t="s">
        <v>962</v>
      </c>
      <c r="E217" s="13" t="s">
        <v>963</v>
      </c>
      <c r="F217" s="13" t="s">
        <v>32</v>
      </c>
      <c r="G217" s="13" t="s">
        <v>47</v>
      </c>
      <c r="H217" s="13" t="s">
        <v>48</v>
      </c>
      <c r="I217" s="13" t="s">
        <v>964</v>
      </c>
      <c r="J217" s="13" t="s">
        <v>36</v>
      </c>
      <c r="K217" s="13" t="s">
        <v>37</v>
      </c>
      <c r="L217" s="13" t="s">
        <v>636</v>
      </c>
      <c r="M217" s="14">
        <v>82821680</v>
      </c>
      <c r="N217" s="15">
        <v>374353993.60000002</v>
      </c>
      <c r="O217" s="11">
        <f>_xlfn.XLOOKUP(A217,[1]MIC!A:A,[1]MIC!C:C)</f>
        <v>45344</v>
      </c>
      <c r="P217" s="11">
        <f>_xlfn.XLOOKUP(A217,[1]MIC!A:A,[1]MIC!D:D)</f>
        <v>45709</v>
      </c>
      <c r="Q217" s="5">
        <f>_xlfn.XLOOKUP(A217,'[1]Days Listed'!A:A,'[1]Days Listed'!B:B)</f>
        <v>256</v>
      </c>
      <c r="R217" s="5">
        <f>_xlfn.XLOOKUP(A217,'[1]Days Listed'!A:A,'[1]Days Listed'!C:C)</f>
        <v>129</v>
      </c>
      <c r="S217" s="5">
        <f>_xlfn.XLOOKUP(A217,'[1]Days With Trades'!A:A,'[1]Days With Trades'!B:B)</f>
        <v>250</v>
      </c>
      <c r="T217" s="5">
        <f>_xlfn.XLOOKUP(A217,'[1]Days With Trades'!A:A,'[1]Days With Trades'!C:C)</f>
        <v>127</v>
      </c>
      <c r="U217" s="12">
        <f>_xlfn.XLOOKUP(A217,'[1]Value Traded'!A:A,'[1]Value Traded'!B:B)</f>
        <v>142780787.46000001</v>
      </c>
      <c r="V217" s="12">
        <f>_xlfn.XLOOKUP(A217,'[1]Value Traded'!A:A,'[1]Value Traded'!C:C)</f>
        <v>44557414.43</v>
      </c>
      <c r="W217" s="12">
        <f>_xlfn.XLOOKUP(A217,'[1]Value Traded'!A:A,'[1]Value Traded'!E:E)</f>
        <v>195388250.06</v>
      </c>
      <c r="X217" s="12">
        <f>_xlfn.XLOOKUP(A217,'[1]Value Traded'!A:A,'[1]Value Traded'!F:F)</f>
        <v>52607462.600000001</v>
      </c>
      <c r="Y217" s="12">
        <f>_xlfn.XLOOKUP(A217,'[1]Value Traded'!A:A,'[1]Value Traded'!G:G)</f>
        <v>56622569.07</v>
      </c>
      <c r="Z217" s="12">
        <f>_xlfn.XLOOKUP(A217,'[1]Value Traded'!A:A,'[1]Value Traded'!H:H)</f>
        <v>12065154.640000001</v>
      </c>
    </row>
    <row r="218" spans="1:26" x14ac:dyDescent="0.25">
      <c r="A218" s="8">
        <v>2030556</v>
      </c>
      <c r="B218" s="8" t="s">
        <v>965</v>
      </c>
      <c r="C218" s="8" t="s">
        <v>965</v>
      </c>
      <c r="D218" s="8" t="s">
        <v>966</v>
      </c>
      <c r="E218" s="8" t="s">
        <v>967</v>
      </c>
      <c r="F218" s="8" t="s">
        <v>32</v>
      </c>
      <c r="G218" s="8" t="s">
        <v>60</v>
      </c>
      <c r="H218" s="8" t="s">
        <v>61</v>
      </c>
      <c r="I218" s="8" t="s">
        <v>968</v>
      </c>
      <c r="J218" s="8" t="s">
        <v>36</v>
      </c>
      <c r="K218" s="8" t="s">
        <v>37</v>
      </c>
      <c r="L218" s="8" t="s">
        <v>74</v>
      </c>
      <c r="M218" s="9">
        <v>43803164</v>
      </c>
      <c r="N218" s="10">
        <v>602293505</v>
      </c>
      <c r="O218" s="11">
        <f>_xlfn.XLOOKUP(A218,[1]MIC!A:A,[1]MIC!C:C)</f>
        <v>45344</v>
      </c>
      <c r="P218" s="11">
        <f>_xlfn.XLOOKUP(A218,[1]MIC!A:A,[1]MIC!D:D)</f>
        <v>45709</v>
      </c>
      <c r="Q218" s="5">
        <f>_xlfn.XLOOKUP(A218,'[1]Days Listed'!A:A,'[1]Days Listed'!B:B)</f>
        <v>256</v>
      </c>
      <c r="R218" s="5">
        <f>_xlfn.XLOOKUP(A218,'[1]Days Listed'!A:A,'[1]Days Listed'!C:C)</f>
        <v>129</v>
      </c>
      <c r="S218" s="5">
        <f>_xlfn.XLOOKUP(A218,'[1]Days With Trades'!A:A,'[1]Days With Trades'!B:B)</f>
        <v>247</v>
      </c>
      <c r="T218" s="5">
        <f>_xlfn.XLOOKUP(A218,'[1]Days With Trades'!A:A,'[1]Days With Trades'!C:C)</f>
        <v>124</v>
      </c>
      <c r="U218" s="12">
        <f>_xlfn.XLOOKUP(A218,'[1]Value Traded'!A:A,'[1]Value Traded'!B:B)</f>
        <v>33120516.100000001</v>
      </c>
      <c r="V218" s="12">
        <f>_xlfn.XLOOKUP(A218,'[1]Value Traded'!A:A,'[1]Value Traded'!C:C)</f>
        <v>10459233.35</v>
      </c>
      <c r="W218" s="12">
        <f>_xlfn.XLOOKUP(A218,'[1]Value Traded'!A:A,'[1]Value Traded'!E:E)</f>
        <v>53246350.600000001</v>
      </c>
      <c r="X218" s="12">
        <f>_xlfn.XLOOKUP(A218,'[1]Value Traded'!A:A,'[1]Value Traded'!F:F)</f>
        <v>20125834.5</v>
      </c>
      <c r="Y218" s="12">
        <f>_xlfn.XLOOKUP(A218,'[1]Value Traded'!A:A,'[1]Value Traded'!G:G)</f>
        <v>12413230.300000001</v>
      </c>
      <c r="Z218" s="12">
        <f>_xlfn.XLOOKUP(A218,'[1]Value Traded'!A:A,'[1]Value Traded'!H:H)</f>
        <v>1953996.95</v>
      </c>
    </row>
    <row r="219" spans="1:26" x14ac:dyDescent="0.25">
      <c r="A219" s="13">
        <v>2033384</v>
      </c>
      <c r="B219" s="13" t="s">
        <v>969</v>
      </c>
      <c r="C219" s="13" t="s">
        <v>969</v>
      </c>
      <c r="D219" s="13" t="s">
        <v>970</v>
      </c>
      <c r="E219" s="13" t="s">
        <v>971</v>
      </c>
      <c r="F219" s="13" t="s">
        <v>32</v>
      </c>
      <c r="G219" s="13" t="s">
        <v>47</v>
      </c>
      <c r="H219" s="13" t="s">
        <v>48</v>
      </c>
      <c r="I219" s="13" t="s">
        <v>972</v>
      </c>
      <c r="J219" s="13" t="s">
        <v>36</v>
      </c>
      <c r="K219" s="13" t="s">
        <v>37</v>
      </c>
      <c r="L219" s="13" t="s">
        <v>147</v>
      </c>
      <c r="M219" s="14">
        <v>298706434</v>
      </c>
      <c r="N219" s="15">
        <v>6959859912.1999998</v>
      </c>
      <c r="O219" s="11">
        <f>_xlfn.XLOOKUP(A219,[1]MIC!A:A,[1]MIC!C:C)</f>
        <v>45344</v>
      </c>
      <c r="P219" s="11">
        <f>_xlfn.XLOOKUP(A219,[1]MIC!A:A,[1]MIC!D:D)</f>
        <v>45709</v>
      </c>
      <c r="Q219" s="5">
        <f>_xlfn.XLOOKUP(A219,'[1]Days Listed'!A:A,'[1]Days Listed'!B:B)</f>
        <v>256</v>
      </c>
      <c r="R219" s="5">
        <f>_xlfn.XLOOKUP(A219,'[1]Days Listed'!A:A,'[1]Days Listed'!C:C)</f>
        <v>129</v>
      </c>
      <c r="S219" s="5">
        <f>_xlfn.XLOOKUP(A219,'[1]Days With Trades'!A:A,'[1]Days With Trades'!B:B)</f>
        <v>250</v>
      </c>
      <c r="T219" s="5">
        <f>_xlfn.XLOOKUP(A219,'[1]Days With Trades'!A:A,'[1]Days With Trades'!C:C)</f>
        <v>127</v>
      </c>
      <c r="U219" s="12">
        <f>_xlfn.XLOOKUP(A219,'[1]Value Traded'!A:A,'[1]Value Traded'!B:B)</f>
        <v>2265570776.6300001</v>
      </c>
      <c r="V219" s="12">
        <f>_xlfn.XLOOKUP(A219,'[1]Value Traded'!A:A,'[1]Value Traded'!C:C)</f>
        <v>1157850247.55</v>
      </c>
      <c r="W219" s="12">
        <f>_xlfn.XLOOKUP(A219,'[1]Value Traded'!A:A,'[1]Value Traded'!E:E)</f>
        <v>2699984274.8600001</v>
      </c>
      <c r="X219" s="12">
        <f>_xlfn.XLOOKUP(A219,'[1]Value Traded'!A:A,'[1]Value Traded'!F:F)</f>
        <v>434413498.23000002</v>
      </c>
      <c r="Y219" s="12">
        <f>_xlfn.XLOOKUP(A219,'[1]Value Traded'!A:A,'[1]Value Traded'!G:G)</f>
        <v>1385256257.0999999</v>
      </c>
      <c r="Z219" s="12">
        <f>_xlfn.XLOOKUP(A219,'[1]Value Traded'!A:A,'[1]Value Traded'!H:H)</f>
        <v>227406009.55000001</v>
      </c>
    </row>
    <row r="220" spans="1:26" x14ac:dyDescent="0.25">
      <c r="A220" s="8">
        <v>2033386</v>
      </c>
      <c r="B220" s="8" t="s">
        <v>973</v>
      </c>
      <c r="C220" s="8" t="s">
        <v>973</v>
      </c>
      <c r="D220" s="8" t="s">
        <v>974</v>
      </c>
      <c r="E220" s="8" t="s">
        <v>975</v>
      </c>
      <c r="F220" s="8" t="s">
        <v>32</v>
      </c>
      <c r="G220" s="8" t="s">
        <v>60</v>
      </c>
      <c r="H220" s="8" t="s">
        <v>61</v>
      </c>
      <c r="I220" s="8" t="s">
        <v>976</v>
      </c>
      <c r="J220" s="8" t="s">
        <v>36</v>
      </c>
      <c r="K220" s="8" t="s">
        <v>37</v>
      </c>
      <c r="L220" s="8" t="s">
        <v>956</v>
      </c>
      <c r="M220" s="9">
        <v>341793722</v>
      </c>
      <c r="N220" s="10">
        <v>24882582.960000001</v>
      </c>
      <c r="O220" s="11">
        <f>_xlfn.XLOOKUP(A220,[1]MIC!A:A,[1]MIC!C:C)</f>
        <v>45344</v>
      </c>
      <c r="P220" s="11">
        <f>_xlfn.XLOOKUP(A220,[1]MIC!A:A,[1]MIC!D:D)</f>
        <v>45709</v>
      </c>
      <c r="Q220" s="5">
        <f>_xlfn.XLOOKUP(A220,'[1]Days Listed'!A:A,'[1]Days Listed'!B:B)</f>
        <v>256</v>
      </c>
      <c r="R220" s="5">
        <f>_xlfn.XLOOKUP(A220,'[1]Days Listed'!A:A,'[1]Days Listed'!C:C)</f>
        <v>129</v>
      </c>
      <c r="S220" s="5">
        <f>_xlfn.XLOOKUP(A220,'[1]Days With Trades'!A:A,'[1]Days With Trades'!B:B)</f>
        <v>250</v>
      </c>
      <c r="T220" s="5">
        <f>_xlfn.XLOOKUP(A220,'[1]Days With Trades'!A:A,'[1]Days With Trades'!C:C)</f>
        <v>127</v>
      </c>
      <c r="U220" s="12">
        <f>_xlfn.XLOOKUP(A220,'[1]Value Traded'!A:A,'[1]Value Traded'!B:B)</f>
        <v>83972389.930000007</v>
      </c>
      <c r="V220" s="12">
        <f>_xlfn.XLOOKUP(A220,'[1]Value Traded'!A:A,'[1]Value Traded'!C:C)</f>
        <v>27398058.789999999</v>
      </c>
      <c r="W220" s="12">
        <f>_xlfn.XLOOKUP(A220,'[1]Value Traded'!A:A,'[1]Value Traded'!E:E)</f>
        <v>216184691.19</v>
      </c>
      <c r="X220" s="12">
        <f>_xlfn.XLOOKUP(A220,'[1]Value Traded'!A:A,'[1]Value Traded'!F:F)</f>
        <v>132212301.26000001</v>
      </c>
      <c r="Y220" s="12">
        <f>_xlfn.XLOOKUP(A220,'[1]Value Traded'!A:A,'[1]Value Traded'!G:G)</f>
        <v>42138633.149999999</v>
      </c>
      <c r="Z220" s="12">
        <f>_xlfn.XLOOKUP(A220,'[1]Value Traded'!A:A,'[1]Value Traded'!H:H)</f>
        <v>14740574.359999999</v>
      </c>
    </row>
    <row r="221" spans="1:26" x14ac:dyDescent="0.25">
      <c r="A221" s="13">
        <v>2043486</v>
      </c>
      <c r="B221" s="13" t="s">
        <v>977</v>
      </c>
      <c r="C221" s="13" t="s">
        <v>977</v>
      </c>
      <c r="D221" s="13" t="s">
        <v>978</v>
      </c>
      <c r="E221" s="13" t="s">
        <v>979</v>
      </c>
      <c r="F221" s="13" t="s">
        <v>32</v>
      </c>
      <c r="G221" s="13" t="s">
        <v>60</v>
      </c>
      <c r="H221" s="13" t="s">
        <v>61</v>
      </c>
      <c r="I221" s="13" t="s">
        <v>980</v>
      </c>
      <c r="J221" s="13" t="s">
        <v>36</v>
      </c>
      <c r="K221" s="13" t="s">
        <v>37</v>
      </c>
      <c r="L221" s="13" t="s">
        <v>74</v>
      </c>
      <c r="M221" s="14">
        <v>30961868</v>
      </c>
      <c r="N221" s="15">
        <v>3591576688</v>
      </c>
      <c r="O221" s="11">
        <f>_xlfn.XLOOKUP(A221,[1]MIC!A:A,[1]MIC!C:C)</f>
        <v>45344</v>
      </c>
      <c r="P221" s="11">
        <f>_xlfn.XLOOKUP(A221,[1]MIC!A:A,[1]MIC!D:D)</f>
        <v>45709</v>
      </c>
      <c r="Q221" s="5">
        <f>_xlfn.XLOOKUP(A221,'[1]Days Listed'!A:A,'[1]Days Listed'!B:B)</f>
        <v>256</v>
      </c>
      <c r="R221" s="5">
        <f>_xlfn.XLOOKUP(A221,'[1]Days Listed'!A:A,'[1]Days Listed'!C:C)</f>
        <v>129</v>
      </c>
      <c r="S221" s="5">
        <f>_xlfn.XLOOKUP(A221,'[1]Days With Trades'!A:A,'[1]Days With Trades'!B:B)</f>
        <v>234</v>
      </c>
      <c r="T221" s="5">
        <f>_xlfn.XLOOKUP(A221,'[1]Days With Trades'!A:A,'[1]Days With Trades'!C:C)</f>
        <v>117</v>
      </c>
      <c r="U221" s="12">
        <f>_xlfn.XLOOKUP(A221,'[1]Value Traded'!A:A,'[1]Value Traded'!B:B)</f>
        <v>65065024</v>
      </c>
      <c r="V221" s="12">
        <f>_xlfn.XLOOKUP(A221,'[1]Value Traded'!A:A,'[1]Value Traded'!C:C)</f>
        <v>31176852</v>
      </c>
      <c r="W221" s="12">
        <f>_xlfn.XLOOKUP(A221,'[1]Value Traded'!A:A,'[1]Value Traded'!E:E)</f>
        <v>89923572</v>
      </c>
      <c r="X221" s="12">
        <f>_xlfn.XLOOKUP(A221,'[1]Value Traded'!A:A,'[1]Value Traded'!F:F)</f>
        <v>24858548</v>
      </c>
      <c r="Y221" s="12">
        <f>_xlfn.XLOOKUP(A221,'[1]Value Traded'!A:A,'[1]Value Traded'!G:G)</f>
        <v>43183282</v>
      </c>
      <c r="Z221" s="12">
        <f>_xlfn.XLOOKUP(A221,'[1]Value Traded'!A:A,'[1]Value Traded'!H:H)</f>
        <v>12006430</v>
      </c>
    </row>
    <row r="222" spans="1:26" x14ac:dyDescent="0.25">
      <c r="A222" s="8">
        <v>2043488</v>
      </c>
      <c r="B222" s="8" t="s">
        <v>981</v>
      </c>
      <c r="C222" s="8" t="s">
        <v>981</v>
      </c>
      <c r="D222" s="8" t="s">
        <v>982</v>
      </c>
      <c r="E222" s="8" t="s">
        <v>983</v>
      </c>
      <c r="F222" s="8" t="s">
        <v>32</v>
      </c>
      <c r="G222" s="8" t="s">
        <v>60</v>
      </c>
      <c r="H222" s="8" t="s">
        <v>61</v>
      </c>
      <c r="I222" s="8" t="s">
        <v>984</v>
      </c>
      <c r="J222" s="8" t="s">
        <v>36</v>
      </c>
      <c r="K222" s="8" t="s">
        <v>37</v>
      </c>
      <c r="L222" s="8" t="s">
        <v>636</v>
      </c>
      <c r="M222" s="9">
        <v>44986200</v>
      </c>
      <c r="N222" s="10">
        <v>61856025</v>
      </c>
      <c r="O222" s="11">
        <f>_xlfn.XLOOKUP(A222,[1]MIC!A:A,[1]MIC!C:C)</f>
        <v>45344</v>
      </c>
      <c r="P222" s="11">
        <f>_xlfn.XLOOKUP(A222,[1]MIC!A:A,[1]MIC!D:D)</f>
        <v>45709</v>
      </c>
      <c r="Q222" s="5">
        <f>_xlfn.XLOOKUP(A222,'[1]Days Listed'!A:A,'[1]Days Listed'!B:B)</f>
        <v>256</v>
      </c>
      <c r="R222" s="5">
        <f>_xlfn.XLOOKUP(A222,'[1]Days Listed'!A:A,'[1]Days Listed'!C:C)</f>
        <v>129</v>
      </c>
      <c r="S222" s="5">
        <f>_xlfn.XLOOKUP(A222,'[1]Days With Trades'!A:A,'[1]Days With Trades'!B:B)</f>
        <v>246</v>
      </c>
      <c r="T222" s="5">
        <f>_xlfn.XLOOKUP(A222,'[1]Days With Trades'!A:A,'[1]Days With Trades'!C:C)</f>
        <v>125</v>
      </c>
      <c r="U222" s="12">
        <f>_xlfn.XLOOKUP(A222,'[1]Value Traded'!A:A,'[1]Value Traded'!B:B)</f>
        <v>20691077.75</v>
      </c>
      <c r="V222" s="12">
        <f>_xlfn.XLOOKUP(A222,'[1]Value Traded'!A:A,'[1]Value Traded'!C:C)</f>
        <v>9658346.1600000001</v>
      </c>
      <c r="W222" s="12">
        <f>_xlfn.XLOOKUP(A222,'[1]Value Traded'!A:A,'[1]Value Traded'!E:E)</f>
        <v>33552626.350000001</v>
      </c>
      <c r="X222" s="12">
        <f>_xlfn.XLOOKUP(A222,'[1]Value Traded'!A:A,'[1]Value Traded'!F:F)</f>
        <v>12861548.6</v>
      </c>
      <c r="Y222" s="12">
        <f>_xlfn.XLOOKUP(A222,'[1]Value Traded'!A:A,'[1]Value Traded'!G:G)</f>
        <v>18322645.800000001</v>
      </c>
      <c r="Z222" s="12">
        <f>_xlfn.XLOOKUP(A222,'[1]Value Traded'!A:A,'[1]Value Traded'!H:H)</f>
        <v>8664299.6400000006</v>
      </c>
    </row>
    <row r="223" spans="1:26" x14ac:dyDescent="0.25">
      <c r="A223" s="13">
        <v>2043489</v>
      </c>
      <c r="B223" s="13" t="s">
        <v>985</v>
      </c>
      <c r="C223" s="13" t="s">
        <v>985</v>
      </c>
      <c r="D223" s="13" t="s">
        <v>986</v>
      </c>
      <c r="E223" s="13" t="s">
        <v>987</v>
      </c>
      <c r="F223" s="13" t="s">
        <v>32</v>
      </c>
      <c r="G223" s="13" t="s">
        <v>47</v>
      </c>
      <c r="H223" s="13" t="s">
        <v>48</v>
      </c>
      <c r="I223" s="13" t="s">
        <v>988</v>
      </c>
      <c r="J223" s="13" t="s">
        <v>36</v>
      </c>
      <c r="K223" s="13" t="s">
        <v>37</v>
      </c>
      <c r="L223" s="13" t="s">
        <v>130</v>
      </c>
      <c r="M223" s="14">
        <v>199301846</v>
      </c>
      <c r="N223" s="15">
        <v>408568784.30000001</v>
      </c>
      <c r="O223" s="11">
        <f>_xlfn.XLOOKUP(A223,[1]MIC!A:A,[1]MIC!C:C)</f>
        <v>45344</v>
      </c>
      <c r="P223" s="11">
        <f>_xlfn.XLOOKUP(A223,[1]MIC!A:A,[1]MIC!D:D)</f>
        <v>45709</v>
      </c>
      <c r="Q223" s="5">
        <f>_xlfn.XLOOKUP(A223,'[1]Days Listed'!A:A,'[1]Days Listed'!B:B)</f>
        <v>256</v>
      </c>
      <c r="R223" s="5">
        <f>_xlfn.XLOOKUP(A223,'[1]Days Listed'!A:A,'[1]Days Listed'!C:C)</f>
        <v>129</v>
      </c>
      <c r="S223" s="5">
        <f>_xlfn.XLOOKUP(A223,'[1]Days With Trades'!A:A,'[1]Days With Trades'!B:B)</f>
        <v>249</v>
      </c>
      <c r="T223" s="5">
        <f>_xlfn.XLOOKUP(A223,'[1]Days With Trades'!A:A,'[1]Days With Trades'!C:C)</f>
        <v>126</v>
      </c>
      <c r="U223" s="12">
        <f>_xlfn.XLOOKUP(A223,'[1]Value Traded'!A:A,'[1]Value Traded'!B:B)</f>
        <v>37383464.549999997</v>
      </c>
      <c r="V223" s="12">
        <f>_xlfn.XLOOKUP(A223,'[1]Value Traded'!A:A,'[1]Value Traded'!C:C)</f>
        <v>21709083.100000001</v>
      </c>
      <c r="W223" s="12">
        <f>_xlfn.XLOOKUP(A223,'[1]Value Traded'!A:A,'[1]Value Traded'!E:E)</f>
        <v>50358393.630000003</v>
      </c>
      <c r="X223" s="12">
        <f>_xlfn.XLOOKUP(A223,'[1]Value Traded'!A:A,'[1]Value Traded'!F:F)</f>
        <v>12974929.08</v>
      </c>
      <c r="Y223" s="12">
        <f>_xlfn.XLOOKUP(A223,'[1]Value Traded'!A:A,'[1]Value Traded'!G:G)</f>
        <v>28352435.280000001</v>
      </c>
      <c r="Z223" s="12">
        <f>_xlfn.XLOOKUP(A223,'[1]Value Traded'!A:A,'[1]Value Traded'!H:H)</f>
        <v>6643352.1799999997</v>
      </c>
    </row>
    <row r="224" spans="1:26" x14ac:dyDescent="0.25">
      <c r="A224" s="8">
        <v>2073756</v>
      </c>
      <c r="B224" s="8" t="s">
        <v>989</v>
      </c>
      <c r="C224" s="8" t="s">
        <v>989</v>
      </c>
      <c r="D224" s="8" t="s">
        <v>990</v>
      </c>
      <c r="E224" s="8" t="s">
        <v>991</v>
      </c>
      <c r="F224" s="8" t="s">
        <v>32</v>
      </c>
      <c r="G224" s="8" t="s">
        <v>60</v>
      </c>
      <c r="H224" s="8" t="s">
        <v>61</v>
      </c>
      <c r="I224" s="8" t="s">
        <v>992</v>
      </c>
      <c r="J224" s="8" t="s">
        <v>36</v>
      </c>
      <c r="K224" s="8" t="s">
        <v>37</v>
      </c>
      <c r="L224" s="8" t="s">
        <v>993</v>
      </c>
      <c r="M224" s="9">
        <v>44156620</v>
      </c>
      <c r="N224" s="10">
        <v>1399764854</v>
      </c>
      <c r="O224" s="11">
        <f>_xlfn.XLOOKUP(A224,[1]MIC!A:A,[1]MIC!C:C)</f>
        <v>45344</v>
      </c>
      <c r="P224" s="11">
        <f>_xlfn.XLOOKUP(A224,[1]MIC!A:A,[1]MIC!D:D)</f>
        <v>45709</v>
      </c>
      <c r="Q224" s="5">
        <f>_xlfn.XLOOKUP(A224,'[1]Days Listed'!A:A,'[1]Days Listed'!B:B)</f>
        <v>256</v>
      </c>
      <c r="R224" s="5">
        <f>_xlfn.XLOOKUP(A224,'[1]Days Listed'!A:A,'[1]Days Listed'!C:C)</f>
        <v>129</v>
      </c>
      <c r="S224" s="5">
        <f>_xlfn.XLOOKUP(A224,'[1]Days With Trades'!A:A,'[1]Days With Trades'!B:B)</f>
        <v>250</v>
      </c>
      <c r="T224" s="5">
        <f>_xlfn.XLOOKUP(A224,'[1]Days With Trades'!A:A,'[1]Days With Trades'!C:C)</f>
        <v>127</v>
      </c>
      <c r="U224" s="12">
        <f>_xlfn.XLOOKUP(A224,'[1]Value Traded'!A:A,'[1]Value Traded'!B:B)</f>
        <v>187025036.25</v>
      </c>
      <c r="V224" s="12">
        <f>_xlfn.XLOOKUP(A224,'[1]Value Traded'!A:A,'[1]Value Traded'!C:C)</f>
        <v>147573930.44999999</v>
      </c>
      <c r="W224" s="12">
        <f>_xlfn.XLOOKUP(A224,'[1]Value Traded'!A:A,'[1]Value Traded'!E:E)</f>
        <v>237724493.75</v>
      </c>
      <c r="X224" s="12">
        <f>_xlfn.XLOOKUP(A224,'[1]Value Traded'!A:A,'[1]Value Traded'!F:F)</f>
        <v>50699457.5</v>
      </c>
      <c r="Y224" s="12">
        <f>_xlfn.XLOOKUP(A224,'[1]Value Traded'!A:A,'[1]Value Traded'!G:G)</f>
        <v>177201078.25</v>
      </c>
      <c r="Z224" s="12">
        <f>_xlfn.XLOOKUP(A224,'[1]Value Traded'!A:A,'[1]Value Traded'!H:H)</f>
        <v>29627147.800000001</v>
      </c>
    </row>
    <row r="225" spans="1:26" x14ac:dyDescent="0.25">
      <c r="A225" s="13">
        <v>2078419</v>
      </c>
      <c r="B225" s="13" t="s">
        <v>994</v>
      </c>
      <c r="C225" s="13" t="s">
        <v>994</v>
      </c>
      <c r="D225" s="13" t="s">
        <v>995</v>
      </c>
      <c r="E225" s="13" t="s">
        <v>996</v>
      </c>
      <c r="F225" s="13" t="s">
        <v>32</v>
      </c>
      <c r="G225" s="13" t="s">
        <v>60</v>
      </c>
      <c r="H225" s="13" t="s">
        <v>61</v>
      </c>
      <c r="I225" s="13" t="s">
        <v>997</v>
      </c>
      <c r="J225" s="13" t="s">
        <v>36</v>
      </c>
      <c r="K225" s="13" t="s">
        <v>37</v>
      </c>
      <c r="L225" s="13" t="s">
        <v>74</v>
      </c>
      <c r="M225" s="14">
        <v>142694048</v>
      </c>
      <c r="N225" s="15">
        <v>784817264</v>
      </c>
      <c r="O225" s="11">
        <f>_xlfn.XLOOKUP(A225,[1]MIC!A:A,[1]MIC!C:C)</f>
        <v>45344</v>
      </c>
      <c r="P225" s="11">
        <f>_xlfn.XLOOKUP(A225,[1]MIC!A:A,[1]MIC!D:D)</f>
        <v>45709</v>
      </c>
      <c r="Q225" s="5">
        <f>_xlfn.XLOOKUP(A225,'[1]Days Listed'!A:A,'[1]Days Listed'!B:B)</f>
        <v>256</v>
      </c>
      <c r="R225" s="5">
        <f>_xlfn.XLOOKUP(A225,'[1]Days Listed'!A:A,'[1]Days Listed'!C:C)</f>
        <v>129</v>
      </c>
      <c r="S225" s="5">
        <f>_xlfn.XLOOKUP(A225,'[1]Days With Trades'!A:A,'[1]Days With Trades'!B:B)</f>
        <v>230</v>
      </c>
      <c r="T225" s="5">
        <f>_xlfn.XLOOKUP(A225,'[1]Days With Trades'!A:A,'[1]Days With Trades'!C:C)</f>
        <v>116</v>
      </c>
      <c r="U225" s="12">
        <f>_xlfn.XLOOKUP(A225,'[1]Value Traded'!A:A,'[1]Value Traded'!B:B)</f>
        <v>7364638.9000000004</v>
      </c>
      <c r="V225" s="12">
        <f>_xlfn.XLOOKUP(A225,'[1]Value Traded'!A:A,'[1]Value Traded'!C:C)</f>
        <v>3573385.62</v>
      </c>
      <c r="W225" s="12">
        <f>_xlfn.XLOOKUP(A225,'[1]Value Traded'!A:A,'[1]Value Traded'!E:E)</f>
        <v>10570795.17</v>
      </c>
      <c r="X225" s="12">
        <f>_xlfn.XLOOKUP(A225,'[1]Value Traded'!A:A,'[1]Value Traded'!F:F)</f>
        <v>3206156.27</v>
      </c>
      <c r="Y225" s="12">
        <f>_xlfn.XLOOKUP(A225,'[1]Value Traded'!A:A,'[1]Value Traded'!G:G)</f>
        <v>4883275.42</v>
      </c>
      <c r="Z225" s="12">
        <f>_xlfn.XLOOKUP(A225,'[1]Value Traded'!A:A,'[1]Value Traded'!H:H)</f>
        <v>1309889.8</v>
      </c>
    </row>
    <row r="226" spans="1:26" x14ac:dyDescent="0.25">
      <c r="A226" s="8">
        <v>2079575</v>
      </c>
      <c r="B226" s="8" t="s">
        <v>998</v>
      </c>
      <c r="C226" s="8" t="s">
        <v>998</v>
      </c>
      <c r="D226" s="8" t="s">
        <v>999</v>
      </c>
      <c r="E226" s="8" t="s">
        <v>1000</v>
      </c>
      <c r="F226" s="8" t="s">
        <v>32</v>
      </c>
      <c r="G226" s="8" t="s">
        <v>47</v>
      </c>
      <c r="H226" s="8" t="s">
        <v>48</v>
      </c>
      <c r="I226" s="8" t="s">
        <v>1001</v>
      </c>
      <c r="J226" s="8" t="s">
        <v>36</v>
      </c>
      <c r="K226" s="8" t="s">
        <v>37</v>
      </c>
      <c r="L226" s="8" t="s">
        <v>876</v>
      </c>
      <c r="M226" s="9">
        <v>350957583</v>
      </c>
      <c r="N226" s="10">
        <v>18249794316</v>
      </c>
      <c r="O226" s="11">
        <f>_xlfn.XLOOKUP(A226,[1]MIC!A:A,[1]MIC!C:C)</f>
        <v>45344</v>
      </c>
      <c r="P226" s="11">
        <f>_xlfn.XLOOKUP(A226,[1]MIC!A:A,[1]MIC!D:D)</f>
        <v>45709</v>
      </c>
      <c r="Q226" s="5">
        <f>_xlfn.XLOOKUP(A226,'[1]Days Listed'!A:A,'[1]Days Listed'!B:B)</f>
        <v>256</v>
      </c>
      <c r="R226" s="5">
        <f>_xlfn.XLOOKUP(A226,'[1]Days Listed'!A:A,'[1]Days Listed'!C:C)</f>
        <v>129</v>
      </c>
      <c r="S226" s="5">
        <f>_xlfn.XLOOKUP(A226,'[1]Days With Trades'!A:A,'[1]Days With Trades'!B:B)</f>
        <v>250</v>
      </c>
      <c r="T226" s="5">
        <f>_xlfn.XLOOKUP(A226,'[1]Days With Trades'!A:A,'[1]Days With Trades'!C:C)</f>
        <v>127</v>
      </c>
      <c r="U226" s="12">
        <f>_xlfn.XLOOKUP(A226,'[1]Value Traded'!A:A,'[1]Value Traded'!B:B)</f>
        <v>3791702891.9000001</v>
      </c>
      <c r="V226" s="12">
        <f>_xlfn.XLOOKUP(A226,'[1]Value Traded'!A:A,'[1]Value Traded'!C:C)</f>
        <v>1927625949.1500001</v>
      </c>
      <c r="W226" s="12">
        <f>_xlfn.XLOOKUP(A226,'[1]Value Traded'!A:A,'[1]Value Traded'!E:E)</f>
        <v>4991312375.96</v>
      </c>
      <c r="X226" s="12">
        <f>_xlfn.XLOOKUP(A226,'[1]Value Traded'!A:A,'[1]Value Traded'!F:F)</f>
        <v>1199609484.0599999</v>
      </c>
      <c r="Y226" s="12">
        <f>_xlfn.XLOOKUP(A226,'[1]Value Traded'!A:A,'[1]Value Traded'!G:G)</f>
        <v>2271313972.5500002</v>
      </c>
      <c r="Z226" s="12">
        <f>_xlfn.XLOOKUP(A226,'[1]Value Traded'!A:A,'[1]Value Traded'!H:H)</f>
        <v>343688023.39999998</v>
      </c>
    </row>
    <row r="227" spans="1:26" x14ac:dyDescent="0.25">
      <c r="A227" s="13">
        <v>2079576</v>
      </c>
      <c r="B227" s="13" t="s">
        <v>1002</v>
      </c>
      <c r="C227" s="13" t="s">
        <v>1002</v>
      </c>
      <c r="D227" s="13" t="s">
        <v>1003</v>
      </c>
      <c r="E227" s="13" t="s">
        <v>1004</v>
      </c>
      <c r="F227" s="13" t="s">
        <v>32</v>
      </c>
      <c r="G227" s="13" t="s">
        <v>60</v>
      </c>
      <c r="H227" s="13" t="s">
        <v>61</v>
      </c>
      <c r="I227" s="13" t="s">
        <v>1005</v>
      </c>
      <c r="J227" s="13" t="s">
        <v>36</v>
      </c>
      <c r="K227" s="13" t="s">
        <v>37</v>
      </c>
      <c r="L227" s="13" t="s">
        <v>147</v>
      </c>
      <c r="M227" s="14">
        <v>232571705</v>
      </c>
      <c r="N227" s="15">
        <v>161869906.68000001</v>
      </c>
      <c r="O227" s="11">
        <f>_xlfn.XLOOKUP(A227,[1]MIC!A:A,[1]MIC!C:C)</f>
        <v>45344</v>
      </c>
      <c r="P227" s="11">
        <f>_xlfn.XLOOKUP(A227,[1]MIC!A:A,[1]MIC!D:D)</f>
        <v>45709</v>
      </c>
      <c r="Q227" s="5">
        <f>_xlfn.XLOOKUP(A227,'[1]Days Listed'!A:A,'[1]Days Listed'!B:B)</f>
        <v>256</v>
      </c>
      <c r="R227" s="5">
        <f>_xlfn.XLOOKUP(A227,'[1]Days Listed'!A:A,'[1]Days Listed'!C:C)</f>
        <v>129</v>
      </c>
      <c r="S227" s="5">
        <f>_xlfn.XLOOKUP(A227,'[1]Days With Trades'!A:A,'[1]Days With Trades'!B:B)</f>
        <v>250</v>
      </c>
      <c r="T227" s="5">
        <f>_xlfn.XLOOKUP(A227,'[1]Days With Trades'!A:A,'[1]Days With Trades'!C:C)</f>
        <v>127</v>
      </c>
      <c r="U227" s="12">
        <f>_xlfn.XLOOKUP(A227,'[1]Value Traded'!A:A,'[1]Value Traded'!B:B)</f>
        <v>86134350.060000002</v>
      </c>
      <c r="V227" s="12">
        <f>_xlfn.XLOOKUP(A227,'[1]Value Traded'!A:A,'[1]Value Traded'!C:C)</f>
        <v>58099553.840000004</v>
      </c>
      <c r="W227" s="12">
        <f>_xlfn.XLOOKUP(A227,'[1]Value Traded'!A:A,'[1]Value Traded'!E:E)</f>
        <v>121292073.92</v>
      </c>
      <c r="X227" s="12">
        <f>_xlfn.XLOOKUP(A227,'[1]Value Traded'!A:A,'[1]Value Traded'!F:F)</f>
        <v>35157723.859999999</v>
      </c>
      <c r="Y227" s="12">
        <f>_xlfn.XLOOKUP(A227,'[1]Value Traded'!A:A,'[1]Value Traded'!G:G)</f>
        <v>83928542.930000007</v>
      </c>
      <c r="Z227" s="12">
        <f>_xlfn.XLOOKUP(A227,'[1]Value Traded'!A:A,'[1]Value Traded'!H:H)</f>
        <v>25828989.09</v>
      </c>
    </row>
    <row r="228" spans="1:26" x14ac:dyDescent="0.25">
      <c r="A228" s="8">
        <v>2084787</v>
      </c>
      <c r="B228" s="8" t="s">
        <v>1006</v>
      </c>
      <c r="C228" s="8" t="s">
        <v>1006</v>
      </c>
      <c r="D228" s="8" t="s">
        <v>1007</v>
      </c>
      <c r="E228" s="8" t="s">
        <v>1008</v>
      </c>
      <c r="F228" s="8" t="s">
        <v>32</v>
      </c>
      <c r="G228" s="8" t="s">
        <v>60</v>
      </c>
      <c r="H228" s="8" t="s">
        <v>61</v>
      </c>
      <c r="I228" s="8" t="s">
        <v>1009</v>
      </c>
      <c r="J228" s="8" t="s">
        <v>36</v>
      </c>
      <c r="K228" s="8" t="s">
        <v>37</v>
      </c>
      <c r="L228" s="8" t="s">
        <v>74</v>
      </c>
      <c r="M228" s="9">
        <v>21213567</v>
      </c>
      <c r="N228" s="10">
        <v>1856187112.5</v>
      </c>
      <c r="O228" s="11">
        <f>_xlfn.XLOOKUP(A228,[1]MIC!A:A,[1]MIC!C:C)</f>
        <v>45344</v>
      </c>
      <c r="P228" s="11">
        <f>_xlfn.XLOOKUP(A228,[1]MIC!A:A,[1]MIC!D:D)</f>
        <v>45709</v>
      </c>
      <c r="Q228" s="5">
        <f>_xlfn.XLOOKUP(A228,'[1]Days Listed'!A:A,'[1]Days Listed'!B:B)</f>
        <v>256</v>
      </c>
      <c r="R228" s="5">
        <f>_xlfn.XLOOKUP(A228,'[1]Days Listed'!A:A,'[1]Days Listed'!C:C)</f>
        <v>129</v>
      </c>
      <c r="S228" s="5">
        <f>_xlfn.XLOOKUP(A228,'[1]Days With Trades'!A:A,'[1]Days With Trades'!B:B)</f>
        <v>249</v>
      </c>
      <c r="T228" s="5">
        <f>_xlfn.XLOOKUP(A228,'[1]Days With Trades'!A:A,'[1]Days With Trades'!C:C)</f>
        <v>126</v>
      </c>
      <c r="U228" s="12">
        <f>_xlfn.XLOOKUP(A228,'[1]Value Traded'!A:A,'[1]Value Traded'!B:B)</f>
        <v>105883330.5</v>
      </c>
      <c r="V228" s="12">
        <f>_xlfn.XLOOKUP(A228,'[1]Value Traded'!A:A,'[1]Value Traded'!C:C)</f>
        <v>36989619</v>
      </c>
      <c r="W228" s="12">
        <f>_xlfn.XLOOKUP(A228,'[1]Value Traded'!A:A,'[1]Value Traded'!E:E)</f>
        <v>150936135.5</v>
      </c>
      <c r="X228" s="12">
        <f>_xlfn.XLOOKUP(A228,'[1]Value Traded'!A:A,'[1]Value Traded'!F:F)</f>
        <v>45052805</v>
      </c>
      <c r="Y228" s="12">
        <f>_xlfn.XLOOKUP(A228,'[1]Value Traded'!A:A,'[1]Value Traded'!G:G)</f>
        <v>51077733.5</v>
      </c>
      <c r="Z228" s="12">
        <f>_xlfn.XLOOKUP(A228,'[1]Value Traded'!A:A,'[1]Value Traded'!H:H)</f>
        <v>14088114.5</v>
      </c>
    </row>
    <row r="229" spans="1:26" x14ac:dyDescent="0.25">
      <c r="A229" s="13">
        <v>2102993</v>
      </c>
      <c r="B229" s="13" t="s">
        <v>1010</v>
      </c>
      <c r="C229" s="13" t="s">
        <v>1010</v>
      </c>
      <c r="D229" s="13" t="s">
        <v>1011</v>
      </c>
      <c r="E229" s="13" t="s">
        <v>1012</v>
      </c>
      <c r="F229" s="13" t="s">
        <v>32</v>
      </c>
      <c r="G229" s="13" t="s">
        <v>60</v>
      </c>
      <c r="H229" s="13" t="s">
        <v>61</v>
      </c>
      <c r="I229" s="13" t="s">
        <v>1013</v>
      </c>
      <c r="J229" s="13" t="s">
        <v>36</v>
      </c>
      <c r="K229" s="13" t="s">
        <v>37</v>
      </c>
      <c r="L229" s="13" t="s">
        <v>107</v>
      </c>
      <c r="M229" s="14">
        <v>42000000</v>
      </c>
      <c r="N229" s="15">
        <v>378000000</v>
      </c>
      <c r="O229" s="11">
        <f>_xlfn.XLOOKUP(A229,[1]MIC!A:A,[1]MIC!C:C)</f>
        <v>45344</v>
      </c>
      <c r="P229" s="11">
        <f>_xlfn.XLOOKUP(A229,[1]MIC!A:A,[1]MIC!D:D)</f>
        <v>45709</v>
      </c>
      <c r="Q229" s="5">
        <f>_xlfn.XLOOKUP(A229,'[1]Days Listed'!A:A,'[1]Days Listed'!B:B)</f>
        <v>256</v>
      </c>
      <c r="R229" s="5">
        <f>_xlfn.XLOOKUP(A229,'[1]Days Listed'!A:A,'[1]Days Listed'!C:C)</f>
        <v>129</v>
      </c>
      <c r="S229" s="5">
        <f>_xlfn.XLOOKUP(A229,'[1]Days With Trades'!A:A,'[1]Days With Trades'!B:B)</f>
        <v>189</v>
      </c>
      <c r="T229" s="5">
        <f>_xlfn.XLOOKUP(A229,'[1]Days With Trades'!A:A,'[1]Days With Trades'!C:C)</f>
        <v>97</v>
      </c>
      <c r="U229" s="12">
        <f>_xlfn.XLOOKUP(A229,'[1]Value Traded'!A:A,'[1]Value Traded'!B:B)</f>
        <v>13354333.550000001</v>
      </c>
      <c r="V229" s="12">
        <f>_xlfn.XLOOKUP(A229,'[1]Value Traded'!A:A,'[1]Value Traded'!C:C)</f>
        <v>6802464.5499999998</v>
      </c>
      <c r="W229" s="12">
        <f>_xlfn.XLOOKUP(A229,'[1]Value Traded'!A:A,'[1]Value Traded'!E:E)</f>
        <v>24074846.199999999</v>
      </c>
      <c r="X229" s="12">
        <f>_xlfn.XLOOKUP(A229,'[1]Value Traded'!A:A,'[1]Value Traded'!F:F)</f>
        <v>10720512.65</v>
      </c>
      <c r="Y229" s="12">
        <f>_xlfn.XLOOKUP(A229,'[1]Value Traded'!A:A,'[1]Value Traded'!G:G)</f>
        <v>12222186.75</v>
      </c>
      <c r="Z229" s="12">
        <f>_xlfn.XLOOKUP(A229,'[1]Value Traded'!A:A,'[1]Value Traded'!H:H)</f>
        <v>5419722.2000000002</v>
      </c>
    </row>
    <row r="230" spans="1:26" x14ac:dyDescent="0.25">
      <c r="A230" s="8">
        <v>2105565</v>
      </c>
      <c r="B230" s="8" t="s">
        <v>1014</v>
      </c>
      <c r="C230" s="8" t="s">
        <v>1014</v>
      </c>
      <c r="D230" s="8" t="s">
        <v>1015</v>
      </c>
      <c r="E230" s="8" t="s">
        <v>1016</v>
      </c>
      <c r="F230" s="8" t="s">
        <v>32</v>
      </c>
      <c r="G230" s="8" t="s">
        <v>47</v>
      </c>
      <c r="H230" s="8" t="s">
        <v>48</v>
      </c>
      <c r="I230" s="8" t="s">
        <v>1017</v>
      </c>
      <c r="J230" s="8" t="s">
        <v>36</v>
      </c>
      <c r="K230" s="8" t="s">
        <v>37</v>
      </c>
      <c r="L230" s="8" t="s">
        <v>1018</v>
      </c>
      <c r="M230" s="9">
        <v>428486108</v>
      </c>
      <c r="N230" s="10">
        <v>859114646.53999996</v>
      </c>
      <c r="O230" s="11">
        <f>_xlfn.XLOOKUP(A230,[1]MIC!A:A,[1]MIC!C:C)</f>
        <v>45344</v>
      </c>
      <c r="P230" s="11">
        <f>_xlfn.XLOOKUP(A230,[1]MIC!A:A,[1]MIC!D:D)</f>
        <v>45709</v>
      </c>
      <c r="Q230" s="5">
        <f>_xlfn.XLOOKUP(A230,'[1]Days Listed'!A:A,'[1]Days Listed'!B:B)</f>
        <v>256</v>
      </c>
      <c r="R230" s="5">
        <f>_xlfn.XLOOKUP(A230,'[1]Days Listed'!A:A,'[1]Days Listed'!C:C)</f>
        <v>129</v>
      </c>
      <c r="S230" s="5">
        <f>_xlfn.XLOOKUP(A230,'[1]Days With Trades'!A:A,'[1]Days With Trades'!B:B)</f>
        <v>250</v>
      </c>
      <c r="T230" s="5">
        <f>_xlfn.XLOOKUP(A230,'[1]Days With Trades'!A:A,'[1]Days With Trades'!C:C)</f>
        <v>127</v>
      </c>
      <c r="U230" s="12">
        <f>_xlfn.XLOOKUP(A230,'[1]Value Traded'!A:A,'[1]Value Traded'!B:B)</f>
        <v>1277263220.25</v>
      </c>
      <c r="V230" s="12">
        <f>_xlfn.XLOOKUP(A230,'[1]Value Traded'!A:A,'[1]Value Traded'!C:C)</f>
        <v>683489771.03999996</v>
      </c>
      <c r="W230" s="12">
        <f>_xlfn.XLOOKUP(A230,'[1]Value Traded'!A:A,'[1]Value Traded'!E:E)</f>
        <v>1601670574.8900001</v>
      </c>
      <c r="X230" s="12">
        <f>_xlfn.XLOOKUP(A230,'[1]Value Traded'!A:A,'[1]Value Traded'!F:F)</f>
        <v>324407354.63999999</v>
      </c>
      <c r="Y230" s="12">
        <f>_xlfn.XLOOKUP(A230,'[1]Value Traded'!A:A,'[1]Value Traded'!G:G)</f>
        <v>862288529.50999999</v>
      </c>
      <c r="Z230" s="12">
        <f>_xlfn.XLOOKUP(A230,'[1]Value Traded'!A:A,'[1]Value Traded'!H:H)</f>
        <v>178798758.47</v>
      </c>
    </row>
    <row r="231" spans="1:26" x14ac:dyDescent="0.25">
      <c r="A231" s="13">
        <v>2108509</v>
      </c>
      <c r="B231" s="13" t="s">
        <v>1019</v>
      </c>
      <c r="C231" s="13" t="s">
        <v>1019</v>
      </c>
      <c r="D231" s="13" t="s">
        <v>1020</v>
      </c>
      <c r="E231" s="13" t="s">
        <v>1021</v>
      </c>
      <c r="F231" s="13" t="s">
        <v>32</v>
      </c>
      <c r="G231" s="13" t="s">
        <v>60</v>
      </c>
      <c r="H231" s="13" t="s">
        <v>61</v>
      </c>
      <c r="I231" s="13" t="s">
        <v>1022</v>
      </c>
      <c r="J231" s="13" t="s">
        <v>36</v>
      </c>
      <c r="K231" s="13" t="s">
        <v>37</v>
      </c>
      <c r="L231" s="13" t="s">
        <v>1023</v>
      </c>
      <c r="M231" s="14">
        <v>50782200</v>
      </c>
      <c r="N231" s="15">
        <v>683020590</v>
      </c>
      <c r="O231" s="11">
        <f>_xlfn.XLOOKUP(A231,[1]MIC!A:A,[1]MIC!C:C)</f>
        <v>45344</v>
      </c>
      <c r="P231" s="11">
        <f>_xlfn.XLOOKUP(A231,[1]MIC!A:A,[1]MIC!D:D)</f>
        <v>45709</v>
      </c>
      <c r="Q231" s="5">
        <f>_xlfn.XLOOKUP(A231,'[1]Days Listed'!A:A,'[1]Days Listed'!B:B)</f>
        <v>256</v>
      </c>
      <c r="R231" s="5">
        <f>_xlfn.XLOOKUP(A231,'[1]Days Listed'!A:A,'[1]Days Listed'!C:C)</f>
        <v>129</v>
      </c>
      <c r="S231" s="5">
        <f>_xlfn.XLOOKUP(A231,'[1]Days With Trades'!A:A,'[1]Days With Trades'!B:B)</f>
        <v>248</v>
      </c>
      <c r="T231" s="5">
        <f>_xlfn.XLOOKUP(A231,'[1]Days With Trades'!A:A,'[1]Days With Trades'!C:C)</f>
        <v>125</v>
      </c>
      <c r="U231" s="12">
        <f>_xlfn.XLOOKUP(A231,'[1]Value Traded'!A:A,'[1]Value Traded'!B:B)</f>
        <v>100062533.15000001</v>
      </c>
      <c r="V231" s="12">
        <f>_xlfn.XLOOKUP(A231,'[1]Value Traded'!A:A,'[1]Value Traded'!C:C)</f>
        <v>38153047.939999998</v>
      </c>
      <c r="W231" s="12">
        <f>_xlfn.XLOOKUP(A231,'[1]Value Traded'!A:A,'[1]Value Traded'!E:E)</f>
        <v>143107542.43000001</v>
      </c>
      <c r="X231" s="12">
        <f>_xlfn.XLOOKUP(A231,'[1]Value Traded'!A:A,'[1]Value Traded'!F:F)</f>
        <v>43045009.280000001</v>
      </c>
      <c r="Y231" s="12">
        <f>_xlfn.XLOOKUP(A231,'[1]Value Traded'!A:A,'[1]Value Traded'!G:G)</f>
        <v>62861559.340000004</v>
      </c>
      <c r="Z231" s="12">
        <f>_xlfn.XLOOKUP(A231,'[1]Value Traded'!A:A,'[1]Value Traded'!H:H)</f>
        <v>24708511.399999999</v>
      </c>
    </row>
    <row r="232" spans="1:26" x14ac:dyDescent="0.25">
      <c r="A232" s="8">
        <v>2110265</v>
      </c>
      <c r="B232" s="8" t="s">
        <v>1024</v>
      </c>
      <c r="C232" s="8" t="s">
        <v>1024</v>
      </c>
      <c r="D232" s="8" t="s">
        <v>1025</v>
      </c>
      <c r="E232" s="8" t="s">
        <v>1026</v>
      </c>
      <c r="F232" s="8" t="s">
        <v>32</v>
      </c>
      <c r="G232" s="8" t="s">
        <v>60</v>
      </c>
      <c r="H232" s="8" t="s">
        <v>61</v>
      </c>
      <c r="I232" s="8" t="s">
        <v>1027</v>
      </c>
      <c r="J232" s="8" t="s">
        <v>36</v>
      </c>
      <c r="K232" s="8" t="s">
        <v>37</v>
      </c>
      <c r="L232" s="8" t="s">
        <v>413</v>
      </c>
      <c r="M232" s="9">
        <v>12960561</v>
      </c>
      <c r="N232" s="10">
        <v>395297110.5</v>
      </c>
      <c r="O232" s="11">
        <f>_xlfn.XLOOKUP(A232,[1]MIC!A:A,[1]MIC!C:C)</f>
        <v>45344</v>
      </c>
      <c r="P232" s="11">
        <f>_xlfn.XLOOKUP(A232,[1]MIC!A:A,[1]MIC!D:D)</f>
        <v>45709</v>
      </c>
      <c r="Q232" s="5">
        <f>_xlfn.XLOOKUP(A232,'[1]Days Listed'!A:A,'[1]Days Listed'!B:B)</f>
        <v>256</v>
      </c>
      <c r="R232" s="5">
        <f>_xlfn.XLOOKUP(A232,'[1]Days Listed'!A:A,'[1]Days Listed'!C:C)</f>
        <v>129</v>
      </c>
      <c r="S232" s="5">
        <f>_xlfn.XLOOKUP(A232,'[1]Days With Trades'!A:A,'[1]Days With Trades'!B:B)</f>
        <v>227</v>
      </c>
      <c r="T232" s="5">
        <f>_xlfn.XLOOKUP(A232,'[1]Days With Trades'!A:A,'[1]Days With Trades'!C:C)</f>
        <v>112</v>
      </c>
      <c r="U232" s="12">
        <f>_xlfn.XLOOKUP(A232,'[1]Value Traded'!A:A,'[1]Value Traded'!B:B)</f>
        <v>56315262.700000003</v>
      </c>
      <c r="V232" s="12">
        <f>_xlfn.XLOOKUP(A232,'[1]Value Traded'!A:A,'[1]Value Traded'!C:C)</f>
        <v>27519975.899999999</v>
      </c>
      <c r="W232" s="12">
        <f>_xlfn.XLOOKUP(A232,'[1]Value Traded'!A:A,'[1]Value Traded'!E:E)</f>
        <v>78423057.200000003</v>
      </c>
      <c r="X232" s="12">
        <f>_xlfn.XLOOKUP(A232,'[1]Value Traded'!A:A,'[1]Value Traded'!F:F)</f>
        <v>22107794.5</v>
      </c>
      <c r="Y232" s="12">
        <f>_xlfn.XLOOKUP(A232,'[1]Value Traded'!A:A,'[1]Value Traded'!G:G)</f>
        <v>42108322.399999999</v>
      </c>
      <c r="Z232" s="12">
        <f>_xlfn.XLOOKUP(A232,'[1]Value Traded'!A:A,'[1]Value Traded'!H:H)</f>
        <v>14588346.5</v>
      </c>
    </row>
    <row r="233" spans="1:26" x14ac:dyDescent="0.25">
      <c r="A233" s="13">
        <v>2110369</v>
      </c>
      <c r="B233" s="13" t="s">
        <v>1028</v>
      </c>
      <c r="C233" s="13" t="s">
        <v>1028</v>
      </c>
      <c r="D233" s="13" t="s">
        <v>1029</v>
      </c>
      <c r="E233" s="13" t="s">
        <v>1030</v>
      </c>
      <c r="F233" s="13" t="s">
        <v>32</v>
      </c>
      <c r="G233" s="13" t="s">
        <v>60</v>
      </c>
      <c r="H233" s="13" t="s">
        <v>61</v>
      </c>
      <c r="I233" s="13" t="s">
        <v>1031</v>
      </c>
      <c r="J233" s="13" t="s">
        <v>36</v>
      </c>
      <c r="K233" s="13" t="s">
        <v>37</v>
      </c>
      <c r="L233" s="13" t="s">
        <v>886</v>
      </c>
      <c r="M233" s="14">
        <v>197140213</v>
      </c>
      <c r="N233" s="15">
        <v>74519000.510000005</v>
      </c>
      <c r="O233" s="11">
        <f>_xlfn.XLOOKUP(A233,[1]MIC!A:A,[1]MIC!C:C)</f>
        <v>45344</v>
      </c>
      <c r="P233" s="11">
        <f>_xlfn.XLOOKUP(A233,[1]MIC!A:A,[1]MIC!D:D)</f>
        <v>45709</v>
      </c>
      <c r="Q233" s="5">
        <f>_xlfn.XLOOKUP(A233,'[1]Days Listed'!A:A,'[1]Days Listed'!B:B)</f>
        <v>256</v>
      </c>
      <c r="R233" s="5">
        <f>_xlfn.XLOOKUP(A233,'[1]Days Listed'!A:A,'[1]Days Listed'!C:C)</f>
        <v>129</v>
      </c>
      <c r="S233" s="5">
        <f>_xlfn.XLOOKUP(A233,'[1]Days With Trades'!A:A,'[1]Days With Trades'!B:B)</f>
        <v>173</v>
      </c>
      <c r="T233" s="5">
        <f>_xlfn.XLOOKUP(A233,'[1]Days With Trades'!A:A,'[1]Days With Trades'!C:C)</f>
        <v>90</v>
      </c>
      <c r="U233" s="12">
        <f>_xlfn.XLOOKUP(A233,'[1]Value Traded'!A:A,'[1]Value Traded'!B:B)</f>
        <v>2519950.25</v>
      </c>
      <c r="V233" s="12">
        <f>_xlfn.XLOOKUP(A233,'[1]Value Traded'!A:A,'[1]Value Traded'!C:C)</f>
        <v>796834.93</v>
      </c>
      <c r="W233" s="12">
        <f>_xlfn.XLOOKUP(A233,'[1]Value Traded'!A:A,'[1]Value Traded'!E:E)</f>
        <v>5101744.8499999996</v>
      </c>
      <c r="X233" s="12">
        <f>_xlfn.XLOOKUP(A233,'[1]Value Traded'!A:A,'[1]Value Traded'!F:F)</f>
        <v>2581794.6</v>
      </c>
      <c r="Y233" s="12">
        <f>_xlfn.XLOOKUP(A233,'[1]Value Traded'!A:A,'[1]Value Traded'!G:G)</f>
        <v>1423238.49</v>
      </c>
      <c r="Z233" s="12">
        <f>_xlfn.XLOOKUP(A233,'[1]Value Traded'!A:A,'[1]Value Traded'!H:H)</f>
        <v>626403.56000000006</v>
      </c>
    </row>
    <row r="234" spans="1:26" x14ac:dyDescent="0.25">
      <c r="A234" s="8">
        <v>2141214</v>
      </c>
      <c r="B234" s="8" t="s">
        <v>1032</v>
      </c>
      <c r="C234" s="8" t="s">
        <v>1032</v>
      </c>
      <c r="D234" s="8" t="s">
        <v>1033</v>
      </c>
      <c r="E234" s="8" t="s">
        <v>1034</v>
      </c>
      <c r="F234" s="8" t="s">
        <v>32</v>
      </c>
      <c r="G234" s="8" t="s">
        <v>60</v>
      </c>
      <c r="H234" s="8" t="s">
        <v>61</v>
      </c>
      <c r="I234" s="8" t="s">
        <v>1035</v>
      </c>
      <c r="J234" s="8" t="s">
        <v>36</v>
      </c>
      <c r="K234" s="8" t="s">
        <v>37</v>
      </c>
      <c r="L234" s="8" t="s">
        <v>187</v>
      </c>
      <c r="M234" s="9">
        <v>22250000</v>
      </c>
      <c r="N234" s="10">
        <v>202920000</v>
      </c>
      <c r="O234" s="11">
        <f>_xlfn.XLOOKUP(A234,[1]MIC!A:A,[1]MIC!C:C)</f>
        <v>45344</v>
      </c>
      <c r="P234" s="11">
        <f>_xlfn.XLOOKUP(A234,[1]MIC!A:A,[1]MIC!D:D)</f>
        <v>45709</v>
      </c>
      <c r="Q234" s="5">
        <f>_xlfn.XLOOKUP(A234,'[1]Days Listed'!A:A,'[1]Days Listed'!B:B)</f>
        <v>256</v>
      </c>
      <c r="R234" s="5">
        <f>_xlfn.XLOOKUP(A234,'[1]Days Listed'!A:A,'[1]Days Listed'!C:C)</f>
        <v>129</v>
      </c>
      <c r="S234" s="5">
        <f>_xlfn.XLOOKUP(A234,'[1]Days With Trades'!A:A,'[1]Days With Trades'!B:B)</f>
        <v>246</v>
      </c>
      <c r="T234" s="5">
        <f>_xlfn.XLOOKUP(A234,'[1]Days With Trades'!A:A,'[1]Days With Trades'!C:C)</f>
        <v>127</v>
      </c>
      <c r="U234" s="12">
        <f>_xlfn.XLOOKUP(A234,'[1]Value Traded'!A:A,'[1]Value Traded'!B:B)</f>
        <v>66013044.759999998</v>
      </c>
      <c r="V234" s="12">
        <f>_xlfn.XLOOKUP(A234,'[1]Value Traded'!A:A,'[1]Value Traded'!C:C)</f>
        <v>41046166.359999999</v>
      </c>
      <c r="W234" s="12">
        <f>_xlfn.XLOOKUP(A234,'[1]Value Traded'!A:A,'[1]Value Traded'!E:E)</f>
        <v>82434892.709999993</v>
      </c>
      <c r="X234" s="12">
        <f>_xlfn.XLOOKUP(A234,'[1]Value Traded'!A:A,'[1]Value Traded'!F:F)</f>
        <v>16421847.949999999</v>
      </c>
      <c r="Y234" s="12">
        <f>_xlfn.XLOOKUP(A234,'[1]Value Traded'!A:A,'[1]Value Traded'!G:G)</f>
        <v>49668496.009999998</v>
      </c>
      <c r="Z234" s="12">
        <f>_xlfn.XLOOKUP(A234,'[1]Value Traded'!A:A,'[1]Value Traded'!H:H)</f>
        <v>8622329.6500000004</v>
      </c>
    </row>
    <row r="235" spans="1:26" x14ac:dyDescent="0.25">
      <c r="A235" s="13">
        <v>2145327</v>
      </c>
      <c r="B235" s="13" t="s">
        <v>1036</v>
      </c>
      <c r="C235" s="13" t="s">
        <v>1036</v>
      </c>
      <c r="D235" s="13" t="s">
        <v>1037</v>
      </c>
      <c r="E235" s="13" t="s">
        <v>1038</v>
      </c>
      <c r="F235" s="13" t="s">
        <v>32</v>
      </c>
      <c r="G235" s="13" t="s">
        <v>60</v>
      </c>
      <c r="H235" s="13" t="s">
        <v>61</v>
      </c>
      <c r="I235" s="13" t="s">
        <v>1039</v>
      </c>
      <c r="J235" s="13" t="s">
        <v>36</v>
      </c>
      <c r="K235" s="13" t="s">
        <v>37</v>
      </c>
      <c r="L235" s="13" t="s">
        <v>567</v>
      </c>
      <c r="M235" s="14">
        <v>22325980</v>
      </c>
      <c r="N235" s="15">
        <v>23219019.199999999</v>
      </c>
      <c r="O235" s="11">
        <f>_xlfn.XLOOKUP(A235,[1]MIC!A:A,[1]MIC!C:C)</f>
        <v>45344</v>
      </c>
      <c r="P235" s="11">
        <f>_xlfn.XLOOKUP(A235,[1]MIC!A:A,[1]MIC!D:D)</f>
        <v>45709</v>
      </c>
      <c r="Q235" s="5">
        <f>_xlfn.XLOOKUP(A235,'[1]Days Listed'!A:A,'[1]Days Listed'!B:B)</f>
        <v>256</v>
      </c>
      <c r="R235" s="5">
        <f>_xlfn.XLOOKUP(A235,'[1]Days Listed'!A:A,'[1]Days Listed'!C:C)</f>
        <v>129</v>
      </c>
      <c r="S235" s="5">
        <f>_xlfn.XLOOKUP(A235,'[1]Days With Trades'!A:A,'[1]Days With Trades'!B:B)</f>
        <v>249</v>
      </c>
      <c r="T235" s="5">
        <f>_xlfn.XLOOKUP(A235,'[1]Days With Trades'!A:A,'[1]Days With Trades'!C:C)</f>
        <v>126</v>
      </c>
      <c r="U235" s="12">
        <f>_xlfn.XLOOKUP(A235,'[1]Value Traded'!A:A,'[1]Value Traded'!B:B)</f>
        <v>24718494.010000002</v>
      </c>
      <c r="V235" s="12">
        <f>_xlfn.XLOOKUP(A235,'[1]Value Traded'!A:A,'[1]Value Traded'!C:C)</f>
        <v>13257632.949999999</v>
      </c>
      <c r="W235" s="12">
        <f>_xlfn.XLOOKUP(A235,'[1]Value Traded'!A:A,'[1]Value Traded'!E:E)</f>
        <v>31643106.359999999</v>
      </c>
      <c r="X235" s="12">
        <f>_xlfn.XLOOKUP(A235,'[1]Value Traded'!A:A,'[1]Value Traded'!F:F)</f>
        <v>6924612.3499999996</v>
      </c>
      <c r="Y235" s="12">
        <f>_xlfn.XLOOKUP(A235,'[1]Value Traded'!A:A,'[1]Value Traded'!G:G)</f>
        <v>17117953.309999999</v>
      </c>
      <c r="Z235" s="12">
        <f>_xlfn.XLOOKUP(A235,'[1]Value Traded'!A:A,'[1]Value Traded'!H:H)</f>
        <v>3860320.36</v>
      </c>
    </row>
    <row r="236" spans="1:26" x14ac:dyDescent="0.25">
      <c r="A236" s="8">
        <v>2149724</v>
      </c>
      <c r="B236" s="8" t="s">
        <v>1040</v>
      </c>
      <c r="C236" s="8" t="s">
        <v>1040</v>
      </c>
      <c r="D236" s="8" t="s">
        <v>1041</v>
      </c>
      <c r="E236" s="8" t="s">
        <v>1042</v>
      </c>
      <c r="F236" s="8" t="s">
        <v>32</v>
      </c>
      <c r="G236" s="8" t="s">
        <v>47</v>
      </c>
      <c r="H236" s="8" t="s">
        <v>48</v>
      </c>
      <c r="I236" s="8" t="s">
        <v>1043</v>
      </c>
      <c r="J236" s="8" t="s">
        <v>36</v>
      </c>
      <c r="K236" s="8" t="s">
        <v>37</v>
      </c>
      <c r="L236" s="8" t="s">
        <v>187</v>
      </c>
      <c r="M236" s="9">
        <v>690348751</v>
      </c>
      <c r="N236" s="10">
        <v>1126649161.6300001</v>
      </c>
      <c r="O236" s="11">
        <f>_xlfn.XLOOKUP(A236,[1]MIC!A:A,[1]MIC!C:C)</f>
        <v>45344</v>
      </c>
      <c r="P236" s="11">
        <f>_xlfn.XLOOKUP(A236,[1]MIC!A:A,[1]MIC!D:D)</f>
        <v>45709</v>
      </c>
      <c r="Q236" s="5">
        <f>_xlfn.XLOOKUP(A236,'[1]Days Listed'!A:A,'[1]Days Listed'!B:B)</f>
        <v>256</v>
      </c>
      <c r="R236" s="5">
        <f>_xlfn.XLOOKUP(A236,'[1]Days Listed'!A:A,'[1]Days Listed'!C:C)</f>
        <v>129</v>
      </c>
      <c r="S236" s="5">
        <f>_xlfn.XLOOKUP(A236,'[1]Days With Trades'!A:A,'[1]Days With Trades'!B:B)</f>
        <v>250</v>
      </c>
      <c r="T236" s="5">
        <f>_xlfn.XLOOKUP(A236,'[1]Days With Trades'!A:A,'[1]Days With Trades'!C:C)</f>
        <v>127</v>
      </c>
      <c r="U236" s="12">
        <f>_xlfn.XLOOKUP(A236,'[1]Value Traded'!A:A,'[1]Value Traded'!B:B)</f>
        <v>1360800386.9400001</v>
      </c>
      <c r="V236" s="12">
        <f>_xlfn.XLOOKUP(A236,'[1]Value Traded'!A:A,'[1]Value Traded'!C:C)</f>
        <v>604545354.61000001</v>
      </c>
      <c r="W236" s="12">
        <f>_xlfn.XLOOKUP(A236,'[1]Value Traded'!A:A,'[1]Value Traded'!E:E)</f>
        <v>1762964345.97</v>
      </c>
      <c r="X236" s="12">
        <f>_xlfn.XLOOKUP(A236,'[1]Value Traded'!A:A,'[1]Value Traded'!F:F)</f>
        <v>402163959.02999997</v>
      </c>
      <c r="Y236" s="12">
        <f>_xlfn.XLOOKUP(A236,'[1]Value Traded'!A:A,'[1]Value Traded'!G:G)</f>
        <v>759528361.70000005</v>
      </c>
      <c r="Z236" s="12">
        <f>_xlfn.XLOOKUP(A236,'[1]Value Traded'!A:A,'[1]Value Traded'!H:H)</f>
        <v>154983007.09</v>
      </c>
    </row>
    <row r="237" spans="1:26" x14ac:dyDescent="0.25">
      <c r="A237" s="13">
        <v>2153253</v>
      </c>
      <c r="B237" s="13" t="s">
        <v>1044</v>
      </c>
      <c r="C237" s="13" t="s">
        <v>1044</v>
      </c>
      <c r="D237" s="13" t="s">
        <v>1045</v>
      </c>
      <c r="E237" s="13" t="s">
        <v>1046</v>
      </c>
      <c r="F237" s="13" t="s">
        <v>32</v>
      </c>
      <c r="G237" s="13" t="s">
        <v>60</v>
      </c>
      <c r="H237" s="13" t="s">
        <v>61</v>
      </c>
      <c r="I237" s="13" t="s">
        <v>1047</v>
      </c>
      <c r="J237" s="13" t="s">
        <v>36</v>
      </c>
      <c r="K237" s="13" t="s">
        <v>37</v>
      </c>
      <c r="L237" s="13" t="s">
        <v>74</v>
      </c>
      <c r="M237" s="14">
        <v>142172780</v>
      </c>
      <c r="N237" s="15">
        <v>497604730</v>
      </c>
      <c r="O237" s="11">
        <f>_xlfn.XLOOKUP(A237,[1]MIC!A:A,[1]MIC!C:C)</f>
        <v>45344</v>
      </c>
      <c r="P237" s="11">
        <f>_xlfn.XLOOKUP(A237,[1]MIC!A:A,[1]MIC!D:D)</f>
        <v>45709</v>
      </c>
      <c r="Q237" s="5">
        <f>_xlfn.XLOOKUP(A237,'[1]Days Listed'!A:A,'[1]Days Listed'!B:B)</f>
        <v>256</v>
      </c>
      <c r="R237" s="5">
        <f>_xlfn.XLOOKUP(A237,'[1]Days Listed'!A:A,'[1]Days Listed'!C:C)</f>
        <v>129</v>
      </c>
      <c r="S237" s="5">
        <f>_xlfn.XLOOKUP(A237,'[1]Days With Trades'!A:A,'[1]Days With Trades'!B:B)</f>
        <v>250</v>
      </c>
      <c r="T237" s="5">
        <f>_xlfn.XLOOKUP(A237,'[1]Days With Trades'!A:A,'[1]Days With Trades'!C:C)</f>
        <v>127</v>
      </c>
      <c r="U237" s="12">
        <f>_xlfn.XLOOKUP(A237,'[1]Value Traded'!A:A,'[1]Value Traded'!B:B)</f>
        <v>115159437.86</v>
      </c>
      <c r="V237" s="12">
        <f>_xlfn.XLOOKUP(A237,'[1]Value Traded'!A:A,'[1]Value Traded'!C:C)</f>
        <v>46619922.759999998</v>
      </c>
      <c r="W237" s="12">
        <f>_xlfn.XLOOKUP(A237,'[1]Value Traded'!A:A,'[1]Value Traded'!E:E)</f>
        <v>149822564.69999999</v>
      </c>
      <c r="X237" s="12">
        <f>_xlfn.XLOOKUP(A237,'[1]Value Traded'!A:A,'[1]Value Traded'!F:F)</f>
        <v>34663126.840000004</v>
      </c>
      <c r="Y237" s="12">
        <f>_xlfn.XLOOKUP(A237,'[1]Value Traded'!A:A,'[1]Value Traded'!G:G)</f>
        <v>67060906.079999998</v>
      </c>
      <c r="Z237" s="12">
        <f>_xlfn.XLOOKUP(A237,'[1]Value Traded'!A:A,'[1]Value Traded'!H:H)</f>
        <v>20440983.32</v>
      </c>
    </row>
    <row r="238" spans="1:26" x14ac:dyDescent="0.25">
      <c r="A238" s="8">
        <v>2160148</v>
      </c>
      <c r="B238" s="8" t="s">
        <v>1048</v>
      </c>
      <c r="C238" s="8" t="s">
        <v>1048</v>
      </c>
      <c r="D238" s="8" t="s">
        <v>1049</v>
      </c>
      <c r="E238" s="8" t="s">
        <v>1050</v>
      </c>
      <c r="F238" s="8" t="s">
        <v>32</v>
      </c>
      <c r="G238" s="8" t="s">
        <v>60</v>
      </c>
      <c r="H238" s="8" t="s">
        <v>61</v>
      </c>
      <c r="I238" s="8" t="s">
        <v>1051</v>
      </c>
      <c r="J238" s="8" t="s">
        <v>36</v>
      </c>
      <c r="K238" s="8" t="s">
        <v>37</v>
      </c>
      <c r="L238" s="8" t="s">
        <v>170</v>
      </c>
      <c r="M238" s="9">
        <v>160073700</v>
      </c>
      <c r="N238" s="10">
        <v>3329532960</v>
      </c>
      <c r="O238" s="11">
        <f>_xlfn.XLOOKUP(A238,[1]MIC!A:A,[1]MIC!C:C)</f>
        <v>45344</v>
      </c>
      <c r="P238" s="11">
        <f>_xlfn.XLOOKUP(A238,[1]MIC!A:A,[1]MIC!D:D)</f>
        <v>45709</v>
      </c>
      <c r="Q238" s="5">
        <f>_xlfn.XLOOKUP(A238,'[1]Days Listed'!A:A,'[1]Days Listed'!B:B)</f>
        <v>256</v>
      </c>
      <c r="R238" s="5">
        <f>_xlfn.XLOOKUP(A238,'[1]Days Listed'!A:A,'[1]Days Listed'!C:C)</f>
        <v>129</v>
      </c>
      <c r="S238" s="5">
        <f>_xlfn.XLOOKUP(A238,'[1]Days With Trades'!A:A,'[1]Days With Trades'!B:B)</f>
        <v>250</v>
      </c>
      <c r="T238" s="5">
        <f>_xlfn.XLOOKUP(A238,'[1]Days With Trades'!A:A,'[1]Days With Trades'!C:C)</f>
        <v>127</v>
      </c>
      <c r="U238" s="12">
        <f>_xlfn.XLOOKUP(A238,'[1]Value Traded'!A:A,'[1]Value Traded'!B:B)</f>
        <v>138950797.25</v>
      </c>
      <c r="V238" s="12">
        <f>_xlfn.XLOOKUP(A238,'[1]Value Traded'!A:A,'[1]Value Traded'!C:C)</f>
        <v>81709947.280000001</v>
      </c>
      <c r="W238" s="12">
        <f>_xlfn.XLOOKUP(A238,'[1]Value Traded'!A:A,'[1]Value Traded'!E:E)</f>
        <v>183408043.63</v>
      </c>
      <c r="X238" s="12">
        <f>_xlfn.XLOOKUP(A238,'[1]Value Traded'!A:A,'[1]Value Traded'!F:F)</f>
        <v>44457246.380000003</v>
      </c>
      <c r="Y238" s="12">
        <f>_xlfn.XLOOKUP(A238,'[1]Value Traded'!A:A,'[1]Value Traded'!G:G)</f>
        <v>102849094.70999999</v>
      </c>
      <c r="Z238" s="12">
        <f>_xlfn.XLOOKUP(A238,'[1]Value Traded'!A:A,'[1]Value Traded'!H:H)</f>
        <v>21139147.43</v>
      </c>
    </row>
    <row r="239" spans="1:26" x14ac:dyDescent="0.25">
      <c r="A239" s="13">
        <v>2166226</v>
      </c>
      <c r="B239" s="13" t="s">
        <v>1052</v>
      </c>
      <c r="C239" s="13" t="s">
        <v>1052</v>
      </c>
      <c r="D239" s="13" t="s">
        <v>1053</v>
      </c>
      <c r="E239" s="13" t="s">
        <v>1054</v>
      </c>
      <c r="F239" s="13" t="s">
        <v>32</v>
      </c>
      <c r="G239" s="13" t="s">
        <v>60</v>
      </c>
      <c r="H239" s="13" t="s">
        <v>61</v>
      </c>
      <c r="I239" s="13" t="s">
        <v>1055</v>
      </c>
      <c r="J239" s="13" t="s">
        <v>36</v>
      </c>
      <c r="K239" s="13" t="s">
        <v>37</v>
      </c>
      <c r="L239" s="13" t="s">
        <v>947</v>
      </c>
      <c r="M239" s="14">
        <v>88104440</v>
      </c>
      <c r="N239" s="15">
        <v>116738383</v>
      </c>
      <c r="O239" s="11">
        <f>_xlfn.XLOOKUP(A239,[1]MIC!A:A,[1]MIC!C:C)</f>
        <v>45344</v>
      </c>
      <c r="P239" s="11">
        <f>_xlfn.XLOOKUP(A239,[1]MIC!A:A,[1]MIC!D:D)</f>
        <v>45709</v>
      </c>
      <c r="Q239" s="5">
        <f>_xlfn.XLOOKUP(A239,'[1]Days Listed'!A:A,'[1]Days Listed'!B:B)</f>
        <v>256</v>
      </c>
      <c r="R239" s="5">
        <f>_xlfn.XLOOKUP(A239,'[1]Days Listed'!A:A,'[1]Days Listed'!C:C)</f>
        <v>129</v>
      </c>
      <c r="S239" s="5">
        <f>_xlfn.XLOOKUP(A239,'[1]Days With Trades'!A:A,'[1]Days With Trades'!B:B)</f>
        <v>250</v>
      </c>
      <c r="T239" s="5">
        <f>_xlfn.XLOOKUP(A239,'[1]Days With Trades'!A:A,'[1]Days With Trades'!C:C)</f>
        <v>127</v>
      </c>
      <c r="U239" s="12">
        <f>_xlfn.XLOOKUP(A239,'[1]Value Traded'!A:A,'[1]Value Traded'!B:B)</f>
        <v>69293751.390000001</v>
      </c>
      <c r="V239" s="12">
        <f>_xlfn.XLOOKUP(A239,'[1]Value Traded'!A:A,'[1]Value Traded'!C:C)</f>
        <v>30591101.370000001</v>
      </c>
      <c r="W239" s="12">
        <f>_xlfn.XLOOKUP(A239,'[1]Value Traded'!A:A,'[1]Value Traded'!E:E)</f>
        <v>87490154.319999993</v>
      </c>
      <c r="X239" s="12">
        <f>_xlfn.XLOOKUP(A239,'[1]Value Traded'!A:A,'[1]Value Traded'!F:F)</f>
        <v>18196402.93</v>
      </c>
      <c r="Y239" s="12">
        <f>_xlfn.XLOOKUP(A239,'[1]Value Traded'!A:A,'[1]Value Traded'!G:G)</f>
        <v>40596811.340000004</v>
      </c>
      <c r="Z239" s="12">
        <f>_xlfn.XLOOKUP(A239,'[1]Value Traded'!A:A,'[1]Value Traded'!H:H)</f>
        <v>10005709.970000001</v>
      </c>
    </row>
    <row r="240" spans="1:26" x14ac:dyDescent="0.25">
      <c r="A240" s="8">
        <v>2166227</v>
      </c>
      <c r="B240" s="8" t="s">
        <v>1056</v>
      </c>
      <c r="C240" s="8" t="s">
        <v>1056</v>
      </c>
      <c r="D240" s="8" t="s">
        <v>1057</v>
      </c>
      <c r="E240" s="8" t="s">
        <v>1058</v>
      </c>
      <c r="F240" s="8" t="s">
        <v>32</v>
      </c>
      <c r="G240" s="8" t="s">
        <v>60</v>
      </c>
      <c r="H240" s="8" t="s">
        <v>61</v>
      </c>
      <c r="I240" s="8" t="s">
        <v>1059</v>
      </c>
      <c r="J240" s="8" t="s">
        <v>36</v>
      </c>
      <c r="K240" s="8" t="s">
        <v>37</v>
      </c>
      <c r="L240" s="8" t="s">
        <v>413</v>
      </c>
      <c r="M240" s="9">
        <v>18363281</v>
      </c>
      <c r="N240" s="10">
        <v>440718744</v>
      </c>
      <c r="O240" s="11">
        <f>_xlfn.XLOOKUP(A240,[1]MIC!A:A,[1]MIC!C:C)</f>
        <v>45344</v>
      </c>
      <c r="P240" s="11">
        <f>_xlfn.XLOOKUP(A240,[1]MIC!A:A,[1]MIC!D:D)</f>
        <v>45709</v>
      </c>
      <c r="Q240" s="5">
        <f>_xlfn.XLOOKUP(A240,'[1]Days Listed'!A:A,'[1]Days Listed'!B:B)</f>
        <v>256</v>
      </c>
      <c r="R240" s="5">
        <f>_xlfn.XLOOKUP(A240,'[1]Days Listed'!A:A,'[1]Days Listed'!C:C)</f>
        <v>129</v>
      </c>
      <c r="S240" s="5">
        <f>_xlfn.XLOOKUP(A240,'[1]Days With Trades'!A:A,'[1]Days With Trades'!B:B)</f>
        <v>244</v>
      </c>
      <c r="T240" s="5">
        <f>_xlfn.XLOOKUP(A240,'[1]Days With Trades'!A:A,'[1]Days With Trades'!C:C)</f>
        <v>125</v>
      </c>
      <c r="U240" s="12">
        <f>_xlfn.XLOOKUP(A240,'[1]Value Traded'!A:A,'[1]Value Traded'!B:B)</f>
        <v>24875544.719999999</v>
      </c>
      <c r="V240" s="12">
        <f>_xlfn.XLOOKUP(A240,'[1]Value Traded'!A:A,'[1]Value Traded'!C:C)</f>
        <v>17135575.170000002</v>
      </c>
      <c r="W240" s="12">
        <f>_xlfn.XLOOKUP(A240,'[1]Value Traded'!A:A,'[1]Value Traded'!E:E)</f>
        <v>40496357.82</v>
      </c>
      <c r="X240" s="12">
        <f>_xlfn.XLOOKUP(A240,'[1]Value Traded'!A:A,'[1]Value Traded'!F:F)</f>
        <v>15620813.1</v>
      </c>
      <c r="Y240" s="12">
        <f>_xlfn.XLOOKUP(A240,'[1]Value Traded'!A:A,'[1]Value Traded'!G:G)</f>
        <v>28764641.289999999</v>
      </c>
      <c r="Z240" s="12">
        <f>_xlfn.XLOOKUP(A240,'[1]Value Traded'!A:A,'[1]Value Traded'!H:H)</f>
        <v>11629066.119999999</v>
      </c>
    </row>
    <row r="241" spans="1:26" x14ac:dyDescent="0.25">
      <c r="A241" s="13">
        <v>2167902</v>
      </c>
      <c r="B241" s="13" t="s">
        <v>1060</v>
      </c>
      <c r="C241" s="13" t="s">
        <v>1060</v>
      </c>
      <c r="D241" s="13" t="s">
        <v>1061</v>
      </c>
      <c r="E241" s="13" t="s">
        <v>1062</v>
      </c>
      <c r="F241" s="13" t="s">
        <v>32</v>
      </c>
      <c r="G241" s="13" t="s">
        <v>60</v>
      </c>
      <c r="H241" s="13" t="s">
        <v>61</v>
      </c>
      <c r="I241" s="13" t="s">
        <v>1063</v>
      </c>
      <c r="J241" s="13" t="s">
        <v>36</v>
      </c>
      <c r="K241" s="13" t="s">
        <v>37</v>
      </c>
      <c r="L241" s="13" t="s">
        <v>1064</v>
      </c>
      <c r="M241" s="14">
        <v>58034676</v>
      </c>
      <c r="N241" s="15">
        <v>783468126</v>
      </c>
      <c r="O241" s="11">
        <f>_xlfn.XLOOKUP(A241,[1]MIC!A:A,[1]MIC!C:C)</f>
        <v>45344</v>
      </c>
      <c r="P241" s="11">
        <f>_xlfn.XLOOKUP(A241,[1]MIC!A:A,[1]MIC!D:D)</f>
        <v>45709</v>
      </c>
      <c r="Q241" s="5">
        <f>_xlfn.XLOOKUP(A241,'[1]Days Listed'!A:A,'[1]Days Listed'!B:B)</f>
        <v>256</v>
      </c>
      <c r="R241" s="5">
        <f>_xlfn.XLOOKUP(A241,'[1]Days Listed'!A:A,'[1]Days Listed'!C:C)</f>
        <v>129</v>
      </c>
      <c r="S241" s="5">
        <f>_xlfn.XLOOKUP(A241,'[1]Days With Trades'!A:A,'[1]Days With Trades'!B:B)</f>
        <v>104</v>
      </c>
      <c r="T241" s="5">
        <f>_xlfn.XLOOKUP(A241,'[1]Days With Trades'!A:A,'[1]Days With Trades'!C:C)</f>
        <v>64</v>
      </c>
      <c r="U241" s="12">
        <f>_xlfn.XLOOKUP(A241,'[1]Value Traded'!A:A,'[1]Value Traded'!B:B)</f>
        <v>1470725.3</v>
      </c>
      <c r="V241" s="12">
        <f>_xlfn.XLOOKUP(A241,'[1]Value Traded'!A:A,'[1]Value Traded'!C:C)</f>
        <v>1528589.95</v>
      </c>
      <c r="W241" s="12">
        <f>_xlfn.XLOOKUP(A241,'[1]Value Traded'!A:A,'[1]Value Traded'!E:E)</f>
        <v>2849786.2</v>
      </c>
      <c r="X241" s="12">
        <f>_xlfn.XLOOKUP(A241,'[1]Value Traded'!A:A,'[1]Value Traded'!F:F)</f>
        <v>1379060.9</v>
      </c>
      <c r="Y241" s="12">
        <f>_xlfn.XLOOKUP(A241,'[1]Value Traded'!A:A,'[1]Value Traded'!G:G)</f>
        <v>2388240.4500000002</v>
      </c>
      <c r="Z241" s="12">
        <f>_xlfn.XLOOKUP(A241,'[1]Value Traded'!A:A,'[1]Value Traded'!H:H)</f>
        <v>859650.5</v>
      </c>
    </row>
    <row r="242" spans="1:26" x14ac:dyDescent="0.25">
      <c r="A242" s="8">
        <v>2169558</v>
      </c>
      <c r="B242" s="8" t="s">
        <v>1065</v>
      </c>
      <c r="C242" s="8" t="s">
        <v>1066</v>
      </c>
      <c r="D242" s="8" t="s">
        <v>1067</v>
      </c>
      <c r="E242" s="8" t="s">
        <v>1068</v>
      </c>
      <c r="F242" s="8" t="s">
        <v>32</v>
      </c>
      <c r="G242" s="8" t="s">
        <v>47</v>
      </c>
      <c r="H242" s="8" t="s">
        <v>48</v>
      </c>
      <c r="I242" s="8" t="s">
        <v>1069</v>
      </c>
      <c r="J242" s="8" t="s">
        <v>36</v>
      </c>
      <c r="K242" s="8" t="s">
        <v>37</v>
      </c>
      <c r="L242" s="8" t="s">
        <v>170</v>
      </c>
      <c r="M242" s="9">
        <v>57690377</v>
      </c>
      <c r="N242" s="10">
        <v>4067171578.5</v>
      </c>
      <c r="O242" s="11">
        <f>_xlfn.XLOOKUP(A242,[1]MIC!A:A,[1]MIC!C:C)</f>
        <v>45344</v>
      </c>
      <c r="P242" s="11">
        <f>_xlfn.XLOOKUP(A242,[1]MIC!A:A,[1]MIC!D:D)</f>
        <v>45644</v>
      </c>
      <c r="Q242" s="5">
        <f>_xlfn.XLOOKUP(A242,'[1]Days Listed'!A:A,'[1]Days Listed'!B:B)</f>
        <v>256</v>
      </c>
      <c r="R242" s="5">
        <f>_xlfn.XLOOKUP(A242,'[1]Days Listed'!A:A,'[1]Days Listed'!C:C)</f>
        <v>129</v>
      </c>
      <c r="S242" s="5">
        <f>_xlfn.XLOOKUP(A242,'[1]Days With Trades'!A:A,'[1]Days With Trades'!B:B)</f>
        <v>249</v>
      </c>
      <c r="T242" s="5">
        <f>_xlfn.XLOOKUP(A242,'[1]Days With Trades'!A:A,'[1]Days With Trades'!C:C)</f>
        <v>126</v>
      </c>
      <c r="U242" s="12">
        <f>_xlfn.XLOOKUP(A242,'[1]Value Traded'!A:A,'[1]Value Traded'!B:B)</f>
        <v>393288150.30000001</v>
      </c>
      <c r="V242" s="12">
        <f>_xlfn.XLOOKUP(A242,'[1]Value Traded'!A:A,'[1]Value Traded'!C:C)</f>
        <v>227203580</v>
      </c>
      <c r="W242" s="12">
        <f>_xlfn.XLOOKUP(A242,'[1]Value Traded'!A:A,'[1]Value Traded'!E:E)</f>
        <v>571502782.29999995</v>
      </c>
      <c r="X242" s="12">
        <f>_xlfn.XLOOKUP(A242,'[1]Value Traded'!A:A,'[1]Value Traded'!F:F)</f>
        <v>178214632</v>
      </c>
      <c r="Y242" s="12">
        <f>_xlfn.XLOOKUP(A242,'[1]Value Traded'!A:A,'[1]Value Traded'!G:G)</f>
        <v>330153377</v>
      </c>
      <c r="Z242" s="12">
        <f>_xlfn.XLOOKUP(A242,'[1]Value Traded'!A:A,'[1]Value Traded'!H:H)</f>
        <v>102949797</v>
      </c>
    </row>
    <row r="243" spans="1:26" x14ac:dyDescent="0.25">
      <c r="A243" s="13">
        <v>2170823</v>
      </c>
      <c r="B243" s="13" t="s">
        <v>1070</v>
      </c>
      <c r="C243" s="13" t="s">
        <v>1070</v>
      </c>
      <c r="D243" s="13" t="s">
        <v>1071</v>
      </c>
      <c r="E243" s="13" t="s">
        <v>1072</v>
      </c>
      <c r="F243" s="13" t="s">
        <v>32</v>
      </c>
      <c r="G243" s="13" t="s">
        <v>60</v>
      </c>
      <c r="H243" s="13" t="s">
        <v>61</v>
      </c>
      <c r="I243" s="13" t="s">
        <v>1073</v>
      </c>
      <c r="J243" s="13" t="s">
        <v>36</v>
      </c>
      <c r="K243" s="13" t="s">
        <v>37</v>
      </c>
      <c r="L243" s="13" t="s">
        <v>74</v>
      </c>
      <c r="M243" s="14">
        <v>31876653</v>
      </c>
      <c r="N243" s="15">
        <v>2024167465.5</v>
      </c>
      <c r="O243" s="11">
        <f>_xlfn.XLOOKUP(A243,[1]MIC!A:A,[1]MIC!C:C)</f>
        <v>45344</v>
      </c>
      <c r="P243" s="11">
        <f>_xlfn.XLOOKUP(A243,[1]MIC!A:A,[1]MIC!D:D)</f>
        <v>45709</v>
      </c>
      <c r="Q243" s="5">
        <f>_xlfn.XLOOKUP(A243,'[1]Days Listed'!A:A,'[1]Days Listed'!B:B)</f>
        <v>256</v>
      </c>
      <c r="R243" s="5">
        <f>_xlfn.XLOOKUP(A243,'[1]Days Listed'!A:A,'[1]Days Listed'!C:C)</f>
        <v>129</v>
      </c>
      <c r="S243" s="5">
        <f>_xlfn.XLOOKUP(A243,'[1]Days With Trades'!A:A,'[1]Days With Trades'!B:B)</f>
        <v>217</v>
      </c>
      <c r="T243" s="5">
        <f>_xlfn.XLOOKUP(A243,'[1]Days With Trades'!A:A,'[1]Days With Trades'!C:C)</f>
        <v>116</v>
      </c>
      <c r="U243" s="12">
        <f>_xlfn.XLOOKUP(A243,'[1]Value Traded'!A:A,'[1]Value Traded'!B:B)</f>
        <v>57413063.5</v>
      </c>
      <c r="V243" s="12">
        <f>_xlfn.XLOOKUP(A243,'[1]Value Traded'!A:A,'[1]Value Traded'!C:C)</f>
        <v>31696783.699999999</v>
      </c>
      <c r="W243" s="12">
        <f>_xlfn.XLOOKUP(A243,'[1]Value Traded'!A:A,'[1]Value Traded'!E:E)</f>
        <v>76121314.799999997</v>
      </c>
      <c r="X243" s="12">
        <f>_xlfn.XLOOKUP(A243,'[1]Value Traded'!A:A,'[1]Value Traded'!F:F)</f>
        <v>18708251.300000001</v>
      </c>
      <c r="Y243" s="12">
        <f>_xlfn.XLOOKUP(A243,'[1]Value Traded'!A:A,'[1]Value Traded'!G:G)</f>
        <v>42321123.5</v>
      </c>
      <c r="Z243" s="12">
        <f>_xlfn.XLOOKUP(A243,'[1]Value Traded'!A:A,'[1]Value Traded'!H:H)</f>
        <v>10624339.800000001</v>
      </c>
    </row>
    <row r="244" spans="1:26" x14ac:dyDescent="0.25">
      <c r="A244" s="8">
        <v>2171403</v>
      </c>
      <c r="B244" s="8" t="s">
        <v>1074</v>
      </c>
      <c r="C244" s="8" t="s">
        <v>1074</v>
      </c>
      <c r="D244" s="8" t="s">
        <v>1075</v>
      </c>
      <c r="E244" s="8" t="s">
        <v>1076</v>
      </c>
      <c r="F244" s="8" t="s">
        <v>32</v>
      </c>
      <c r="G244" s="8" t="s">
        <v>47</v>
      </c>
      <c r="H244" s="8" t="s">
        <v>48</v>
      </c>
      <c r="I244" s="8" t="s">
        <v>1077</v>
      </c>
      <c r="J244" s="8" t="s">
        <v>36</v>
      </c>
      <c r="K244" s="8" t="s">
        <v>37</v>
      </c>
      <c r="L244" s="8" t="s">
        <v>187</v>
      </c>
      <c r="M244" s="9">
        <v>280007384</v>
      </c>
      <c r="N244" s="10">
        <v>568414989.51999998</v>
      </c>
      <c r="O244" s="11">
        <f>_xlfn.XLOOKUP(A244,[1]MIC!A:A,[1]MIC!C:C)</f>
        <v>45344</v>
      </c>
      <c r="P244" s="11">
        <f>_xlfn.XLOOKUP(A244,[1]MIC!A:A,[1]MIC!D:D)</f>
        <v>45709</v>
      </c>
      <c r="Q244" s="5">
        <f>_xlfn.XLOOKUP(A244,'[1]Days Listed'!A:A,'[1]Days Listed'!B:B)</f>
        <v>256</v>
      </c>
      <c r="R244" s="5">
        <f>_xlfn.XLOOKUP(A244,'[1]Days Listed'!A:A,'[1]Days Listed'!C:C)</f>
        <v>129</v>
      </c>
      <c r="S244" s="5">
        <f>_xlfn.XLOOKUP(A244,'[1]Days With Trades'!A:A,'[1]Days With Trades'!B:B)</f>
        <v>250</v>
      </c>
      <c r="T244" s="5">
        <f>_xlfn.XLOOKUP(A244,'[1]Days With Trades'!A:A,'[1]Days With Trades'!C:C)</f>
        <v>127</v>
      </c>
      <c r="U244" s="12">
        <f>_xlfn.XLOOKUP(A244,'[1]Value Traded'!A:A,'[1]Value Traded'!B:B)</f>
        <v>121627765.87</v>
      </c>
      <c r="V244" s="12">
        <f>_xlfn.XLOOKUP(A244,'[1]Value Traded'!A:A,'[1]Value Traded'!C:C)</f>
        <v>34216072.359999999</v>
      </c>
      <c r="W244" s="12">
        <f>_xlfn.XLOOKUP(A244,'[1]Value Traded'!A:A,'[1]Value Traded'!E:E)</f>
        <v>236307908.88999999</v>
      </c>
      <c r="X244" s="12">
        <f>_xlfn.XLOOKUP(A244,'[1]Value Traded'!A:A,'[1]Value Traded'!F:F)</f>
        <v>114680143.02</v>
      </c>
      <c r="Y244" s="12">
        <f>_xlfn.XLOOKUP(A244,'[1]Value Traded'!A:A,'[1]Value Traded'!G:G)</f>
        <v>81233871.790000007</v>
      </c>
      <c r="Z244" s="12">
        <f>_xlfn.XLOOKUP(A244,'[1]Value Traded'!A:A,'[1]Value Traded'!H:H)</f>
        <v>47017799.43</v>
      </c>
    </row>
    <row r="245" spans="1:26" x14ac:dyDescent="0.25">
      <c r="A245" s="13">
        <v>2172325</v>
      </c>
      <c r="B245" s="13" t="s">
        <v>1078</v>
      </c>
      <c r="C245" s="13" t="s">
        <v>1078</v>
      </c>
      <c r="D245" s="13" t="s">
        <v>1079</v>
      </c>
      <c r="E245" s="13" t="s">
        <v>1080</v>
      </c>
      <c r="F245" s="13" t="s">
        <v>32</v>
      </c>
      <c r="G245" s="13" t="s">
        <v>60</v>
      </c>
      <c r="H245" s="13" t="s">
        <v>61</v>
      </c>
      <c r="I245" s="13" t="s">
        <v>1081</v>
      </c>
      <c r="J245" s="13" t="s">
        <v>36</v>
      </c>
      <c r="K245" s="13" t="s">
        <v>37</v>
      </c>
      <c r="L245" s="13" t="s">
        <v>187</v>
      </c>
      <c r="M245" s="14">
        <v>120270960</v>
      </c>
      <c r="N245" s="15">
        <v>120030418.08</v>
      </c>
      <c r="O245" s="11">
        <f>_xlfn.XLOOKUP(A245,[1]MIC!A:A,[1]MIC!C:C)</f>
        <v>45344</v>
      </c>
      <c r="P245" s="11">
        <f>_xlfn.XLOOKUP(A245,[1]MIC!A:A,[1]MIC!D:D)</f>
        <v>45709</v>
      </c>
      <c r="Q245" s="5">
        <f>_xlfn.XLOOKUP(A245,'[1]Days Listed'!A:A,'[1]Days Listed'!B:B)</f>
        <v>256</v>
      </c>
      <c r="R245" s="5">
        <f>_xlfn.XLOOKUP(A245,'[1]Days Listed'!A:A,'[1]Days Listed'!C:C)</f>
        <v>129</v>
      </c>
      <c r="S245" s="5">
        <f>_xlfn.XLOOKUP(A245,'[1]Days With Trades'!A:A,'[1]Days With Trades'!B:B)</f>
        <v>250</v>
      </c>
      <c r="T245" s="5">
        <f>_xlfn.XLOOKUP(A245,'[1]Days With Trades'!A:A,'[1]Days With Trades'!C:C)</f>
        <v>127</v>
      </c>
      <c r="U245" s="12">
        <f>_xlfn.XLOOKUP(A245,'[1]Value Traded'!A:A,'[1]Value Traded'!B:B)</f>
        <v>33012571.52</v>
      </c>
      <c r="V245" s="12">
        <f>_xlfn.XLOOKUP(A245,'[1]Value Traded'!A:A,'[1]Value Traded'!C:C)</f>
        <v>13357822.630000001</v>
      </c>
      <c r="W245" s="12">
        <f>_xlfn.XLOOKUP(A245,'[1]Value Traded'!A:A,'[1]Value Traded'!E:E)</f>
        <v>45881049.390000001</v>
      </c>
      <c r="X245" s="12">
        <f>_xlfn.XLOOKUP(A245,'[1]Value Traded'!A:A,'[1]Value Traded'!F:F)</f>
        <v>12868477.869999999</v>
      </c>
      <c r="Y245" s="12">
        <f>_xlfn.XLOOKUP(A245,'[1]Value Traded'!A:A,'[1]Value Traded'!G:G)</f>
        <v>18436677.530000001</v>
      </c>
      <c r="Z245" s="12">
        <f>_xlfn.XLOOKUP(A245,'[1]Value Traded'!A:A,'[1]Value Traded'!H:H)</f>
        <v>5078854.9000000004</v>
      </c>
    </row>
    <row r="246" spans="1:26" x14ac:dyDescent="0.25">
      <c r="A246" s="8">
        <v>2174920</v>
      </c>
      <c r="B246" s="8" t="s">
        <v>1082</v>
      </c>
      <c r="C246" s="8" t="s">
        <v>1082</v>
      </c>
      <c r="D246" s="8" t="s">
        <v>1083</v>
      </c>
      <c r="E246" s="8" t="s">
        <v>1084</v>
      </c>
      <c r="F246" s="8" t="s">
        <v>32</v>
      </c>
      <c r="G246" s="8" t="s">
        <v>60</v>
      </c>
      <c r="H246" s="8" t="s">
        <v>61</v>
      </c>
      <c r="I246" s="8" t="s">
        <v>1085</v>
      </c>
      <c r="J246" s="8" t="s">
        <v>36</v>
      </c>
      <c r="K246" s="8" t="s">
        <v>37</v>
      </c>
      <c r="L246" s="8" t="s">
        <v>231</v>
      </c>
      <c r="M246" s="9">
        <v>26689340</v>
      </c>
      <c r="N246" s="10">
        <v>82736954</v>
      </c>
      <c r="O246" s="11">
        <f>_xlfn.XLOOKUP(A246,[1]MIC!A:A,[1]MIC!C:C)</f>
        <v>45344</v>
      </c>
      <c r="P246" s="11">
        <f>_xlfn.XLOOKUP(A246,[1]MIC!A:A,[1]MIC!D:D)</f>
        <v>45709</v>
      </c>
      <c r="Q246" s="5">
        <f>_xlfn.XLOOKUP(A246,'[1]Days Listed'!A:A,'[1]Days Listed'!B:B)</f>
        <v>256</v>
      </c>
      <c r="R246" s="5">
        <f>_xlfn.XLOOKUP(A246,'[1]Days Listed'!A:A,'[1]Days Listed'!C:C)</f>
        <v>129</v>
      </c>
      <c r="S246" s="5">
        <f>_xlfn.XLOOKUP(A246,'[1]Days With Trades'!A:A,'[1]Days With Trades'!B:B)</f>
        <v>231</v>
      </c>
      <c r="T246" s="5">
        <f>_xlfn.XLOOKUP(A246,'[1]Days With Trades'!A:A,'[1]Days With Trades'!C:C)</f>
        <v>125</v>
      </c>
      <c r="U246" s="12">
        <f>_xlfn.XLOOKUP(A246,'[1]Value Traded'!A:A,'[1]Value Traded'!B:B)</f>
        <v>24016235.190000001</v>
      </c>
      <c r="V246" s="12">
        <f>_xlfn.XLOOKUP(A246,'[1]Value Traded'!A:A,'[1]Value Traded'!C:C)</f>
        <v>21860848.73</v>
      </c>
      <c r="W246" s="12">
        <f>_xlfn.XLOOKUP(A246,'[1]Value Traded'!A:A,'[1]Value Traded'!E:E)</f>
        <v>48769882.380000003</v>
      </c>
      <c r="X246" s="12">
        <f>_xlfn.XLOOKUP(A246,'[1]Value Traded'!A:A,'[1]Value Traded'!F:F)</f>
        <v>24753647.190000001</v>
      </c>
      <c r="Y246" s="12">
        <f>_xlfn.XLOOKUP(A246,'[1]Value Traded'!A:A,'[1]Value Traded'!G:G)</f>
        <v>39241638.850000001</v>
      </c>
      <c r="Z246" s="12">
        <f>_xlfn.XLOOKUP(A246,'[1]Value Traded'!A:A,'[1]Value Traded'!H:H)</f>
        <v>17380790.120000001</v>
      </c>
    </row>
    <row r="247" spans="1:26" x14ac:dyDescent="0.25">
      <c r="A247" s="13">
        <v>2177916</v>
      </c>
      <c r="B247" s="13" t="s">
        <v>1086</v>
      </c>
      <c r="C247" s="13" t="s">
        <v>1086</v>
      </c>
      <c r="D247" s="13" t="s">
        <v>1087</v>
      </c>
      <c r="E247" s="13" t="s">
        <v>1088</v>
      </c>
      <c r="F247" s="13" t="s">
        <v>32</v>
      </c>
      <c r="G247" s="13" t="s">
        <v>47</v>
      </c>
      <c r="H247" s="13" t="s">
        <v>48</v>
      </c>
      <c r="I247" s="13" t="s">
        <v>1089</v>
      </c>
      <c r="J247" s="13" t="s">
        <v>36</v>
      </c>
      <c r="K247" s="13" t="s">
        <v>37</v>
      </c>
      <c r="L247" s="13" t="s">
        <v>1090</v>
      </c>
      <c r="M247" s="14">
        <v>37085092</v>
      </c>
      <c r="N247" s="15">
        <v>2688669170</v>
      </c>
      <c r="O247" s="11">
        <f>_xlfn.XLOOKUP(A247,[1]MIC!A:A,[1]MIC!C:C)</f>
        <v>45344</v>
      </c>
      <c r="P247" s="11">
        <f>_xlfn.XLOOKUP(A247,[1]MIC!A:A,[1]MIC!D:D)</f>
        <v>45709</v>
      </c>
      <c r="Q247" s="5">
        <f>_xlfn.XLOOKUP(A247,'[1]Days Listed'!A:A,'[1]Days Listed'!B:B)</f>
        <v>256</v>
      </c>
      <c r="R247" s="5">
        <f>_xlfn.XLOOKUP(A247,'[1]Days Listed'!A:A,'[1]Days Listed'!C:C)</f>
        <v>129</v>
      </c>
      <c r="S247" s="5">
        <f>_xlfn.XLOOKUP(A247,'[1]Days With Trades'!A:A,'[1]Days With Trades'!B:B)</f>
        <v>250</v>
      </c>
      <c r="T247" s="5">
        <f>_xlfn.XLOOKUP(A247,'[1]Days With Trades'!A:A,'[1]Days With Trades'!C:C)</f>
        <v>127</v>
      </c>
      <c r="U247" s="12">
        <f>_xlfn.XLOOKUP(A247,'[1]Value Traded'!A:A,'[1]Value Traded'!B:B)</f>
        <v>1402467967.1500001</v>
      </c>
      <c r="V247" s="12">
        <f>_xlfn.XLOOKUP(A247,'[1]Value Traded'!A:A,'[1]Value Traded'!C:C)</f>
        <v>697525159.95000005</v>
      </c>
      <c r="W247" s="12">
        <f>_xlfn.XLOOKUP(A247,'[1]Value Traded'!A:A,'[1]Value Traded'!E:E)</f>
        <v>1653613023.95</v>
      </c>
      <c r="X247" s="12">
        <f>_xlfn.XLOOKUP(A247,'[1]Value Traded'!A:A,'[1]Value Traded'!F:F)</f>
        <v>251145056.80000001</v>
      </c>
      <c r="Y247" s="12">
        <f>_xlfn.XLOOKUP(A247,'[1]Value Traded'!A:A,'[1]Value Traded'!G:G)</f>
        <v>803107364.04999995</v>
      </c>
      <c r="Z247" s="12">
        <f>_xlfn.XLOOKUP(A247,'[1]Value Traded'!A:A,'[1]Value Traded'!H:H)</f>
        <v>105582204.09999999</v>
      </c>
    </row>
    <row r="248" spans="1:26" x14ac:dyDescent="0.25">
      <c r="A248" s="8">
        <v>2184211</v>
      </c>
      <c r="B248" s="8" t="s">
        <v>1091</v>
      </c>
      <c r="C248" s="8" t="s">
        <v>1091</v>
      </c>
      <c r="D248" s="8" t="s">
        <v>1092</v>
      </c>
      <c r="E248" s="8" t="s">
        <v>1093</v>
      </c>
      <c r="F248" s="8" t="s">
        <v>32</v>
      </c>
      <c r="G248" s="8" t="s">
        <v>60</v>
      </c>
      <c r="H248" s="8" t="s">
        <v>61</v>
      </c>
      <c r="I248" s="8" t="s">
        <v>1094</v>
      </c>
      <c r="J248" s="8" t="s">
        <v>36</v>
      </c>
      <c r="K248" s="8" t="s">
        <v>37</v>
      </c>
      <c r="L248" s="8" t="s">
        <v>50</v>
      </c>
      <c r="M248" s="9">
        <v>35000000</v>
      </c>
      <c r="N248" s="10">
        <v>198100000</v>
      </c>
      <c r="O248" s="11">
        <f>_xlfn.XLOOKUP(A248,[1]MIC!A:A,[1]MIC!C:C)</f>
        <v>45344</v>
      </c>
      <c r="P248" s="11">
        <f>_xlfn.XLOOKUP(A248,[1]MIC!A:A,[1]MIC!D:D)</f>
        <v>45709</v>
      </c>
      <c r="Q248" s="5">
        <f>_xlfn.XLOOKUP(A248,'[1]Days Listed'!A:A,'[1]Days Listed'!B:B)</f>
        <v>256</v>
      </c>
      <c r="R248" s="5">
        <f>_xlfn.XLOOKUP(A248,'[1]Days Listed'!A:A,'[1]Days Listed'!C:C)</f>
        <v>129</v>
      </c>
      <c r="S248" s="5">
        <f>_xlfn.XLOOKUP(A248,'[1]Days With Trades'!A:A,'[1]Days With Trades'!B:B)</f>
        <v>250</v>
      </c>
      <c r="T248" s="5">
        <f>_xlfn.XLOOKUP(A248,'[1]Days With Trades'!A:A,'[1]Days With Trades'!C:C)</f>
        <v>127</v>
      </c>
      <c r="U248" s="12">
        <f>_xlfn.XLOOKUP(A248,'[1]Value Traded'!A:A,'[1]Value Traded'!B:B)</f>
        <v>65504201.350000001</v>
      </c>
      <c r="V248" s="12">
        <f>_xlfn.XLOOKUP(A248,'[1]Value Traded'!A:A,'[1]Value Traded'!C:C)</f>
        <v>33217874.640000001</v>
      </c>
      <c r="W248" s="12">
        <f>_xlfn.XLOOKUP(A248,'[1]Value Traded'!A:A,'[1]Value Traded'!E:E)</f>
        <v>88974660.159999996</v>
      </c>
      <c r="X248" s="12">
        <f>_xlfn.XLOOKUP(A248,'[1]Value Traded'!A:A,'[1]Value Traded'!F:F)</f>
        <v>23470458.809999999</v>
      </c>
      <c r="Y248" s="12">
        <f>_xlfn.XLOOKUP(A248,'[1]Value Traded'!A:A,'[1]Value Traded'!G:G)</f>
        <v>44745376.32</v>
      </c>
      <c r="Z248" s="12">
        <f>_xlfn.XLOOKUP(A248,'[1]Value Traded'!A:A,'[1]Value Traded'!H:H)</f>
        <v>11527501.68</v>
      </c>
    </row>
    <row r="249" spans="1:26" x14ac:dyDescent="0.25">
      <c r="A249" s="13">
        <v>2207118</v>
      </c>
      <c r="B249" s="13" t="s">
        <v>1095</v>
      </c>
      <c r="C249" s="13" t="s">
        <v>1095</v>
      </c>
      <c r="D249" s="13" t="s">
        <v>1096</v>
      </c>
      <c r="E249" s="13" t="s">
        <v>1097</v>
      </c>
      <c r="F249" s="13" t="s">
        <v>32</v>
      </c>
      <c r="G249" s="13" t="s">
        <v>60</v>
      </c>
      <c r="H249" s="13" t="s">
        <v>61</v>
      </c>
      <c r="I249" s="13" t="s">
        <v>1098</v>
      </c>
      <c r="J249" s="13" t="s">
        <v>36</v>
      </c>
      <c r="K249" s="13" t="s">
        <v>37</v>
      </c>
      <c r="L249" s="13" t="s">
        <v>248</v>
      </c>
      <c r="M249" s="14">
        <v>14626400</v>
      </c>
      <c r="N249" s="15">
        <v>32909400</v>
      </c>
      <c r="O249" s="11">
        <f>_xlfn.XLOOKUP(A249,[1]MIC!A:A,[1]MIC!C:C)</f>
        <v>45344</v>
      </c>
      <c r="P249" s="11">
        <f>_xlfn.XLOOKUP(A249,[1]MIC!A:A,[1]MIC!D:D)</f>
        <v>45709</v>
      </c>
      <c r="Q249" s="5">
        <f>_xlfn.XLOOKUP(A249,'[1]Days Listed'!A:A,'[1]Days Listed'!B:B)</f>
        <v>256</v>
      </c>
      <c r="R249" s="5">
        <f>_xlfn.XLOOKUP(A249,'[1]Days Listed'!A:A,'[1]Days Listed'!C:C)</f>
        <v>129</v>
      </c>
      <c r="S249" s="5">
        <f>_xlfn.XLOOKUP(A249,'[1]Days With Trades'!A:A,'[1]Days With Trades'!B:B)</f>
        <v>249</v>
      </c>
      <c r="T249" s="5">
        <f>_xlfn.XLOOKUP(A249,'[1]Days With Trades'!A:A,'[1]Days With Trades'!C:C)</f>
        <v>127</v>
      </c>
      <c r="U249" s="12">
        <f>_xlfn.XLOOKUP(A249,'[1]Value Traded'!A:A,'[1]Value Traded'!B:B)</f>
        <v>31213698.629999999</v>
      </c>
      <c r="V249" s="12">
        <f>_xlfn.XLOOKUP(A249,'[1]Value Traded'!A:A,'[1]Value Traded'!C:C)</f>
        <v>11003470.49</v>
      </c>
      <c r="W249" s="12">
        <f>_xlfn.XLOOKUP(A249,'[1]Value Traded'!A:A,'[1]Value Traded'!E:E)</f>
        <v>46022452.979999997</v>
      </c>
      <c r="X249" s="12">
        <f>_xlfn.XLOOKUP(A249,'[1]Value Traded'!A:A,'[1]Value Traded'!F:F)</f>
        <v>14808754.35</v>
      </c>
      <c r="Y249" s="12">
        <f>_xlfn.XLOOKUP(A249,'[1]Value Traded'!A:A,'[1]Value Traded'!G:G)</f>
        <v>15415134.380000001</v>
      </c>
      <c r="Z249" s="12">
        <f>_xlfn.XLOOKUP(A249,'[1]Value Traded'!A:A,'[1]Value Traded'!H:H)</f>
        <v>4411663.8899999997</v>
      </c>
    </row>
    <row r="250" spans="1:26" x14ac:dyDescent="0.25">
      <c r="A250" s="8">
        <v>2210092</v>
      </c>
      <c r="B250" s="8" t="s">
        <v>1099</v>
      </c>
      <c r="C250" s="8" t="s">
        <v>1099</v>
      </c>
      <c r="D250" s="8" t="s">
        <v>1100</v>
      </c>
      <c r="E250" s="8" t="s">
        <v>1101</v>
      </c>
      <c r="F250" s="8" t="s">
        <v>32</v>
      </c>
      <c r="G250" s="8" t="s">
        <v>47</v>
      </c>
      <c r="H250" s="8" t="s">
        <v>48</v>
      </c>
      <c r="I250" s="8" t="s">
        <v>1102</v>
      </c>
      <c r="J250" s="8" t="s">
        <v>36</v>
      </c>
      <c r="K250" s="8" t="s">
        <v>37</v>
      </c>
      <c r="L250" s="8" t="s">
        <v>636</v>
      </c>
      <c r="M250" s="9">
        <v>39955058</v>
      </c>
      <c r="N250" s="10">
        <v>1586215802.5999999</v>
      </c>
      <c r="O250" s="11">
        <f>_xlfn.XLOOKUP(A250,[1]MIC!A:A,[1]MIC!C:C)</f>
        <v>45344</v>
      </c>
      <c r="P250" s="11">
        <f>_xlfn.XLOOKUP(A250,[1]MIC!A:A,[1]MIC!D:D)</f>
        <v>45688</v>
      </c>
      <c r="Q250" s="5">
        <f>_xlfn.XLOOKUP(A250,'[1]Days Listed'!A:A,'[1]Days Listed'!B:B)</f>
        <v>256</v>
      </c>
      <c r="R250" s="5">
        <f>_xlfn.XLOOKUP(A250,'[1]Days Listed'!A:A,'[1]Days Listed'!C:C)</f>
        <v>129</v>
      </c>
      <c r="S250" s="5">
        <f>_xlfn.XLOOKUP(A250,'[1]Days With Trades'!A:A,'[1]Days With Trades'!B:B)</f>
        <v>198</v>
      </c>
      <c r="T250" s="5">
        <f>_xlfn.XLOOKUP(A250,'[1]Days With Trades'!A:A,'[1]Days With Trades'!C:C)</f>
        <v>105</v>
      </c>
      <c r="U250" s="12">
        <f>_xlfn.XLOOKUP(A250,'[1]Value Traded'!A:A,'[1]Value Traded'!B:B)</f>
        <v>29820034.829999998</v>
      </c>
      <c r="V250" s="12">
        <f>_xlfn.XLOOKUP(A250,'[1]Value Traded'!A:A,'[1]Value Traded'!C:C)</f>
        <v>23950584.170000002</v>
      </c>
      <c r="W250" s="12">
        <f>_xlfn.XLOOKUP(A250,'[1]Value Traded'!A:A,'[1]Value Traded'!E:E)</f>
        <v>64629358.960000001</v>
      </c>
      <c r="X250" s="12">
        <f>_xlfn.XLOOKUP(A250,'[1]Value Traded'!A:A,'[1]Value Traded'!F:F)</f>
        <v>34809324.130000003</v>
      </c>
      <c r="Y250" s="12">
        <f>_xlfn.XLOOKUP(A250,'[1]Value Traded'!A:A,'[1]Value Traded'!G:G)</f>
        <v>42646561.060000002</v>
      </c>
      <c r="Z250" s="12">
        <f>_xlfn.XLOOKUP(A250,'[1]Value Traded'!A:A,'[1]Value Traded'!H:H)</f>
        <v>18695976.890000001</v>
      </c>
    </row>
    <row r="251" spans="1:26" x14ac:dyDescent="0.25">
      <c r="A251" s="13">
        <v>2215442</v>
      </c>
      <c r="B251" s="13" t="s">
        <v>1103</v>
      </c>
      <c r="C251" s="13" t="s">
        <v>1103</v>
      </c>
      <c r="D251" s="13" t="s">
        <v>1104</v>
      </c>
      <c r="E251" s="13" t="s">
        <v>1105</v>
      </c>
      <c r="F251" s="13" t="s">
        <v>32</v>
      </c>
      <c r="G251" s="13" t="s">
        <v>47</v>
      </c>
      <c r="H251" s="13" t="s">
        <v>48</v>
      </c>
      <c r="I251" s="13" t="s">
        <v>1106</v>
      </c>
      <c r="J251" s="13" t="s">
        <v>36</v>
      </c>
      <c r="K251" s="13" t="s">
        <v>37</v>
      </c>
      <c r="L251" s="13" t="s">
        <v>1107</v>
      </c>
      <c r="M251" s="14">
        <v>127462233</v>
      </c>
      <c r="N251" s="15">
        <v>713788504.79999995</v>
      </c>
      <c r="O251" s="11">
        <f>_xlfn.XLOOKUP(A251,[1]MIC!A:A,[1]MIC!C:C)</f>
        <v>45344</v>
      </c>
      <c r="P251" s="11">
        <f>_xlfn.XLOOKUP(A251,[1]MIC!A:A,[1]MIC!D:D)</f>
        <v>45709</v>
      </c>
      <c r="Q251" s="5">
        <f>_xlfn.XLOOKUP(A251,'[1]Days Listed'!A:A,'[1]Days Listed'!B:B)</f>
        <v>256</v>
      </c>
      <c r="R251" s="5">
        <f>_xlfn.XLOOKUP(A251,'[1]Days Listed'!A:A,'[1]Days Listed'!C:C)</f>
        <v>129</v>
      </c>
      <c r="S251" s="5">
        <f>_xlfn.XLOOKUP(A251,'[1]Days With Trades'!A:A,'[1]Days With Trades'!B:B)</f>
        <v>250</v>
      </c>
      <c r="T251" s="5">
        <f>_xlfn.XLOOKUP(A251,'[1]Days With Trades'!A:A,'[1]Days With Trades'!C:C)</f>
        <v>127</v>
      </c>
      <c r="U251" s="12">
        <f>_xlfn.XLOOKUP(A251,'[1]Value Traded'!A:A,'[1]Value Traded'!B:B)</f>
        <v>38568102.68</v>
      </c>
      <c r="V251" s="12">
        <f>_xlfn.XLOOKUP(A251,'[1]Value Traded'!A:A,'[1]Value Traded'!C:C)</f>
        <v>19364838.18</v>
      </c>
      <c r="W251" s="12">
        <f>_xlfn.XLOOKUP(A251,'[1]Value Traded'!A:A,'[1]Value Traded'!E:E)</f>
        <v>54069717.460000001</v>
      </c>
      <c r="X251" s="12">
        <f>_xlfn.XLOOKUP(A251,'[1]Value Traded'!A:A,'[1]Value Traded'!F:F)</f>
        <v>15501614.779999999</v>
      </c>
      <c r="Y251" s="12">
        <f>_xlfn.XLOOKUP(A251,'[1]Value Traded'!A:A,'[1]Value Traded'!G:G)</f>
        <v>26491227.100000001</v>
      </c>
      <c r="Z251" s="12">
        <f>_xlfn.XLOOKUP(A251,'[1]Value Traded'!A:A,'[1]Value Traded'!H:H)</f>
        <v>7126388.9199999999</v>
      </c>
    </row>
    <row r="252" spans="1:26" x14ac:dyDescent="0.25">
      <c r="A252" s="8">
        <v>2226853</v>
      </c>
      <c r="B252" s="8" t="s">
        <v>1108</v>
      </c>
      <c r="C252" s="8" t="s">
        <v>1108</v>
      </c>
      <c r="D252" s="8" t="s">
        <v>1109</v>
      </c>
      <c r="E252" s="8" t="s">
        <v>1110</v>
      </c>
      <c r="F252" s="8" t="s">
        <v>32</v>
      </c>
      <c r="G252" s="8" t="s">
        <v>33</v>
      </c>
      <c r="H252" s="8" t="s">
        <v>34</v>
      </c>
      <c r="I252" s="8" t="s">
        <v>1111</v>
      </c>
      <c r="J252" s="8" t="s">
        <v>36</v>
      </c>
      <c r="K252" s="8" t="s">
        <v>37</v>
      </c>
      <c r="L252" s="8" t="s">
        <v>631</v>
      </c>
      <c r="M252" s="9">
        <v>147802416</v>
      </c>
      <c r="N252" s="10">
        <v>517308456</v>
      </c>
      <c r="O252" s="11">
        <f>_xlfn.XLOOKUP(A252,[1]MIC!A:A,[1]MIC!C:C)</f>
        <v>45344</v>
      </c>
      <c r="P252" s="11">
        <f>_xlfn.XLOOKUP(A252,[1]MIC!A:A,[1]MIC!D:D)</f>
        <v>45709</v>
      </c>
      <c r="Q252" s="5">
        <f>_xlfn.XLOOKUP(A252,'[1]Days Listed'!A:A,'[1]Days Listed'!B:B)</f>
        <v>256</v>
      </c>
      <c r="R252" s="5">
        <f>_xlfn.XLOOKUP(A252,'[1]Days Listed'!A:A,'[1]Days Listed'!C:C)</f>
        <v>129</v>
      </c>
      <c r="S252" s="5">
        <f>_xlfn.XLOOKUP(A252,'[1]Days With Trades'!A:A,'[1]Days With Trades'!B:B)</f>
        <v>250</v>
      </c>
      <c r="T252" s="5">
        <f>_xlfn.XLOOKUP(A252,'[1]Days With Trades'!A:A,'[1]Days With Trades'!C:C)</f>
        <v>127</v>
      </c>
      <c r="U252" s="12">
        <f>_xlfn.XLOOKUP(A252,'[1]Value Traded'!A:A,'[1]Value Traded'!B:B)</f>
        <v>615730427.41999996</v>
      </c>
      <c r="V252" s="12">
        <f>_xlfn.XLOOKUP(A252,'[1]Value Traded'!A:A,'[1]Value Traded'!C:C)</f>
        <v>210110659.77000001</v>
      </c>
      <c r="W252" s="12">
        <f>_xlfn.XLOOKUP(A252,'[1]Value Traded'!A:A,'[1]Value Traded'!E:E)</f>
        <v>918890842.48000002</v>
      </c>
      <c r="X252" s="12">
        <f>_xlfn.XLOOKUP(A252,'[1]Value Traded'!A:A,'[1]Value Traded'!F:F)</f>
        <v>303160415.06</v>
      </c>
      <c r="Y252" s="12">
        <f>_xlfn.XLOOKUP(A252,'[1]Value Traded'!A:A,'[1]Value Traded'!G:G)</f>
        <v>314269516.69999999</v>
      </c>
      <c r="Z252" s="12">
        <f>_xlfn.XLOOKUP(A252,'[1]Value Traded'!A:A,'[1]Value Traded'!H:H)</f>
        <v>104158856.93000001</v>
      </c>
    </row>
    <row r="253" spans="1:26" x14ac:dyDescent="0.25">
      <c r="A253" s="13">
        <v>2229423</v>
      </c>
      <c r="B253" s="13" t="s">
        <v>1112</v>
      </c>
      <c r="C253" s="13" t="s">
        <v>1112</v>
      </c>
      <c r="D253" s="13" t="s">
        <v>1113</v>
      </c>
      <c r="E253" s="13" t="s">
        <v>1114</v>
      </c>
      <c r="F253" s="13" t="s">
        <v>32</v>
      </c>
      <c r="G253" s="13" t="s">
        <v>60</v>
      </c>
      <c r="H253" s="13" t="s">
        <v>61</v>
      </c>
      <c r="I253" s="13" t="s">
        <v>1115</v>
      </c>
      <c r="J253" s="13" t="s">
        <v>36</v>
      </c>
      <c r="K253" s="13" t="s">
        <v>37</v>
      </c>
      <c r="L253" s="13" t="s">
        <v>645</v>
      </c>
      <c r="M253" s="14">
        <v>53747977</v>
      </c>
      <c r="N253" s="15">
        <v>268739885</v>
      </c>
      <c r="O253" s="11">
        <f>_xlfn.XLOOKUP(A253,[1]MIC!A:A,[1]MIC!C:C)</f>
        <v>45344</v>
      </c>
      <c r="P253" s="11">
        <f>_xlfn.XLOOKUP(A253,[1]MIC!A:A,[1]MIC!D:D)</f>
        <v>45709</v>
      </c>
      <c r="Q253" s="5">
        <f>_xlfn.XLOOKUP(A253,'[1]Days Listed'!A:A,'[1]Days Listed'!B:B)</f>
        <v>256</v>
      </c>
      <c r="R253" s="5">
        <f>_xlfn.XLOOKUP(A253,'[1]Days Listed'!A:A,'[1]Days Listed'!C:C)</f>
        <v>129</v>
      </c>
      <c r="S253" s="5">
        <f>_xlfn.XLOOKUP(A253,'[1]Days With Trades'!A:A,'[1]Days With Trades'!B:B)</f>
        <v>250</v>
      </c>
      <c r="T253" s="5">
        <f>_xlfn.XLOOKUP(A253,'[1]Days With Trades'!A:A,'[1]Days With Trades'!C:C)</f>
        <v>127</v>
      </c>
      <c r="U253" s="12">
        <f>_xlfn.XLOOKUP(A253,'[1]Value Traded'!A:A,'[1]Value Traded'!B:B)</f>
        <v>74827547.680000007</v>
      </c>
      <c r="V253" s="12">
        <f>_xlfn.XLOOKUP(A253,'[1]Value Traded'!A:A,'[1]Value Traded'!C:C)</f>
        <v>46500035.100000001</v>
      </c>
      <c r="W253" s="12">
        <f>_xlfn.XLOOKUP(A253,'[1]Value Traded'!A:A,'[1]Value Traded'!E:E)</f>
        <v>112390074.43000001</v>
      </c>
      <c r="X253" s="12">
        <f>_xlfn.XLOOKUP(A253,'[1]Value Traded'!A:A,'[1]Value Traded'!F:F)</f>
        <v>37562526.75</v>
      </c>
      <c r="Y253" s="12">
        <f>_xlfn.XLOOKUP(A253,'[1]Value Traded'!A:A,'[1]Value Traded'!G:G)</f>
        <v>73412253.040000007</v>
      </c>
      <c r="Z253" s="12">
        <f>_xlfn.XLOOKUP(A253,'[1]Value Traded'!A:A,'[1]Value Traded'!H:H)</f>
        <v>26912217.940000001</v>
      </c>
    </row>
    <row r="254" spans="1:26" x14ac:dyDescent="0.25">
      <c r="A254" s="8">
        <v>2231612</v>
      </c>
      <c r="B254" s="8" t="s">
        <v>1116</v>
      </c>
      <c r="C254" s="8" t="s">
        <v>1116</v>
      </c>
      <c r="D254" s="8" t="s">
        <v>1117</v>
      </c>
      <c r="E254" s="8" t="s">
        <v>1118</v>
      </c>
      <c r="F254" s="8" t="s">
        <v>32</v>
      </c>
      <c r="G254" s="8" t="s">
        <v>60</v>
      </c>
      <c r="H254" s="8" t="s">
        <v>61</v>
      </c>
      <c r="I254" s="8" t="s">
        <v>1119</v>
      </c>
      <c r="J254" s="8" t="s">
        <v>36</v>
      </c>
      <c r="K254" s="8" t="s">
        <v>37</v>
      </c>
      <c r="L254" s="8" t="s">
        <v>567</v>
      </c>
      <c r="M254" s="9">
        <v>107041667</v>
      </c>
      <c r="N254" s="10">
        <v>10104733.359999999</v>
      </c>
      <c r="O254" s="11">
        <f>_xlfn.XLOOKUP(A254,[1]MIC!A:A,[1]MIC!C:C)</f>
        <v>45344</v>
      </c>
      <c r="P254" s="11">
        <f>_xlfn.XLOOKUP(A254,[1]MIC!A:A,[1]MIC!D:D)</f>
        <v>45709</v>
      </c>
      <c r="Q254" s="5">
        <f>_xlfn.XLOOKUP(A254,'[1]Days Listed'!A:A,'[1]Days Listed'!B:B)</f>
        <v>256</v>
      </c>
      <c r="R254" s="5">
        <f>_xlfn.XLOOKUP(A254,'[1]Days Listed'!A:A,'[1]Days Listed'!C:C)</f>
        <v>129</v>
      </c>
      <c r="S254" s="5">
        <f>_xlfn.XLOOKUP(A254,'[1]Days With Trades'!A:A,'[1]Days With Trades'!B:B)</f>
        <v>250</v>
      </c>
      <c r="T254" s="5">
        <f>_xlfn.XLOOKUP(A254,'[1]Days With Trades'!A:A,'[1]Days With Trades'!C:C)</f>
        <v>127</v>
      </c>
      <c r="U254" s="12">
        <f>_xlfn.XLOOKUP(A254,'[1]Value Traded'!A:A,'[1]Value Traded'!B:B)</f>
        <v>14225929.699999999</v>
      </c>
      <c r="V254" s="12">
        <f>_xlfn.XLOOKUP(A254,'[1]Value Traded'!A:A,'[1]Value Traded'!C:C)</f>
        <v>6388825.3300000001</v>
      </c>
      <c r="W254" s="12">
        <f>_xlfn.XLOOKUP(A254,'[1]Value Traded'!A:A,'[1]Value Traded'!E:E)</f>
        <v>19282049.690000001</v>
      </c>
      <c r="X254" s="12">
        <f>_xlfn.XLOOKUP(A254,'[1]Value Traded'!A:A,'[1]Value Traded'!F:F)</f>
        <v>5056119.99</v>
      </c>
      <c r="Y254" s="12">
        <f>_xlfn.XLOOKUP(A254,'[1]Value Traded'!A:A,'[1]Value Traded'!G:G)</f>
        <v>8254757.1900000004</v>
      </c>
      <c r="Z254" s="12">
        <f>_xlfn.XLOOKUP(A254,'[1]Value Traded'!A:A,'[1]Value Traded'!H:H)</f>
        <v>1865931.86</v>
      </c>
    </row>
    <row r="255" spans="1:26" x14ac:dyDescent="0.25">
      <c r="A255" s="13">
        <v>2232931</v>
      </c>
      <c r="B255" s="13" t="s">
        <v>1120</v>
      </c>
      <c r="C255" s="13" t="s">
        <v>1120</v>
      </c>
      <c r="D255" s="13" t="s">
        <v>1121</v>
      </c>
      <c r="E255" s="13" t="s">
        <v>1122</v>
      </c>
      <c r="F255" s="13" t="s">
        <v>32</v>
      </c>
      <c r="G255" s="13" t="s">
        <v>60</v>
      </c>
      <c r="H255" s="13" t="s">
        <v>61</v>
      </c>
      <c r="I255" s="13" t="s">
        <v>1123</v>
      </c>
      <c r="J255" s="13" t="s">
        <v>36</v>
      </c>
      <c r="K255" s="13" t="s">
        <v>37</v>
      </c>
      <c r="L255" s="13" t="s">
        <v>1124</v>
      </c>
      <c r="M255" s="14">
        <v>41970140</v>
      </c>
      <c r="N255" s="15">
        <v>141859073.19999999</v>
      </c>
      <c r="O255" s="11">
        <f>_xlfn.XLOOKUP(A255,[1]MIC!A:A,[1]MIC!C:C)</f>
        <v>45344</v>
      </c>
      <c r="P255" s="11">
        <f>_xlfn.XLOOKUP(A255,[1]MIC!A:A,[1]MIC!D:D)</f>
        <v>45709</v>
      </c>
      <c r="Q255" s="5">
        <f>_xlfn.XLOOKUP(A255,'[1]Days Listed'!A:A,'[1]Days Listed'!B:B)</f>
        <v>256</v>
      </c>
      <c r="R255" s="5">
        <f>_xlfn.XLOOKUP(A255,'[1]Days Listed'!A:A,'[1]Days Listed'!C:C)</f>
        <v>129</v>
      </c>
      <c r="S255" s="5">
        <f>_xlfn.XLOOKUP(A255,'[1]Days With Trades'!A:A,'[1]Days With Trades'!B:B)</f>
        <v>250</v>
      </c>
      <c r="T255" s="5">
        <f>_xlfn.XLOOKUP(A255,'[1]Days With Trades'!A:A,'[1]Days With Trades'!C:C)</f>
        <v>127</v>
      </c>
      <c r="U255" s="12">
        <f>_xlfn.XLOOKUP(A255,'[1]Value Traded'!A:A,'[1]Value Traded'!B:B)</f>
        <v>85657626.420000002</v>
      </c>
      <c r="V255" s="12">
        <f>_xlfn.XLOOKUP(A255,'[1]Value Traded'!A:A,'[1]Value Traded'!C:C)</f>
        <v>31409983.48</v>
      </c>
      <c r="W255" s="12">
        <f>_xlfn.XLOOKUP(A255,'[1]Value Traded'!A:A,'[1]Value Traded'!E:E)</f>
        <v>111015331.12</v>
      </c>
      <c r="X255" s="12">
        <f>_xlfn.XLOOKUP(A255,'[1]Value Traded'!A:A,'[1]Value Traded'!F:F)</f>
        <v>25357704.699999999</v>
      </c>
      <c r="Y255" s="12">
        <f>_xlfn.XLOOKUP(A255,'[1]Value Traded'!A:A,'[1]Value Traded'!G:G)</f>
        <v>39911338.549999997</v>
      </c>
      <c r="Z255" s="12">
        <f>_xlfn.XLOOKUP(A255,'[1]Value Traded'!A:A,'[1]Value Traded'!H:H)</f>
        <v>8501355.0700000003</v>
      </c>
    </row>
    <row r="256" spans="1:26" x14ac:dyDescent="0.25">
      <c r="A256" s="8">
        <v>2239800</v>
      </c>
      <c r="B256" s="8" t="s">
        <v>1125</v>
      </c>
      <c r="C256" s="8" t="s">
        <v>1125</v>
      </c>
      <c r="D256" s="8" t="s">
        <v>1126</v>
      </c>
      <c r="E256" s="8" t="s">
        <v>1127</v>
      </c>
      <c r="F256" s="8" t="s">
        <v>32</v>
      </c>
      <c r="G256" s="8" t="s">
        <v>47</v>
      </c>
      <c r="H256" s="8" t="s">
        <v>48</v>
      </c>
      <c r="I256" s="8" t="s">
        <v>1128</v>
      </c>
      <c r="J256" s="8" t="s">
        <v>36</v>
      </c>
      <c r="K256" s="8" t="s">
        <v>37</v>
      </c>
      <c r="L256" s="8" t="s">
        <v>876</v>
      </c>
      <c r="M256" s="9">
        <v>53301349</v>
      </c>
      <c r="N256" s="10">
        <v>372576429.50999999</v>
      </c>
      <c r="O256" s="11">
        <f>_xlfn.XLOOKUP(A256,[1]MIC!A:A,[1]MIC!C:C)</f>
        <v>45589</v>
      </c>
      <c r="P256" s="11">
        <f>_xlfn.XLOOKUP(A256,[1]MIC!A:A,[1]MIC!D:D)</f>
        <v>45709</v>
      </c>
      <c r="Q256" s="5">
        <f>_xlfn.XLOOKUP(A256,'[1]Days Listed'!A:A,'[1]Days Listed'!B:B)</f>
        <v>256</v>
      </c>
      <c r="R256" s="5">
        <f>_xlfn.XLOOKUP(A256,'[1]Days Listed'!A:A,'[1]Days Listed'!C:C)</f>
        <v>129</v>
      </c>
      <c r="S256" s="5">
        <f>_xlfn.XLOOKUP(A256,'[1]Days With Trades'!A:A,'[1]Days With Trades'!B:B)</f>
        <v>250</v>
      </c>
      <c r="T256" s="5">
        <f>_xlfn.XLOOKUP(A256,'[1]Days With Trades'!A:A,'[1]Days With Trades'!C:C)</f>
        <v>127</v>
      </c>
      <c r="U256" s="12">
        <f>_xlfn.XLOOKUP(A256,'[1]Value Traded'!A:A,'[1]Value Traded'!B:B)</f>
        <v>624083808.28999996</v>
      </c>
      <c r="V256" s="12">
        <f>_xlfn.XLOOKUP(A256,'[1]Value Traded'!A:A,'[1]Value Traded'!C:C)</f>
        <v>310723471.49000001</v>
      </c>
      <c r="W256" s="12">
        <f>_xlfn.XLOOKUP(A256,'[1]Value Traded'!A:A,'[1]Value Traded'!E:E)</f>
        <v>819965327.78999996</v>
      </c>
      <c r="X256" s="12">
        <f>_xlfn.XLOOKUP(A256,'[1]Value Traded'!A:A,'[1]Value Traded'!F:F)</f>
        <v>195881519.5</v>
      </c>
      <c r="Y256" s="12">
        <f>_xlfn.XLOOKUP(A256,'[1]Value Traded'!A:A,'[1]Value Traded'!G:G)</f>
        <v>428953329.60000002</v>
      </c>
      <c r="Z256" s="12">
        <f>_xlfn.XLOOKUP(A256,'[1]Value Traded'!A:A,'[1]Value Traded'!H:H)</f>
        <v>118229858.11</v>
      </c>
    </row>
    <row r="257" spans="1:26" x14ac:dyDescent="0.25">
      <c r="A257" s="13">
        <v>2239804</v>
      </c>
      <c r="B257" s="13" t="s">
        <v>1129</v>
      </c>
      <c r="C257" s="13" t="s">
        <v>1129</v>
      </c>
      <c r="D257" s="13" t="s">
        <v>1130</v>
      </c>
      <c r="E257" s="13" t="s">
        <v>1131</v>
      </c>
      <c r="F257" s="13" t="s">
        <v>32</v>
      </c>
      <c r="G257" s="13" t="s">
        <v>60</v>
      </c>
      <c r="H257" s="13" t="s">
        <v>61</v>
      </c>
      <c r="I257" s="13" t="s">
        <v>1132</v>
      </c>
      <c r="J257" s="13" t="s">
        <v>36</v>
      </c>
      <c r="K257" s="13" t="s">
        <v>37</v>
      </c>
      <c r="L257" s="13" t="s">
        <v>74</v>
      </c>
      <c r="M257" s="14">
        <v>53356398</v>
      </c>
      <c r="N257" s="15">
        <v>1051121040.6</v>
      </c>
      <c r="O257" s="11">
        <f>_xlfn.XLOOKUP(A257,[1]MIC!A:A,[1]MIC!C:C)</f>
        <v>45344</v>
      </c>
      <c r="P257" s="11">
        <f>_xlfn.XLOOKUP(A257,[1]MIC!A:A,[1]MIC!D:D)</f>
        <v>45709</v>
      </c>
      <c r="Q257" s="5">
        <f>_xlfn.XLOOKUP(A257,'[1]Days Listed'!A:A,'[1]Days Listed'!B:B)</f>
        <v>256</v>
      </c>
      <c r="R257" s="5">
        <f>_xlfn.XLOOKUP(A257,'[1]Days Listed'!A:A,'[1]Days Listed'!C:C)</f>
        <v>129</v>
      </c>
      <c r="S257" s="5">
        <f>_xlfn.XLOOKUP(A257,'[1]Days With Trades'!A:A,'[1]Days With Trades'!B:B)</f>
        <v>210</v>
      </c>
      <c r="T257" s="5">
        <f>_xlfn.XLOOKUP(A257,'[1]Days With Trades'!A:A,'[1]Days With Trades'!C:C)</f>
        <v>108</v>
      </c>
      <c r="U257" s="12">
        <f>_xlfn.XLOOKUP(A257,'[1]Value Traded'!A:A,'[1]Value Traded'!B:B)</f>
        <v>9499828.0999999996</v>
      </c>
      <c r="V257" s="12">
        <f>_xlfn.XLOOKUP(A257,'[1]Value Traded'!A:A,'[1]Value Traded'!C:C)</f>
        <v>4733538.0999999996</v>
      </c>
      <c r="W257" s="12">
        <f>_xlfn.XLOOKUP(A257,'[1]Value Traded'!A:A,'[1]Value Traded'!E:E)</f>
        <v>15346817.199999999</v>
      </c>
      <c r="X257" s="12">
        <f>_xlfn.XLOOKUP(A257,'[1]Value Traded'!A:A,'[1]Value Traded'!F:F)</f>
        <v>5846989.0999999996</v>
      </c>
      <c r="Y257" s="12">
        <f>_xlfn.XLOOKUP(A257,'[1]Value Traded'!A:A,'[1]Value Traded'!G:G)</f>
        <v>7609819.7999999998</v>
      </c>
      <c r="Z257" s="12">
        <f>_xlfn.XLOOKUP(A257,'[1]Value Traded'!A:A,'[1]Value Traded'!H:H)</f>
        <v>2876281.7</v>
      </c>
    </row>
    <row r="258" spans="1:26" x14ac:dyDescent="0.25">
      <c r="A258" s="8">
        <v>2248695</v>
      </c>
      <c r="B258" s="8" t="s">
        <v>1133</v>
      </c>
      <c r="C258" s="8" t="s">
        <v>1133</v>
      </c>
      <c r="D258" s="8" t="s">
        <v>1134</v>
      </c>
      <c r="E258" s="8" t="s">
        <v>1135</v>
      </c>
      <c r="F258" s="8" t="s">
        <v>32</v>
      </c>
      <c r="G258" s="8" t="s">
        <v>60</v>
      </c>
      <c r="H258" s="8" t="s">
        <v>61</v>
      </c>
      <c r="I258" s="8" t="s">
        <v>1136</v>
      </c>
      <c r="J258" s="8" t="s">
        <v>36</v>
      </c>
      <c r="K258" s="8" t="s">
        <v>37</v>
      </c>
      <c r="L258" s="8" t="s">
        <v>400</v>
      </c>
      <c r="M258" s="9">
        <v>86696667</v>
      </c>
      <c r="N258" s="10">
        <v>1369807338.5999999</v>
      </c>
      <c r="O258" s="11">
        <f>_xlfn.XLOOKUP(A258,[1]MIC!A:A,[1]MIC!C:C)</f>
        <v>45344</v>
      </c>
      <c r="P258" s="11">
        <f>_xlfn.XLOOKUP(A258,[1]MIC!A:A,[1]MIC!D:D)</f>
        <v>45709</v>
      </c>
      <c r="Q258" s="5">
        <f>_xlfn.XLOOKUP(A258,'[1]Days Listed'!A:A,'[1]Days Listed'!B:B)</f>
        <v>256</v>
      </c>
      <c r="R258" s="5">
        <f>_xlfn.XLOOKUP(A258,'[1]Days Listed'!A:A,'[1]Days Listed'!C:C)</f>
        <v>129</v>
      </c>
      <c r="S258" s="5">
        <f>_xlfn.XLOOKUP(A258,'[1]Days With Trades'!A:A,'[1]Days With Trades'!B:B)</f>
        <v>250</v>
      </c>
      <c r="T258" s="5">
        <f>_xlfn.XLOOKUP(A258,'[1]Days With Trades'!A:A,'[1]Days With Trades'!C:C)</f>
        <v>127</v>
      </c>
      <c r="U258" s="12">
        <f>_xlfn.XLOOKUP(A258,'[1]Value Traded'!A:A,'[1]Value Traded'!B:B)</f>
        <v>624964144.23000002</v>
      </c>
      <c r="V258" s="12">
        <f>_xlfn.XLOOKUP(A258,'[1]Value Traded'!A:A,'[1]Value Traded'!C:C)</f>
        <v>348468512.17000002</v>
      </c>
      <c r="W258" s="12">
        <f>_xlfn.XLOOKUP(A258,'[1]Value Traded'!A:A,'[1]Value Traded'!E:E)</f>
        <v>782807449.87</v>
      </c>
      <c r="X258" s="12">
        <f>_xlfn.XLOOKUP(A258,'[1]Value Traded'!A:A,'[1]Value Traded'!F:F)</f>
        <v>157843305.63999999</v>
      </c>
      <c r="Y258" s="12">
        <f>_xlfn.XLOOKUP(A258,'[1]Value Traded'!A:A,'[1]Value Traded'!G:G)</f>
        <v>421336339.83999997</v>
      </c>
      <c r="Z258" s="12">
        <f>_xlfn.XLOOKUP(A258,'[1]Value Traded'!A:A,'[1]Value Traded'!H:H)</f>
        <v>72867827.670000002</v>
      </c>
    </row>
    <row r="259" spans="1:26" x14ac:dyDescent="0.25">
      <c r="A259" s="13">
        <v>2261100</v>
      </c>
      <c r="B259" s="13" t="s">
        <v>1137</v>
      </c>
      <c r="C259" s="13" t="s">
        <v>1137</v>
      </c>
      <c r="D259" s="13" t="s">
        <v>1138</v>
      </c>
      <c r="E259" s="13" t="s">
        <v>1139</v>
      </c>
      <c r="F259" s="13" t="s">
        <v>32</v>
      </c>
      <c r="G259" s="13" t="s">
        <v>60</v>
      </c>
      <c r="H259" s="13" t="s">
        <v>61</v>
      </c>
      <c r="I259" s="13" t="s">
        <v>1140</v>
      </c>
      <c r="J259" s="13" t="s">
        <v>36</v>
      </c>
      <c r="K259" s="13" t="s">
        <v>37</v>
      </c>
      <c r="L259" s="13" t="s">
        <v>1141</v>
      </c>
      <c r="M259" s="14">
        <v>803452526</v>
      </c>
      <c r="N259" s="15">
        <v>2000596789.74</v>
      </c>
      <c r="O259" s="11">
        <f>_xlfn.XLOOKUP(A259,[1]MIC!A:A,[1]MIC!C:C)</f>
        <v>45344</v>
      </c>
      <c r="P259" s="11">
        <f>_xlfn.XLOOKUP(A259,[1]MIC!A:A,[1]MIC!D:D)</f>
        <v>45709</v>
      </c>
      <c r="Q259" s="5">
        <f>_xlfn.XLOOKUP(A259,'[1]Days Listed'!A:A,'[1]Days Listed'!B:B)</f>
        <v>256</v>
      </c>
      <c r="R259" s="5">
        <f>_xlfn.XLOOKUP(A259,'[1]Days Listed'!A:A,'[1]Days Listed'!C:C)</f>
        <v>129</v>
      </c>
      <c r="S259" s="5">
        <f>_xlfn.XLOOKUP(A259,'[1]Days With Trades'!A:A,'[1]Days With Trades'!B:B)</f>
        <v>250</v>
      </c>
      <c r="T259" s="5">
        <f>_xlfn.XLOOKUP(A259,'[1]Days With Trades'!A:A,'[1]Days With Trades'!C:C)</f>
        <v>127</v>
      </c>
      <c r="U259" s="12">
        <f>_xlfn.XLOOKUP(A259,'[1]Value Traded'!A:A,'[1]Value Traded'!B:B)</f>
        <v>1319665775.5</v>
      </c>
      <c r="V259" s="12">
        <f>_xlfn.XLOOKUP(A259,'[1]Value Traded'!A:A,'[1]Value Traded'!C:C)</f>
        <v>574532481.20000005</v>
      </c>
      <c r="W259" s="12">
        <f>_xlfn.XLOOKUP(A259,'[1]Value Traded'!A:A,'[1]Value Traded'!E:E)</f>
        <v>1877140852.5</v>
      </c>
      <c r="X259" s="12">
        <f>_xlfn.XLOOKUP(A259,'[1]Value Traded'!A:A,'[1]Value Traded'!F:F)</f>
        <v>557475077</v>
      </c>
      <c r="Y259" s="12">
        <f>_xlfn.XLOOKUP(A259,'[1]Value Traded'!A:A,'[1]Value Traded'!G:G)</f>
        <v>740120450.38</v>
      </c>
      <c r="Z259" s="12">
        <f>_xlfn.XLOOKUP(A259,'[1]Value Traded'!A:A,'[1]Value Traded'!H:H)</f>
        <v>165587969.18000001</v>
      </c>
    </row>
    <row r="260" spans="1:26" x14ac:dyDescent="0.25">
      <c r="A260" s="8">
        <v>2263917</v>
      </c>
      <c r="B260" s="8" t="s">
        <v>1142</v>
      </c>
      <c r="C260" s="8" t="s">
        <v>1142</v>
      </c>
      <c r="D260" s="8" t="s">
        <v>1143</v>
      </c>
      <c r="E260" s="8" t="s">
        <v>1144</v>
      </c>
      <c r="F260" s="8" t="s">
        <v>32</v>
      </c>
      <c r="G260" s="8" t="s">
        <v>60</v>
      </c>
      <c r="H260" s="8" t="s">
        <v>61</v>
      </c>
      <c r="I260" s="8" t="s">
        <v>1145</v>
      </c>
      <c r="J260" s="8" t="s">
        <v>36</v>
      </c>
      <c r="K260" s="8" t="s">
        <v>37</v>
      </c>
      <c r="L260" s="8" t="s">
        <v>572</v>
      </c>
      <c r="M260" s="9">
        <v>184498847</v>
      </c>
      <c r="N260" s="10">
        <v>357005268.94999999</v>
      </c>
      <c r="O260" s="11">
        <f>_xlfn.XLOOKUP(A260,[1]MIC!A:A,[1]MIC!C:C)</f>
        <v>45344</v>
      </c>
      <c r="P260" s="11">
        <f>_xlfn.XLOOKUP(A260,[1]MIC!A:A,[1]MIC!D:D)</f>
        <v>45709</v>
      </c>
      <c r="Q260" s="5">
        <f>_xlfn.XLOOKUP(A260,'[1]Days Listed'!A:A,'[1]Days Listed'!B:B)</f>
        <v>256</v>
      </c>
      <c r="R260" s="5">
        <f>_xlfn.XLOOKUP(A260,'[1]Days Listed'!A:A,'[1]Days Listed'!C:C)</f>
        <v>129</v>
      </c>
      <c r="S260" s="5">
        <f>_xlfn.XLOOKUP(A260,'[1]Days With Trades'!A:A,'[1]Days With Trades'!B:B)</f>
        <v>250</v>
      </c>
      <c r="T260" s="5">
        <f>_xlfn.XLOOKUP(A260,'[1]Days With Trades'!A:A,'[1]Days With Trades'!C:C)</f>
        <v>127</v>
      </c>
      <c r="U260" s="12">
        <f>_xlfn.XLOOKUP(A260,'[1]Value Traded'!A:A,'[1]Value Traded'!B:B)</f>
        <v>187750069.34999999</v>
      </c>
      <c r="V260" s="12">
        <f>_xlfn.XLOOKUP(A260,'[1]Value Traded'!A:A,'[1]Value Traded'!C:C)</f>
        <v>150951700.84</v>
      </c>
      <c r="W260" s="12">
        <f>_xlfn.XLOOKUP(A260,'[1]Value Traded'!A:A,'[1]Value Traded'!E:E)</f>
        <v>271618309.92000002</v>
      </c>
      <c r="X260" s="12">
        <f>_xlfn.XLOOKUP(A260,'[1]Value Traded'!A:A,'[1]Value Traded'!F:F)</f>
        <v>83868240.569999993</v>
      </c>
      <c r="Y260" s="12">
        <f>_xlfn.XLOOKUP(A260,'[1]Value Traded'!A:A,'[1]Value Traded'!G:G)</f>
        <v>204294163.33000001</v>
      </c>
      <c r="Z260" s="12">
        <f>_xlfn.XLOOKUP(A260,'[1]Value Traded'!A:A,'[1]Value Traded'!H:H)</f>
        <v>53342462.490000002</v>
      </c>
    </row>
    <row r="261" spans="1:26" x14ac:dyDescent="0.25">
      <c r="A261" s="13">
        <v>2266597</v>
      </c>
      <c r="B261" s="13" t="s">
        <v>1146</v>
      </c>
      <c r="C261" s="13" t="s">
        <v>1146</v>
      </c>
      <c r="D261" s="13" t="s">
        <v>1147</v>
      </c>
      <c r="E261" s="13" t="s">
        <v>1148</v>
      </c>
      <c r="F261" s="13" t="s">
        <v>32</v>
      </c>
      <c r="G261" s="13" t="s">
        <v>60</v>
      </c>
      <c r="H261" s="13" t="s">
        <v>61</v>
      </c>
      <c r="I261" s="13" t="s">
        <v>1149</v>
      </c>
      <c r="J261" s="13" t="s">
        <v>36</v>
      </c>
      <c r="K261" s="13" t="s">
        <v>37</v>
      </c>
      <c r="L261" s="13" t="s">
        <v>74</v>
      </c>
      <c r="M261" s="14">
        <v>201313281</v>
      </c>
      <c r="N261" s="15">
        <v>201313281</v>
      </c>
      <c r="O261" s="11">
        <f>_xlfn.XLOOKUP(A261,[1]MIC!A:A,[1]MIC!C:C)</f>
        <v>45344</v>
      </c>
      <c r="P261" s="11">
        <f>_xlfn.XLOOKUP(A261,[1]MIC!A:A,[1]MIC!D:D)</f>
        <v>45709</v>
      </c>
      <c r="Q261" s="5">
        <f>_xlfn.XLOOKUP(A261,'[1]Days Listed'!A:A,'[1]Days Listed'!B:B)</f>
        <v>256</v>
      </c>
      <c r="R261" s="5">
        <f>_xlfn.XLOOKUP(A261,'[1]Days Listed'!A:A,'[1]Days Listed'!C:C)</f>
        <v>129</v>
      </c>
      <c r="S261" s="5">
        <f>_xlfn.XLOOKUP(A261,'[1]Days With Trades'!A:A,'[1]Days With Trades'!B:B)</f>
        <v>35</v>
      </c>
      <c r="T261" s="5">
        <f>_xlfn.XLOOKUP(A261,'[1]Days With Trades'!A:A,'[1]Days With Trades'!C:C)</f>
        <v>19</v>
      </c>
      <c r="U261" s="12">
        <f>_xlfn.XLOOKUP(A261,'[1]Value Traded'!A:A,'[1]Value Traded'!B:B)</f>
        <v>16170.4</v>
      </c>
      <c r="V261" s="12">
        <f>_xlfn.XLOOKUP(A261,'[1]Value Traded'!A:A,'[1]Value Traded'!C:C)</f>
        <v>35688.25</v>
      </c>
      <c r="W261" s="12">
        <f>_xlfn.XLOOKUP(A261,'[1]Value Traded'!A:A,'[1]Value Traded'!E:E)</f>
        <v>206430.85</v>
      </c>
      <c r="X261" s="12">
        <f>_xlfn.XLOOKUP(A261,'[1]Value Traded'!A:A,'[1]Value Traded'!F:F)</f>
        <v>190260.45</v>
      </c>
      <c r="Y261" s="12">
        <f>_xlfn.XLOOKUP(A261,'[1]Value Traded'!A:A,'[1]Value Traded'!G:G)</f>
        <v>161177.35</v>
      </c>
      <c r="Z261" s="12">
        <f>_xlfn.XLOOKUP(A261,'[1]Value Traded'!A:A,'[1]Value Traded'!H:H)</f>
        <v>125489.1</v>
      </c>
    </row>
    <row r="262" spans="1:26" x14ac:dyDescent="0.25">
      <c r="A262" s="8">
        <v>2274327</v>
      </c>
      <c r="B262" s="8" t="s">
        <v>1150</v>
      </c>
      <c r="C262" s="8" t="s">
        <v>1150</v>
      </c>
      <c r="D262" s="8" t="s">
        <v>1151</v>
      </c>
      <c r="E262" s="8" t="s">
        <v>1152</v>
      </c>
      <c r="F262" s="8" t="s">
        <v>32</v>
      </c>
      <c r="G262" s="8" t="s">
        <v>60</v>
      </c>
      <c r="H262" s="8" t="s">
        <v>61</v>
      </c>
      <c r="I262" s="8" t="s">
        <v>1153</v>
      </c>
      <c r="J262" s="8" t="s">
        <v>36</v>
      </c>
      <c r="K262" s="8" t="s">
        <v>37</v>
      </c>
      <c r="L262" s="8" t="s">
        <v>1154</v>
      </c>
      <c r="M262" s="9">
        <v>32717827</v>
      </c>
      <c r="N262" s="10">
        <v>343537183.5</v>
      </c>
      <c r="O262" s="11">
        <f>_xlfn.XLOOKUP(A262,[1]MIC!A:A,[1]MIC!C:C)</f>
        <v>45344</v>
      </c>
      <c r="P262" s="11">
        <f>_xlfn.XLOOKUP(A262,[1]MIC!A:A,[1]MIC!D:D)</f>
        <v>45709</v>
      </c>
      <c r="Q262" s="5">
        <f>_xlfn.XLOOKUP(A262,'[1]Days Listed'!A:A,'[1]Days Listed'!B:B)</f>
        <v>256</v>
      </c>
      <c r="R262" s="5">
        <f>_xlfn.XLOOKUP(A262,'[1]Days Listed'!A:A,'[1]Days Listed'!C:C)</f>
        <v>129</v>
      </c>
      <c r="S262" s="5">
        <f>_xlfn.XLOOKUP(A262,'[1]Days With Trades'!A:A,'[1]Days With Trades'!B:B)</f>
        <v>240</v>
      </c>
      <c r="T262" s="5">
        <f>_xlfn.XLOOKUP(A262,'[1]Days With Trades'!A:A,'[1]Days With Trades'!C:C)</f>
        <v>126</v>
      </c>
      <c r="U262" s="12">
        <f>_xlfn.XLOOKUP(A262,'[1]Value Traded'!A:A,'[1]Value Traded'!B:B)</f>
        <v>26372440.210000001</v>
      </c>
      <c r="V262" s="12">
        <f>_xlfn.XLOOKUP(A262,'[1]Value Traded'!A:A,'[1]Value Traded'!C:C)</f>
        <v>17302974.300000001</v>
      </c>
      <c r="W262" s="12">
        <f>_xlfn.XLOOKUP(A262,'[1]Value Traded'!A:A,'[1]Value Traded'!E:E)</f>
        <v>38523527.909999996</v>
      </c>
      <c r="X262" s="12">
        <f>_xlfn.XLOOKUP(A262,'[1]Value Traded'!A:A,'[1]Value Traded'!F:F)</f>
        <v>12151087.699999999</v>
      </c>
      <c r="Y262" s="12">
        <f>_xlfn.XLOOKUP(A262,'[1]Value Traded'!A:A,'[1]Value Traded'!G:G)</f>
        <v>23648370.699999999</v>
      </c>
      <c r="Z262" s="12">
        <f>_xlfn.XLOOKUP(A262,'[1]Value Traded'!A:A,'[1]Value Traded'!H:H)</f>
        <v>6345396.4000000004</v>
      </c>
    </row>
    <row r="263" spans="1:26" x14ac:dyDescent="0.25">
      <c r="A263" s="13">
        <v>2280070</v>
      </c>
      <c r="B263" s="13" t="s">
        <v>1155</v>
      </c>
      <c r="C263" s="13" t="s">
        <v>1155</v>
      </c>
      <c r="D263" s="13" t="s">
        <v>1156</v>
      </c>
      <c r="E263" s="13" t="s">
        <v>1157</v>
      </c>
      <c r="F263" s="13" t="s">
        <v>32</v>
      </c>
      <c r="G263" s="13" t="s">
        <v>60</v>
      </c>
      <c r="H263" s="13" t="s">
        <v>61</v>
      </c>
      <c r="I263" s="13" t="s">
        <v>1158</v>
      </c>
      <c r="J263" s="13" t="s">
        <v>36</v>
      </c>
      <c r="K263" s="13" t="s">
        <v>37</v>
      </c>
      <c r="L263" s="13" t="s">
        <v>413</v>
      </c>
      <c r="M263" s="14">
        <v>98045518</v>
      </c>
      <c r="N263" s="15">
        <v>2313874224.8000002</v>
      </c>
      <c r="O263" s="11">
        <f>_xlfn.XLOOKUP(A263,[1]MIC!A:A,[1]MIC!C:C)</f>
        <v>45344</v>
      </c>
      <c r="P263" s="11">
        <f>_xlfn.XLOOKUP(A263,[1]MIC!A:A,[1]MIC!D:D)</f>
        <v>45709</v>
      </c>
      <c r="Q263" s="5">
        <f>_xlfn.XLOOKUP(A263,'[1]Days Listed'!A:A,'[1]Days Listed'!B:B)</f>
        <v>256</v>
      </c>
      <c r="R263" s="5">
        <f>_xlfn.XLOOKUP(A263,'[1]Days Listed'!A:A,'[1]Days Listed'!C:C)</f>
        <v>129</v>
      </c>
      <c r="S263" s="5">
        <f>_xlfn.XLOOKUP(A263,'[1]Days With Trades'!A:A,'[1]Days With Trades'!B:B)</f>
        <v>241</v>
      </c>
      <c r="T263" s="5">
        <f>_xlfn.XLOOKUP(A263,'[1]Days With Trades'!A:A,'[1]Days With Trades'!C:C)</f>
        <v>122</v>
      </c>
      <c r="U263" s="12">
        <f>_xlfn.XLOOKUP(A263,'[1]Value Traded'!A:A,'[1]Value Traded'!B:B)</f>
        <v>35003482.899999999</v>
      </c>
      <c r="V263" s="12">
        <f>_xlfn.XLOOKUP(A263,'[1]Value Traded'!A:A,'[1]Value Traded'!C:C)</f>
        <v>20383146.300000001</v>
      </c>
      <c r="W263" s="12">
        <f>_xlfn.XLOOKUP(A263,'[1]Value Traded'!A:A,'[1]Value Traded'!E:E)</f>
        <v>47872739.399999999</v>
      </c>
      <c r="X263" s="12">
        <f>_xlfn.XLOOKUP(A263,'[1]Value Traded'!A:A,'[1]Value Traded'!F:F)</f>
        <v>12869256.5</v>
      </c>
      <c r="Y263" s="12">
        <f>_xlfn.XLOOKUP(A263,'[1]Value Traded'!A:A,'[1]Value Traded'!G:G)</f>
        <v>27513748.399999999</v>
      </c>
      <c r="Z263" s="12">
        <f>_xlfn.XLOOKUP(A263,'[1]Value Traded'!A:A,'[1]Value Traded'!H:H)</f>
        <v>7130602.0999999996</v>
      </c>
    </row>
    <row r="264" spans="1:26" x14ac:dyDescent="0.25">
      <c r="A264" s="8">
        <v>2280083</v>
      </c>
      <c r="B264" s="8" t="s">
        <v>1159</v>
      </c>
      <c r="C264" s="8" t="s">
        <v>1159</v>
      </c>
      <c r="D264" s="8" t="s">
        <v>1160</v>
      </c>
      <c r="E264" s="8" t="s">
        <v>1161</v>
      </c>
      <c r="F264" s="8" t="s">
        <v>32</v>
      </c>
      <c r="G264" s="8" t="s">
        <v>60</v>
      </c>
      <c r="H264" s="8" t="s">
        <v>61</v>
      </c>
      <c r="I264" s="8" t="s">
        <v>1162</v>
      </c>
      <c r="J264" s="8" t="s">
        <v>36</v>
      </c>
      <c r="K264" s="8" t="s">
        <v>37</v>
      </c>
      <c r="L264" s="8" t="s">
        <v>956</v>
      </c>
      <c r="M264" s="9">
        <v>45191747</v>
      </c>
      <c r="N264" s="10">
        <v>1717286386</v>
      </c>
      <c r="O264" s="11">
        <f>_xlfn.XLOOKUP(A264,[1]MIC!A:A,[1]MIC!C:C)</f>
        <v>45344</v>
      </c>
      <c r="P264" s="11">
        <f>_xlfn.XLOOKUP(A264,[1]MIC!A:A,[1]MIC!D:D)</f>
        <v>45709</v>
      </c>
      <c r="Q264" s="5">
        <f>_xlfn.XLOOKUP(A264,'[1]Days Listed'!A:A,'[1]Days Listed'!B:B)</f>
        <v>256</v>
      </c>
      <c r="R264" s="5">
        <f>_xlfn.XLOOKUP(A264,'[1]Days Listed'!A:A,'[1]Days Listed'!C:C)</f>
        <v>129</v>
      </c>
      <c r="S264" s="5">
        <f>_xlfn.XLOOKUP(A264,'[1]Days With Trades'!A:A,'[1]Days With Trades'!B:B)</f>
        <v>231</v>
      </c>
      <c r="T264" s="5">
        <f>_xlfn.XLOOKUP(A264,'[1]Days With Trades'!A:A,'[1]Days With Trades'!C:C)</f>
        <v>121</v>
      </c>
      <c r="U264" s="12">
        <f>_xlfn.XLOOKUP(A264,'[1]Value Traded'!A:A,'[1]Value Traded'!B:B)</f>
        <v>17800244.699999999</v>
      </c>
      <c r="V264" s="12">
        <f>_xlfn.XLOOKUP(A264,'[1]Value Traded'!A:A,'[1]Value Traded'!C:C)</f>
        <v>9793406.8000000007</v>
      </c>
      <c r="W264" s="12">
        <f>_xlfn.XLOOKUP(A264,'[1]Value Traded'!A:A,'[1]Value Traded'!E:E)</f>
        <v>27607859</v>
      </c>
      <c r="X264" s="12">
        <f>_xlfn.XLOOKUP(A264,'[1]Value Traded'!A:A,'[1]Value Traded'!F:F)</f>
        <v>9807614.3000000007</v>
      </c>
      <c r="Y264" s="12">
        <f>_xlfn.XLOOKUP(A264,'[1]Value Traded'!A:A,'[1]Value Traded'!G:G)</f>
        <v>14637491.5</v>
      </c>
      <c r="Z264" s="12">
        <f>_xlfn.XLOOKUP(A264,'[1]Value Traded'!A:A,'[1]Value Traded'!H:H)</f>
        <v>4844084.7</v>
      </c>
    </row>
    <row r="265" spans="1:26" x14ac:dyDescent="0.25">
      <c r="A265" s="13">
        <v>2289519</v>
      </c>
      <c r="B265" s="13" t="s">
        <v>1163</v>
      </c>
      <c r="C265" s="13" t="s">
        <v>1163</v>
      </c>
      <c r="D265" s="13" t="s">
        <v>1164</v>
      </c>
      <c r="E265" s="13" t="s">
        <v>1165</v>
      </c>
      <c r="F265" s="13" t="s">
        <v>32</v>
      </c>
      <c r="G265" s="13" t="s">
        <v>60</v>
      </c>
      <c r="H265" s="13" t="s">
        <v>61</v>
      </c>
      <c r="I265" s="13" t="s">
        <v>1166</v>
      </c>
      <c r="J265" s="13" t="s">
        <v>36</v>
      </c>
      <c r="K265" s="13" t="s">
        <v>37</v>
      </c>
      <c r="L265" s="13" t="s">
        <v>116</v>
      </c>
      <c r="M265" s="14">
        <v>68262002</v>
      </c>
      <c r="N265" s="15">
        <v>348136210.19999999</v>
      </c>
      <c r="O265" s="11">
        <f>_xlfn.XLOOKUP(A265,[1]MIC!A:A,[1]MIC!C:C)</f>
        <v>45344</v>
      </c>
      <c r="P265" s="11">
        <f>_xlfn.XLOOKUP(A265,[1]MIC!A:A,[1]MIC!D:D)</f>
        <v>45709</v>
      </c>
      <c r="Q265" s="5">
        <f>_xlfn.XLOOKUP(A265,'[1]Days Listed'!A:A,'[1]Days Listed'!B:B)</f>
        <v>256</v>
      </c>
      <c r="R265" s="5">
        <f>_xlfn.XLOOKUP(A265,'[1]Days Listed'!A:A,'[1]Days Listed'!C:C)</f>
        <v>129</v>
      </c>
      <c r="S265" s="5">
        <f>_xlfn.XLOOKUP(A265,'[1]Days With Trades'!A:A,'[1]Days With Trades'!B:B)</f>
        <v>250</v>
      </c>
      <c r="T265" s="5">
        <f>_xlfn.XLOOKUP(A265,'[1]Days With Trades'!A:A,'[1]Days With Trades'!C:C)</f>
        <v>127</v>
      </c>
      <c r="U265" s="12">
        <f>_xlfn.XLOOKUP(A265,'[1]Value Traded'!A:A,'[1]Value Traded'!B:B)</f>
        <v>111052193.86</v>
      </c>
      <c r="V265" s="12">
        <f>_xlfn.XLOOKUP(A265,'[1]Value Traded'!A:A,'[1]Value Traded'!C:C)</f>
        <v>63252594.130000003</v>
      </c>
      <c r="W265" s="12">
        <f>_xlfn.XLOOKUP(A265,'[1]Value Traded'!A:A,'[1]Value Traded'!E:E)</f>
        <v>170605883.84999999</v>
      </c>
      <c r="X265" s="12">
        <f>_xlfn.XLOOKUP(A265,'[1]Value Traded'!A:A,'[1]Value Traded'!F:F)</f>
        <v>59553689.990000002</v>
      </c>
      <c r="Y265" s="12">
        <f>_xlfn.XLOOKUP(A265,'[1]Value Traded'!A:A,'[1]Value Traded'!G:G)</f>
        <v>86496351.75</v>
      </c>
      <c r="Z265" s="12">
        <f>_xlfn.XLOOKUP(A265,'[1]Value Traded'!A:A,'[1]Value Traded'!H:H)</f>
        <v>23243757.620000001</v>
      </c>
    </row>
    <row r="266" spans="1:26" x14ac:dyDescent="0.25">
      <c r="A266" s="8">
        <v>2293139</v>
      </c>
      <c r="B266" s="8" t="s">
        <v>1167</v>
      </c>
      <c r="C266" s="8" t="s">
        <v>1167</v>
      </c>
      <c r="D266" s="8" t="s">
        <v>1168</v>
      </c>
      <c r="E266" s="8" t="s">
        <v>1169</v>
      </c>
      <c r="F266" s="8" t="s">
        <v>32</v>
      </c>
      <c r="G266" s="8" t="s">
        <v>47</v>
      </c>
      <c r="H266" s="8" t="s">
        <v>48</v>
      </c>
      <c r="I266" s="8" t="s">
        <v>1170</v>
      </c>
      <c r="J266" s="8" t="s">
        <v>36</v>
      </c>
      <c r="K266" s="8" t="s">
        <v>37</v>
      </c>
      <c r="L266" s="8" t="s">
        <v>165</v>
      </c>
      <c r="M266" s="9">
        <v>269219014</v>
      </c>
      <c r="N266" s="10">
        <v>11105284327.5</v>
      </c>
      <c r="O266" s="11">
        <f>_xlfn.XLOOKUP(A266,[1]MIC!A:A,[1]MIC!C:C)</f>
        <v>45344</v>
      </c>
      <c r="P266" s="11">
        <f>_xlfn.XLOOKUP(A266,[1]MIC!A:A,[1]MIC!D:D)</f>
        <v>45709</v>
      </c>
      <c r="Q266" s="5">
        <f>_xlfn.XLOOKUP(A266,'[1]Days Listed'!A:A,'[1]Days Listed'!B:B)</f>
        <v>256</v>
      </c>
      <c r="R266" s="5">
        <f>_xlfn.XLOOKUP(A266,'[1]Days Listed'!A:A,'[1]Days Listed'!C:C)</f>
        <v>129</v>
      </c>
      <c r="S266" s="5">
        <f>_xlfn.XLOOKUP(A266,'[1]Days With Trades'!A:A,'[1]Days With Trades'!B:B)</f>
        <v>250</v>
      </c>
      <c r="T266" s="5">
        <f>_xlfn.XLOOKUP(A266,'[1]Days With Trades'!A:A,'[1]Days With Trades'!C:C)</f>
        <v>127</v>
      </c>
      <c r="U266" s="12">
        <f>_xlfn.XLOOKUP(A266,'[1]Value Traded'!A:A,'[1]Value Traded'!B:B)</f>
        <v>1071274788.12</v>
      </c>
      <c r="V266" s="12">
        <f>_xlfn.XLOOKUP(A266,'[1]Value Traded'!A:A,'[1]Value Traded'!C:C)</f>
        <v>671676119.87</v>
      </c>
      <c r="W266" s="12">
        <f>_xlfn.XLOOKUP(A266,'[1]Value Traded'!A:A,'[1]Value Traded'!E:E)</f>
        <v>1319133829.22</v>
      </c>
      <c r="X266" s="12">
        <f>_xlfn.XLOOKUP(A266,'[1]Value Traded'!A:A,'[1]Value Traded'!F:F)</f>
        <v>247859041.09999999</v>
      </c>
      <c r="Y266" s="12">
        <f>_xlfn.XLOOKUP(A266,'[1]Value Traded'!A:A,'[1]Value Traded'!G:G)</f>
        <v>789480141.57000005</v>
      </c>
      <c r="Z266" s="12">
        <f>_xlfn.XLOOKUP(A266,'[1]Value Traded'!A:A,'[1]Value Traded'!H:H)</f>
        <v>117804021.7</v>
      </c>
    </row>
    <row r="267" spans="1:26" x14ac:dyDescent="0.25">
      <c r="A267" s="13">
        <v>2293140</v>
      </c>
      <c r="B267" s="13" t="s">
        <v>1171</v>
      </c>
      <c r="C267" s="13" t="s">
        <v>1171</v>
      </c>
      <c r="D267" s="13" t="s">
        <v>1172</v>
      </c>
      <c r="E267" s="13" t="s">
        <v>1173</v>
      </c>
      <c r="F267" s="13" t="s">
        <v>32</v>
      </c>
      <c r="G267" s="13" t="s">
        <v>60</v>
      </c>
      <c r="H267" s="13" t="s">
        <v>61</v>
      </c>
      <c r="I267" s="13" t="s">
        <v>1174</v>
      </c>
      <c r="J267" s="13" t="s">
        <v>36</v>
      </c>
      <c r="K267" s="13" t="s">
        <v>37</v>
      </c>
      <c r="L267" s="13" t="s">
        <v>74</v>
      </c>
      <c r="M267" s="14">
        <v>122508455</v>
      </c>
      <c r="N267" s="15">
        <v>3344480821.5</v>
      </c>
      <c r="O267" s="11">
        <f>_xlfn.XLOOKUP(A267,[1]MIC!A:A,[1]MIC!C:C)</f>
        <v>45344</v>
      </c>
      <c r="P267" s="11">
        <f>_xlfn.XLOOKUP(A267,[1]MIC!A:A,[1]MIC!D:D)</f>
        <v>45709</v>
      </c>
      <c r="Q267" s="5">
        <f>_xlfn.XLOOKUP(A267,'[1]Days Listed'!A:A,'[1]Days Listed'!B:B)</f>
        <v>256</v>
      </c>
      <c r="R267" s="5">
        <f>_xlfn.XLOOKUP(A267,'[1]Days Listed'!A:A,'[1]Days Listed'!C:C)</f>
        <v>129</v>
      </c>
      <c r="S267" s="5">
        <f>_xlfn.XLOOKUP(A267,'[1]Days With Trades'!A:A,'[1]Days With Trades'!B:B)</f>
        <v>249</v>
      </c>
      <c r="T267" s="5">
        <f>_xlfn.XLOOKUP(A267,'[1]Days With Trades'!A:A,'[1]Days With Trades'!C:C)</f>
        <v>127</v>
      </c>
      <c r="U267" s="12">
        <f>_xlfn.XLOOKUP(A267,'[1]Value Traded'!A:A,'[1]Value Traded'!B:B)</f>
        <v>67445951.700000003</v>
      </c>
      <c r="V267" s="12">
        <f>_xlfn.XLOOKUP(A267,'[1]Value Traded'!A:A,'[1]Value Traded'!C:C)</f>
        <v>36019415.399999999</v>
      </c>
      <c r="W267" s="12">
        <f>_xlfn.XLOOKUP(A267,'[1]Value Traded'!A:A,'[1]Value Traded'!E:E)</f>
        <v>85183643.799999997</v>
      </c>
      <c r="X267" s="12">
        <f>_xlfn.XLOOKUP(A267,'[1]Value Traded'!A:A,'[1]Value Traded'!F:F)</f>
        <v>17737692.100000001</v>
      </c>
      <c r="Y267" s="12">
        <f>_xlfn.XLOOKUP(A267,'[1]Value Traded'!A:A,'[1]Value Traded'!G:G)</f>
        <v>46231981.799999997</v>
      </c>
      <c r="Z267" s="12">
        <f>_xlfn.XLOOKUP(A267,'[1]Value Traded'!A:A,'[1]Value Traded'!H:H)</f>
        <v>10212566.4</v>
      </c>
    </row>
    <row r="268" spans="1:26" x14ac:dyDescent="0.25">
      <c r="A268" s="8">
        <v>2295383</v>
      </c>
      <c r="B268" s="8" t="s">
        <v>1175</v>
      </c>
      <c r="C268" s="8" t="s">
        <v>1175</v>
      </c>
      <c r="D268" s="8" t="s">
        <v>1176</v>
      </c>
      <c r="E268" s="8" t="s">
        <v>1177</v>
      </c>
      <c r="F268" s="8" t="s">
        <v>32</v>
      </c>
      <c r="G268" s="8" t="s">
        <v>47</v>
      </c>
      <c r="H268" s="8" t="s">
        <v>48</v>
      </c>
      <c r="I268" s="8" t="s">
        <v>1178</v>
      </c>
      <c r="J268" s="8" t="s">
        <v>36</v>
      </c>
      <c r="K268" s="8" t="s">
        <v>37</v>
      </c>
      <c r="L268" s="8" t="s">
        <v>1023</v>
      </c>
      <c r="M268" s="9">
        <v>175341161</v>
      </c>
      <c r="N268" s="10">
        <v>1662234206.28</v>
      </c>
      <c r="O268" s="11">
        <f>_xlfn.XLOOKUP(A268,[1]MIC!A:A,[1]MIC!C:C)</f>
        <v>45344</v>
      </c>
      <c r="P268" s="11">
        <f>_xlfn.XLOOKUP(A268,[1]MIC!A:A,[1]MIC!D:D)</f>
        <v>45709</v>
      </c>
      <c r="Q268" s="5">
        <f>_xlfn.XLOOKUP(A268,'[1]Days Listed'!A:A,'[1]Days Listed'!B:B)</f>
        <v>256</v>
      </c>
      <c r="R268" s="5">
        <f>_xlfn.XLOOKUP(A268,'[1]Days Listed'!A:A,'[1]Days Listed'!C:C)</f>
        <v>129</v>
      </c>
      <c r="S268" s="5">
        <f>_xlfn.XLOOKUP(A268,'[1]Days With Trades'!A:A,'[1]Days With Trades'!B:B)</f>
        <v>250</v>
      </c>
      <c r="T268" s="5">
        <f>_xlfn.XLOOKUP(A268,'[1]Days With Trades'!A:A,'[1]Days With Trades'!C:C)</f>
        <v>127</v>
      </c>
      <c r="U268" s="12">
        <f>_xlfn.XLOOKUP(A268,'[1]Value Traded'!A:A,'[1]Value Traded'!B:B)</f>
        <v>54321091.630000003</v>
      </c>
      <c r="V268" s="12">
        <f>_xlfn.XLOOKUP(A268,'[1]Value Traded'!A:A,'[1]Value Traded'!C:C)</f>
        <v>24067634.079999998</v>
      </c>
      <c r="W268" s="12">
        <f>_xlfn.XLOOKUP(A268,'[1]Value Traded'!A:A,'[1]Value Traded'!E:E)</f>
        <v>93234789.219999999</v>
      </c>
      <c r="X268" s="12">
        <f>_xlfn.XLOOKUP(A268,'[1]Value Traded'!A:A,'[1]Value Traded'!F:F)</f>
        <v>38913697.590000004</v>
      </c>
      <c r="Y268" s="12">
        <f>_xlfn.XLOOKUP(A268,'[1]Value Traded'!A:A,'[1]Value Traded'!G:G)</f>
        <v>31425621.699999999</v>
      </c>
      <c r="Z268" s="12">
        <f>_xlfn.XLOOKUP(A268,'[1]Value Traded'!A:A,'[1]Value Traded'!H:H)</f>
        <v>7357987.6200000001</v>
      </c>
    </row>
    <row r="269" spans="1:26" x14ac:dyDescent="0.25">
      <c r="A269" s="13">
        <v>2299617</v>
      </c>
      <c r="B269" s="13" t="s">
        <v>1179</v>
      </c>
      <c r="C269" s="13" t="s">
        <v>1179</v>
      </c>
      <c r="D269" s="13" t="s">
        <v>1180</v>
      </c>
      <c r="E269" s="13" t="s">
        <v>1181</v>
      </c>
      <c r="F269" s="13" t="s">
        <v>32</v>
      </c>
      <c r="G269" s="13" t="s">
        <v>47</v>
      </c>
      <c r="H269" s="13" t="s">
        <v>48</v>
      </c>
      <c r="I269" s="13" t="s">
        <v>1182</v>
      </c>
      <c r="J269" s="13" t="s">
        <v>36</v>
      </c>
      <c r="K269" s="13" t="s">
        <v>37</v>
      </c>
      <c r="L269" s="13" t="s">
        <v>147</v>
      </c>
      <c r="M269" s="14">
        <v>171522305</v>
      </c>
      <c r="N269" s="15">
        <v>4408123238.5</v>
      </c>
      <c r="O269" s="11">
        <f>_xlfn.XLOOKUP(A269,[1]MIC!A:A,[1]MIC!C:C)</f>
        <v>45344</v>
      </c>
      <c r="P269" s="11">
        <f>_xlfn.XLOOKUP(A269,[1]MIC!A:A,[1]MIC!D:D)</f>
        <v>45709</v>
      </c>
      <c r="Q269" s="5">
        <f>_xlfn.XLOOKUP(A269,'[1]Days Listed'!A:A,'[1]Days Listed'!B:B)</f>
        <v>256</v>
      </c>
      <c r="R269" s="5">
        <f>_xlfn.XLOOKUP(A269,'[1]Days Listed'!A:A,'[1]Days Listed'!C:C)</f>
        <v>129</v>
      </c>
      <c r="S269" s="5">
        <f>_xlfn.XLOOKUP(A269,'[1]Days With Trades'!A:A,'[1]Days With Trades'!B:B)</f>
        <v>250</v>
      </c>
      <c r="T269" s="5">
        <f>_xlfn.XLOOKUP(A269,'[1]Days With Trades'!A:A,'[1]Days With Trades'!C:C)</f>
        <v>127</v>
      </c>
      <c r="U269" s="12">
        <f>_xlfn.XLOOKUP(A269,'[1]Value Traded'!A:A,'[1]Value Traded'!B:B)</f>
        <v>199020045.59999999</v>
      </c>
      <c r="V269" s="12">
        <f>_xlfn.XLOOKUP(A269,'[1]Value Traded'!A:A,'[1]Value Traded'!C:C)</f>
        <v>108708509.7</v>
      </c>
      <c r="W269" s="12">
        <f>_xlfn.XLOOKUP(A269,'[1]Value Traded'!A:A,'[1]Value Traded'!E:E)</f>
        <v>252191338.09999999</v>
      </c>
      <c r="X269" s="12">
        <f>_xlfn.XLOOKUP(A269,'[1]Value Traded'!A:A,'[1]Value Traded'!F:F)</f>
        <v>53171292.5</v>
      </c>
      <c r="Y269" s="12">
        <f>_xlfn.XLOOKUP(A269,'[1]Value Traded'!A:A,'[1]Value Traded'!G:G)</f>
        <v>136398721.19999999</v>
      </c>
      <c r="Z269" s="12">
        <f>_xlfn.XLOOKUP(A269,'[1]Value Traded'!A:A,'[1]Value Traded'!H:H)</f>
        <v>27690211.5</v>
      </c>
    </row>
    <row r="270" spans="1:26" x14ac:dyDescent="0.25">
      <c r="A270" s="8">
        <v>2304817</v>
      </c>
      <c r="B270" s="8" t="s">
        <v>1183</v>
      </c>
      <c r="C270" s="8" t="s">
        <v>1183</v>
      </c>
      <c r="D270" s="8" t="s">
        <v>1184</v>
      </c>
      <c r="E270" s="8" t="s">
        <v>1185</v>
      </c>
      <c r="F270" s="8" t="s">
        <v>32</v>
      </c>
      <c r="G270" s="8" t="s">
        <v>60</v>
      </c>
      <c r="H270" s="8" t="s">
        <v>128</v>
      </c>
      <c r="I270" s="8" t="s">
        <v>1186</v>
      </c>
      <c r="J270" s="8" t="s">
        <v>36</v>
      </c>
      <c r="K270" s="8" t="s">
        <v>37</v>
      </c>
      <c r="L270" s="8" t="s">
        <v>187</v>
      </c>
      <c r="M270" s="9">
        <v>26321286</v>
      </c>
      <c r="N270" s="10">
        <v>13687068.720000001</v>
      </c>
      <c r="O270" s="11">
        <f>_xlfn.XLOOKUP(A270,[1]MIC!A:A,[1]MIC!C:C)</f>
        <v>45344</v>
      </c>
      <c r="P270" s="11">
        <f>_xlfn.XLOOKUP(A270,[1]MIC!A:A,[1]MIC!D:D)</f>
        <v>45709</v>
      </c>
      <c r="Q270" s="5">
        <f>_xlfn.XLOOKUP(A270,'[1]Days Listed'!A:A,'[1]Days Listed'!B:B)</f>
        <v>256</v>
      </c>
      <c r="R270" s="5">
        <f>_xlfn.XLOOKUP(A270,'[1]Days Listed'!A:A,'[1]Days Listed'!C:C)</f>
        <v>129</v>
      </c>
      <c r="S270" s="5">
        <f>_xlfn.XLOOKUP(A270,'[1]Days With Trades'!A:A,'[1]Days With Trades'!B:B)</f>
        <v>249</v>
      </c>
      <c r="T270" s="5">
        <f>_xlfn.XLOOKUP(A270,'[1]Days With Trades'!A:A,'[1]Days With Trades'!C:C)</f>
        <v>127</v>
      </c>
      <c r="U270" s="12">
        <f>_xlfn.XLOOKUP(A270,'[1]Value Traded'!A:A,'[1]Value Traded'!B:B)</f>
        <v>28885439.719999999</v>
      </c>
      <c r="V270" s="12">
        <f>_xlfn.XLOOKUP(A270,'[1]Value Traded'!A:A,'[1]Value Traded'!C:C)</f>
        <v>10388656.880000001</v>
      </c>
      <c r="W270" s="12">
        <f>_xlfn.XLOOKUP(A270,'[1]Value Traded'!A:A,'[1]Value Traded'!E:E)</f>
        <v>41170953.25</v>
      </c>
      <c r="X270" s="12">
        <f>_xlfn.XLOOKUP(A270,'[1]Value Traded'!A:A,'[1]Value Traded'!F:F)</f>
        <v>12285513.529999999</v>
      </c>
      <c r="Y270" s="12">
        <f>_xlfn.XLOOKUP(A270,'[1]Value Traded'!A:A,'[1]Value Traded'!G:G)</f>
        <v>14602955.99</v>
      </c>
      <c r="Z270" s="12">
        <f>_xlfn.XLOOKUP(A270,'[1]Value Traded'!A:A,'[1]Value Traded'!H:H)</f>
        <v>4214299.1100000003</v>
      </c>
    </row>
    <row r="271" spans="1:26" x14ac:dyDescent="0.25">
      <c r="A271" s="13">
        <v>2308304</v>
      </c>
      <c r="B271" s="13" t="s">
        <v>1187</v>
      </c>
      <c r="C271" s="13" t="s">
        <v>1187</v>
      </c>
      <c r="D271" s="13" t="s">
        <v>1188</v>
      </c>
      <c r="E271" s="13" t="s">
        <v>1189</v>
      </c>
      <c r="F271" s="13" t="s">
        <v>32</v>
      </c>
      <c r="G271" s="13" t="s">
        <v>60</v>
      </c>
      <c r="H271" s="13" t="s">
        <v>61</v>
      </c>
      <c r="I271" s="13" t="s">
        <v>1190</v>
      </c>
      <c r="J271" s="13" t="s">
        <v>36</v>
      </c>
      <c r="K271" s="13" t="s">
        <v>37</v>
      </c>
      <c r="L271" s="13" t="s">
        <v>74</v>
      </c>
      <c r="M271" s="14">
        <v>171263594</v>
      </c>
      <c r="N271" s="15">
        <v>1394085655.1600001</v>
      </c>
      <c r="O271" s="11">
        <f>_xlfn.XLOOKUP(A271,[1]MIC!A:A,[1]MIC!C:C)</f>
        <v>45344</v>
      </c>
      <c r="P271" s="11">
        <f>_xlfn.XLOOKUP(A271,[1]MIC!A:A,[1]MIC!D:D)</f>
        <v>45709</v>
      </c>
      <c r="Q271" s="5">
        <f>_xlfn.XLOOKUP(A271,'[1]Days Listed'!A:A,'[1]Days Listed'!B:B)</f>
        <v>256</v>
      </c>
      <c r="R271" s="5">
        <f>_xlfn.XLOOKUP(A271,'[1]Days Listed'!A:A,'[1]Days Listed'!C:C)</f>
        <v>129</v>
      </c>
      <c r="S271" s="5">
        <f>_xlfn.XLOOKUP(A271,'[1]Days With Trades'!A:A,'[1]Days With Trades'!B:B)</f>
        <v>249</v>
      </c>
      <c r="T271" s="5">
        <f>_xlfn.XLOOKUP(A271,'[1]Days With Trades'!A:A,'[1]Days With Trades'!C:C)</f>
        <v>126</v>
      </c>
      <c r="U271" s="12">
        <f>_xlfn.XLOOKUP(A271,'[1]Value Traded'!A:A,'[1]Value Traded'!B:B)</f>
        <v>45331441.840000004</v>
      </c>
      <c r="V271" s="12">
        <f>_xlfn.XLOOKUP(A271,'[1]Value Traded'!A:A,'[1]Value Traded'!C:C)</f>
        <v>18670548.68</v>
      </c>
      <c r="W271" s="12">
        <f>_xlfn.XLOOKUP(A271,'[1]Value Traded'!A:A,'[1]Value Traded'!E:E)</f>
        <v>60887494.600000001</v>
      </c>
      <c r="X271" s="12">
        <f>_xlfn.XLOOKUP(A271,'[1]Value Traded'!A:A,'[1]Value Traded'!F:F)</f>
        <v>15556052.76</v>
      </c>
      <c r="Y271" s="12">
        <f>_xlfn.XLOOKUP(A271,'[1]Value Traded'!A:A,'[1]Value Traded'!G:G)</f>
        <v>23426713.920000002</v>
      </c>
      <c r="Z271" s="12">
        <f>_xlfn.XLOOKUP(A271,'[1]Value Traded'!A:A,'[1]Value Traded'!H:H)</f>
        <v>4756165.24</v>
      </c>
    </row>
    <row r="272" spans="1:26" x14ac:dyDescent="0.25">
      <c r="A272" s="8">
        <v>2315915</v>
      </c>
      <c r="B272" s="8" t="s">
        <v>1191</v>
      </c>
      <c r="C272" s="8" t="s">
        <v>1191</v>
      </c>
      <c r="D272" s="8" t="s">
        <v>1192</v>
      </c>
      <c r="E272" s="8" t="s">
        <v>1193</v>
      </c>
      <c r="F272" s="8" t="s">
        <v>32</v>
      </c>
      <c r="G272" s="8" t="s">
        <v>60</v>
      </c>
      <c r="H272" s="8" t="s">
        <v>61</v>
      </c>
      <c r="I272" s="8" t="s">
        <v>1194</v>
      </c>
      <c r="J272" s="8" t="s">
        <v>36</v>
      </c>
      <c r="K272" s="8" t="s">
        <v>37</v>
      </c>
      <c r="L272" s="8" t="s">
        <v>288</v>
      </c>
      <c r="M272" s="9">
        <v>202800897</v>
      </c>
      <c r="N272" s="10">
        <v>241333067.43000001</v>
      </c>
      <c r="O272" s="11">
        <f>_xlfn.XLOOKUP(A272,[1]MIC!A:A,[1]MIC!C:C)</f>
        <v>45344</v>
      </c>
      <c r="P272" s="11">
        <f>_xlfn.XLOOKUP(A272,[1]MIC!A:A,[1]MIC!D:D)</f>
        <v>45709</v>
      </c>
      <c r="Q272" s="5">
        <f>_xlfn.XLOOKUP(A272,'[1]Days Listed'!A:A,'[1]Days Listed'!B:B)</f>
        <v>256</v>
      </c>
      <c r="R272" s="5">
        <f>_xlfn.XLOOKUP(A272,'[1]Days Listed'!A:A,'[1]Days Listed'!C:C)</f>
        <v>129</v>
      </c>
      <c r="S272" s="5">
        <f>_xlfn.XLOOKUP(A272,'[1]Days With Trades'!A:A,'[1]Days With Trades'!B:B)</f>
        <v>250</v>
      </c>
      <c r="T272" s="5">
        <f>_xlfn.XLOOKUP(A272,'[1]Days With Trades'!A:A,'[1]Days With Trades'!C:C)</f>
        <v>127</v>
      </c>
      <c r="U272" s="12">
        <f>_xlfn.XLOOKUP(A272,'[1]Value Traded'!A:A,'[1]Value Traded'!B:B)</f>
        <v>38068804.390000001</v>
      </c>
      <c r="V272" s="12">
        <f>_xlfn.XLOOKUP(A272,'[1]Value Traded'!A:A,'[1]Value Traded'!C:C)</f>
        <v>27545569.93</v>
      </c>
      <c r="W272" s="12">
        <f>_xlfn.XLOOKUP(A272,'[1]Value Traded'!A:A,'[1]Value Traded'!E:E)</f>
        <v>63361366.170000002</v>
      </c>
      <c r="X272" s="12">
        <f>_xlfn.XLOOKUP(A272,'[1]Value Traded'!A:A,'[1]Value Traded'!F:F)</f>
        <v>25292561.780000001</v>
      </c>
      <c r="Y272" s="12">
        <f>_xlfn.XLOOKUP(A272,'[1]Value Traded'!A:A,'[1]Value Traded'!G:G)</f>
        <v>39166892.729999997</v>
      </c>
      <c r="Z272" s="12">
        <f>_xlfn.XLOOKUP(A272,'[1]Value Traded'!A:A,'[1]Value Traded'!H:H)</f>
        <v>11621322.800000001</v>
      </c>
    </row>
    <row r="273" spans="1:26" x14ac:dyDescent="0.25">
      <c r="A273" s="13">
        <v>2318527</v>
      </c>
      <c r="B273" s="13" t="s">
        <v>1195</v>
      </c>
      <c r="C273" s="13" t="s">
        <v>1195</v>
      </c>
      <c r="D273" s="13" t="s">
        <v>1196</v>
      </c>
      <c r="E273" s="13" t="s">
        <v>1197</v>
      </c>
      <c r="F273" s="13" t="s">
        <v>32</v>
      </c>
      <c r="G273" s="13" t="s">
        <v>60</v>
      </c>
      <c r="H273" s="13" t="s">
        <v>61</v>
      </c>
      <c r="I273" s="13" t="s">
        <v>1198</v>
      </c>
      <c r="J273" s="13" t="s">
        <v>36</v>
      </c>
      <c r="K273" s="13" t="s">
        <v>37</v>
      </c>
      <c r="L273" s="13" t="s">
        <v>1199</v>
      </c>
      <c r="M273" s="14">
        <v>188134700</v>
      </c>
      <c r="N273" s="15">
        <v>364040644.5</v>
      </c>
      <c r="O273" s="11">
        <f>_xlfn.XLOOKUP(A273,[1]MIC!A:A,[1]MIC!C:C)</f>
        <v>45344</v>
      </c>
      <c r="P273" s="11">
        <f>_xlfn.XLOOKUP(A273,[1]MIC!A:A,[1]MIC!D:D)</f>
        <v>45709</v>
      </c>
      <c r="Q273" s="5">
        <f>_xlfn.XLOOKUP(A273,'[1]Days Listed'!A:A,'[1]Days Listed'!B:B)</f>
        <v>256</v>
      </c>
      <c r="R273" s="5">
        <f>_xlfn.XLOOKUP(A273,'[1]Days Listed'!A:A,'[1]Days Listed'!C:C)</f>
        <v>129</v>
      </c>
      <c r="S273" s="5">
        <f>_xlfn.XLOOKUP(A273,'[1]Days With Trades'!A:A,'[1]Days With Trades'!B:B)</f>
        <v>249</v>
      </c>
      <c r="T273" s="5">
        <f>_xlfn.XLOOKUP(A273,'[1]Days With Trades'!A:A,'[1]Days With Trades'!C:C)</f>
        <v>126</v>
      </c>
      <c r="U273" s="12">
        <f>_xlfn.XLOOKUP(A273,'[1]Value Traded'!A:A,'[1]Value Traded'!B:B)</f>
        <v>59348517.590000004</v>
      </c>
      <c r="V273" s="12">
        <f>_xlfn.XLOOKUP(A273,'[1]Value Traded'!A:A,'[1]Value Traded'!C:C)</f>
        <v>34948182.689999998</v>
      </c>
      <c r="W273" s="12">
        <f>_xlfn.XLOOKUP(A273,'[1]Value Traded'!A:A,'[1]Value Traded'!E:E)</f>
        <v>79664882.040000007</v>
      </c>
      <c r="X273" s="12">
        <f>_xlfn.XLOOKUP(A273,'[1]Value Traded'!A:A,'[1]Value Traded'!F:F)</f>
        <v>20316364.449999999</v>
      </c>
      <c r="Y273" s="12">
        <f>_xlfn.XLOOKUP(A273,'[1]Value Traded'!A:A,'[1]Value Traded'!G:G)</f>
        <v>44624697.020000003</v>
      </c>
      <c r="Z273" s="12">
        <f>_xlfn.XLOOKUP(A273,'[1]Value Traded'!A:A,'[1]Value Traded'!H:H)</f>
        <v>9676514.3300000001</v>
      </c>
    </row>
    <row r="274" spans="1:26" x14ac:dyDescent="0.25">
      <c r="A274" s="8">
        <v>2334436</v>
      </c>
      <c r="B274" s="8" t="s">
        <v>1200</v>
      </c>
      <c r="C274" s="8" t="s">
        <v>1200</v>
      </c>
      <c r="D274" s="8" t="s">
        <v>1201</v>
      </c>
      <c r="E274" s="8" t="s">
        <v>1202</v>
      </c>
      <c r="F274" s="8" t="s">
        <v>32</v>
      </c>
      <c r="G274" s="8" t="s">
        <v>60</v>
      </c>
      <c r="H274" s="8" t="s">
        <v>61</v>
      </c>
      <c r="I274" s="8" t="s">
        <v>1203</v>
      </c>
      <c r="J274" s="8" t="s">
        <v>36</v>
      </c>
      <c r="K274" s="8" t="s">
        <v>37</v>
      </c>
      <c r="L274" s="8" t="s">
        <v>50</v>
      </c>
      <c r="M274" s="9">
        <v>855985659</v>
      </c>
      <c r="N274" s="10">
        <v>761827236.50999999</v>
      </c>
      <c r="O274" s="11">
        <f>_xlfn.XLOOKUP(A274,[1]MIC!A:A,[1]MIC!C:C)</f>
        <v>45344</v>
      </c>
      <c r="P274" s="11">
        <f>_xlfn.XLOOKUP(A274,[1]MIC!A:A,[1]MIC!D:D)</f>
        <v>45709</v>
      </c>
      <c r="Q274" s="5">
        <f>_xlfn.XLOOKUP(A274,'[1]Days Listed'!A:A,'[1]Days Listed'!B:B)</f>
        <v>256</v>
      </c>
      <c r="R274" s="5">
        <f>_xlfn.XLOOKUP(A274,'[1]Days Listed'!A:A,'[1]Days Listed'!C:C)</f>
        <v>129</v>
      </c>
      <c r="S274" s="5">
        <f>_xlfn.XLOOKUP(A274,'[1]Days With Trades'!A:A,'[1]Days With Trades'!B:B)</f>
        <v>250</v>
      </c>
      <c r="T274" s="5">
        <f>_xlfn.XLOOKUP(A274,'[1]Days With Trades'!A:A,'[1]Days With Trades'!C:C)</f>
        <v>127</v>
      </c>
      <c r="U274" s="12">
        <f>_xlfn.XLOOKUP(A274,'[1]Value Traded'!A:A,'[1]Value Traded'!B:B)</f>
        <v>46178758.130000003</v>
      </c>
      <c r="V274" s="12">
        <f>_xlfn.XLOOKUP(A274,'[1]Value Traded'!A:A,'[1]Value Traded'!C:C)</f>
        <v>20749868.359999999</v>
      </c>
      <c r="W274" s="12">
        <f>_xlfn.XLOOKUP(A274,'[1]Value Traded'!A:A,'[1]Value Traded'!E:E)</f>
        <v>71257643.430000007</v>
      </c>
      <c r="X274" s="12">
        <f>_xlfn.XLOOKUP(A274,'[1]Value Traded'!A:A,'[1]Value Traded'!F:F)</f>
        <v>25078885.300000001</v>
      </c>
      <c r="Y274" s="12">
        <f>_xlfn.XLOOKUP(A274,'[1]Value Traded'!A:A,'[1]Value Traded'!G:G)</f>
        <v>27265259.300000001</v>
      </c>
      <c r="Z274" s="12">
        <f>_xlfn.XLOOKUP(A274,'[1]Value Traded'!A:A,'[1]Value Traded'!H:H)</f>
        <v>6515390.9400000004</v>
      </c>
    </row>
    <row r="275" spans="1:26" x14ac:dyDescent="0.25">
      <c r="A275" s="13">
        <v>2337459</v>
      </c>
      <c r="B275" s="13" t="s">
        <v>1204</v>
      </c>
      <c r="C275" s="13" t="s">
        <v>1204</v>
      </c>
      <c r="D275" s="13" t="s">
        <v>1205</v>
      </c>
      <c r="E275" s="13" t="s">
        <v>1206</v>
      </c>
      <c r="F275" s="13" t="s">
        <v>32</v>
      </c>
      <c r="G275" s="13" t="s">
        <v>60</v>
      </c>
      <c r="H275" s="13" t="s">
        <v>61</v>
      </c>
      <c r="I275" s="13" t="s">
        <v>1207</v>
      </c>
      <c r="J275" s="13" t="s">
        <v>36</v>
      </c>
      <c r="K275" s="13" t="s">
        <v>37</v>
      </c>
      <c r="L275" s="13" t="s">
        <v>74</v>
      </c>
      <c r="M275" s="14">
        <v>110285058</v>
      </c>
      <c r="N275" s="15">
        <v>148333403.00999999</v>
      </c>
      <c r="O275" s="11">
        <f>_xlfn.XLOOKUP(A275,[1]MIC!A:A,[1]MIC!C:C)</f>
        <v>45344</v>
      </c>
      <c r="P275" s="11">
        <f>_xlfn.XLOOKUP(A275,[1]MIC!A:A,[1]MIC!D:D)</f>
        <v>45709</v>
      </c>
      <c r="Q275" s="5">
        <f>_xlfn.XLOOKUP(A275,'[1]Days Listed'!A:A,'[1]Days Listed'!B:B)</f>
        <v>256</v>
      </c>
      <c r="R275" s="5">
        <f>_xlfn.XLOOKUP(A275,'[1]Days Listed'!A:A,'[1]Days Listed'!C:C)</f>
        <v>129</v>
      </c>
      <c r="S275" s="5">
        <f>_xlfn.XLOOKUP(A275,'[1]Days With Trades'!A:A,'[1]Days With Trades'!B:B)</f>
        <v>243</v>
      </c>
      <c r="T275" s="5">
        <f>_xlfn.XLOOKUP(A275,'[1]Days With Trades'!A:A,'[1]Days With Trades'!C:C)</f>
        <v>125</v>
      </c>
      <c r="U275" s="12">
        <f>_xlfn.XLOOKUP(A275,'[1]Value Traded'!A:A,'[1]Value Traded'!B:B)</f>
        <v>42477923.659999996</v>
      </c>
      <c r="V275" s="12">
        <f>_xlfn.XLOOKUP(A275,'[1]Value Traded'!A:A,'[1]Value Traded'!C:C)</f>
        <v>19866887.550000001</v>
      </c>
      <c r="W275" s="12">
        <f>_xlfn.XLOOKUP(A275,'[1]Value Traded'!A:A,'[1]Value Traded'!E:E)</f>
        <v>57858239.259999998</v>
      </c>
      <c r="X275" s="12">
        <f>_xlfn.XLOOKUP(A275,'[1]Value Traded'!A:A,'[1]Value Traded'!F:F)</f>
        <v>15380315.6</v>
      </c>
      <c r="Y275" s="12">
        <f>_xlfn.XLOOKUP(A275,'[1]Value Traded'!A:A,'[1]Value Traded'!G:G)</f>
        <v>25917249.140000001</v>
      </c>
      <c r="Z275" s="12">
        <f>_xlfn.XLOOKUP(A275,'[1]Value Traded'!A:A,'[1]Value Traded'!H:H)</f>
        <v>6050361.5899999999</v>
      </c>
    </row>
    <row r="276" spans="1:26" x14ac:dyDescent="0.25">
      <c r="A276" s="8">
        <v>2348848</v>
      </c>
      <c r="B276" s="8" t="s">
        <v>1208</v>
      </c>
      <c r="C276" s="8" t="s">
        <v>1208</v>
      </c>
      <c r="D276" s="8" t="s">
        <v>1209</v>
      </c>
      <c r="E276" s="8" t="s">
        <v>1210</v>
      </c>
      <c r="F276" s="8" t="s">
        <v>32</v>
      </c>
      <c r="G276" s="8" t="s">
        <v>60</v>
      </c>
      <c r="H276" s="8" t="s">
        <v>61</v>
      </c>
      <c r="I276" s="8" t="s">
        <v>1211</v>
      </c>
      <c r="J276" s="8" t="s">
        <v>63</v>
      </c>
      <c r="K276" s="8" t="s">
        <v>37</v>
      </c>
      <c r="L276" s="8" t="s">
        <v>107</v>
      </c>
      <c r="M276" s="9">
        <v>2992721</v>
      </c>
      <c r="N276" s="10">
        <v>519237093.5</v>
      </c>
      <c r="O276" s="11">
        <f>_xlfn.XLOOKUP(A276,[1]MIC!A:A,[1]MIC!C:C)</f>
        <v>45344</v>
      </c>
      <c r="P276" s="11">
        <f>_xlfn.XLOOKUP(A276,[1]MIC!A:A,[1]MIC!D:D)</f>
        <v>45709</v>
      </c>
      <c r="Q276" s="5">
        <f>_xlfn.XLOOKUP(A276,'[1]Days Listed'!A:A,'[1]Days Listed'!B:B)</f>
        <v>256</v>
      </c>
      <c r="R276" s="5">
        <f>_xlfn.XLOOKUP(A276,'[1]Days Listed'!A:A,'[1]Days Listed'!C:C)</f>
        <v>129</v>
      </c>
      <c r="S276" s="5">
        <f>_xlfn.XLOOKUP(A276,'[1]Days With Trades'!A:A,'[1]Days With Trades'!B:B)</f>
        <v>127</v>
      </c>
      <c r="T276" s="5">
        <f>_xlfn.XLOOKUP(A276,'[1]Days With Trades'!A:A,'[1]Days With Trades'!C:C)</f>
        <v>63</v>
      </c>
      <c r="U276" s="12">
        <f>_xlfn.XLOOKUP(A276,'[1]Value Traded'!A:A,'[1]Value Traded'!B:B)</f>
        <v>3474031.2</v>
      </c>
      <c r="V276" s="12">
        <f>_xlfn.XLOOKUP(A276,'[1]Value Traded'!A:A,'[1]Value Traded'!C:C)</f>
        <v>2306649.7200000002</v>
      </c>
      <c r="W276" s="12">
        <f>_xlfn.XLOOKUP(A276,'[1]Value Traded'!A:A,'[1]Value Traded'!E:E)</f>
        <v>9641607.6799999997</v>
      </c>
      <c r="X276" s="12">
        <f>_xlfn.XLOOKUP(A276,'[1]Value Traded'!A:A,'[1]Value Traded'!F:F)</f>
        <v>6167576.4800000004</v>
      </c>
      <c r="Y276" s="12">
        <f>_xlfn.XLOOKUP(A276,'[1]Value Traded'!A:A,'[1]Value Traded'!G:G)</f>
        <v>5237772.5</v>
      </c>
      <c r="Z276" s="12">
        <f>_xlfn.XLOOKUP(A276,'[1]Value Traded'!A:A,'[1]Value Traded'!H:H)</f>
        <v>2931122.78</v>
      </c>
    </row>
    <row r="277" spans="1:26" x14ac:dyDescent="0.25">
      <c r="A277" s="13">
        <v>2349142</v>
      </c>
      <c r="B277" s="13" t="s">
        <v>1212</v>
      </c>
      <c r="C277" s="13" t="s">
        <v>1212</v>
      </c>
      <c r="D277" s="13" t="s">
        <v>1213</v>
      </c>
      <c r="E277" s="13" t="s">
        <v>1214</v>
      </c>
      <c r="F277" s="13" t="s">
        <v>32</v>
      </c>
      <c r="G277" s="13" t="s">
        <v>60</v>
      </c>
      <c r="H277" s="13" t="s">
        <v>128</v>
      </c>
      <c r="I277" s="13" t="s">
        <v>1215</v>
      </c>
      <c r="J277" s="13" t="s">
        <v>36</v>
      </c>
      <c r="K277" s="13" t="s">
        <v>37</v>
      </c>
      <c r="L277" s="13" t="s">
        <v>74</v>
      </c>
      <c r="M277" s="14">
        <v>40369983</v>
      </c>
      <c r="N277" s="15">
        <v>39764433.259999998</v>
      </c>
      <c r="O277" s="11">
        <f>_xlfn.XLOOKUP(A277,[1]MIC!A:A,[1]MIC!C:C)</f>
        <v>45344</v>
      </c>
      <c r="P277" s="11">
        <f>_xlfn.XLOOKUP(A277,[1]MIC!A:A,[1]MIC!D:D)</f>
        <v>45709</v>
      </c>
      <c r="Q277" s="5">
        <f>_xlfn.XLOOKUP(A277,'[1]Days Listed'!A:A,'[1]Days Listed'!B:B)</f>
        <v>256</v>
      </c>
      <c r="R277" s="5">
        <f>_xlfn.XLOOKUP(A277,'[1]Days Listed'!A:A,'[1]Days Listed'!C:C)</f>
        <v>129</v>
      </c>
      <c r="S277" s="5">
        <f>_xlfn.XLOOKUP(A277,'[1]Days With Trades'!A:A,'[1]Days With Trades'!B:B)</f>
        <v>238</v>
      </c>
      <c r="T277" s="5">
        <f>_xlfn.XLOOKUP(A277,'[1]Days With Trades'!A:A,'[1]Days With Trades'!C:C)</f>
        <v>115</v>
      </c>
      <c r="U277" s="12">
        <f>_xlfn.XLOOKUP(A277,'[1]Value Traded'!A:A,'[1]Value Traded'!B:B)</f>
        <v>31702131.93</v>
      </c>
      <c r="V277" s="12">
        <f>_xlfn.XLOOKUP(A277,'[1]Value Traded'!A:A,'[1]Value Traded'!C:C)</f>
        <v>2937484.37</v>
      </c>
      <c r="W277" s="12">
        <f>_xlfn.XLOOKUP(A277,'[1]Value Traded'!A:A,'[1]Value Traded'!E:E)</f>
        <v>73094605.989999995</v>
      </c>
      <c r="X277" s="12">
        <f>_xlfn.XLOOKUP(A277,'[1]Value Traded'!A:A,'[1]Value Traded'!F:F)</f>
        <v>41392474.060000002</v>
      </c>
      <c r="Y277" s="12">
        <f>_xlfn.XLOOKUP(A277,'[1]Value Traded'!A:A,'[1]Value Traded'!G:G)</f>
        <v>4433685.6900000004</v>
      </c>
      <c r="Z277" s="12">
        <f>_xlfn.XLOOKUP(A277,'[1]Value Traded'!A:A,'[1]Value Traded'!H:H)</f>
        <v>1496201.32</v>
      </c>
    </row>
    <row r="278" spans="1:26" x14ac:dyDescent="0.25">
      <c r="A278" s="8">
        <v>2383499</v>
      </c>
      <c r="B278" s="8" t="s">
        <v>1216</v>
      </c>
      <c r="C278" s="8" t="s">
        <v>1216</v>
      </c>
      <c r="D278" s="8" t="s">
        <v>1217</v>
      </c>
      <c r="E278" s="8" t="s">
        <v>1218</v>
      </c>
      <c r="F278" s="8" t="s">
        <v>32</v>
      </c>
      <c r="G278" s="8" t="s">
        <v>60</v>
      </c>
      <c r="H278" s="8" t="s">
        <v>61</v>
      </c>
      <c r="I278" s="8" t="s">
        <v>1219</v>
      </c>
      <c r="J278" s="8" t="s">
        <v>36</v>
      </c>
      <c r="K278" s="8" t="s">
        <v>37</v>
      </c>
      <c r="L278" s="8" t="s">
        <v>50</v>
      </c>
      <c r="M278" s="9">
        <v>33619715</v>
      </c>
      <c r="N278" s="10">
        <v>470676010</v>
      </c>
      <c r="O278" s="11">
        <f>_xlfn.XLOOKUP(A278,[1]MIC!A:A,[1]MIC!C:C)</f>
        <v>45344</v>
      </c>
      <c r="P278" s="11">
        <f>_xlfn.XLOOKUP(A278,[1]MIC!A:A,[1]MIC!D:D)</f>
        <v>45709</v>
      </c>
      <c r="Q278" s="5">
        <f>_xlfn.XLOOKUP(A278,'[1]Days Listed'!A:A,'[1]Days Listed'!B:B)</f>
        <v>256</v>
      </c>
      <c r="R278" s="5">
        <f>_xlfn.XLOOKUP(A278,'[1]Days Listed'!A:A,'[1]Days Listed'!C:C)</f>
        <v>129</v>
      </c>
      <c r="S278" s="5">
        <f>_xlfn.XLOOKUP(A278,'[1]Days With Trades'!A:A,'[1]Days With Trades'!B:B)</f>
        <v>250</v>
      </c>
      <c r="T278" s="5">
        <f>_xlfn.XLOOKUP(A278,'[1]Days With Trades'!A:A,'[1]Days With Trades'!C:C)</f>
        <v>127</v>
      </c>
      <c r="U278" s="12">
        <f>_xlfn.XLOOKUP(A278,'[1]Value Traded'!A:A,'[1]Value Traded'!B:B)</f>
        <v>83245372.75</v>
      </c>
      <c r="V278" s="12">
        <f>_xlfn.XLOOKUP(A278,'[1]Value Traded'!A:A,'[1]Value Traded'!C:C)</f>
        <v>40460165.600000001</v>
      </c>
      <c r="W278" s="12">
        <f>_xlfn.XLOOKUP(A278,'[1]Value Traded'!A:A,'[1]Value Traded'!E:E)</f>
        <v>112276903.45</v>
      </c>
      <c r="X278" s="12">
        <f>_xlfn.XLOOKUP(A278,'[1]Value Traded'!A:A,'[1]Value Traded'!F:F)</f>
        <v>29031530.699999999</v>
      </c>
      <c r="Y278" s="12">
        <f>_xlfn.XLOOKUP(A278,'[1]Value Traded'!A:A,'[1]Value Traded'!G:G)</f>
        <v>52598974.649999999</v>
      </c>
      <c r="Z278" s="12">
        <f>_xlfn.XLOOKUP(A278,'[1]Value Traded'!A:A,'[1]Value Traded'!H:H)</f>
        <v>12138809.050000001</v>
      </c>
    </row>
    <row r="279" spans="1:26" x14ac:dyDescent="0.25">
      <c r="A279" s="13">
        <v>2394972</v>
      </c>
      <c r="B279" s="13" t="s">
        <v>1220</v>
      </c>
      <c r="C279" s="13" t="s">
        <v>1220</v>
      </c>
      <c r="D279" s="13" t="s">
        <v>1221</v>
      </c>
      <c r="E279" s="13" t="s">
        <v>1222</v>
      </c>
      <c r="F279" s="13" t="s">
        <v>32</v>
      </c>
      <c r="G279" s="13" t="s">
        <v>60</v>
      </c>
      <c r="H279" s="13" t="s">
        <v>61</v>
      </c>
      <c r="I279" s="13" t="s">
        <v>1223</v>
      </c>
      <c r="J279" s="13" t="s">
        <v>36</v>
      </c>
      <c r="K279" s="13" t="s">
        <v>37</v>
      </c>
      <c r="L279" s="13" t="s">
        <v>947</v>
      </c>
      <c r="M279" s="14">
        <v>3617372</v>
      </c>
      <c r="N279" s="15">
        <v>1157559040</v>
      </c>
      <c r="O279" s="11">
        <f>_xlfn.XLOOKUP(A279,[1]MIC!A:A,[1]MIC!C:C)</f>
        <v>45344</v>
      </c>
      <c r="P279" s="11">
        <f>_xlfn.XLOOKUP(A279,[1]MIC!A:A,[1]MIC!D:D)</f>
        <v>45709</v>
      </c>
      <c r="Q279" s="5">
        <f>_xlfn.XLOOKUP(A279,'[1]Days Listed'!A:A,'[1]Days Listed'!B:B)</f>
        <v>256</v>
      </c>
      <c r="R279" s="5">
        <f>_xlfn.XLOOKUP(A279,'[1]Days Listed'!A:A,'[1]Days Listed'!C:C)</f>
        <v>129</v>
      </c>
      <c r="S279" s="5">
        <f>_xlfn.XLOOKUP(A279,'[1]Days With Trades'!A:A,'[1]Days With Trades'!B:B)</f>
        <v>207</v>
      </c>
      <c r="T279" s="5">
        <f>_xlfn.XLOOKUP(A279,'[1]Days With Trades'!A:A,'[1]Days With Trades'!C:C)</f>
        <v>103</v>
      </c>
      <c r="U279" s="12">
        <f>_xlfn.XLOOKUP(A279,'[1]Value Traded'!A:A,'[1]Value Traded'!B:B)</f>
        <v>37697471</v>
      </c>
      <c r="V279" s="12">
        <f>_xlfn.XLOOKUP(A279,'[1]Value Traded'!A:A,'[1]Value Traded'!C:C)</f>
        <v>16193842</v>
      </c>
      <c r="W279" s="12">
        <f>_xlfn.XLOOKUP(A279,'[1]Value Traded'!A:A,'[1]Value Traded'!E:E)</f>
        <v>51180515</v>
      </c>
      <c r="X279" s="12">
        <f>_xlfn.XLOOKUP(A279,'[1]Value Traded'!A:A,'[1]Value Traded'!F:F)</f>
        <v>13483044</v>
      </c>
      <c r="Y279" s="12">
        <f>_xlfn.XLOOKUP(A279,'[1]Value Traded'!A:A,'[1]Value Traded'!G:G)</f>
        <v>22243561</v>
      </c>
      <c r="Z279" s="12">
        <f>_xlfn.XLOOKUP(A279,'[1]Value Traded'!A:A,'[1]Value Traded'!H:H)</f>
        <v>6049719</v>
      </c>
    </row>
    <row r="280" spans="1:26" x14ac:dyDescent="0.25">
      <c r="A280" s="8">
        <v>2417486</v>
      </c>
      <c r="B280" s="8" t="s">
        <v>1224</v>
      </c>
      <c r="C280" s="8" t="s">
        <v>1224</v>
      </c>
      <c r="D280" s="8" t="s">
        <v>1225</v>
      </c>
      <c r="E280" s="8" t="s">
        <v>1226</v>
      </c>
      <c r="F280" s="8" t="s">
        <v>32</v>
      </c>
      <c r="G280" s="8" t="s">
        <v>47</v>
      </c>
      <c r="H280" s="8" t="s">
        <v>54</v>
      </c>
      <c r="I280" s="8" t="s">
        <v>1227</v>
      </c>
      <c r="J280" s="8" t="s">
        <v>36</v>
      </c>
      <c r="K280" s="8" t="s">
        <v>37</v>
      </c>
      <c r="L280" s="8" t="s">
        <v>288</v>
      </c>
      <c r="M280" s="9">
        <v>3428540429</v>
      </c>
      <c r="N280" s="10">
        <v>41039628935.129997</v>
      </c>
      <c r="O280" s="11">
        <f>_xlfn.XLOOKUP(A280,[1]MIC!A:A,[1]MIC!C:C)</f>
        <v>45344</v>
      </c>
      <c r="P280" s="11">
        <f>_xlfn.XLOOKUP(A280,[1]MIC!A:A,[1]MIC!D:D)</f>
        <v>45709</v>
      </c>
      <c r="Q280" s="5">
        <f>_xlfn.XLOOKUP(A280,'[1]Days Listed'!A:A,'[1]Days Listed'!B:B)</f>
        <v>256</v>
      </c>
      <c r="R280" s="5">
        <f>_xlfn.XLOOKUP(A280,'[1]Days Listed'!A:A,'[1]Days Listed'!C:C)</f>
        <v>129</v>
      </c>
      <c r="S280" s="5">
        <f>_xlfn.XLOOKUP(A280,'[1]Days With Trades'!A:A,'[1]Days With Trades'!B:B)</f>
        <v>250</v>
      </c>
      <c r="T280" s="5">
        <f>_xlfn.XLOOKUP(A280,'[1]Days With Trades'!A:A,'[1]Days With Trades'!C:C)</f>
        <v>127</v>
      </c>
      <c r="U280" s="12">
        <f>_xlfn.XLOOKUP(A280,'[1]Value Traded'!A:A,'[1]Value Traded'!B:B)</f>
        <v>5645722003.8199997</v>
      </c>
      <c r="V280" s="12">
        <f>_xlfn.XLOOKUP(A280,'[1]Value Traded'!A:A,'[1]Value Traded'!C:C)</f>
        <v>2905162616.8000002</v>
      </c>
      <c r="W280" s="12">
        <f>_xlfn.XLOOKUP(A280,'[1]Value Traded'!A:A,'[1]Value Traded'!E:E)</f>
        <v>7472629145.3699999</v>
      </c>
      <c r="X280" s="12">
        <f>_xlfn.XLOOKUP(A280,'[1]Value Traded'!A:A,'[1]Value Traded'!F:F)</f>
        <v>1826907141.55</v>
      </c>
      <c r="Y280" s="12">
        <f>_xlfn.XLOOKUP(A280,'[1]Value Traded'!A:A,'[1]Value Traded'!G:G)</f>
        <v>3861292442.8299999</v>
      </c>
      <c r="Z280" s="12">
        <f>_xlfn.XLOOKUP(A280,'[1]Value Traded'!A:A,'[1]Value Traded'!H:H)</f>
        <v>956129826.02999997</v>
      </c>
    </row>
    <row r="281" spans="1:26" x14ac:dyDescent="0.25">
      <c r="A281" s="13">
        <v>2454024</v>
      </c>
      <c r="B281" s="13" t="s">
        <v>1228</v>
      </c>
      <c r="C281" s="13" t="s">
        <v>1228</v>
      </c>
      <c r="D281" s="13" t="s">
        <v>1229</v>
      </c>
      <c r="E281" s="13" t="s">
        <v>1230</v>
      </c>
      <c r="F281" s="13" t="s">
        <v>32</v>
      </c>
      <c r="G281" s="13" t="s">
        <v>47</v>
      </c>
      <c r="H281" s="13" t="s">
        <v>48</v>
      </c>
      <c r="I281" s="13" t="s">
        <v>1231</v>
      </c>
      <c r="J281" s="13" t="s">
        <v>36</v>
      </c>
      <c r="K281" s="13" t="s">
        <v>37</v>
      </c>
      <c r="L281" s="13" t="s">
        <v>876</v>
      </c>
      <c r="M281" s="14">
        <v>129314488</v>
      </c>
      <c r="N281" s="15">
        <v>2114291878.8</v>
      </c>
      <c r="O281" s="11">
        <f>_xlfn.XLOOKUP(A281,[1]MIC!A:A,[1]MIC!C:C)</f>
        <v>45344</v>
      </c>
      <c r="P281" s="11">
        <f>_xlfn.XLOOKUP(A281,[1]MIC!A:A,[1]MIC!D:D)</f>
        <v>45709</v>
      </c>
      <c r="Q281" s="5">
        <f>_xlfn.XLOOKUP(A281,'[1]Days Listed'!A:A,'[1]Days Listed'!B:B)</f>
        <v>256</v>
      </c>
      <c r="R281" s="5">
        <f>_xlfn.XLOOKUP(A281,'[1]Days Listed'!A:A,'[1]Days Listed'!C:C)</f>
        <v>129</v>
      </c>
      <c r="S281" s="5">
        <f>_xlfn.XLOOKUP(A281,'[1]Days With Trades'!A:A,'[1]Days With Trades'!B:B)</f>
        <v>250</v>
      </c>
      <c r="T281" s="5">
        <f>_xlfn.XLOOKUP(A281,'[1]Days With Trades'!A:A,'[1]Days With Trades'!C:C)</f>
        <v>127</v>
      </c>
      <c r="U281" s="12">
        <f>_xlfn.XLOOKUP(A281,'[1]Value Traded'!A:A,'[1]Value Traded'!B:B)</f>
        <v>124996147.5</v>
      </c>
      <c r="V281" s="12">
        <f>_xlfn.XLOOKUP(A281,'[1]Value Traded'!A:A,'[1]Value Traded'!C:C)</f>
        <v>54412459.799999997</v>
      </c>
      <c r="W281" s="12">
        <f>_xlfn.XLOOKUP(A281,'[1]Value Traded'!A:A,'[1]Value Traded'!E:E)</f>
        <v>170359277.69999999</v>
      </c>
      <c r="X281" s="12">
        <f>_xlfn.XLOOKUP(A281,'[1]Value Traded'!A:A,'[1]Value Traded'!F:F)</f>
        <v>45363130.200000003</v>
      </c>
      <c r="Y281" s="12">
        <f>_xlfn.XLOOKUP(A281,'[1]Value Traded'!A:A,'[1]Value Traded'!G:G)</f>
        <v>66011412.899999999</v>
      </c>
      <c r="Z281" s="12">
        <f>_xlfn.XLOOKUP(A281,'[1]Value Traded'!A:A,'[1]Value Traded'!H:H)</f>
        <v>11598953.1</v>
      </c>
    </row>
    <row r="282" spans="1:26" x14ac:dyDescent="0.25">
      <c r="A282" s="8">
        <v>2455465</v>
      </c>
      <c r="B282" s="8" t="s">
        <v>1232</v>
      </c>
      <c r="C282" s="8" t="s">
        <v>1232</v>
      </c>
      <c r="D282" s="8" t="s">
        <v>1233</v>
      </c>
      <c r="E282" s="8" t="s">
        <v>1234</v>
      </c>
      <c r="F282" s="8" t="s">
        <v>32</v>
      </c>
      <c r="G282" s="8" t="s">
        <v>47</v>
      </c>
      <c r="H282" s="8" t="s">
        <v>91</v>
      </c>
      <c r="I282" s="8" t="s">
        <v>1235</v>
      </c>
      <c r="J282" s="8" t="s">
        <v>36</v>
      </c>
      <c r="K282" s="8" t="s">
        <v>37</v>
      </c>
      <c r="L282" s="8" t="s">
        <v>50</v>
      </c>
      <c r="M282" s="9">
        <v>190769749</v>
      </c>
      <c r="N282" s="10">
        <v>16539737238.299999</v>
      </c>
      <c r="O282" s="11">
        <f>_xlfn.XLOOKUP(A282,[1]MIC!A:A,[1]MIC!C:C)</f>
        <v>45344</v>
      </c>
      <c r="P282" s="11">
        <f>_xlfn.XLOOKUP(A282,[1]MIC!A:A,[1]MIC!D:D)</f>
        <v>45709</v>
      </c>
      <c r="Q282" s="5">
        <f>_xlfn.XLOOKUP(A282,'[1]Days Listed'!A:A,'[1]Days Listed'!B:B)</f>
        <v>256</v>
      </c>
      <c r="R282" s="5">
        <f>_xlfn.XLOOKUP(A282,'[1]Days Listed'!A:A,'[1]Days Listed'!C:C)</f>
        <v>129</v>
      </c>
      <c r="S282" s="5">
        <f>_xlfn.XLOOKUP(A282,'[1]Days With Trades'!A:A,'[1]Days With Trades'!B:B)</f>
        <v>250</v>
      </c>
      <c r="T282" s="5">
        <f>_xlfn.XLOOKUP(A282,'[1]Days With Trades'!A:A,'[1]Days With Trades'!C:C)</f>
        <v>127</v>
      </c>
      <c r="U282" s="12">
        <f>_xlfn.XLOOKUP(A282,'[1]Value Traded'!A:A,'[1]Value Traded'!B:B)</f>
        <v>19086863124</v>
      </c>
      <c r="V282" s="12">
        <f>_xlfn.XLOOKUP(A282,'[1]Value Traded'!A:A,'[1]Value Traded'!C:C)</f>
        <v>9652611146.5</v>
      </c>
      <c r="W282" s="12">
        <f>_xlfn.XLOOKUP(A282,'[1]Value Traded'!A:A,'[1]Value Traded'!E:E)</f>
        <v>22247697849.98</v>
      </c>
      <c r="X282" s="12">
        <f>_xlfn.XLOOKUP(A282,'[1]Value Traded'!A:A,'[1]Value Traded'!F:F)</f>
        <v>3160834725.98</v>
      </c>
      <c r="Y282" s="12">
        <f>_xlfn.XLOOKUP(A282,'[1]Value Traded'!A:A,'[1]Value Traded'!G:G)</f>
        <v>11103511245.530001</v>
      </c>
      <c r="Z282" s="12">
        <f>_xlfn.XLOOKUP(A282,'[1]Value Traded'!A:A,'[1]Value Traded'!H:H)</f>
        <v>1450900099.03</v>
      </c>
    </row>
    <row r="283" spans="1:26" x14ac:dyDescent="0.25">
      <c r="A283" s="13">
        <v>2474162</v>
      </c>
      <c r="B283" s="13" t="s">
        <v>1236</v>
      </c>
      <c r="C283" s="13" t="s">
        <v>1236</v>
      </c>
      <c r="D283" s="13" t="s">
        <v>1237</v>
      </c>
      <c r="E283" s="13" t="s">
        <v>1238</v>
      </c>
      <c r="F283" s="13" t="s">
        <v>32</v>
      </c>
      <c r="G283" s="13" t="s">
        <v>60</v>
      </c>
      <c r="H283" s="13" t="s">
        <v>61</v>
      </c>
      <c r="I283" s="13" t="s">
        <v>1239</v>
      </c>
      <c r="J283" s="13" t="s">
        <v>36</v>
      </c>
      <c r="K283" s="13" t="s">
        <v>37</v>
      </c>
      <c r="L283" s="13" t="s">
        <v>1240</v>
      </c>
      <c r="M283" s="14">
        <v>205561439</v>
      </c>
      <c r="N283" s="15">
        <v>57146080.039999999</v>
      </c>
      <c r="O283" s="11">
        <f>_xlfn.XLOOKUP(A283,[1]MIC!A:A,[1]MIC!C:C)</f>
        <v>45344</v>
      </c>
      <c r="P283" s="11">
        <f>_xlfn.XLOOKUP(A283,[1]MIC!A:A,[1]MIC!D:D)</f>
        <v>45709</v>
      </c>
      <c r="Q283" s="5">
        <f>_xlfn.XLOOKUP(A283,'[1]Days Listed'!A:A,'[1]Days Listed'!B:B)</f>
        <v>256</v>
      </c>
      <c r="R283" s="5">
        <f>_xlfn.XLOOKUP(A283,'[1]Days Listed'!A:A,'[1]Days Listed'!C:C)</f>
        <v>129</v>
      </c>
      <c r="S283" s="5">
        <f>_xlfn.XLOOKUP(A283,'[1]Days With Trades'!A:A,'[1]Days With Trades'!B:B)</f>
        <v>249</v>
      </c>
      <c r="T283" s="5">
        <f>_xlfn.XLOOKUP(A283,'[1]Days With Trades'!A:A,'[1]Days With Trades'!C:C)</f>
        <v>127</v>
      </c>
      <c r="U283" s="12">
        <f>_xlfn.XLOOKUP(A283,'[1]Value Traded'!A:A,'[1]Value Traded'!B:B)</f>
        <v>41389894.380000003</v>
      </c>
      <c r="V283" s="12">
        <f>_xlfn.XLOOKUP(A283,'[1]Value Traded'!A:A,'[1]Value Traded'!C:C)</f>
        <v>28839109.52</v>
      </c>
      <c r="W283" s="12">
        <f>_xlfn.XLOOKUP(A283,'[1]Value Traded'!A:A,'[1]Value Traded'!E:E)</f>
        <v>70503521.609999999</v>
      </c>
      <c r="X283" s="12">
        <f>_xlfn.XLOOKUP(A283,'[1]Value Traded'!A:A,'[1]Value Traded'!F:F)</f>
        <v>29113627.23</v>
      </c>
      <c r="Y283" s="12">
        <f>_xlfn.XLOOKUP(A283,'[1]Value Traded'!A:A,'[1]Value Traded'!G:G)</f>
        <v>46265591.759999998</v>
      </c>
      <c r="Z283" s="12">
        <f>_xlfn.XLOOKUP(A283,'[1]Value Traded'!A:A,'[1]Value Traded'!H:H)</f>
        <v>17426482.239999998</v>
      </c>
    </row>
    <row r="284" spans="1:26" x14ac:dyDescent="0.25">
      <c r="A284" s="8">
        <v>2475427</v>
      </c>
      <c r="B284" s="8" t="s">
        <v>1241</v>
      </c>
      <c r="C284" s="8" t="s">
        <v>1241</v>
      </c>
      <c r="D284" s="8" t="s">
        <v>1242</v>
      </c>
      <c r="E284" s="8" t="s">
        <v>1243</v>
      </c>
      <c r="F284" s="8" t="s">
        <v>32</v>
      </c>
      <c r="G284" s="8" t="s">
        <v>60</v>
      </c>
      <c r="H284" s="8" t="s">
        <v>61</v>
      </c>
      <c r="I284" s="8" t="s">
        <v>1244</v>
      </c>
      <c r="J284" s="8" t="s">
        <v>36</v>
      </c>
      <c r="K284" s="8" t="s">
        <v>37</v>
      </c>
      <c r="L284" s="8" t="s">
        <v>97</v>
      </c>
      <c r="M284" s="9">
        <v>30962431</v>
      </c>
      <c r="N284" s="10">
        <v>2941430945</v>
      </c>
      <c r="O284" s="11">
        <f>_xlfn.XLOOKUP(A284,[1]MIC!A:A,[1]MIC!C:C)</f>
        <v>45344</v>
      </c>
      <c r="P284" s="11">
        <f>_xlfn.XLOOKUP(A284,[1]MIC!A:A,[1]MIC!D:D)</f>
        <v>45709</v>
      </c>
      <c r="Q284" s="5">
        <f>_xlfn.XLOOKUP(A284,'[1]Days Listed'!A:A,'[1]Days Listed'!B:B)</f>
        <v>256</v>
      </c>
      <c r="R284" s="5">
        <f>_xlfn.XLOOKUP(A284,'[1]Days Listed'!A:A,'[1]Days Listed'!C:C)</f>
        <v>129</v>
      </c>
      <c r="S284" s="5">
        <f>_xlfn.XLOOKUP(A284,'[1]Days With Trades'!A:A,'[1]Days With Trades'!B:B)</f>
        <v>222</v>
      </c>
      <c r="T284" s="5">
        <f>_xlfn.XLOOKUP(A284,'[1]Days With Trades'!A:A,'[1]Days With Trades'!C:C)</f>
        <v>113</v>
      </c>
      <c r="U284" s="12">
        <f>_xlfn.XLOOKUP(A284,'[1]Value Traded'!A:A,'[1]Value Traded'!B:B)</f>
        <v>33834110</v>
      </c>
      <c r="V284" s="12">
        <f>_xlfn.XLOOKUP(A284,'[1]Value Traded'!A:A,'[1]Value Traded'!C:C)</f>
        <v>21259029.5</v>
      </c>
      <c r="W284" s="12">
        <f>_xlfn.XLOOKUP(A284,'[1]Value Traded'!A:A,'[1]Value Traded'!E:E)</f>
        <v>55371316.5</v>
      </c>
      <c r="X284" s="12">
        <f>_xlfn.XLOOKUP(A284,'[1]Value Traded'!A:A,'[1]Value Traded'!F:F)</f>
        <v>21537206.5</v>
      </c>
      <c r="Y284" s="12">
        <f>_xlfn.XLOOKUP(A284,'[1]Value Traded'!A:A,'[1]Value Traded'!G:G)</f>
        <v>28891307</v>
      </c>
      <c r="Z284" s="12">
        <f>_xlfn.XLOOKUP(A284,'[1]Value Traded'!A:A,'[1]Value Traded'!H:H)</f>
        <v>7632277.5</v>
      </c>
    </row>
    <row r="285" spans="1:26" x14ac:dyDescent="0.25">
      <c r="A285" s="13">
        <v>2479320</v>
      </c>
      <c r="B285" s="13" t="s">
        <v>1245</v>
      </c>
      <c r="C285" s="13" t="s">
        <v>1245</v>
      </c>
      <c r="D285" s="13" t="s">
        <v>1246</v>
      </c>
      <c r="E285" s="13" t="s">
        <v>1247</v>
      </c>
      <c r="F285" s="13" t="s">
        <v>32</v>
      </c>
      <c r="G285" s="13" t="s">
        <v>47</v>
      </c>
      <c r="H285" s="13" t="s">
        <v>48</v>
      </c>
      <c r="I285" s="13" t="s">
        <v>1248</v>
      </c>
      <c r="J285" s="13" t="s">
        <v>36</v>
      </c>
      <c r="K285" s="13" t="s">
        <v>37</v>
      </c>
      <c r="L285" s="13" t="s">
        <v>562</v>
      </c>
      <c r="M285" s="14">
        <v>62898669</v>
      </c>
      <c r="N285" s="15">
        <v>691885359</v>
      </c>
      <c r="O285" s="11">
        <f>_xlfn.XLOOKUP(A285,[1]MIC!A:A,[1]MIC!C:C)</f>
        <v>45462</v>
      </c>
      <c r="P285" s="11">
        <f>_xlfn.XLOOKUP(A285,[1]MIC!A:A,[1]MIC!D:D)</f>
        <v>45709</v>
      </c>
      <c r="Q285" s="5">
        <f>_xlfn.XLOOKUP(A285,'[1]Days Listed'!A:A,'[1]Days Listed'!B:B)</f>
        <v>256</v>
      </c>
      <c r="R285" s="5">
        <f>_xlfn.XLOOKUP(A285,'[1]Days Listed'!A:A,'[1]Days Listed'!C:C)</f>
        <v>129</v>
      </c>
      <c r="S285" s="5">
        <f>_xlfn.XLOOKUP(A285,'[1]Days With Trades'!A:A,'[1]Days With Trades'!B:B)</f>
        <v>246</v>
      </c>
      <c r="T285" s="5">
        <f>_xlfn.XLOOKUP(A285,'[1]Days With Trades'!A:A,'[1]Days With Trades'!C:C)</f>
        <v>126</v>
      </c>
      <c r="U285" s="12">
        <f>_xlfn.XLOOKUP(A285,'[1]Value Traded'!A:A,'[1]Value Traded'!B:B)</f>
        <v>85006005.349999994</v>
      </c>
      <c r="V285" s="12">
        <f>_xlfn.XLOOKUP(A285,'[1]Value Traded'!A:A,'[1]Value Traded'!C:C)</f>
        <v>31703800.199999999</v>
      </c>
      <c r="W285" s="12">
        <f>_xlfn.XLOOKUP(A285,'[1]Value Traded'!A:A,'[1]Value Traded'!E:E)</f>
        <v>123934392.5</v>
      </c>
      <c r="X285" s="12">
        <f>_xlfn.XLOOKUP(A285,'[1]Value Traded'!A:A,'[1]Value Traded'!F:F)</f>
        <v>38928387.149999999</v>
      </c>
      <c r="Y285" s="12">
        <f>_xlfn.XLOOKUP(A285,'[1]Value Traded'!A:A,'[1]Value Traded'!G:G)</f>
        <v>41536080.700000003</v>
      </c>
      <c r="Z285" s="12">
        <f>_xlfn.XLOOKUP(A285,'[1]Value Traded'!A:A,'[1]Value Traded'!H:H)</f>
        <v>9832280.5</v>
      </c>
    </row>
    <row r="286" spans="1:26" x14ac:dyDescent="0.25">
      <c r="A286" s="8">
        <v>2481795</v>
      </c>
      <c r="B286" s="8" t="s">
        <v>1249</v>
      </c>
      <c r="C286" s="8" t="s">
        <v>1249</v>
      </c>
      <c r="D286" s="8" t="s">
        <v>1250</v>
      </c>
      <c r="E286" s="8" t="s">
        <v>1251</v>
      </c>
      <c r="F286" s="8" t="s">
        <v>32</v>
      </c>
      <c r="G286" s="8" t="s">
        <v>33</v>
      </c>
      <c r="H286" s="8" t="s">
        <v>34</v>
      </c>
      <c r="I286" s="8" t="s">
        <v>1252</v>
      </c>
      <c r="J286" s="8" t="s">
        <v>36</v>
      </c>
      <c r="K286" s="8" t="s">
        <v>37</v>
      </c>
      <c r="L286" s="8" t="s">
        <v>754</v>
      </c>
      <c r="M286" s="9">
        <v>43900000</v>
      </c>
      <c r="N286" s="10">
        <v>2651560000</v>
      </c>
      <c r="O286" s="11">
        <f>_xlfn.XLOOKUP(A286,[1]MIC!A:A,[1]MIC!C:C)</f>
        <v>45344</v>
      </c>
      <c r="P286" s="11">
        <f>_xlfn.XLOOKUP(A286,[1]MIC!A:A,[1]MIC!D:D)</f>
        <v>45709</v>
      </c>
      <c r="Q286" s="5">
        <f>_xlfn.XLOOKUP(A286,'[1]Days Listed'!A:A,'[1]Days Listed'!B:B)</f>
        <v>256</v>
      </c>
      <c r="R286" s="5">
        <f>_xlfn.XLOOKUP(A286,'[1]Days Listed'!A:A,'[1]Days Listed'!C:C)</f>
        <v>129</v>
      </c>
      <c r="S286" s="5">
        <f>_xlfn.XLOOKUP(A286,'[1]Days With Trades'!A:A,'[1]Days With Trades'!B:B)</f>
        <v>250</v>
      </c>
      <c r="T286" s="5">
        <f>_xlfn.XLOOKUP(A286,'[1]Days With Trades'!A:A,'[1]Days With Trades'!C:C)</f>
        <v>127</v>
      </c>
      <c r="U286" s="12">
        <f>_xlfn.XLOOKUP(A286,'[1]Value Traded'!A:A,'[1]Value Traded'!B:B)</f>
        <v>1876423271.8</v>
      </c>
      <c r="V286" s="12">
        <f>_xlfn.XLOOKUP(A286,'[1]Value Traded'!A:A,'[1]Value Traded'!C:C)</f>
        <v>828296486.95000005</v>
      </c>
      <c r="W286" s="12">
        <f>_xlfn.XLOOKUP(A286,'[1]Value Traded'!A:A,'[1]Value Traded'!E:E)</f>
        <v>2203924950.0500002</v>
      </c>
      <c r="X286" s="12">
        <f>_xlfn.XLOOKUP(A286,'[1]Value Traded'!A:A,'[1]Value Traded'!F:F)</f>
        <v>327501678.25</v>
      </c>
      <c r="Y286" s="12">
        <f>_xlfn.XLOOKUP(A286,'[1]Value Traded'!A:A,'[1]Value Traded'!G:G)</f>
        <v>940789489.85000002</v>
      </c>
      <c r="Z286" s="12">
        <f>_xlfn.XLOOKUP(A286,'[1]Value Traded'!A:A,'[1]Value Traded'!H:H)</f>
        <v>112493002.90000001</v>
      </c>
    </row>
    <row r="287" spans="1:26" x14ac:dyDescent="0.25">
      <c r="A287" s="13">
        <v>2557856</v>
      </c>
      <c r="B287" s="13" t="s">
        <v>1253</v>
      </c>
      <c r="C287" s="13" t="s">
        <v>1253</v>
      </c>
      <c r="D287" s="13" t="s">
        <v>1254</v>
      </c>
      <c r="E287" s="13" t="s">
        <v>1255</v>
      </c>
      <c r="F287" s="13" t="s">
        <v>32</v>
      </c>
      <c r="G287" s="13" t="s">
        <v>47</v>
      </c>
      <c r="H287" s="13" t="s">
        <v>68</v>
      </c>
      <c r="I287" s="13" t="s">
        <v>1256</v>
      </c>
      <c r="J287" s="13" t="s">
        <v>36</v>
      </c>
      <c r="K287" s="13" t="s">
        <v>37</v>
      </c>
      <c r="L287" s="13" t="s">
        <v>400</v>
      </c>
      <c r="M287" s="14">
        <v>2496406246</v>
      </c>
      <c r="N287" s="15">
        <v>83629609241</v>
      </c>
      <c r="O287" s="11">
        <f>_xlfn.XLOOKUP(A287,[1]MIC!A:A,[1]MIC!C:C)</f>
        <v>45344</v>
      </c>
      <c r="P287" s="11">
        <f>_xlfn.XLOOKUP(A287,[1]MIC!A:A,[1]MIC!D:D)</f>
        <v>45709</v>
      </c>
      <c r="Q287" s="5">
        <f>_xlfn.XLOOKUP(A287,'[1]Days Listed'!A:A,'[1]Days Listed'!B:B)</f>
        <v>256</v>
      </c>
      <c r="R287" s="5">
        <f>_xlfn.XLOOKUP(A287,'[1]Days Listed'!A:A,'[1]Days Listed'!C:C)</f>
        <v>129</v>
      </c>
      <c r="S287" s="5">
        <f>_xlfn.XLOOKUP(A287,'[1]Days With Trades'!A:A,'[1]Days With Trades'!B:B)</f>
        <v>250</v>
      </c>
      <c r="T287" s="5">
        <f>_xlfn.XLOOKUP(A287,'[1]Days With Trades'!A:A,'[1]Days With Trades'!C:C)</f>
        <v>127</v>
      </c>
      <c r="U287" s="12">
        <f>_xlfn.XLOOKUP(A287,'[1]Value Traded'!A:A,'[1]Value Traded'!B:B)</f>
        <v>34300082055.779999</v>
      </c>
      <c r="V287" s="12">
        <f>_xlfn.XLOOKUP(A287,'[1]Value Traded'!A:A,'[1]Value Traded'!C:C)</f>
        <v>17226429668.029999</v>
      </c>
      <c r="W287" s="12">
        <f>_xlfn.XLOOKUP(A287,'[1]Value Traded'!A:A,'[1]Value Traded'!E:E)</f>
        <v>39277467630.629997</v>
      </c>
      <c r="X287" s="12">
        <f>_xlfn.XLOOKUP(A287,'[1]Value Traded'!A:A,'[1]Value Traded'!F:F)</f>
        <v>4977385574.8500004</v>
      </c>
      <c r="Y287" s="12">
        <f>_xlfn.XLOOKUP(A287,'[1]Value Traded'!A:A,'[1]Value Traded'!G:G)</f>
        <v>19392174721.93</v>
      </c>
      <c r="Z287" s="12">
        <f>_xlfn.XLOOKUP(A287,'[1]Value Traded'!A:A,'[1]Value Traded'!H:H)</f>
        <v>2165745053.9000001</v>
      </c>
    </row>
    <row r="288" spans="1:26" x14ac:dyDescent="0.25">
      <c r="A288" s="8">
        <v>2566536</v>
      </c>
      <c r="B288" s="8" t="s">
        <v>1257</v>
      </c>
      <c r="C288" s="8" t="s">
        <v>1257</v>
      </c>
      <c r="D288" s="8" t="s">
        <v>1258</v>
      </c>
      <c r="E288" s="8" t="s">
        <v>1259</v>
      </c>
      <c r="F288" s="8" t="s">
        <v>32</v>
      </c>
      <c r="G288" s="8" t="s">
        <v>60</v>
      </c>
      <c r="H288" s="8" t="s">
        <v>61</v>
      </c>
      <c r="I288" s="8" t="s">
        <v>1260</v>
      </c>
      <c r="J288" s="8" t="s">
        <v>36</v>
      </c>
      <c r="K288" s="8" t="s">
        <v>37</v>
      </c>
      <c r="L288" s="8" t="s">
        <v>50</v>
      </c>
      <c r="M288" s="9">
        <v>53726718</v>
      </c>
      <c r="N288" s="10">
        <v>4437826906.8000002</v>
      </c>
      <c r="O288" s="11">
        <f>_xlfn.XLOOKUP(A288,[1]MIC!A:A,[1]MIC!C:C)</f>
        <v>45344</v>
      </c>
      <c r="P288" s="11">
        <f>_xlfn.XLOOKUP(A288,[1]MIC!A:A,[1]MIC!D:D)</f>
        <v>45709</v>
      </c>
      <c r="Q288" s="5">
        <f>_xlfn.XLOOKUP(A288,'[1]Days Listed'!A:A,'[1]Days Listed'!B:B)</f>
        <v>256</v>
      </c>
      <c r="R288" s="5">
        <f>_xlfn.XLOOKUP(A288,'[1]Days Listed'!A:A,'[1]Days Listed'!C:C)</f>
        <v>129</v>
      </c>
      <c r="S288" s="5">
        <f>_xlfn.XLOOKUP(A288,'[1]Days With Trades'!A:A,'[1]Days With Trades'!B:B)</f>
        <v>250</v>
      </c>
      <c r="T288" s="5">
        <f>_xlfn.XLOOKUP(A288,'[1]Days With Trades'!A:A,'[1]Days With Trades'!C:C)</f>
        <v>127</v>
      </c>
      <c r="U288" s="12">
        <f>_xlfn.XLOOKUP(A288,'[1]Value Traded'!A:A,'[1]Value Traded'!B:B)</f>
        <v>1258852343.0799999</v>
      </c>
      <c r="V288" s="12">
        <f>_xlfn.XLOOKUP(A288,'[1]Value Traded'!A:A,'[1]Value Traded'!C:C)</f>
        <v>655930279.17999995</v>
      </c>
      <c r="W288" s="12">
        <f>_xlfn.XLOOKUP(A288,'[1]Value Traded'!A:A,'[1]Value Traded'!E:E)</f>
        <v>1543684532.3299999</v>
      </c>
      <c r="X288" s="12">
        <f>_xlfn.XLOOKUP(A288,'[1]Value Traded'!A:A,'[1]Value Traded'!F:F)</f>
        <v>284832189.25</v>
      </c>
      <c r="Y288" s="12">
        <f>_xlfn.XLOOKUP(A288,'[1]Value Traded'!A:A,'[1]Value Traded'!G:G)</f>
        <v>825554838.08000004</v>
      </c>
      <c r="Z288" s="12">
        <f>_xlfn.XLOOKUP(A288,'[1]Value Traded'!A:A,'[1]Value Traded'!H:H)</f>
        <v>169624558.90000001</v>
      </c>
    </row>
    <row r="289" spans="1:26" x14ac:dyDescent="0.25">
      <c r="A289" s="13">
        <v>2580754</v>
      </c>
      <c r="B289" s="13" t="s">
        <v>1261</v>
      </c>
      <c r="C289" s="13" t="s">
        <v>1261</v>
      </c>
      <c r="D289" s="13" t="s">
        <v>1262</v>
      </c>
      <c r="E289" s="13" t="s">
        <v>1263</v>
      </c>
      <c r="F289" s="13" t="s">
        <v>32</v>
      </c>
      <c r="G289" s="13" t="s">
        <v>47</v>
      </c>
      <c r="H289" s="13" t="s">
        <v>48</v>
      </c>
      <c r="I289" s="13" t="s">
        <v>1264</v>
      </c>
      <c r="J289" s="13" t="s">
        <v>36</v>
      </c>
      <c r="K289" s="13" t="s">
        <v>37</v>
      </c>
      <c r="L289" s="13" t="s">
        <v>160</v>
      </c>
      <c r="M289" s="14">
        <v>142356855</v>
      </c>
      <c r="N289" s="15">
        <v>1534606896.9000001</v>
      </c>
      <c r="O289" s="11">
        <f>_xlfn.XLOOKUP(A289,[1]MIC!A:A,[1]MIC!C:C)</f>
        <v>45344</v>
      </c>
      <c r="P289" s="11">
        <f>_xlfn.XLOOKUP(A289,[1]MIC!A:A,[1]MIC!D:D)</f>
        <v>45709</v>
      </c>
      <c r="Q289" s="5">
        <f>_xlfn.XLOOKUP(A289,'[1]Days Listed'!A:A,'[1]Days Listed'!B:B)</f>
        <v>256</v>
      </c>
      <c r="R289" s="5">
        <f>_xlfn.XLOOKUP(A289,'[1]Days Listed'!A:A,'[1]Days Listed'!C:C)</f>
        <v>129</v>
      </c>
      <c r="S289" s="5">
        <f>_xlfn.XLOOKUP(A289,'[1]Days With Trades'!A:A,'[1]Days With Trades'!B:B)</f>
        <v>250</v>
      </c>
      <c r="T289" s="5">
        <f>_xlfn.XLOOKUP(A289,'[1]Days With Trades'!A:A,'[1]Days With Trades'!C:C)</f>
        <v>127</v>
      </c>
      <c r="U289" s="12">
        <f>_xlfn.XLOOKUP(A289,'[1]Value Traded'!A:A,'[1]Value Traded'!B:B)</f>
        <v>607847836.03999996</v>
      </c>
      <c r="V289" s="12">
        <f>_xlfn.XLOOKUP(A289,'[1]Value Traded'!A:A,'[1]Value Traded'!C:C)</f>
        <v>306331357.61000001</v>
      </c>
      <c r="W289" s="12">
        <f>_xlfn.XLOOKUP(A289,'[1]Value Traded'!A:A,'[1]Value Traded'!E:E)</f>
        <v>772103220.02999997</v>
      </c>
      <c r="X289" s="12">
        <f>_xlfn.XLOOKUP(A289,'[1]Value Traded'!A:A,'[1]Value Traded'!F:F)</f>
        <v>164255383.99000001</v>
      </c>
      <c r="Y289" s="12">
        <f>_xlfn.XLOOKUP(A289,'[1]Value Traded'!A:A,'[1]Value Traded'!G:G)</f>
        <v>377678187.13999999</v>
      </c>
      <c r="Z289" s="12">
        <f>_xlfn.XLOOKUP(A289,'[1]Value Traded'!A:A,'[1]Value Traded'!H:H)</f>
        <v>71346829.530000001</v>
      </c>
    </row>
    <row r="290" spans="1:26" x14ac:dyDescent="0.25">
      <c r="A290" s="8">
        <v>2593875</v>
      </c>
      <c r="B290" s="8" t="s">
        <v>1265</v>
      </c>
      <c r="C290" s="8" t="s">
        <v>1265</v>
      </c>
      <c r="D290" s="8" t="s">
        <v>1266</v>
      </c>
      <c r="E290" s="8" t="s">
        <v>1267</v>
      </c>
      <c r="F290" s="8" t="s">
        <v>32</v>
      </c>
      <c r="G290" s="8" t="s">
        <v>60</v>
      </c>
      <c r="H290" s="8" t="s">
        <v>61</v>
      </c>
      <c r="I290" s="8" t="s">
        <v>1268</v>
      </c>
      <c r="J290" s="8" t="s">
        <v>36</v>
      </c>
      <c r="K290" s="8" t="s">
        <v>37</v>
      </c>
      <c r="L290" s="8" t="s">
        <v>170</v>
      </c>
      <c r="M290" s="9">
        <v>52715477</v>
      </c>
      <c r="N290" s="10">
        <v>238273956.03999999</v>
      </c>
      <c r="O290" s="11">
        <f>_xlfn.XLOOKUP(A290,[1]MIC!A:A,[1]MIC!C:C)</f>
        <v>45344</v>
      </c>
      <c r="P290" s="11">
        <f>_xlfn.XLOOKUP(A290,[1]MIC!A:A,[1]MIC!D:D)</f>
        <v>45709</v>
      </c>
      <c r="Q290" s="5">
        <f>_xlfn.XLOOKUP(A290,'[1]Days Listed'!A:A,'[1]Days Listed'!B:B)</f>
        <v>256</v>
      </c>
      <c r="R290" s="5">
        <f>_xlfn.XLOOKUP(A290,'[1]Days Listed'!A:A,'[1]Days Listed'!C:C)</f>
        <v>129</v>
      </c>
      <c r="S290" s="5">
        <f>_xlfn.XLOOKUP(A290,'[1]Days With Trades'!A:A,'[1]Days With Trades'!B:B)</f>
        <v>171</v>
      </c>
      <c r="T290" s="5">
        <f>_xlfn.XLOOKUP(A290,'[1]Days With Trades'!A:A,'[1]Days With Trades'!C:C)</f>
        <v>82</v>
      </c>
      <c r="U290" s="12">
        <f>_xlfn.XLOOKUP(A290,'[1]Value Traded'!A:A,'[1]Value Traded'!B:B)</f>
        <v>5837297.8099999996</v>
      </c>
      <c r="V290" s="12">
        <f>_xlfn.XLOOKUP(A290,'[1]Value Traded'!A:A,'[1]Value Traded'!C:C)</f>
        <v>1712134.49</v>
      </c>
      <c r="W290" s="12">
        <f>_xlfn.XLOOKUP(A290,'[1]Value Traded'!A:A,'[1]Value Traded'!E:E)</f>
        <v>11306061.359999999</v>
      </c>
      <c r="X290" s="12">
        <f>_xlfn.XLOOKUP(A290,'[1]Value Traded'!A:A,'[1]Value Traded'!F:F)</f>
        <v>5468763.5499999998</v>
      </c>
      <c r="Y290" s="12">
        <f>_xlfn.XLOOKUP(A290,'[1]Value Traded'!A:A,'[1]Value Traded'!G:G)</f>
        <v>2592579.23</v>
      </c>
      <c r="Z290" s="12">
        <f>_xlfn.XLOOKUP(A290,'[1]Value Traded'!A:A,'[1]Value Traded'!H:H)</f>
        <v>880444.74</v>
      </c>
    </row>
    <row r="291" spans="1:26" x14ac:dyDescent="0.25">
      <c r="A291" s="13">
        <v>2635090</v>
      </c>
      <c r="B291" s="13" t="s">
        <v>1269</v>
      </c>
      <c r="C291" s="13" t="s">
        <v>1269</v>
      </c>
      <c r="D291" s="13" t="s">
        <v>1270</v>
      </c>
      <c r="E291" s="13" t="s">
        <v>1271</v>
      </c>
      <c r="F291" s="13" t="s">
        <v>32</v>
      </c>
      <c r="G291" s="13" t="s">
        <v>47</v>
      </c>
      <c r="H291" s="13" t="s">
        <v>48</v>
      </c>
      <c r="I291" s="13" t="s">
        <v>1272</v>
      </c>
      <c r="J291" s="13" t="s">
        <v>36</v>
      </c>
      <c r="K291" s="13" t="s">
        <v>37</v>
      </c>
      <c r="L291" s="13" t="s">
        <v>38</v>
      </c>
      <c r="M291" s="14">
        <v>39463867</v>
      </c>
      <c r="N291" s="15">
        <v>1967273769.95</v>
      </c>
      <c r="O291" s="11">
        <f>_xlfn.XLOOKUP(A291,[1]MIC!A:A,[1]MIC!C:C)</f>
        <v>45344</v>
      </c>
      <c r="P291" s="11">
        <f>_xlfn.XLOOKUP(A291,[1]MIC!A:A,[1]MIC!D:D)</f>
        <v>45709</v>
      </c>
      <c r="Q291" s="5">
        <f>_xlfn.XLOOKUP(A291,'[1]Days Listed'!A:A,'[1]Days Listed'!B:B)</f>
        <v>256</v>
      </c>
      <c r="R291" s="5">
        <f>_xlfn.XLOOKUP(A291,'[1]Days Listed'!A:A,'[1]Days Listed'!C:C)</f>
        <v>129</v>
      </c>
      <c r="S291" s="5">
        <f>_xlfn.XLOOKUP(A291,'[1]Days With Trades'!A:A,'[1]Days With Trades'!B:B)</f>
        <v>250</v>
      </c>
      <c r="T291" s="5">
        <f>_xlfn.XLOOKUP(A291,'[1]Days With Trades'!A:A,'[1]Days With Trades'!C:C)</f>
        <v>127</v>
      </c>
      <c r="U291" s="12">
        <f>_xlfn.XLOOKUP(A291,'[1]Value Traded'!A:A,'[1]Value Traded'!B:B)</f>
        <v>683781939.20000005</v>
      </c>
      <c r="V291" s="12">
        <f>_xlfn.XLOOKUP(A291,'[1]Value Traded'!A:A,'[1]Value Traded'!C:C)</f>
        <v>367887761.30000001</v>
      </c>
      <c r="W291" s="12">
        <f>_xlfn.XLOOKUP(A291,'[1]Value Traded'!A:A,'[1]Value Traded'!E:E)</f>
        <v>860814573.70000005</v>
      </c>
      <c r="X291" s="12">
        <f>_xlfn.XLOOKUP(A291,'[1]Value Traded'!A:A,'[1]Value Traded'!F:F)</f>
        <v>177032634.5</v>
      </c>
      <c r="Y291" s="12">
        <f>_xlfn.XLOOKUP(A291,'[1]Value Traded'!A:A,'[1]Value Traded'!G:G)</f>
        <v>473802263.14999998</v>
      </c>
      <c r="Z291" s="12">
        <f>_xlfn.XLOOKUP(A291,'[1]Value Traded'!A:A,'[1]Value Traded'!H:H)</f>
        <v>105914501.84999999</v>
      </c>
    </row>
    <row r="292" spans="1:26" x14ac:dyDescent="0.25">
      <c r="A292" s="8">
        <v>2664170</v>
      </c>
      <c r="B292" s="8" t="s">
        <v>1273</v>
      </c>
      <c r="C292" s="8" t="s">
        <v>1273</v>
      </c>
      <c r="D292" s="8" t="s">
        <v>1274</v>
      </c>
      <c r="E292" s="8" t="s">
        <v>1275</v>
      </c>
      <c r="F292" s="8" t="s">
        <v>32</v>
      </c>
      <c r="G292" s="8" t="s">
        <v>60</v>
      </c>
      <c r="H292" s="8" t="s">
        <v>61</v>
      </c>
      <c r="I292" s="8" t="s">
        <v>1276</v>
      </c>
      <c r="J292" s="8" t="s">
        <v>36</v>
      </c>
      <c r="K292" s="8" t="s">
        <v>37</v>
      </c>
      <c r="L292" s="8" t="s">
        <v>947</v>
      </c>
      <c r="M292" s="9">
        <v>52707553</v>
      </c>
      <c r="N292" s="10">
        <v>787977917.35000002</v>
      </c>
      <c r="O292" s="11">
        <f>_xlfn.XLOOKUP(A292,[1]MIC!A:A,[1]MIC!C:C)</f>
        <v>45344</v>
      </c>
      <c r="P292" s="11">
        <f>_xlfn.XLOOKUP(A292,[1]MIC!A:A,[1]MIC!D:D)</f>
        <v>45709</v>
      </c>
      <c r="Q292" s="5">
        <f>_xlfn.XLOOKUP(A292,'[1]Days Listed'!A:A,'[1]Days Listed'!B:B)</f>
        <v>256</v>
      </c>
      <c r="R292" s="5">
        <f>_xlfn.XLOOKUP(A292,'[1]Days Listed'!A:A,'[1]Days Listed'!C:C)</f>
        <v>129</v>
      </c>
      <c r="S292" s="5">
        <f>_xlfn.XLOOKUP(A292,'[1]Days With Trades'!A:A,'[1]Days With Trades'!B:B)</f>
        <v>238</v>
      </c>
      <c r="T292" s="5">
        <f>_xlfn.XLOOKUP(A292,'[1]Days With Trades'!A:A,'[1]Days With Trades'!C:C)</f>
        <v>116</v>
      </c>
      <c r="U292" s="12">
        <f>_xlfn.XLOOKUP(A292,'[1]Value Traded'!A:A,'[1]Value Traded'!B:B)</f>
        <v>22088656.859999999</v>
      </c>
      <c r="V292" s="12">
        <f>_xlfn.XLOOKUP(A292,'[1]Value Traded'!A:A,'[1]Value Traded'!C:C)</f>
        <v>21854068.059999999</v>
      </c>
      <c r="W292" s="12">
        <f>_xlfn.XLOOKUP(A292,'[1]Value Traded'!A:A,'[1]Value Traded'!E:E)</f>
        <v>99063023.260000005</v>
      </c>
      <c r="X292" s="12">
        <f>_xlfn.XLOOKUP(A292,'[1]Value Traded'!A:A,'[1]Value Traded'!F:F)</f>
        <v>76974366.400000006</v>
      </c>
      <c r="Y292" s="12">
        <f>_xlfn.XLOOKUP(A292,'[1]Value Traded'!A:A,'[1]Value Traded'!G:G)</f>
        <v>88258330.659999996</v>
      </c>
      <c r="Z292" s="12">
        <f>_xlfn.XLOOKUP(A292,'[1]Value Traded'!A:A,'[1]Value Traded'!H:H)</f>
        <v>66404262.600000001</v>
      </c>
    </row>
    <row r="293" spans="1:26" x14ac:dyDescent="0.25">
      <c r="A293" s="13">
        <v>2749986</v>
      </c>
      <c r="B293" s="13" t="s">
        <v>1277</v>
      </c>
      <c r="C293" s="13" t="s">
        <v>1277</v>
      </c>
      <c r="D293" s="13" t="s">
        <v>1278</v>
      </c>
      <c r="E293" s="13" t="s">
        <v>1279</v>
      </c>
      <c r="F293" s="13" t="s">
        <v>32</v>
      </c>
      <c r="G293" s="13" t="s">
        <v>60</v>
      </c>
      <c r="H293" s="13" t="s">
        <v>61</v>
      </c>
      <c r="I293" s="13" t="s">
        <v>1280</v>
      </c>
      <c r="J293" s="13" t="s">
        <v>36</v>
      </c>
      <c r="K293" s="13" t="s">
        <v>37</v>
      </c>
      <c r="L293" s="13" t="s">
        <v>116</v>
      </c>
      <c r="M293" s="14">
        <v>78903416</v>
      </c>
      <c r="N293" s="15">
        <v>355065372</v>
      </c>
      <c r="O293" s="11">
        <f>_xlfn.XLOOKUP(A293,[1]MIC!A:A,[1]MIC!C:C)</f>
        <v>45344</v>
      </c>
      <c r="P293" s="11">
        <f>_xlfn.XLOOKUP(A293,[1]MIC!A:A,[1]MIC!D:D)</f>
        <v>45709</v>
      </c>
      <c r="Q293" s="5">
        <f>_xlfn.XLOOKUP(A293,'[1]Days Listed'!A:A,'[1]Days Listed'!B:B)</f>
        <v>256</v>
      </c>
      <c r="R293" s="5">
        <f>_xlfn.XLOOKUP(A293,'[1]Days Listed'!A:A,'[1]Days Listed'!C:C)</f>
        <v>129</v>
      </c>
      <c r="S293" s="5">
        <f>_xlfn.XLOOKUP(A293,'[1]Days With Trades'!A:A,'[1]Days With Trades'!B:B)</f>
        <v>224</v>
      </c>
      <c r="T293" s="5">
        <f>_xlfn.XLOOKUP(A293,'[1]Days With Trades'!A:A,'[1]Days With Trades'!C:C)</f>
        <v>112</v>
      </c>
      <c r="U293" s="12">
        <f>_xlfn.XLOOKUP(A293,'[1]Value Traded'!A:A,'[1]Value Traded'!B:B)</f>
        <v>8254773.6500000004</v>
      </c>
      <c r="V293" s="12">
        <f>_xlfn.XLOOKUP(A293,'[1]Value Traded'!A:A,'[1]Value Traded'!C:C)</f>
        <v>4190894.61</v>
      </c>
      <c r="W293" s="12">
        <f>_xlfn.XLOOKUP(A293,'[1]Value Traded'!A:A,'[1]Value Traded'!E:E)</f>
        <v>14676185.470000001</v>
      </c>
      <c r="X293" s="12">
        <f>_xlfn.XLOOKUP(A293,'[1]Value Traded'!A:A,'[1]Value Traded'!F:F)</f>
        <v>6421411.8200000003</v>
      </c>
      <c r="Y293" s="12">
        <f>_xlfn.XLOOKUP(A293,'[1]Value Traded'!A:A,'[1]Value Traded'!G:G)</f>
        <v>8845288.4700000007</v>
      </c>
      <c r="Z293" s="12">
        <f>_xlfn.XLOOKUP(A293,'[1]Value Traded'!A:A,'[1]Value Traded'!H:H)</f>
        <v>4654393.8600000003</v>
      </c>
    </row>
    <row r="294" spans="1:26" x14ac:dyDescent="0.25">
      <c r="A294" s="8">
        <v>2772804</v>
      </c>
      <c r="B294" s="8" t="s">
        <v>1281</v>
      </c>
      <c r="C294" s="8" t="s">
        <v>1281</v>
      </c>
      <c r="D294" s="8" t="s">
        <v>1282</v>
      </c>
      <c r="E294" s="8" t="s">
        <v>1283</v>
      </c>
      <c r="F294" s="8" t="s">
        <v>32</v>
      </c>
      <c r="G294" s="8" t="s">
        <v>60</v>
      </c>
      <c r="H294" s="8" t="s">
        <v>61</v>
      </c>
      <c r="I294" s="8" t="s">
        <v>1284</v>
      </c>
      <c r="J294" s="8" t="s">
        <v>36</v>
      </c>
      <c r="K294" s="8" t="s">
        <v>37</v>
      </c>
      <c r="L294" s="8" t="s">
        <v>515</v>
      </c>
      <c r="M294" s="9">
        <v>70920680</v>
      </c>
      <c r="N294" s="10">
        <v>56736544</v>
      </c>
      <c r="O294" s="11">
        <f>_xlfn.XLOOKUP(A294,[1]MIC!A:A,[1]MIC!C:C)</f>
        <v>45344</v>
      </c>
      <c r="P294" s="11">
        <f>_xlfn.XLOOKUP(A294,[1]MIC!A:A,[1]MIC!D:D)</f>
        <v>45709</v>
      </c>
      <c r="Q294" s="5">
        <f>_xlfn.XLOOKUP(A294,'[1]Days Listed'!A:A,'[1]Days Listed'!B:B)</f>
        <v>256</v>
      </c>
      <c r="R294" s="5">
        <f>_xlfn.XLOOKUP(A294,'[1]Days Listed'!A:A,'[1]Days Listed'!C:C)</f>
        <v>129</v>
      </c>
      <c r="S294" s="5">
        <f>_xlfn.XLOOKUP(A294,'[1]Days With Trades'!A:A,'[1]Days With Trades'!B:B)</f>
        <v>125</v>
      </c>
      <c r="T294" s="5">
        <f>_xlfn.XLOOKUP(A294,'[1]Days With Trades'!A:A,'[1]Days With Trades'!C:C)</f>
        <v>47</v>
      </c>
      <c r="U294" s="12">
        <f>_xlfn.XLOOKUP(A294,'[1]Value Traded'!A:A,'[1]Value Traded'!B:B)</f>
        <v>3786988.66</v>
      </c>
      <c r="V294" s="12">
        <f>_xlfn.XLOOKUP(A294,'[1]Value Traded'!A:A,'[1]Value Traded'!C:C)</f>
        <v>812991.02</v>
      </c>
      <c r="W294" s="12">
        <f>_xlfn.XLOOKUP(A294,'[1]Value Traded'!A:A,'[1]Value Traded'!E:E)</f>
        <v>12636914.09</v>
      </c>
      <c r="X294" s="12">
        <f>_xlfn.XLOOKUP(A294,'[1]Value Traded'!A:A,'[1]Value Traded'!F:F)</f>
        <v>8849925.4299999997</v>
      </c>
      <c r="Y294" s="12">
        <f>_xlfn.XLOOKUP(A294,'[1]Value Traded'!A:A,'[1]Value Traded'!G:G)</f>
        <v>5417323.9900000002</v>
      </c>
      <c r="Z294" s="12">
        <f>_xlfn.XLOOKUP(A294,'[1]Value Traded'!A:A,'[1]Value Traded'!H:H)</f>
        <v>4604332.97</v>
      </c>
    </row>
    <row r="295" spans="1:26" x14ac:dyDescent="0.25">
      <c r="A295" s="13">
        <v>2796142</v>
      </c>
      <c r="B295" s="13" t="s">
        <v>1285</v>
      </c>
      <c r="C295" s="13" t="s">
        <v>1285</v>
      </c>
      <c r="D295" s="13" t="s">
        <v>1286</v>
      </c>
      <c r="E295" s="13" t="s">
        <v>1287</v>
      </c>
      <c r="F295" s="13" t="s">
        <v>32</v>
      </c>
      <c r="G295" s="13" t="s">
        <v>60</v>
      </c>
      <c r="H295" s="13" t="s">
        <v>61</v>
      </c>
      <c r="I295" s="13" t="s">
        <v>1288</v>
      </c>
      <c r="J295" s="13" t="s">
        <v>36</v>
      </c>
      <c r="K295" s="13" t="s">
        <v>37</v>
      </c>
      <c r="L295" s="13" t="s">
        <v>50</v>
      </c>
      <c r="M295" s="14">
        <v>1877263</v>
      </c>
      <c r="N295" s="15">
        <v>39047070.399999999</v>
      </c>
      <c r="O295" s="11">
        <f>_xlfn.XLOOKUP(A295,[1]MIC!A:A,[1]MIC!C:C)</f>
        <v>45344</v>
      </c>
      <c r="P295" s="11">
        <f>_xlfn.XLOOKUP(A295,[1]MIC!A:A,[1]MIC!D:D)</f>
        <v>45709</v>
      </c>
      <c r="Q295" s="5">
        <f>_xlfn.XLOOKUP(A295,'[1]Days Listed'!A:A,'[1]Days Listed'!B:B)</f>
        <v>256</v>
      </c>
      <c r="R295" s="5">
        <f>_xlfn.XLOOKUP(A295,'[1]Days Listed'!A:A,'[1]Days Listed'!C:C)</f>
        <v>129</v>
      </c>
      <c r="S295" s="5">
        <f>_xlfn.XLOOKUP(A295,'[1]Days With Trades'!A:A,'[1]Days With Trades'!B:B)</f>
        <v>250</v>
      </c>
      <c r="T295" s="5">
        <f>_xlfn.XLOOKUP(A295,'[1]Days With Trades'!A:A,'[1]Days With Trades'!C:C)</f>
        <v>127</v>
      </c>
      <c r="U295" s="12">
        <f>_xlfn.XLOOKUP(A295,'[1]Value Traded'!A:A,'[1]Value Traded'!B:B)</f>
        <v>121702163.92</v>
      </c>
      <c r="V295" s="12">
        <f>_xlfn.XLOOKUP(A295,'[1]Value Traded'!A:A,'[1]Value Traded'!C:C)</f>
        <v>31120606.960000001</v>
      </c>
      <c r="W295" s="12">
        <f>_xlfn.XLOOKUP(A295,'[1]Value Traded'!A:A,'[1]Value Traded'!E:E)</f>
        <v>176232002.27000001</v>
      </c>
      <c r="X295" s="12">
        <f>_xlfn.XLOOKUP(A295,'[1]Value Traded'!A:A,'[1]Value Traded'!F:F)</f>
        <v>54529838.350000001</v>
      </c>
      <c r="Y295" s="12">
        <f>_xlfn.XLOOKUP(A295,'[1]Value Traded'!A:A,'[1]Value Traded'!G:G)</f>
        <v>51828877.57</v>
      </c>
      <c r="Z295" s="12">
        <f>_xlfn.XLOOKUP(A295,'[1]Value Traded'!A:A,'[1]Value Traded'!H:H)</f>
        <v>20708270.609999999</v>
      </c>
    </row>
    <row r="296" spans="1:26" x14ac:dyDescent="0.25">
      <c r="A296" s="8">
        <v>2905643</v>
      </c>
      <c r="B296" s="8" t="s">
        <v>1289</v>
      </c>
      <c r="C296" s="8" t="s">
        <v>1289</v>
      </c>
      <c r="D296" s="8" t="s">
        <v>1290</v>
      </c>
      <c r="E296" s="8" t="s">
        <v>1291</v>
      </c>
      <c r="F296" s="8" t="s">
        <v>32</v>
      </c>
      <c r="G296" s="8" t="s">
        <v>60</v>
      </c>
      <c r="H296" s="8" t="s">
        <v>61</v>
      </c>
      <c r="I296" s="8" t="s">
        <v>1292</v>
      </c>
      <c r="J296" s="8" t="s">
        <v>36</v>
      </c>
      <c r="K296" s="8" t="s">
        <v>37</v>
      </c>
      <c r="L296" s="8" t="s">
        <v>38</v>
      </c>
      <c r="M296" s="9">
        <v>43255096</v>
      </c>
      <c r="N296" s="10">
        <v>1453371225.5999999</v>
      </c>
      <c r="O296" s="11">
        <f>_xlfn.XLOOKUP(A296,[1]MIC!A:A,[1]MIC!C:C)</f>
        <v>45344</v>
      </c>
      <c r="P296" s="11">
        <f>_xlfn.XLOOKUP(A296,[1]MIC!A:A,[1]MIC!D:D)</f>
        <v>45709</v>
      </c>
      <c r="Q296" s="5">
        <f>_xlfn.XLOOKUP(A296,'[1]Days Listed'!A:A,'[1]Days Listed'!B:B)</f>
        <v>256</v>
      </c>
      <c r="R296" s="5">
        <f>_xlfn.XLOOKUP(A296,'[1]Days Listed'!A:A,'[1]Days Listed'!C:C)</f>
        <v>129</v>
      </c>
      <c r="S296" s="5">
        <f>_xlfn.XLOOKUP(A296,'[1]Days With Trades'!A:A,'[1]Days With Trades'!B:B)</f>
        <v>250</v>
      </c>
      <c r="T296" s="5">
        <f>_xlfn.XLOOKUP(A296,'[1]Days With Trades'!A:A,'[1]Days With Trades'!C:C)</f>
        <v>127</v>
      </c>
      <c r="U296" s="12">
        <f>_xlfn.XLOOKUP(A296,'[1]Value Traded'!A:A,'[1]Value Traded'!B:B)</f>
        <v>489378347.06</v>
      </c>
      <c r="V296" s="12">
        <f>_xlfn.XLOOKUP(A296,'[1]Value Traded'!A:A,'[1]Value Traded'!C:C)</f>
        <v>230557916.80000001</v>
      </c>
      <c r="W296" s="12">
        <f>_xlfn.XLOOKUP(A296,'[1]Value Traded'!A:A,'[1]Value Traded'!E:E)</f>
        <v>576949068.40999997</v>
      </c>
      <c r="X296" s="12">
        <f>_xlfn.XLOOKUP(A296,'[1]Value Traded'!A:A,'[1]Value Traded'!F:F)</f>
        <v>87570721.349999994</v>
      </c>
      <c r="Y296" s="12">
        <f>_xlfn.XLOOKUP(A296,'[1]Value Traded'!A:A,'[1]Value Traded'!G:G)</f>
        <v>265310154.5</v>
      </c>
      <c r="Z296" s="12">
        <f>_xlfn.XLOOKUP(A296,'[1]Value Traded'!A:A,'[1]Value Traded'!H:H)</f>
        <v>34752237.700000003</v>
      </c>
    </row>
    <row r="297" spans="1:26" x14ac:dyDescent="0.25">
      <c r="A297" s="13">
        <v>2910735</v>
      </c>
      <c r="B297" s="13" t="s">
        <v>1293</v>
      </c>
      <c r="C297" s="13" t="s">
        <v>1293</v>
      </c>
      <c r="D297" s="13" t="s">
        <v>1294</v>
      </c>
      <c r="E297" s="13" t="s">
        <v>1295</v>
      </c>
      <c r="F297" s="13" t="s">
        <v>32</v>
      </c>
      <c r="G297" s="13" t="s">
        <v>60</v>
      </c>
      <c r="H297" s="13" t="s">
        <v>61</v>
      </c>
      <c r="I297" s="13" t="s">
        <v>1296</v>
      </c>
      <c r="J297" s="13" t="s">
        <v>36</v>
      </c>
      <c r="K297" s="13" t="s">
        <v>37</v>
      </c>
      <c r="L297" s="13" t="s">
        <v>38</v>
      </c>
      <c r="M297" s="14">
        <v>60000100</v>
      </c>
      <c r="N297" s="15">
        <v>1260002100</v>
      </c>
      <c r="O297" s="11">
        <f>_xlfn.XLOOKUP(A297,[1]MIC!A:A,[1]MIC!C:C)</f>
        <v>45344</v>
      </c>
      <c r="P297" s="11">
        <f>_xlfn.XLOOKUP(A297,[1]MIC!A:A,[1]MIC!D:D)</f>
        <v>45709</v>
      </c>
      <c r="Q297" s="5">
        <f>_xlfn.XLOOKUP(A297,'[1]Days Listed'!A:A,'[1]Days Listed'!B:B)</f>
        <v>256</v>
      </c>
      <c r="R297" s="5">
        <f>_xlfn.XLOOKUP(A297,'[1]Days Listed'!A:A,'[1]Days Listed'!C:C)</f>
        <v>129</v>
      </c>
      <c r="S297" s="5">
        <f>_xlfn.XLOOKUP(A297,'[1]Days With Trades'!A:A,'[1]Days With Trades'!B:B)</f>
        <v>117</v>
      </c>
      <c r="T297" s="5">
        <f>_xlfn.XLOOKUP(A297,'[1]Days With Trades'!A:A,'[1]Days With Trades'!C:C)</f>
        <v>26</v>
      </c>
      <c r="U297" s="12">
        <f>_xlfn.XLOOKUP(A297,'[1]Value Traded'!A:A,'[1]Value Traded'!B:B)</f>
        <v>10158401.199999999</v>
      </c>
      <c r="V297" s="12">
        <f>_xlfn.XLOOKUP(A297,'[1]Value Traded'!A:A,'[1]Value Traded'!C:C)</f>
        <v>1348672.1</v>
      </c>
      <c r="W297" s="12">
        <f>_xlfn.XLOOKUP(A297,'[1]Value Traded'!A:A,'[1]Value Traded'!E:E)</f>
        <v>21590331.600000001</v>
      </c>
      <c r="X297" s="12">
        <f>_xlfn.XLOOKUP(A297,'[1]Value Traded'!A:A,'[1]Value Traded'!F:F)</f>
        <v>11431930.4</v>
      </c>
      <c r="Y297" s="12">
        <f>_xlfn.XLOOKUP(A297,'[1]Value Traded'!A:A,'[1]Value Traded'!G:G)</f>
        <v>6473085.4000000004</v>
      </c>
      <c r="Z297" s="12">
        <f>_xlfn.XLOOKUP(A297,'[1]Value Traded'!A:A,'[1]Value Traded'!H:H)</f>
        <v>5124413.3</v>
      </c>
    </row>
    <row r="298" spans="1:26" x14ac:dyDescent="0.25">
      <c r="A298" s="8">
        <v>2936563</v>
      </c>
      <c r="B298" s="8" t="s">
        <v>1297</v>
      </c>
      <c r="C298" s="8" t="s">
        <v>1297</v>
      </c>
      <c r="D298" s="8" t="s">
        <v>1298</v>
      </c>
      <c r="E298" s="8" t="s">
        <v>1299</v>
      </c>
      <c r="F298" s="8" t="s">
        <v>32</v>
      </c>
      <c r="G298" s="8" t="s">
        <v>60</v>
      </c>
      <c r="H298" s="8" t="s">
        <v>61</v>
      </c>
      <c r="I298" s="8" t="s">
        <v>1300</v>
      </c>
      <c r="J298" s="8" t="s">
        <v>36</v>
      </c>
      <c r="K298" s="8" t="s">
        <v>37</v>
      </c>
      <c r="L298" s="8" t="s">
        <v>400</v>
      </c>
      <c r="M298" s="9">
        <v>291890099</v>
      </c>
      <c r="N298" s="10">
        <v>875670297</v>
      </c>
      <c r="O298" s="11">
        <f>_xlfn.XLOOKUP(A298,[1]MIC!A:A,[1]MIC!C:C)</f>
        <v>45344</v>
      </c>
      <c r="P298" s="11">
        <f>_xlfn.XLOOKUP(A298,[1]MIC!A:A,[1]MIC!D:D)</f>
        <v>45709</v>
      </c>
      <c r="Q298" s="5">
        <f>_xlfn.XLOOKUP(A298,'[1]Days Listed'!A:A,'[1]Days Listed'!B:B)</f>
        <v>256</v>
      </c>
      <c r="R298" s="5">
        <f>_xlfn.XLOOKUP(A298,'[1]Days Listed'!A:A,'[1]Days Listed'!C:C)</f>
        <v>129</v>
      </c>
      <c r="S298" s="5">
        <f>_xlfn.XLOOKUP(A298,'[1]Days With Trades'!A:A,'[1]Days With Trades'!B:B)</f>
        <v>249</v>
      </c>
      <c r="T298" s="5">
        <f>_xlfn.XLOOKUP(A298,'[1]Days With Trades'!A:A,'[1]Days With Trades'!C:C)</f>
        <v>126</v>
      </c>
      <c r="U298" s="12">
        <f>_xlfn.XLOOKUP(A298,'[1]Value Traded'!A:A,'[1]Value Traded'!B:B)</f>
        <v>454427827.35000002</v>
      </c>
      <c r="V298" s="12">
        <f>_xlfn.XLOOKUP(A298,'[1]Value Traded'!A:A,'[1]Value Traded'!C:C)</f>
        <v>128222308.48</v>
      </c>
      <c r="W298" s="12">
        <f>_xlfn.XLOOKUP(A298,'[1]Value Traded'!A:A,'[1]Value Traded'!E:E)</f>
        <v>615986406.46000004</v>
      </c>
      <c r="X298" s="12">
        <f>_xlfn.XLOOKUP(A298,'[1]Value Traded'!A:A,'[1]Value Traded'!F:F)</f>
        <v>161558579.11000001</v>
      </c>
      <c r="Y298" s="12">
        <f>_xlfn.XLOOKUP(A298,'[1]Value Traded'!A:A,'[1]Value Traded'!G:G)</f>
        <v>179631966.56999999</v>
      </c>
      <c r="Z298" s="12">
        <f>_xlfn.XLOOKUP(A298,'[1]Value Traded'!A:A,'[1]Value Traded'!H:H)</f>
        <v>51409658.090000004</v>
      </c>
    </row>
    <row r="299" spans="1:26" x14ac:dyDescent="0.25">
      <c r="A299" s="13">
        <v>2996249</v>
      </c>
      <c r="B299" s="13" t="s">
        <v>1301</v>
      </c>
      <c r="C299" s="13" t="s">
        <v>1301</v>
      </c>
      <c r="D299" s="13" t="s">
        <v>1302</v>
      </c>
      <c r="E299" s="13" t="s">
        <v>1303</v>
      </c>
      <c r="F299" s="13" t="s">
        <v>32</v>
      </c>
      <c r="G299" s="13" t="s">
        <v>60</v>
      </c>
      <c r="H299" s="13" t="s">
        <v>61</v>
      </c>
      <c r="I299" s="13" t="s">
        <v>1304</v>
      </c>
      <c r="J299" s="13" t="s">
        <v>36</v>
      </c>
      <c r="K299" s="13" t="s">
        <v>37</v>
      </c>
      <c r="L299" s="13" t="s">
        <v>567</v>
      </c>
      <c r="M299" s="14">
        <v>119215312</v>
      </c>
      <c r="N299" s="15">
        <v>16690143.68</v>
      </c>
      <c r="O299" s="11">
        <f>_xlfn.XLOOKUP(A299,[1]MIC!A:A,[1]MIC!C:C)</f>
        <v>45344</v>
      </c>
      <c r="P299" s="11">
        <f>_xlfn.XLOOKUP(A299,[1]MIC!A:A,[1]MIC!D:D)</f>
        <v>45709</v>
      </c>
      <c r="Q299" s="5">
        <f>_xlfn.XLOOKUP(A299,'[1]Days Listed'!A:A,'[1]Days Listed'!B:B)</f>
        <v>256</v>
      </c>
      <c r="R299" s="5">
        <f>_xlfn.XLOOKUP(A299,'[1]Days Listed'!A:A,'[1]Days Listed'!C:C)</f>
        <v>129</v>
      </c>
      <c r="S299" s="5">
        <f>_xlfn.XLOOKUP(A299,'[1]Days With Trades'!A:A,'[1]Days With Trades'!B:B)</f>
        <v>214</v>
      </c>
      <c r="T299" s="5">
        <f>_xlfn.XLOOKUP(A299,'[1]Days With Trades'!A:A,'[1]Days With Trades'!C:C)</f>
        <v>107</v>
      </c>
      <c r="U299" s="12">
        <f>_xlfn.XLOOKUP(A299,'[1]Value Traded'!A:A,'[1]Value Traded'!B:B)</f>
        <v>4426083.67</v>
      </c>
      <c r="V299" s="12">
        <f>_xlfn.XLOOKUP(A299,'[1]Value Traded'!A:A,'[1]Value Traded'!C:C)</f>
        <v>1360794.74</v>
      </c>
      <c r="W299" s="12">
        <f>_xlfn.XLOOKUP(A299,'[1]Value Traded'!A:A,'[1]Value Traded'!E:E)</f>
        <v>7367322.9400000004</v>
      </c>
      <c r="X299" s="12">
        <f>_xlfn.XLOOKUP(A299,'[1]Value Traded'!A:A,'[1]Value Traded'!F:F)</f>
        <v>2941239.27</v>
      </c>
      <c r="Y299" s="12">
        <f>_xlfn.XLOOKUP(A299,'[1]Value Traded'!A:A,'[1]Value Traded'!G:G)</f>
        <v>2790053.13</v>
      </c>
      <c r="Z299" s="12">
        <f>_xlfn.XLOOKUP(A299,'[1]Value Traded'!A:A,'[1]Value Traded'!H:H)</f>
        <v>1429258.39</v>
      </c>
    </row>
    <row r="300" spans="1:26" x14ac:dyDescent="0.25">
      <c r="A300" s="8">
        <v>2998824</v>
      </c>
      <c r="B300" s="8" t="s">
        <v>1305</v>
      </c>
      <c r="C300" s="8" t="s">
        <v>1305</v>
      </c>
      <c r="D300" s="8" t="s">
        <v>1306</v>
      </c>
      <c r="E300" s="8" t="s">
        <v>1307</v>
      </c>
      <c r="F300" s="8" t="s">
        <v>32</v>
      </c>
      <c r="G300" s="8" t="s">
        <v>47</v>
      </c>
      <c r="H300" s="8" t="s">
        <v>48</v>
      </c>
      <c r="I300" s="8" t="s">
        <v>1308</v>
      </c>
      <c r="J300" s="8" t="s">
        <v>36</v>
      </c>
      <c r="K300" s="8" t="s">
        <v>37</v>
      </c>
      <c r="L300" s="8" t="s">
        <v>107</v>
      </c>
      <c r="M300" s="9">
        <v>5680198</v>
      </c>
      <c r="N300" s="10">
        <v>840669304</v>
      </c>
      <c r="O300" s="11">
        <f>_xlfn.XLOOKUP(A300,[1]MIC!A:A,[1]MIC!C:C)</f>
        <v>45344</v>
      </c>
      <c r="P300" s="11">
        <f>_xlfn.XLOOKUP(A300,[1]MIC!A:A,[1]MIC!D:D)</f>
        <v>45709</v>
      </c>
      <c r="Q300" s="5">
        <f>_xlfn.XLOOKUP(A300,'[1]Days Listed'!A:A,'[1]Days Listed'!B:B)</f>
        <v>256</v>
      </c>
      <c r="R300" s="5">
        <f>_xlfn.XLOOKUP(A300,'[1]Days Listed'!A:A,'[1]Days Listed'!C:C)</f>
        <v>129</v>
      </c>
      <c r="S300" s="5">
        <f>_xlfn.XLOOKUP(A300,'[1]Days With Trades'!A:A,'[1]Days With Trades'!B:B)</f>
        <v>212</v>
      </c>
      <c r="T300" s="5">
        <f>_xlfn.XLOOKUP(A300,'[1]Days With Trades'!A:A,'[1]Days With Trades'!C:C)</f>
        <v>114</v>
      </c>
      <c r="U300" s="12">
        <f>_xlfn.XLOOKUP(A300,'[1]Value Traded'!A:A,'[1]Value Traded'!B:B)</f>
        <v>22778978.100000001</v>
      </c>
      <c r="V300" s="12">
        <f>_xlfn.XLOOKUP(A300,'[1]Value Traded'!A:A,'[1]Value Traded'!C:C)</f>
        <v>11365086</v>
      </c>
      <c r="W300" s="12">
        <f>_xlfn.XLOOKUP(A300,'[1]Value Traded'!A:A,'[1]Value Traded'!E:E)</f>
        <v>35953349.100000001</v>
      </c>
      <c r="X300" s="12">
        <f>_xlfn.XLOOKUP(A300,'[1]Value Traded'!A:A,'[1]Value Traded'!F:F)</f>
        <v>13174371</v>
      </c>
      <c r="Y300" s="12">
        <f>_xlfn.XLOOKUP(A300,'[1]Value Traded'!A:A,'[1]Value Traded'!G:G)</f>
        <v>18712345</v>
      </c>
      <c r="Z300" s="12">
        <f>_xlfn.XLOOKUP(A300,'[1]Value Traded'!A:A,'[1]Value Traded'!H:H)</f>
        <v>7347259</v>
      </c>
    </row>
    <row r="301" spans="1:26" x14ac:dyDescent="0.25">
      <c r="A301" s="13">
        <v>2999678</v>
      </c>
      <c r="B301" s="13" t="s">
        <v>1309</v>
      </c>
      <c r="C301" s="13" t="s">
        <v>1309</v>
      </c>
      <c r="D301" s="13" t="s">
        <v>1310</v>
      </c>
      <c r="E301" s="13" t="s">
        <v>1311</v>
      </c>
      <c r="F301" s="13" t="s">
        <v>32</v>
      </c>
      <c r="G301" s="13" t="s">
        <v>60</v>
      </c>
      <c r="H301" s="13" t="s">
        <v>61</v>
      </c>
      <c r="I301" s="13" t="s">
        <v>1312</v>
      </c>
      <c r="J301" s="13" t="s">
        <v>36</v>
      </c>
      <c r="K301" s="13" t="s">
        <v>37</v>
      </c>
      <c r="L301" s="13" t="s">
        <v>116</v>
      </c>
      <c r="M301" s="14">
        <v>741272980</v>
      </c>
      <c r="N301" s="15">
        <v>2890964622</v>
      </c>
      <c r="O301" s="11">
        <f>_xlfn.XLOOKUP(A301,[1]MIC!A:A,[1]MIC!C:C)</f>
        <v>45344</v>
      </c>
      <c r="P301" s="11">
        <f>_xlfn.XLOOKUP(A301,[1]MIC!A:A,[1]MIC!D:D)</f>
        <v>45709</v>
      </c>
      <c r="Q301" s="5">
        <f>_xlfn.XLOOKUP(A301,'[1]Days Listed'!A:A,'[1]Days Listed'!B:B)</f>
        <v>256</v>
      </c>
      <c r="R301" s="5">
        <f>_xlfn.XLOOKUP(A301,'[1]Days Listed'!A:A,'[1]Days Listed'!C:C)</f>
        <v>129</v>
      </c>
      <c r="S301" s="5">
        <f>_xlfn.XLOOKUP(A301,'[1]Days With Trades'!A:A,'[1]Days With Trades'!B:B)</f>
        <v>59</v>
      </c>
      <c r="T301" s="5">
        <f>_xlfn.XLOOKUP(A301,'[1]Days With Trades'!A:A,'[1]Days With Trades'!C:C)</f>
        <v>41</v>
      </c>
      <c r="U301" s="12">
        <f>_xlfn.XLOOKUP(A301,'[1]Value Traded'!A:A,'[1]Value Traded'!B:B)</f>
        <v>1419100.79</v>
      </c>
      <c r="V301" s="12">
        <f>_xlfn.XLOOKUP(A301,'[1]Value Traded'!A:A,'[1]Value Traded'!C:C)</f>
        <v>2318855.11</v>
      </c>
      <c r="W301" s="12">
        <f>_xlfn.XLOOKUP(A301,'[1]Value Traded'!A:A,'[1]Value Traded'!E:E)</f>
        <v>9962756.75</v>
      </c>
      <c r="X301" s="12">
        <f>_xlfn.XLOOKUP(A301,'[1]Value Traded'!A:A,'[1]Value Traded'!F:F)</f>
        <v>8543655.9600000009</v>
      </c>
      <c r="Y301" s="12">
        <f>_xlfn.XLOOKUP(A301,'[1]Value Traded'!A:A,'[1]Value Traded'!G:G)</f>
        <v>9368268.75</v>
      </c>
      <c r="Z301" s="12">
        <f>_xlfn.XLOOKUP(A301,'[1]Value Traded'!A:A,'[1]Value Traded'!H:H)</f>
        <v>7049413.6399999997</v>
      </c>
    </row>
    <row r="302" spans="1:26" x14ac:dyDescent="0.25">
      <c r="A302" s="8">
        <v>3075841</v>
      </c>
      <c r="B302" s="8" t="s">
        <v>1313</v>
      </c>
      <c r="C302" s="8" t="s">
        <v>1313</v>
      </c>
      <c r="D302" s="8" t="s">
        <v>1314</v>
      </c>
      <c r="E302" s="8" t="s">
        <v>1315</v>
      </c>
      <c r="F302" s="8" t="s">
        <v>32</v>
      </c>
      <c r="G302" s="8" t="s">
        <v>33</v>
      </c>
      <c r="H302" s="8" t="s">
        <v>215</v>
      </c>
      <c r="I302" s="8" t="s">
        <v>1316</v>
      </c>
      <c r="J302" s="8" t="s">
        <v>36</v>
      </c>
      <c r="K302" s="8" t="s">
        <v>37</v>
      </c>
      <c r="L302" s="8" t="s">
        <v>160</v>
      </c>
      <c r="M302" s="9">
        <v>549999997</v>
      </c>
      <c r="N302" s="10">
        <v>62699999.659999996</v>
      </c>
      <c r="O302" s="11">
        <f>_xlfn.XLOOKUP(A302,[1]MIC!A:A,[1]MIC!C:C)</f>
        <v>45344</v>
      </c>
      <c r="P302" s="11">
        <f>_xlfn.XLOOKUP(A302,[1]MIC!A:A,[1]MIC!D:D)</f>
        <v>45709</v>
      </c>
      <c r="Q302" s="5">
        <f>_xlfn.XLOOKUP(A302,'[1]Days Listed'!A:A,'[1]Days Listed'!B:B)</f>
        <v>256</v>
      </c>
      <c r="R302" s="5">
        <f>_xlfn.XLOOKUP(A302,'[1]Days Listed'!A:A,'[1]Days Listed'!C:C)</f>
        <v>129</v>
      </c>
      <c r="S302" s="5">
        <f>_xlfn.XLOOKUP(A302,'[1]Days With Trades'!A:A,'[1]Days With Trades'!B:B)</f>
        <v>250</v>
      </c>
      <c r="T302" s="5">
        <f>_xlfn.XLOOKUP(A302,'[1]Days With Trades'!A:A,'[1]Days With Trades'!C:C)</f>
        <v>127</v>
      </c>
      <c r="U302" s="12">
        <f>_xlfn.XLOOKUP(A302,'[1]Value Traded'!A:A,'[1]Value Traded'!B:B)</f>
        <v>105629647.14</v>
      </c>
      <c r="V302" s="12">
        <f>_xlfn.XLOOKUP(A302,'[1]Value Traded'!A:A,'[1]Value Traded'!C:C)</f>
        <v>45198071.009999998</v>
      </c>
      <c r="W302" s="12">
        <f>_xlfn.XLOOKUP(A302,'[1]Value Traded'!A:A,'[1]Value Traded'!E:E)</f>
        <v>199321951.16</v>
      </c>
      <c r="X302" s="12">
        <f>_xlfn.XLOOKUP(A302,'[1]Value Traded'!A:A,'[1]Value Traded'!F:F)</f>
        <v>93692304.019999996</v>
      </c>
      <c r="Y302" s="12">
        <f>_xlfn.XLOOKUP(A302,'[1]Value Traded'!A:A,'[1]Value Traded'!G:G)</f>
        <v>111726101.91</v>
      </c>
      <c r="Z302" s="12">
        <f>_xlfn.XLOOKUP(A302,'[1]Value Traded'!A:A,'[1]Value Traded'!H:H)</f>
        <v>66528030.899999999</v>
      </c>
    </row>
    <row r="303" spans="1:26" x14ac:dyDescent="0.25">
      <c r="A303" s="13">
        <v>5997180</v>
      </c>
      <c r="B303" s="13" t="s">
        <v>1317</v>
      </c>
      <c r="C303" s="13" t="s">
        <v>1317</v>
      </c>
      <c r="D303" s="13" t="s">
        <v>1318</v>
      </c>
      <c r="E303" s="13" t="s">
        <v>1319</v>
      </c>
      <c r="F303" s="13" t="s">
        <v>32</v>
      </c>
      <c r="G303" s="13" t="s">
        <v>60</v>
      </c>
      <c r="H303" s="13" t="s">
        <v>61</v>
      </c>
      <c r="I303" s="13" t="s">
        <v>1320</v>
      </c>
      <c r="J303" s="13" t="s">
        <v>36</v>
      </c>
      <c r="K303" s="13" t="s">
        <v>37</v>
      </c>
      <c r="L303" s="13" t="s">
        <v>50</v>
      </c>
      <c r="M303" s="14">
        <v>13500000</v>
      </c>
      <c r="N303" s="15">
        <v>737100000</v>
      </c>
      <c r="O303" s="11">
        <f>_xlfn.XLOOKUP(A303,[1]MIC!A:A,[1]MIC!C:C)</f>
        <v>45344</v>
      </c>
      <c r="P303" s="11">
        <f>_xlfn.XLOOKUP(A303,[1]MIC!A:A,[1]MIC!D:D)</f>
        <v>45709</v>
      </c>
      <c r="Q303" s="5">
        <f>_xlfn.XLOOKUP(A303,'[1]Days Listed'!A:A,'[1]Days Listed'!B:B)</f>
        <v>256</v>
      </c>
      <c r="R303" s="5">
        <f>_xlfn.XLOOKUP(A303,'[1]Days Listed'!A:A,'[1]Days Listed'!C:C)</f>
        <v>129</v>
      </c>
      <c r="S303" s="5">
        <f>_xlfn.XLOOKUP(A303,'[1]Days With Trades'!A:A,'[1]Days With Trades'!B:B)</f>
        <v>250</v>
      </c>
      <c r="T303" s="5">
        <f>_xlfn.XLOOKUP(A303,'[1]Days With Trades'!A:A,'[1]Days With Trades'!C:C)</f>
        <v>127</v>
      </c>
      <c r="U303" s="12">
        <f>_xlfn.XLOOKUP(A303,'[1]Value Traded'!A:A,'[1]Value Traded'!B:B)</f>
        <v>120438950.19</v>
      </c>
      <c r="V303" s="12">
        <f>_xlfn.XLOOKUP(A303,'[1]Value Traded'!A:A,'[1]Value Traded'!C:C)</f>
        <v>52862492.100000001</v>
      </c>
      <c r="W303" s="12">
        <f>_xlfn.XLOOKUP(A303,'[1]Value Traded'!A:A,'[1]Value Traded'!E:E)</f>
        <v>165574359.52000001</v>
      </c>
      <c r="X303" s="12">
        <f>_xlfn.XLOOKUP(A303,'[1]Value Traded'!A:A,'[1]Value Traded'!F:F)</f>
        <v>45135409.329999998</v>
      </c>
      <c r="Y303" s="12">
        <f>_xlfn.XLOOKUP(A303,'[1]Value Traded'!A:A,'[1]Value Traded'!G:G)</f>
        <v>65762928.100000001</v>
      </c>
      <c r="Z303" s="12">
        <f>_xlfn.XLOOKUP(A303,'[1]Value Traded'!A:A,'[1]Value Traded'!H:H)</f>
        <v>12900436</v>
      </c>
    </row>
    <row r="304" spans="1:26" x14ac:dyDescent="0.25">
      <c r="A304" s="8">
        <v>6008296</v>
      </c>
      <c r="B304" s="8" t="s">
        <v>1321</v>
      </c>
      <c r="C304" s="8" t="s">
        <v>1321</v>
      </c>
      <c r="D304" s="8" t="s">
        <v>1322</v>
      </c>
      <c r="E304" s="8" t="s">
        <v>1323</v>
      </c>
      <c r="F304" s="8" t="s">
        <v>32</v>
      </c>
      <c r="G304" s="8" t="s">
        <v>60</v>
      </c>
      <c r="H304" s="8" t="s">
        <v>61</v>
      </c>
      <c r="I304" s="8" t="s">
        <v>1324</v>
      </c>
      <c r="J304" s="8" t="s">
        <v>36</v>
      </c>
      <c r="K304" s="8" t="s">
        <v>37</v>
      </c>
      <c r="L304" s="8" t="s">
        <v>1325</v>
      </c>
      <c r="M304" s="9">
        <v>60408582</v>
      </c>
      <c r="N304" s="10">
        <v>724902984</v>
      </c>
      <c r="O304" s="11">
        <f>_xlfn.XLOOKUP(A304,[1]MIC!A:A,[1]MIC!C:C)</f>
        <v>45344</v>
      </c>
      <c r="P304" s="11">
        <f>_xlfn.XLOOKUP(A304,[1]MIC!A:A,[1]MIC!D:D)</f>
        <v>45709</v>
      </c>
      <c r="Q304" s="5">
        <f>_xlfn.XLOOKUP(A304,'[1]Days Listed'!A:A,'[1]Days Listed'!B:B)</f>
        <v>256</v>
      </c>
      <c r="R304" s="5">
        <f>_xlfn.XLOOKUP(A304,'[1]Days Listed'!A:A,'[1]Days Listed'!C:C)</f>
        <v>129</v>
      </c>
      <c r="S304" s="5">
        <f>_xlfn.XLOOKUP(A304,'[1]Days With Trades'!A:A,'[1]Days With Trades'!B:B)</f>
        <v>94</v>
      </c>
      <c r="T304" s="5">
        <f>_xlfn.XLOOKUP(A304,'[1]Days With Trades'!A:A,'[1]Days With Trades'!C:C)</f>
        <v>38</v>
      </c>
      <c r="U304" s="12">
        <f>_xlfn.XLOOKUP(A304,'[1]Value Traded'!A:A,'[1]Value Traded'!B:B)</f>
        <v>1042987.73</v>
      </c>
      <c r="V304" s="12">
        <f>_xlfn.XLOOKUP(A304,'[1]Value Traded'!A:A,'[1]Value Traded'!C:C)</f>
        <v>461715.4</v>
      </c>
      <c r="W304" s="12">
        <f>_xlfn.XLOOKUP(A304,'[1]Value Traded'!A:A,'[1]Value Traded'!E:E)</f>
        <v>2917105.33</v>
      </c>
      <c r="X304" s="12">
        <f>_xlfn.XLOOKUP(A304,'[1]Value Traded'!A:A,'[1]Value Traded'!F:F)</f>
        <v>1874117.6</v>
      </c>
      <c r="Y304" s="12">
        <f>_xlfn.XLOOKUP(A304,'[1]Value Traded'!A:A,'[1]Value Traded'!G:G)</f>
        <v>925578.5</v>
      </c>
      <c r="Z304" s="12">
        <f>_xlfn.XLOOKUP(A304,'[1]Value Traded'!A:A,'[1]Value Traded'!H:H)</f>
        <v>463863.1</v>
      </c>
    </row>
    <row r="305" spans="1:26" x14ac:dyDescent="0.25">
      <c r="A305" s="13">
        <v>6053259</v>
      </c>
      <c r="B305" s="13" t="s">
        <v>1326</v>
      </c>
      <c r="C305" s="13" t="s">
        <v>1326</v>
      </c>
      <c r="D305" s="13" t="s">
        <v>1327</v>
      </c>
      <c r="E305" s="13" t="s">
        <v>1328</v>
      </c>
      <c r="F305" s="13" t="s">
        <v>32</v>
      </c>
      <c r="G305" s="13" t="s">
        <v>47</v>
      </c>
      <c r="H305" s="13" t="s">
        <v>48</v>
      </c>
      <c r="I305" s="13" t="s">
        <v>1329</v>
      </c>
      <c r="J305" s="13" t="s">
        <v>36</v>
      </c>
      <c r="K305" s="13" t="s">
        <v>37</v>
      </c>
      <c r="L305" s="13" t="s">
        <v>876</v>
      </c>
      <c r="M305" s="14">
        <v>246278655</v>
      </c>
      <c r="N305" s="15">
        <v>22509869067</v>
      </c>
      <c r="O305" s="11">
        <f>_xlfn.XLOOKUP(A305,[1]MIC!A:A,[1]MIC!C:C)</f>
        <v>45344</v>
      </c>
      <c r="P305" s="11">
        <f>_xlfn.XLOOKUP(A305,[1]MIC!A:A,[1]MIC!D:D)</f>
        <v>45709</v>
      </c>
      <c r="Q305" s="5">
        <f>_xlfn.XLOOKUP(A305,'[1]Days Listed'!A:A,'[1]Days Listed'!B:B)</f>
        <v>256</v>
      </c>
      <c r="R305" s="5">
        <f>_xlfn.XLOOKUP(A305,'[1]Days Listed'!A:A,'[1]Days Listed'!C:C)</f>
        <v>129</v>
      </c>
      <c r="S305" s="5">
        <f>_xlfn.XLOOKUP(A305,'[1]Days With Trades'!A:A,'[1]Days With Trades'!B:B)</f>
        <v>250</v>
      </c>
      <c r="T305" s="5">
        <f>_xlfn.XLOOKUP(A305,'[1]Days With Trades'!A:A,'[1]Days With Trades'!C:C)</f>
        <v>127</v>
      </c>
      <c r="U305" s="12">
        <f>_xlfn.XLOOKUP(A305,'[1]Value Traded'!A:A,'[1]Value Traded'!B:B)</f>
        <v>10169352608.809999</v>
      </c>
      <c r="V305" s="12">
        <f>_xlfn.XLOOKUP(A305,'[1]Value Traded'!A:A,'[1]Value Traded'!C:C)</f>
        <v>5030620746.8900003</v>
      </c>
      <c r="W305" s="12">
        <f>_xlfn.XLOOKUP(A305,'[1]Value Traded'!A:A,'[1]Value Traded'!E:E)</f>
        <v>12459326315.24</v>
      </c>
      <c r="X305" s="12">
        <f>_xlfn.XLOOKUP(A305,'[1]Value Traded'!A:A,'[1]Value Traded'!F:F)</f>
        <v>2289973706.4299998</v>
      </c>
      <c r="Y305" s="12">
        <f>_xlfn.XLOOKUP(A305,'[1]Value Traded'!A:A,'[1]Value Traded'!G:G)</f>
        <v>6246156453.3999996</v>
      </c>
      <c r="Z305" s="12">
        <f>_xlfn.XLOOKUP(A305,'[1]Value Traded'!A:A,'[1]Value Traded'!H:H)</f>
        <v>1215535706.51</v>
      </c>
    </row>
    <row r="306" spans="1:26" x14ac:dyDescent="0.25">
      <c r="A306" s="8">
        <v>9019935</v>
      </c>
      <c r="B306" s="8" t="s">
        <v>1330</v>
      </c>
      <c r="C306" s="8" t="s">
        <v>1330</v>
      </c>
      <c r="D306" s="8" t="s">
        <v>1331</v>
      </c>
      <c r="E306" s="8" t="s">
        <v>1332</v>
      </c>
      <c r="F306" s="8" t="s">
        <v>32</v>
      </c>
      <c r="G306" s="8" t="s">
        <v>60</v>
      </c>
      <c r="H306" s="8" t="s">
        <v>61</v>
      </c>
      <c r="I306" s="8" t="s">
        <v>1333</v>
      </c>
      <c r="J306" s="8" t="s">
        <v>36</v>
      </c>
      <c r="K306" s="8" t="s">
        <v>37</v>
      </c>
      <c r="L306" s="8" t="s">
        <v>1334</v>
      </c>
      <c r="M306" s="9">
        <v>1227032</v>
      </c>
      <c r="N306" s="10">
        <v>87119272</v>
      </c>
      <c r="O306" s="11">
        <f>_xlfn.XLOOKUP(A306,[1]MIC!A:A,[1]MIC!C:C)</f>
        <v>45344</v>
      </c>
      <c r="P306" s="11">
        <f>_xlfn.XLOOKUP(A306,[1]MIC!A:A,[1]MIC!D:D)</f>
        <v>45709</v>
      </c>
      <c r="Q306" s="5">
        <f>_xlfn.XLOOKUP(A306,'[1]Days Listed'!A:A,'[1]Days Listed'!B:B)</f>
        <v>256</v>
      </c>
      <c r="R306" s="5">
        <f>_xlfn.XLOOKUP(A306,'[1]Days Listed'!A:A,'[1]Days Listed'!C:C)</f>
        <v>129</v>
      </c>
      <c r="S306" s="5">
        <f>_xlfn.XLOOKUP(A306,'[1]Days With Trades'!A:A,'[1]Days With Trades'!B:B)</f>
        <v>100</v>
      </c>
      <c r="T306" s="5">
        <f>_xlfn.XLOOKUP(A306,'[1]Days With Trades'!A:A,'[1]Days With Trades'!C:C)</f>
        <v>50</v>
      </c>
      <c r="U306" s="12">
        <f>_xlfn.XLOOKUP(A306,'[1]Value Traded'!A:A,'[1]Value Traded'!B:B)</f>
        <v>1378272.54</v>
      </c>
      <c r="V306" s="12">
        <f>_xlfn.XLOOKUP(A306,'[1]Value Traded'!A:A,'[1]Value Traded'!C:C)</f>
        <v>852748.5</v>
      </c>
      <c r="W306" s="12">
        <f>_xlfn.XLOOKUP(A306,'[1]Value Traded'!A:A,'[1]Value Traded'!E:E)</f>
        <v>3016676.67</v>
      </c>
      <c r="X306" s="12">
        <f>_xlfn.XLOOKUP(A306,'[1]Value Traded'!A:A,'[1]Value Traded'!F:F)</f>
        <v>1638404.13</v>
      </c>
      <c r="Y306" s="12">
        <f>_xlfn.XLOOKUP(A306,'[1]Value Traded'!A:A,'[1]Value Traded'!G:G)</f>
        <v>1695495.5</v>
      </c>
      <c r="Z306" s="12">
        <f>_xlfn.XLOOKUP(A306,'[1]Value Traded'!A:A,'[1]Value Traded'!H:H)</f>
        <v>842747</v>
      </c>
    </row>
    <row r="307" spans="1:26" x14ac:dyDescent="0.25">
      <c r="A307" s="13">
        <v>9067757</v>
      </c>
      <c r="B307" s="13" t="s">
        <v>1335</v>
      </c>
      <c r="C307" s="13" t="s">
        <v>1335</v>
      </c>
      <c r="D307" s="13" t="s">
        <v>1336</v>
      </c>
      <c r="E307" s="13" t="s">
        <v>1337</v>
      </c>
      <c r="F307" s="13" t="s">
        <v>32</v>
      </c>
      <c r="G307" s="13" t="s">
        <v>47</v>
      </c>
      <c r="H307" s="13" t="s">
        <v>48</v>
      </c>
      <c r="I307" s="13" t="s">
        <v>1338</v>
      </c>
      <c r="J307" s="13" t="s">
        <v>36</v>
      </c>
      <c r="K307" s="13" t="s">
        <v>37</v>
      </c>
      <c r="L307" s="13" t="s">
        <v>876</v>
      </c>
      <c r="M307" s="14">
        <v>310496875</v>
      </c>
      <c r="N307" s="15">
        <v>14143132656.25</v>
      </c>
      <c r="O307" s="11">
        <f>_xlfn.XLOOKUP(A307,[1]MIC!A:A,[1]MIC!C:C)</f>
        <v>45344</v>
      </c>
      <c r="P307" s="11">
        <f>_xlfn.XLOOKUP(A307,[1]MIC!A:A,[1]MIC!D:D)</f>
        <v>45709</v>
      </c>
      <c r="Q307" s="5">
        <f>_xlfn.XLOOKUP(A307,'[1]Days Listed'!A:A,'[1]Days Listed'!B:B)</f>
        <v>256</v>
      </c>
      <c r="R307" s="5">
        <f>_xlfn.XLOOKUP(A307,'[1]Days Listed'!A:A,'[1]Days Listed'!C:C)</f>
        <v>129</v>
      </c>
      <c r="S307" s="5">
        <f>_xlfn.XLOOKUP(A307,'[1]Days With Trades'!A:A,'[1]Days With Trades'!B:B)</f>
        <v>250</v>
      </c>
      <c r="T307" s="5">
        <f>_xlfn.XLOOKUP(A307,'[1]Days With Trades'!A:A,'[1]Days With Trades'!C:C)</f>
        <v>127</v>
      </c>
      <c r="U307" s="12">
        <f>_xlfn.XLOOKUP(A307,'[1]Value Traded'!A:A,'[1]Value Traded'!B:B)</f>
        <v>2176570152.9200001</v>
      </c>
      <c r="V307" s="12">
        <f>_xlfn.XLOOKUP(A307,'[1]Value Traded'!A:A,'[1]Value Traded'!C:C)</f>
        <v>1374155009.1500001</v>
      </c>
      <c r="W307" s="12">
        <f>_xlfn.XLOOKUP(A307,'[1]Value Traded'!A:A,'[1]Value Traded'!E:E)</f>
        <v>2612897499.6399999</v>
      </c>
      <c r="X307" s="12">
        <f>_xlfn.XLOOKUP(A307,'[1]Value Traded'!A:A,'[1]Value Traded'!F:F)</f>
        <v>436327346.72000003</v>
      </c>
      <c r="Y307" s="12">
        <f>_xlfn.XLOOKUP(A307,'[1]Value Traded'!A:A,'[1]Value Traded'!G:G)</f>
        <v>1575461927.25</v>
      </c>
      <c r="Z307" s="12">
        <f>_xlfn.XLOOKUP(A307,'[1]Value Traded'!A:A,'[1]Value Traded'!H:H)</f>
        <v>201306918.09999999</v>
      </c>
    </row>
    <row r="308" spans="1:26" x14ac:dyDescent="0.25">
      <c r="A308" s="8">
        <v>9265190</v>
      </c>
      <c r="B308" s="8" t="s">
        <v>1339</v>
      </c>
      <c r="C308" s="8" t="s">
        <v>1339</v>
      </c>
      <c r="D308" s="8" t="s">
        <v>1340</v>
      </c>
      <c r="E308" s="8" t="s">
        <v>1341</v>
      </c>
      <c r="F308" s="8" t="s">
        <v>32</v>
      </c>
      <c r="G308" s="8" t="s">
        <v>47</v>
      </c>
      <c r="H308" s="8" t="s">
        <v>48</v>
      </c>
      <c r="I308" s="8" t="s">
        <v>1342</v>
      </c>
      <c r="J308" s="8" t="s">
        <v>36</v>
      </c>
      <c r="K308" s="8" t="s">
        <v>37</v>
      </c>
      <c r="L308" s="8" t="s">
        <v>97</v>
      </c>
      <c r="M308" s="9">
        <v>215103825</v>
      </c>
      <c r="N308" s="10">
        <v>3979420762.5</v>
      </c>
      <c r="O308" s="11">
        <f>_xlfn.XLOOKUP(A308,[1]MIC!A:A,[1]MIC!C:C)</f>
        <v>45408</v>
      </c>
      <c r="P308" s="11">
        <f>_xlfn.XLOOKUP(A308,[1]MIC!A:A,[1]MIC!D:D)</f>
        <v>45709</v>
      </c>
      <c r="Q308" s="5">
        <f>_xlfn.XLOOKUP(A308,'[1]Days Listed'!A:A,'[1]Days Listed'!B:B)</f>
        <v>212</v>
      </c>
      <c r="R308" s="5">
        <f>_xlfn.XLOOKUP(A308,'[1]Days Listed'!A:A,'[1]Days Listed'!C:C)</f>
        <v>129</v>
      </c>
      <c r="S308" s="5">
        <f>_xlfn.XLOOKUP(A308,'[1]Days With Trades'!A:A,'[1]Days With Trades'!B:B)</f>
        <v>206</v>
      </c>
      <c r="T308" s="5">
        <f>_xlfn.XLOOKUP(A308,'[1]Days With Trades'!A:A,'[1]Days With Trades'!C:C)</f>
        <v>127</v>
      </c>
      <c r="U308" s="12">
        <f>_xlfn.XLOOKUP(A308,'[1]Value Traded'!A:A,'[1]Value Traded'!B:B)</f>
        <v>687584083.50999999</v>
      </c>
      <c r="V308" s="12">
        <f>_xlfn.XLOOKUP(A308,'[1]Value Traded'!A:A,'[1]Value Traded'!C:C)</f>
        <v>407682526.00999999</v>
      </c>
      <c r="W308" s="12">
        <f>_xlfn.XLOOKUP(A308,'[1]Value Traded'!A:A,'[1]Value Traded'!E:E)</f>
        <v>1168799396.79</v>
      </c>
      <c r="X308" s="12">
        <f>_xlfn.XLOOKUP(A308,'[1]Value Traded'!A:A,'[1]Value Traded'!F:F)</f>
        <v>481215313.27999997</v>
      </c>
      <c r="Y308" s="12">
        <f>_xlfn.XLOOKUP(A308,'[1]Value Traded'!A:A,'[1]Value Traded'!G:G)</f>
        <v>513016833.04000002</v>
      </c>
      <c r="Z308" s="12">
        <f>_xlfn.XLOOKUP(A308,'[1]Value Traded'!A:A,'[1]Value Traded'!H:H)</f>
        <v>105334307.03</v>
      </c>
    </row>
    <row r="309" spans="1:26" x14ac:dyDescent="0.25">
      <c r="A309" s="13">
        <v>9292146</v>
      </c>
      <c r="B309" s="13" t="s">
        <v>1343</v>
      </c>
      <c r="C309" s="13" t="s">
        <v>1343</v>
      </c>
      <c r="D309" s="13" t="s">
        <v>1344</v>
      </c>
      <c r="E309" s="13" t="s">
        <v>1345</v>
      </c>
      <c r="F309" s="13" t="s">
        <v>32</v>
      </c>
      <c r="G309" s="13" t="s">
        <v>60</v>
      </c>
      <c r="H309" s="13" t="s">
        <v>61</v>
      </c>
      <c r="I309" s="13" t="s">
        <v>1346</v>
      </c>
      <c r="J309" s="13" t="s">
        <v>63</v>
      </c>
      <c r="K309" s="13" t="s">
        <v>37</v>
      </c>
      <c r="L309" s="13" t="s">
        <v>107</v>
      </c>
      <c r="M309" s="14">
        <v>1500000</v>
      </c>
      <c r="N309" s="15">
        <v>181500000</v>
      </c>
      <c r="O309" s="11">
        <f>_xlfn.XLOOKUP(A309,[1]MIC!A:A,[1]MIC!C:C)</f>
        <v>45434</v>
      </c>
      <c r="P309" s="11">
        <f>_xlfn.XLOOKUP(A309,[1]MIC!A:A,[1]MIC!D:D)</f>
        <v>45709</v>
      </c>
      <c r="Q309" s="5">
        <f>_xlfn.XLOOKUP(A309,'[1]Days Listed'!A:A,'[1]Days Listed'!B:B)</f>
        <v>195</v>
      </c>
      <c r="R309" s="5">
        <f>_xlfn.XLOOKUP(A309,'[1]Days Listed'!A:A,'[1]Days Listed'!C:C)</f>
        <v>129</v>
      </c>
      <c r="S309" s="5">
        <f>_xlfn.XLOOKUP(A309,'[1]Days With Trades'!A:A,'[1]Days With Trades'!B:B)</f>
        <v>176</v>
      </c>
      <c r="T309" s="5">
        <f>_xlfn.XLOOKUP(A309,'[1]Days With Trades'!A:A,'[1]Days With Trades'!C:C)</f>
        <v>113</v>
      </c>
      <c r="U309" s="12">
        <f>_xlfn.XLOOKUP(A309,'[1]Value Traded'!A:A,'[1]Value Traded'!B:B)</f>
        <v>20499914.780000001</v>
      </c>
      <c r="V309" s="12">
        <f>_xlfn.XLOOKUP(A309,'[1]Value Traded'!A:A,'[1]Value Traded'!C:C)</f>
        <v>15935190.74</v>
      </c>
      <c r="W309" s="12">
        <f>_xlfn.XLOOKUP(A309,'[1]Value Traded'!A:A,'[1]Value Traded'!E:E)</f>
        <v>34349607.899999999</v>
      </c>
      <c r="X309" s="12">
        <f>_xlfn.XLOOKUP(A309,'[1]Value Traded'!A:A,'[1]Value Traded'!F:F)</f>
        <v>13849693.119999999</v>
      </c>
      <c r="Y309" s="12">
        <f>_xlfn.XLOOKUP(A309,'[1]Value Traded'!A:A,'[1]Value Traded'!G:G)</f>
        <v>21107816.920000002</v>
      </c>
      <c r="Z309" s="12">
        <f>_xlfn.XLOOKUP(A309,'[1]Value Traded'!A:A,'[1]Value Traded'!H:H)</f>
        <v>5172626.18</v>
      </c>
    </row>
    <row r="310" spans="1:26" x14ac:dyDescent="0.25">
      <c r="A310" s="8">
        <v>9305632</v>
      </c>
      <c r="B310" s="8" t="s">
        <v>1347</v>
      </c>
      <c r="C310" s="8" t="s">
        <v>1347</v>
      </c>
      <c r="D310" s="8" t="s">
        <v>1348</v>
      </c>
      <c r="E310" s="8" t="s">
        <v>1349</v>
      </c>
      <c r="F310" s="8" t="s">
        <v>32</v>
      </c>
      <c r="G310" s="8" t="s">
        <v>60</v>
      </c>
      <c r="H310" s="8" t="s">
        <v>61</v>
      </c>
      <c r="I310" s="8" t="s">
        <v>1350</v>
      </c>
      <c r="J310" s="8" t="s">
        <v>36</v>
      </c>
      <c r="K310" s="8" t="s">
        <v>37</v>
      </c>
      <c r="L310" s="8" t="s">
        <v>400</v>
      </c>
      <c r="M310" s="9">
        <v>105712360</v>
      </c>
      <c r="N310" s="10">
        <v>2595238438</v>
      </c>
      <c r="O310" s="11">
        <f>_xlfn.XLOOKUP(A310,[1]MIC!A:A,[1]MIC!C:C)</f>
        <v>45447</v>
      </c>
      <c r="P310" s="11">
        <f>_xlfn.XLOOKUP(A310,[1]MIC!A:A,[1]MIC!D:D)</f>
        <v>45709</v>
      </c>
      <c r="Q310" s="5">
        <f>_xlfn.XLOOKUP(A310,'[1]Days Listed'!A:A,'[1]Days Listed'!B:B)</f>
        <v>186</v>
      </c>
      <c r="R310" s="5">
        <f>_xlfn.XLOOKUP(A310,'[1]Days Listed'!A:A,'[1]Days Listed'!C:C)</f>
        <v>129</v>
      </c>
      <c r="S310" s="5">
        <f>_xlfn.XLOOKUP(A310,'[1]Days With Trades'!A:A,'[1]Days With Trades'!B:B)</f>
        <v>177</v>
      </c>
      <c r="T310" s="5">
        <f>_xlfn.XLOOKUP(A310,'[1]Days With Trades'!A:A,'[1]Days With Trades'!C:C)</f>
        <v>121</v>
      </c>
      <c r="U310" s="12">
        <f>_xlfn.XLOOKUP(A310,'[1]Value Traded'!A:A,'[1]Value Traded'!B:B)</f>
        <v>163312135.47</v>
      </c>
      <c r="V310" s="12">
        <f>_xlfn.XLOOKUP(A310,'[1]Value Traded'!A:A,'[1]Value Traded'!C:C)</f>
        <v>103459058.5</v>
      </c>
      <c r="W310" s="12">
        <f>_xlfn.XLOOKUP(A310,'[1]Value Traded'!A:A,'[1]Value Traded'!E:E)</f>
        <v>272661299.74000001</v>
      </c>
      <c r="X310" s="12">
        <f>_xlfn.XLOOKUP(A310,'[1]Value Traded'!A:A,'[1]Value Traded'!F:F)</f>
        <v>109349164.27</v>
      </c>
      <c r="Y310" s="12">
        <f>_xlfn.XLOOKUP(A310,'[1]Value Traded'!A:A,'[1]Value Traded'!G:G)</f>
        <v>135368330.15000001</v>
      </c>
      <c r="Z310" s="12">
        <f>_xlfn.XLOOKUP(A310,'[1]Value Traded'!A:A,'[1]Value Traded'!H:H)</f>
        <v>31909271.649999999</v>
      </c>
    </row>
    <row r="311" spans="1:26" x14ac:dyDescent="0.25">
      <c r="A311" s="13">
        <v>9314427</v>
      </c>
      <c r="B311" s="13" t="s">
        <v>1351</v>
      </c>
      <c r="C311" s="13" t="s">
        <v>1351</v>
      </c>
      <c r="D311" s="13" t="s">
        <v>1352</v>
      </c>
      <c r="E311" s="13" t="s">
        <v>1353</v>
      </c>
      <c r="F311" s="13" t="s">
        <v>32</v>
      </c>
      <c r="G311" s="13" t="s">
        <v>47</v>
      </c>
      <c r="H311" s="13" t="s">
        <v>48</v>
      </c>
      <c r="I311" s="13" t="s">
        <v>1354</v>
      </c>
      <c r="J311" s="13" t="s">
        <v>36</v>
      </c>
      <c r="K311" s="13" t="s">
        <v>37</v>
      </c>
      <c r="L311" s="13" t="s">
        <v>567</v>
      </c>
      <c r="M311" s="14">
        <v>33618145</v>
      </c>
      <c r="N311" s="15">
        <v>182882708.80000001</v>
      </c>
      <c r="O311" s="11">
        <f>_xlfn.XLOOKUP(A311,[1]MIC!A:A,[1]MIC!C:C)</f>
        <v>45454</v>
      </c>
      <c r="P311" s="11">
        <f>_xlfn.XLOOKUP(A311,[1]MIC!A:A,[1]MIC!D:D)</f>
        <v>45709</v>
      </c>
      <c r="Q311" s="5">
        <f>_xlfn.XLOOKUP(A311,'[1]Days Listed'!A:A,'[1]Days Listed'!B:B)</f>
        <v>181</v>
      </c>
      <c r="R311" s="5">
        <f>_xlfn.XLOOKUP(A311,'[1]Days Listed'!A:A,'[1]Days Listed'!C:C)</f>
        <v>129</v>
      </c>
      <c r="S311" s="5">
        <f>_xlfn.XLOOKUP(A311,'[1]Days With Trades'!A:A,'[1]Days With Trades'!B:B)</f>
        <v>178</v>
      </c>
      <c r="T311" s="5">
        <f>_xlfn.XLOOKUP(A311,'[1]Days With Trades'!A:A,'[1]Days With Trades'!C:C)</f>
        <v>127</v>
      </c>
      <c r="U311" s="12">
        <f>_xlfn.XLOOKUP(A311,'[1]Value Traded'!A:A,'[1]Value Traded'!B:B)</f>
        <v>337581039.67000002</v>
      </c>
      <c r="V311" s="12">
        <f>_xlfn.XLOOKUP(A311,'[1]Value Traded'!A:A,'[1]Value Traded'!C:C)</f>
        <v>183794625.69999999</v>
      </c>
      <c r="W311" s="12">
        <f>_xlfn.XLOOKUP(A311,'[1]Value Traded'!A:A,'[1]Value Traded'!E:E)</f>
        <v>681227890.25</v>
      </c>
      <c r="X311" s="12">
        <f>_xlfn.XLOOKUP(A311,'[1]Value Traded'!A:A,'[1]Value Traded'!F:F)</f>
        <v>343646850.57999998</v>
      </c>
      <c r="Y311" s="12">
        <f>_xlfn.XLOOKUP(A311,'[1]Value Traded'!A:A,'[1]Value Traded'!G:G)</f>
        <v>244015117.28</v>
      </c>
      <c r="Z311" s="12">
        <f>_xlfn.XLOOKUP(A311,'[1]Value Traded'!A:A,'[1]Value Traded'!H:H)</f>
        <v>60220491.579999998</v>
      </c>
    </row>
    <row r="312" spans="1:26" x14ac:dyDescent="0.25">
      <c r="A312" s="8">
        <v>9322454</v>
      </c>
      <c r="B312" s="8" t="s">
        <v>1355</v>
      </c>
      <c r="C312" s="8" t="s">
        <v>1355</v>
      </c>
      <c r="D312" s="8" t="s">
        <v>1356</v>
      </c>
      <c r="E312" s="8" t="s">
        <v>1357</v>
      </c>
      <c r="F312" s="8" t="s">
        <v>32</v>
      </c>
      <c r="G312" s="8" t="s">
        <v>47</v>
      </c>
      <c r="H312" s="8" t="s">
        <v>48</v>
      </c>
      <c r="I312" s="8" t="s">
        <v>1358</v>
      </c>
      <c r="J312" s="8" t="s">
        <v>36</v>
      </c>
      <c r="K312" s="8" t="s">
        <v>37</v>
      </c>
      <c r="L312" s="8" t="s">
        <v>38</v>
      </c>
      <c r="M312" s="9">
        <v>13418740</v>
      </c>
      <c r="N312" s="10">
        <v>166660750.80000001</v>
      </c>
      <c r="O312" s="11">
        <f>_xlfn.XLOOKUP(A312,[1]MIC!A:A,[1]MIC!C:C)</f>
        <v>45460</v>
      </c>
      <c r="P312" s="11">
        <f>_xlfn.XLOOKUP(A312,[1]MIC!A:A,[1]MIC!D:D)</f>
        <v>45709</v>
      </c>
      <c r="Q312" s="5">
        <f>_xlfn.XLOOKUP(A312,'[1]Days Listed'!A:A,'[1]Days Listed'!B:B)</f>
        <v>177</v>
      </c>
      <c r="R312" s="5">
        <f>_xlfn.XLOOKUP(A312,'[1]Days Listed'!A:A,'[1]Days Listed'!C:C)</f>
        <v>129</v>
      </c>
      <c r="S312" s="5">
        <f>_xlfn.XLOOKUP(A312,'[1]Days With Trades'!A:A,'[1]Days With Trades'!B:B)</f>
        <v>174</v>
      </c>
      <c r="T312" s="5">
        <f>_xlfn.XLOOKUP(A312,'[1]Days With Trades'!A:A,'[1]Days With Trades'!C:C)</f>
        <v>127</v>
      </c>
      <c r="U312" s="12">
        <f>_xlfn.XLOOKUP(A312,'[1]Value Traded'!A:A,'[1]Value Traded'!B:B)</f>
        <v>41195025.710000001</v>
      </c>
      <c r="V312" s="12">
        <f>_xlfn.XLOOKUP(A312,'[1]Value Traded'!A:A,'[1]Value Traded'!C:C)</f>
        <v>20559728.030000001</v>
      </c>
      <c r="W312" s="12">
        <f>_xlfn.XLOOKUP(A312,'[1]Value Traded'!A:A,'[1]Value Traded'!E:E)</f>
        <v>77196923.700000003</v>
      </c>
      <c r="X312" s="12">
        <f>_xlfn.XLOOKUP(A312,'[1]Value Traded'!A:A,'[1]Value Traded'!F:F)</f>
        <v>36001897.990000002</v>
      </c>
      <c r="Y312" s="12">
        <f>_xlfn.XLOOKUP(A312,'[1]Value Traded'!A:A,'[1]Value Traded'!G:G)</f>
        <v>24857191.219999999</v>
      </c>
      <c r="Z312" s="12">
        <f>_xlfn.XLOOKUP(A312,'[1]Value Traded'!A:A,'[1]Value Traded'!H:H)</f>
        <v>4297463.1900000004</v>
      </c>
    </row>
    <row r="313" spans="1:26" x14ac:dyDescent="0.25">
      <c r="A313" s="13">
        <v>9334645</v>
      </c>
      <c r="B313" s="13" t="s">
        <v>1359</v>
      </c>
      <c r="C313" s="13" t="s">
        <v>1359</v>
      </c>
      <c r="D313" s="13" t="s">
        <v>1360</v>
      </c>
      <c r="E313" s="13" t="s">
        <v>1361</v>
      </c>
      <c r="F313" s="13" t="s">
        <v>32</v>
      </c>
      <c r="G313" s="13" t="s">
        <v>60</v>
      </c>
      <c r="H313" s="13" t="s">
        <v>1362</v>
      </c>
      <c r="I313" s="13" t="s">
        <v>1363</v>
      </c>
      <c r="J313" s="13" t="s">
        <v>1364</v>
      </c>
      <c r="K313" s="13" t="s">
        <v>37</v>
      </c>
      <c r="L313" s="13" t="s">
        <v>116</v>
      </c>
      <c r="M313" s="14">
        <v>4193806</v>
      </c>
      <c r="N313" s="15">
        <v>8387612</v>
      </c>
      <c r="O313" s="11">
        <f>_xlfn.XLOOKUP(A313,[1]MIC!A:A,[1]MIC!C:C)</f>
        <v>45470</v>
      </c>
      <c r="P313" s="11">
        <f>_xlfn.XLOOKUP(A313,[1]MIC!A:A,[1]MIC!D:D)</f>
        <v>45709</v>
      </c>
      <c r="Q313" s="5">
        <f>_xlfn.XLOOKUP(A313,'[1]Days Listed'!A:A,'[1]Days Listed'!B:B)</f>
        <v>169</v>
      </c>
      <c r="R313" s="5">
        <f>_xlfn.XLOOKUP(A313,'[1]Days Listed'!A:A,'[1]Days Listed'!C:C)</f>
        <v>129</v>
      </c>
      <c r="S313" s="5">
        <f>_xlfn.XLOOKUP(A313,'[1]Days With Trades'!A:A,'[1]Days With Trades'!B:B)</f>
        <v>122</v>
      </c>
      <c r="T313" s="5">
        <f>_xlfn.XLOOKUP(A313,'[1]Days With Trades'!A:A,'[1]Days With Trades'!C:C)</f>
        <v>86</v>
      </c>
      <c r="U313" s="12">
        <f>_xlfn.XLOOKUP(A313,'[1]Value Traded'!A:A,'[1]Value Traded'!B:B)</f>
        <v>6785783.2800000003</v>
      </c>
      <c r="V313" s="12">
        <f>_xlfn.XLOOKUP(A313,'[1]Value Traded'!A:A,'[1]Value Traded'!C:C)</f>
        <v>3127066.01</v>
      </c>
      <c r="W313" s="12">
        <f>_xlfn.XLOOKUP(A313,'[1]Value Traded'!A:A,'[1]Value Traded'!E:E)</f>
        <v>12047498.1</v>
      </c>
      <c r="X313" s="12">
        <f>_xlfn.XLOOKUP(A313,'[1]Value Traded'!A:A,'[1]Value Traded'!F:F)</f>
        <v>5261714.82</v>
      </c>
      <c r="Y313" s="12">
        <f>_xlfn.XLOOKUP(A313,'[1]Value Traded'!A:A,'[1]Value Traded'!G:G)</f>
        <v>5586031.9000000004</v>
      </c>
      <c r="Z313" s="12">
        <f>_xlfn.XLOOKUP(A313,'[1]Value Traded'!A:A,'[1]Value Traded'!H:H)</f>
        <v>2458965.89</v>
      </c>
    </row>
    <row r="314" spans="1:26" x14ac:dyDescent="0.25">
      <c r="A314" s="8">
        <v>9334661</v>
      </c>
      <c r="B314" s="8" t="s">
        <v>1365</v>
      </c>
      <c r="C314" s="8" t="s">
        <v>1365</v>
      </c>
      <c r="D314" s="8" t="s">
        <v>1366</v>
      </c>
      <c r="E314" s="8" t="s">
        <v>1367</v>
      </c>
      <c r="F314" s="8" t="s">
        <v>32</v>
      </c>
      <c r="G314" s="8" t="s">
        <v>47</v>
      </c>
      <c r="H314" s="8" t="s">
        <v>48</v>
      </c>
      <c r="I314" s="8" t="s">
        <v>1368</v>
      </c>
      <c r="J314" s="8" t="s">
        <v>36</v>
      </c>
      <c r="K314" s="8" t="s">
        <v>37</v>
      </c>
      <c r="L314" s="8" t="s">
        <v>400</v>
      </c>
      <c r="M314" s="9">
        <v>169550049</v>
      </c>
      <c r="N314" s="10">
        <v>7673835217.7399998</v>
      </c>
      <c r="O314" s="11">
        <f>_xlfn.XLOOKUP(A314,[1]MIC!A:A,[1]MIC!C:C)</f>
        <v>45470</v>
      </c>
      <c r="P314" s="11">
        <f>_xlfn.XLOOKUP(A314,[1]MIC!A:A,[1]MIC!D:D)</f>
        <v>45608</v>
      </c>
      <c r="Q314" s="5">
        <f>_xlfn.XLOOKUP(A314,'[1]Days Listed'!A:A,'[1]Days Listed'!B:B)</f>
        <v>169</v>
      </c>
      <c r="R314" s="5">
        <f>_xlfn.XLOOKUP(A314,'[1]Days Listed'!A:A,'[1]Days Listed'!C:C)</f>
        <v>129</v>
      </c>
      <c r="S314" s="5">
        <f>_xlfn.XLOOKUP(A314,'[1]Days With Trades'!A:A,'[1]Days With Trades'!B:B)</f>
        <v>166</v>
      </c>
      <c r="T314" s="5">
        <f>_xlfn.XLOOKUP(A314,'[1]Days With Trades'!A:A,'[1]Days With Trades'!C:C)</f>
        <v>127</v>
      </c>
      <c r="U314" s="12">
        <f>_xlfn.XLOOKUP(A314,'[1]Value Traded'!A:A,'[1]Value Traded'!B:B)</f>
        <v>1787097708.98</v>
      </c>
      <c r="V314" s="12">
        <f>_xlfn.XLOOKUP(A314,'[1]Value Traded'!A:A,'[1]Value Traded'!C:C)</f>
        <v>1306011809.2</v>
      </c>
      <c r="W314" s="12">
        <f>_xlfn.XLOOKUP(A314,'[1]Value Traded'!A:A,'[1]Value Traded'!E:E)</f>
        <v>2543193083.02</v>
      </c>
      <c r="X314" s="12">
        <f>_xlfn.XLOOKUP(A314,'[1]Value Traded'!A:A,'[1]Value Traded'!F:F)</f>
        <v>756095374.03999996</v>
      </c>
      <c r="Y314" s="12">
        <f>_xlfn.XLOOKUP(A314,'[1]Value Traded'!A:A,'[1]Value Traded'!G:G)</f>
        <v>1691472581.54</v>
      </c>
      <c r="Z314" s="12">
        <f>_xlfn.XLOOKUP(A314,'[1]Value Traded'!A:A,'[1]Value Traded'!H:H)</f>
        <v>385460772.33999997</v>
      </c>
    </row>
    <row r="315" spans="1:26" x14ac:dyDescent="0.25">
      <c r="A315" s="13">
        <v>9343035</v>
      </c>
      <c r="B315" s="13" t="s">
        <v>1369</v>
      </c>
      <c r="C315" s="13" t="s">
        <v>1369</v>
      </c>
      <c r="D315" s="13" t="s">
        <v>1370</v>
      </c>
      <c r="E315" s="13" t="s">
        <v>1371</v>
      </c>
      <c r="F315" s="13" t="s">
        <v>32</v>
      </c>
      <c r="G315" s="13" t="s">
        <v>47</v>
      </c>
      <c r="H315" s="13" t="s">
        <v>48</v>
      </c>
      <c r="I315" s="13" t="s">
        <v>1372</v>
      </c>
      <c r="J315" s="13" t="s">
        <v>63</v>
      </c>
      <c r="K315" s="13" t="s">
        <v>37</v>
      </c>
      <c r="L315" s="13" t="s">
        <v>107</v>
      </c>
      <c r="M315" s="14">
        <v>2250000</v>
      </c>
      <c r="N315" s="15">
        <v>398250000</v>
      </c>
      <c r="O315" s="11">
        <f>_xlfn.XLOOKUP(A315,[1]MIC!A:A,[1]MIC!C:C)</f>
        <v>45477</v>
      </c>
      <c r="P315" s="11">
        <f>_xlfn.XLOOKUP(A315,[1]MIC!A:A,[1]MIC!D:D)</f>
        <v>45709</v>
      </c>
      <c r="Q315" s="5">
        <f>_xlfn.XLOOKUP(A315,'[1]Days Listed'!A:A,'[1]Days Listed'!B:B)</f>
        <v>164</v>
      </c>
      <c r="R315" s="5">
        <f>_xlfn.XLOOKUP(A315,'[1]Days Listed'!A:A,'[1]Days Listed'!C:C)</f>
        <v>129</v>
      </c>
      <c r="S315" s="5">
        <f>_xlfn.XLOOKUP(A315,'[1]Days With Trades'!A:A,'[1]Days With Trades'!B:B)</f>
        <v>121</v>
      </c>
      <c r="T315" s="5">
        <f>_xlfn.XLOOKUP(A315,'[1]Days With Trades'!A:A,'[1]Days With Trades'!C:C)</f>
        <v>91</v>
      </c>
      <c r="U315" s="12">
        <f>_xlfn.XLOOKUP(A315,'[1]Value Traded'!A:A,'[1]Value Traded'!B:B)</f>
        <v>5993866.46</v>
      </c>
      <c r="V315" s="12">
        <f>_xlfn.XLOOKUP(A315,'[1]Value Traded'!A:A,'[1]Value Traded'!C:C)</f>
        <v>4458306.92</v>
      </c>
      <c r="W315" s="12">
        <f>_xlfn.XLOOKUP(A315,'[1]Value Traded'!A:A,'[1]Value Traded'!E:E)</f>
        <v>12270238.779999999</v>
      </c>
      <c r="X315" s="12">
        <f>_xlfn.XLOOKUP(A315,'[1]Value Traded'!A:A,'[1]Value Traded'!F:F)</f>
        <v>6276372.3200000003</v>
      </c>
      <c r="Y315" s="12">
        <f>_xlfn.XLOOKUP(A315,'[1]Value Traded'!A:A,'[1]Value Traded'!G:G)</f>
        <v>5996417.5599999996</v>
      </c>
      <c r="Z315" s="12">
        <f>_xlfn.XLOOKUP(A315,'[1]Value Traded'!A:A,'[1]Value Traded'!H:H)</f>
        <v>1538110.64</v>
      </c>
    </row>
    <row r="316" spans="1:26" x14ac:dyDescent="0.25">
      <c r="A316" s="8">
        <v>9419292</v>
      </c>
      <c r="B316" s="8" t="s">
        <v>1373</v>
      </c>
      <c r="C316" s="8" t="s">
        <v>1373</v>
      </c>
      <c r="D316" s="8" t="s">
        <v>1374</v>
      </c>
      <c r="E316" s="8" t="s">
        <v>1375</v>
      </c>
      <c r="F316" s="8" t="s">
        <v>32</v>
      </c>
      <c r="G316" s="8" t="s">
        <v>33</v>
      </c>
      <c r="H316" s="8" t="s">
        <v>34</v>
      </c>
      <c r="I316" s="8" t="s">
        <v>1376</v>
      </c>
      <c r="J316" s="8" t="s">
        <v>36</v>
      </c>
      <c r="K316" s="8" t="s">
        <v>37</v>
      </c>
      <c r="L316" s="8" t="s">
        <v>1154</v>
      </c>
      <c r="M316" s="9">
        <v>7933377</v>
      </c>
      <c r="N316" s="10">
        <v>398255525.39999998</v>
      </c>
      <c r="O316" s="11">
        <f>_xlfn.XLOOKUP(A316,[1]MIC!A:A,[1]MIC!C:C)</f>
        <v>45545</v>
      </c>
      <c r="P316" s="11">
        <f>_xlfn.XLOOKUP(A316,[1]MIC!A:A,[1]MIC!D:D)</f>
        <v>45709</v>
      </c>
      <c r="Q316" s="5">
        <f>_xlfn.XLOOKUP(A316,'[1]Days Listed'!A:A,'[1]Days Listed'!B:B)</f>
        <v>116</v>
      </c>
      <c r="R316" s="5">
        <f>_xlfn.XLOOKUP(A316,'[1]Days Listed'!A:A,'[1]Days Listed'!C:C)</f>
        <v>116</v>
      </c>
      <c r="S316" s="5">
        <f>_xlfn.XLOOKUP(A316,'[1]Days With Trades'!A:A,'[1]Days With Trades'!B:B)</f>
        <v>112</v>
      </c>
      <c r="T316" s="5">
        <f>_xlfn.XLOOKUP(A316,'[1]Days With Trades'!A:A,'[1]Days With Trades'!C:C)</f>
        <v>112</v>
      </c>
      <c r="U316" s="12">
        <f>_xlfn.XLOOKUP(A316,'[1]Value Traded'!A:A,'[1]Value Traded'!B:B)</f>
        <v>14640717.67</v>
      </c>
      <c r="V316" s="12">
        <f>_xlfn.XLOOKUP(A316,'[1]Value Traded'!A:A,'[1]Value Traded'!C:C)</f>
        <v>19699193.940000001</v>
      </c>
      <c r="W316" s="12">
        <f>_xlfn.XLOOKUP(A316,'[1]Value Traded'!A:A,'[1]Value Traded'!E:E)</f>
        <v>26152640.239999998</v>
      </c>
      <c r="X316" s="12">
        <f>_xlfn.XLOOKUP(A316,'[1]Value Traded'!A:A,'[1]Value Traded'!F:F)</f>
        <v>11511922.57</v>
      </c>
      <c r="Y316" s="12">
        <f>_xlfn.XLOOKUP(A316,'[1]Value Traded'!A:A,'[1]Value Traded'!G:G)</f>
        <v>26152640.239999998</v>
      </c>
      <c r="Z316" s="12">
        <f>_xlfn.XLOOKUP(A316,'[1]Value Traded'!A:A,'[1]Value Traded'!H:H)</f>
        <v>6453446.2999999998</v>
      </c>
    </row>
    <row r="317" spans="1:26" x14ac:dyDescent="0.25">
      <c r="A317" s="13">
        <v>9460925</v>
      </c>
      <c r="B317" s="13" t="s">
        <v>1377</v>
      </c>
      <c r="C317" s="13" t="s">
        <v>1377</v>
      </c>
      <c r="D317" s="13" t="s">
        <v>1378</v>
      </c>
      <c r="E317" s="13" t="s">
        <v>1379</v>
      </c>
      <c r="F317" s="13" t="s">
        <v>32</v>
      </c>
      <c r="G317" s="13" t="s">
        <v>47</v>
      </c>
      <c r="H317" s="13" t="s">
        <v>1380</v>
      </c>
      <c r="I317" s="13" t="s">
        <v>1381</v>
      </c>
      <c r="J317" s="13" t="s">
        <v>1364</v>
      </c>
      <c r="K317" s="13" t="s">
        <v>37</v>
      </c>
      <c r="L317" s="13" t="s">
        <v>74</v>
      </c>
      <c r="M317" s="14">
        <v>37432499</v>
      </c>
      <c r="N317" s="15">
        <v>56148748.5</v>
      </c>
      <c r="O317" s="11">
        <f>_xlfn.XLOOKUP(A317,[1]MIC!A:A,[1]MIC!C:C)</f>
        <v>45583</v>
      </c>
      <c r="P317" s="11">
        <f>_xlfn.XLOOKUP(A317,[1]MIC!A:A,[1]MIC!D:D)</f>
        <v>45709</v>
      </c>
      <c r="Q317" s="5">
        <f>_xlfn.XLOOKUP(A317,'[1]Days Listed'!A:A,'[1]Days Listed'!B:B)</f>
        <v>88</v>
      </c>
      <c r="R317" s="5">
        <f>_xlfn.XLOOKUP(A317,'[1]Days Listed'!A:A,'[1]Days Listed'!C:C)</f>
        <v>88</v>
      </c>
      <c r="S317" s="5">
        <f>_xlfn.XLOOKUP(A317,'[1]Days With Trades'!A:A,'[1]Days With Trades'!B:B)</f>
        <v>77</v>
      </c>
      <c r="T317" s="5">
        <f>_xlfn.XLOOKUP(A317,'[1]Days With Trades'!A:A,'[1]Days With Trades'!C:C)</f>
        <v>77</v>
      </c>
      <c r="U317" s="12">
        <f>_xlfn.XLOOKUP(A317,'[1]Value Traded'!A:A,'[1]Value Traded'!B:B)</f>
        <v>1942937.03</v>
      </c>
      <c r="V317" s="12">
        <f>_xlfn.XLOOKUP(A317,'[1]Value Traded'!A:A,'[1]Value Traded'!C:C)</f>
        <v>3796325.61</v>
      </c>
      <c r="W317" s="12">
        <f>_xlfn.XLOOKUP(A317,'[1]Value Traded'!A:A,'[1]Value Traded'!E:E)</f>
        <v>7588933.8499999996</v>
      </c>
      <c r="X317" s="12">
        <f>_xlfn.XLOOKUP(A317,'[1]Value Traded'!A:A,'[1]Value Traded'!F:F)</f>
        <v>5645996.8200000003</v>
      </c>
      <c r="Y317" s="12">
        <f>_xlfn.XLOOKUP(A317,'[1]Value Traded'!A:A,'[1]Value Traded'!G:G)</f>
        <v>7588933.8499999996</v>
      </c>
      <c r="Z317" s="12">
        <f>_xlfn.XLOOKUP(A317,'[1]Value Traded'!A:A,'[1]Value Traded'!H:H)</f>
        <v>3792608.24</v>
      </c>
    </row>
    <row r="318" spans="1:26" x14ac:dyDescent="0.25">
      <c r="A318" s="8">
        <v>9460944</v>
      </c>
      <c r="B318" s="8" t="s">
        <v>1382</v>
      </c>
      <c r="C318" s="8" t="s">
        <v>1382</v>
      </c>
      <c r="D318" s="8" t="s">
        <v>1383</v>
      </c>
      <c r="E318" s="8" t="s">
        <v>1384</v>
      </c>
      <c r="F318" s="8" t="s">
        <v>32</v>
      </c>
      <c r="G318" s="8" t="s">
        <v>60</v>
      </c>
      <c r="H318" s="8" t="s">
        <v>61</v>
      </c>
      <c r="I318" s="8" t="s">
        <v>1385</v>
      </c>
      <c r="J318" s="8" t="s">
        <v>36</v>
      </c>
      <c r="K318" s="8" t="s">
        <v>37</v>
      </c>
      <c r="L318" s="8" t="s">
        <v>400</v>
      </c>
      <c r="M318" s="9">
        <v>13295262</v>
      </c>
      <c r="N318" s="10">
        <v>3802444932</v>
      </c>
      <c r="O318" s="11">
        <f>_xlfn.XLOOKUP(A318,[1]MIC!A:A,[1]MIC!C:C)</f>
        <v>45583</v>
      </c>
      <c r="P318" s="11">
        <f>_xlfn.XLOOKUP(A318,[1]MIC!A:A,[1]MIC!D:D)</f>
        <v>45709</v>
      </c>
      <c r="Q318" s="5">
        <f>_xlfn.XLOOKUP(A318,'[1]Days Listed'!A:A,'[1]Days Listed'!B:B)</f>
        <v>88</v>
      </c>
      <c r="R318" s="5">
        <f>_xlfn.XLOOKUP(A318,'[1]Days Listed'!A:A,'[1]Days Listed'!C:C)</f>
        <v>88</v>
      </c>
      <c r="S318" s="5">
        <f>_xlfn.XLOOKUP(A318,'[1]Days With Trades'!A:A,'[1]Days With Trades'!B:B)</f>
        <v>6</v>
      </c>
      <c r="T318" s="5">
        <f>_xlfn.XLOOKUP(A318,'[1]Days With Trades'!A:A,'[1]Days With Trades'!C:C)</f>
        <v>6</v>
      </c>
      <c r="U318" s="12">
        <f>_xlfn.XLOOKUP(A318,'[1]Value Traded'!A:A,'[1]Value Traded'!B:B)</f>
        <v>0</v>
      </c>
      <c r="V318" s="12">
        <f>_xlfn.XLOOKUP(A318,'[1]Value Traded'!A:A,'[1]Value Traded'!C:C)</f>
        <v>0</v>
      </c>
      <c r="W318" s="12">
        <f>_xlfn.XLOOKUP(A318,'[1]Value Traded'!A:A,'[1]Value Traded'!E:E)</f>
        <v>9881216.5</v>
      </c>
      <c r="X318" s="12">
        <f>_xlfn.XLOOKUP(A318,'[1]Value Traded'!A:A,'[1]Value Traded'!F:F)</f>
        <v>9881216.5</v>
      </c>
      <c r="Y318" s="12">
        <f>_xlfn.XLOOKUP(A318,'[1]Value Traded'!A:A,'[1]Value Traded'!G:G)</f>
        <v>9881216.5</v>
      </c>
      <c r="Z318" s="12">
        <f>_xlfn.XLOOKUP(A318,'[1]Value Traded'!A:A,'[1]Value Traded'!H:H)</f>
        <v>9881216.5</v>
      </c>
    </row>
    <row r="319" spans="1:26" x14ac:dyDescent="0.25">
      <c r="A319" s="13">
        <v>9503914</v>
      </c>
      <c r="B319" s="13" t="s">
        <v>1386</v>
      </c>
      <c r="C319" s="13" t="s">
        <v>1386</v>
      </c>
      <c r="D319" s="13" t="s">
        <v>1387</v>
      </c>
      <c r="E319" s="13" t="s">
        <v>1388</v>
      </c>
      <c r="F319" s="13" t="s">
        <v>32</v>
      </c>
      <c r="G319" s="13" t="s">
        <v>60</v>
      </c>
      <c r="H319" s="13" t="s">
        <v>61</v>
      </c>
      <c r="I319" s="13" t="s">
        <v>1389</v>
      </c>
      <c r="J319" s="13" t="s">
        <v>63</v>
      </c>
      <c r="K319" s="13" t="s">
        <v>37</v>
      </c>
      <c r="L319" s="13" t="s">
        <v>50</v>
      </c>
      <c r="M319" s="14">
        <v>15600000</v>
      </c>
      <c r="N319" s="15">
        <v>624000000</v>
      </c>
      <c r="O319" s="11">
        <f>_xlfn.XLOOKUP(A319,[1]MIC!A:A,[1]MIC!C:C)</f>
        <v>45623</v>
      </c>
      <c r="P319" s="11">
        <f>_xlfn.XLOOKUP(A319,[1]MIC!A:A,[1]MIC!D:D)</f>
        <v>45709</v>
      </c>
      <c r="Q319" s="5">
        <f>_xlfn.XLOOKUP(A319,'[1]Days Listed'!A:A,'[1]Days Listed'!B:B)</f>
        <v>60</v>
      </c>
      <c r="R319" s="5">
        <f>_xlfn.XLOOKUP(A319,'[1]Days Listed'!A:A,'[1]Days Listed'!C:C)</f>
        <v>60</v>
      </c>
      <c r="S319" s="5">
        <f>_xlfn.XLOOKUP(A319,'[1]Days With Trades'!A:A,'[1]Days With Trades'!B:B)</f>
        <v>25</v>
      </c>
      <c r="T319" s="5">
        <f>_xlfn.XLOOKUP(A319,'[1]Days With Trades'!A:A,'[1]Days With Trades'!C:C)</f>
        <v>25</v>
      </c>
      <c r="U319" s="12">
        <f>_xlfn.XLOOKUP(A319,'[1]Value Traded'!A:A,'[1]Value Traded'!B:B)</f>
        <v>28903.200000000001</v>
      </c>
      <c r="V319" s="12">
        <f>_xlfn.XLOOKUP(A319,'[1]Value Traded'!A:A,'[1]Value Traded'!C:C)</f>
        <v>72721.8</v>
      </c>
      <c r="W319" s="12">
        <f>_xlfn.XLOOKUP(A319,'[1]Value Traded'!A:A,'[1]Value Traded'!E:E)</f>
        <v>497824.76</v>
      </c>
      <c r="X319" s="12">
        <f>_xlfn.XLOOKUP(A319,'[1]Value Traded'!A:A,'[1]Value Traded'!F:F)</f>
        <v>468921.56</v>
      </c>
      <c r="Y319" s="12">
        <f>_xlfn.XLOOKUP(A319,'[1]Value Traded'!A:A,'[1]Value Traded'!G:G)</f>
        <v>497824.76</v>
      </c>
      <c r="Z319" s="12">
        <f>_xlfn.XLOOKUP(A319,'[1]Value Traded'!A:A,'[1]Value Traded'!H:H)</f>
        <v>425102.96</v>
      </c>
    </row>
    <row r="320" spans="1:26" x14ac:dyDescent="0.25">
      <c r="A320" s="8">
        <v>9518926</v>
      </c>
      <c r="B320" s="8" t="s">
        <v>1390</v>
      </c>
      <c r="C320" s="8" t="s">
        <v>1390</v>
      </c>
      <c r="D320" s="8" t="s">
        <v>1391</v>
      </c>
      <c r="E320" s="8" t="s">
        <v>1392</v>
      </c>
      <c r="F320" s="8" t="s">
        <v>32</v>
      </c>
      <c r="G320" s="8" t="s">
        <v>60</v>
      </c>
      <c r="H320" s="8" t="s">
        <v>61</v>
      </c>
      <c r="I320" s="8" t="s">
        <v>1393</v>
      </c>
      <c r="J320" s="8" t="s">
        <v>36</v>
      </c>
      <c r="K320" s="8" t="s">
        <v>37</v>
      </c>
      <c r="L320" s="8" t="s">
        <v>116</v>
      </c>
      <c r="M320" s="9">
        <v>97743343</v>
      </c>
      <c r="N320" s="10">
        <v>203306153.44</v>
      </c>
      <c r="O320" s="11">
        <f>_xlfn.XLOOKUP(A320,[1]MIC!A:A,[1]MIC!C:C)</f>
        <v>45638</v>
      </c>
      <c r="P320" s="11">
        <f>_xlfn.XLOOKUP(A320,[1]MIC!A:A,[1]MIC!D:D)</f>
        <v>45709</v>
      </c>
      <c r="Q320" s="5">
        <f>_xlfn.XLOOKUP(A320,'[1]Days Listed'!A:A,'[1]Days Listed'!B:B)</f>
        <v>49</v>
      </c>
      <c r="R320" s="5">
        <f>_xlfn.XLOOKUP(A320,'[1]Days Listed'!A:A,'[1]Days Listed'!C:C)</f>
        <v>49</v>
      </c>
      <c r="S320" s="5">
        <f>_xlfn.XLOOKUP(A320,'[1]Days With Trades'!A:A,'[1]Days With Trades'!B:B)</f>
        <v>44</v>
      </c>
      <c r="T320" s="5">
        <f>_xlfn.XLOOKUP(A320,'[1]Days With Trades'!A:A,'[1]Days With Trades'!C:C)</f>
        <v>44</v>
      </c>
      <c r="U320" s="12">
        <f>_xlfn.XLOOKUP(A320,'[1]Value Traded'!A:A,'[1]Value Traded'!B:B)</f>
        <v>4994720.71</v>
      </c>
      <c r="V320" s="12">
        <f>_xlfn.XLOOKUP(A320,'[1]Value Traded'!A:A,'[1]Value Traded'!C:C)</f>
        <v>7639988.0300000003</v>
      </c>
      <c r="W320" s="12">
        <f>_xlfn.XLOOKUP(A320,'[1]Value Traded'!A:A,'[1]Value Traded'!E:E)</f>
        <v>15675467.550000001</v>
      </c>
      <c r="X320" s="12">
        <f>_xlfn.XLOOKUP(A320,'[1]Value Traded'!A:A,'[1]Value Traded'!F:F)</f>
        <v>10680746.84</v>
      </c>
      <c r="Y320" s="12">
        <f>_xlfn.XLOOKUP(A320,'[1]Value Traded'!A:A,'[1]Value Traded'!G:G)</f>
        <v>15675467.550000001</v>
      </c>
      <c r="Z320" s="12">
        <f>_xlfn.XLOOKUP(A320,'[1]Value Traded'!A:A,'[1]Value Traded'!H:H)</f>
        <v>8035479.5199999996</v>
      </c>
    </row>
    <row r="321" spans="1:26" x14ac:dyDescent="0.25">
      <c r="A321" s="13">
        <v>9518990</v>
      </c>
      <c r="B321" s="13" t="s">
        <v>1394</v>
      </c>
      <c r="C321" s="13" t="s">
        <v>1394</v>
      </c>
      <c r="D321" s="13" t="s">
        <v>1395</v>
      </c>
      <c r="E321" s="13" t="s">
        <v>1396</v>
      </c>
      <c r="F321" s="13" t="s">
        <v>32</v>
      </c>
      <c r="G321" s="13" t="s">
        <v>47</v>
      </c>
      <c r="H321" s="13" t="s">
        <v>1380</v>
      </c>
      <c r="I321" s="13" t="s">
        <v>1397</v>
      </c>
      <c r="J321" s="13" t="s">
        <v>1364</v>
      </c>
      <c r="K321" s="13" t="s">
        <v>37</v>
      </c>
      <c r="L321" s="13" t="s">
        <v>562</v>
      </c>
      <c r="M321" s="14">
        <v>246413521</v>
      </c>
      <c r="N321" s="15">
        <v>3942616.34</v>
      </c>
      <c r="O321" s="11">
        <f>_xlfn.XLOOKUP(A321,[1]MIC!A:A,[1]MIC!C:C)</f>
        <v>45638</v>
      </c>
      <c r="P321" s="11">
        <f>_xlfn.XLOOKUP(A321,[1]MIC!A:A,[1]MIC!D:D)</f>
        <v>45709</v>
      </c>
      <c r="Q321" s="5">
        <f>_xlfn.XLOOKUP(A321,'[1]Days Listed'!A:A,'[1]Days Listed'!B:B)</f>
        <v>49</v>
      </c>
      <c r="R321" s="5">
        <f>_xlfn.XLOOKUP(A321,'[1]Days Listed'!A:A,'[1]Days Listed'!C:C)</f>
        <v>49</v>
      </c>
      <c r="S321" s="5">
        <f>_xlfn.XLOOKUP(A321,'[1]Days With Trades'!A:A,'[1]Days With Trades'!B:B)</f>
        <v>24</v>
      </c>
      <c r="T321" s="5">
        <f>_xlfn.XLOOKUP(A321,'[1]Days With Trades'!A:A,'[1]Days With Trades'!C:C)</f>
        <v>24</v>
      </c>
      <c r="U321" s="12">
        <f>_xlfn.XLOOKUP(A321,'[1]Value Traded'!A:A,'[1]Value Traded'!B:B)</f>
        <v>3484.68</v>
      </c>
      <c r="V321" s="12">
        <f>_xlfn.XLOOKUP(A321,'[1]Value Traded'!A:A,'[1]Value Traded'!C:C)</f>
        <v>26539.88</v>
      </c>
      <c r="W321" s="12">
        <f>_xlfn.XLOOKUP(A321,'[1]Value Traded'!A:A,'[1]Value Traded'!E:E)</f>
        <v>104219.56</v>
      </c>
      <c r="X321" s="12">
        <f>_xlfn.XLOOKUP(A321,'[1]Value Traded'!A:A,'[1]Value Traded'!F:F)</f>
        <v>100734.88</v>
      </c>
      <c r="Y321" s="12">
        <f>_xlfn.XLOOKUP(A321,'[1]Value Traded'!A:A,'[1]Value Traded'!G:G)</f>
        <v>104219.56</v>
      </c>
      <c r="Z321" s="12">
        <f>_xlfn.XLOOKUP(A321,'[1]Value Traded'!A:A,'[1]Value Traded'!H:H)</f>
        <v>77679.679999999993</v>
      </c>
    </row>
    <row r="322" spans="1:26" x14ac:dyDescent="0.25">
      <c r="A322" s="8">
        <v>9518991</v>
      </c>
      <c r="B322" s="8" t="s">
        <v>1398</v>
      </c>
      <c r="C322" s="8" t="s">
        <v>1398</v>
      </c>
      <c r="D322" s="8" t="s">
        <v>1399</v>
      </c>
      <c r="E322" s="8" t="s">
        <v>1400</v>
      </c>
      <c r="F322" s="8" t="s">
        <v>32</v>
      </c>
      <c r="G322" s="8" t="s">
        <v>47</v>
      </c>
      <c r="H322" s="8" t="s">
        <v>1380</v>
      </c>
      <c r="I322" s="8" t="s">
        <v>1397</v>
      </c>
      <c r="J322" s="8" t="s">
        <v>1364</v>
      </c>
      <c r="K322" s="8" t="s">
        <v>37</v>
      </c>
      <c r="L322" s="8" t="s">
        <v>562</v>
      </c>
      <c r="M322" s="9">
        <v>246413521</v>
      </c>
      <c r="N322" s="10">
        <v>1232067.6100000001</v>
      </c>
      <c r="O322" s="11">
        <f>_xlfn.XLOOKUP(A322,[1]MIC!A:A,[1]MIC!C:C)</f>
        <v>45638</v>
      </c>
      <c r="P322" s="11">
        <f>_xlfn.XLOOKUP(A322,[1]MIC!A:A,[1]MIC!D:D)</f>
        <v>45709</v>
      </c>
      <c r="Q322" s="5">
        <f>_xlfn.XLOOKUP(A322,'[1]Days Listed'!A:A,'[1]Days Listed'!B:B)</f>
        <v>49</v>
      </c>
      <c r="R322" s="5">
        <f>_xlfn.XLOOKUP(A322,'[1]Days Listed'!A:A,'[1]Days Listed'!C:C)</f>
        <v>49</v>
      </c>
      <c r="S322" s="5">
        <f>_xlfn.XLOOKUP(A322,'[1]Days With Trades'!A:A,'[1]Days With Trades'!B:B)</f>
        <v>16</v>
      </c>
      <c r="T322" s="5">
        <f>_xlfn.XLOOKUP(A322,'[1]Days With Trades'!A:A,'[1]Days With Trades'!C:C)</f>
        <v>16</v>
      </c>
      <c r="U322" s="12">
        <f>_xlfn.XLOOKUP(A322,'[1]Value Traded'!A:A,'[1]Value Traded'!B:B)</f>
        <v>309.41000000000003</v>
      </c>
      <c r="V322" s="12">
        <f>_xlfn.XLOOKUP(A322,'[1]Value Traded'!A:A,'[1]Value Traded'!C:C)</f>
        <v>23399.57</v>
      </c>
      <c r="W322" s="12">
        <f>_xlfn.XLOOKUP(A322,'[1]Value Traded'!A:A,'[1]Value Traded'!E:E)</f>
        <v>134062.34</v>
      </c>
      <c r="X322" s="12">
        <f>_xlfn.XLOOKUP(A322,'[1]Value Traded'!A:A,'[1]Value Traded'!F:F)</f>
        <v>133752.93</v>
      </c>
      <c r="Y322" s="12">
        <f>_xlfn.XLOOKUP(A322,'[1]Value Traded'!A:A,'[1]Value Traded'!G:G)</f>
        <v>134062.34</v>
      </c>
      <c r="Z322" s="12">
        <f>_xlfn.XLOOKUP(A322,'[1]Value Traded'!A:A,'[1]Value Traded'!H:H)</f>
        <v>110662.77</v>
      </c>
    </row>
    <row r="323" spans="1:26" x14ac:dyDescent="0.25">
      <c r="A323" s="13">
        <v>9522879</v>
      </c>
      <c r="B323" s="13" t="s">
        <v>1401</v>
      </c>
      <c r="C323" s="13" t="s">
        <v>1401</v>
      </c>
      <c r="D323" s="13" t="s">
        <v>1402</v>
      </c>
      <c r="E323" s="13" t="s">
        <v>1403</v>
      </c>
      <c r="F323" s="13" t="s">
        <v>32</v>
      </c>
      <c r="G323" s="13" t="s">
        <v>47</v>
      </c>
      <c r="H323" s="13" t="s">
        <v>48</v>
      </c>
      <c r="I323" s="13" t="s">
        <v>1404</v>
      </c>
      <c r="J323" s="13" t="s">
        <v>63</v>
      </c>
      <c r="K323" s="13" t="s">
        <v>37</v>
      </c>
      <c r="L323" s="13" t="s">
        <v>107</v>
      </c>
      <c r="M323" s="14">
        <v>4781705</v>
      </c>
      <c r="N323" s="15">
        <v>552286927.5</v>
      </c>
      <c r="O323" s="11">
        <f>_xlfn.XLOOKUP(A323,[1]MIC!A:A,[1]MIC!C:C)</f>
        <v>45643</v>
      </c>
      <c r="P323" s="11">
        <f>_xlfn.XLOOKUP(A323,[1]MIC!A:A,[1]MIC!D:D)</f>
        <v>45709</v>
      </c>
      <c r="Q323" s="5">
        <f>_xlfn.XLOOKUP(A323,'[1]Days Listed'!A:A,'[1]Days Listed'!B:B)</f>
        <v>46</v>
      </c>
      <c r="R323" s="5">
        <f>_xlfn.XLOOKUP(A323,'[1]Days Listed'!A:A,'[1]Days Listed'!C:C)</f>
        <v>46</v>
      </c>
      <c r="S323" s="5">
        <f>_xlfn.XLOOKUP(A323,'[1]Days With Trades'!A:A,'[1]Days With Trades'!B:B)</f>
        <v>39</v>
      </c>
      <c r="T323" s="5">
        <f>_xlfn.XLOOKUP(A323,'[1]Days With Trades'!A:A,'[1]Days With Trades'!C:C)</f>
        <v>39</v>
      </c>
      <c r="U323" s="12">
        <f>_xlfn.XLOOKUP(A323,'[1]Value Traded'!A:A,'[1]Value Traded'!B:B)</f>
        <v>1365731.18</v>
      </c>
      <c r="V323" s="12">
        <f>_xlfn.XLOOKUP(A323,'[1]Value Traded'!A:A,'[1]Value Traded'!C:C)</f>
        <v>3470206.08</v>
      </c>
      <c r="W323" s="12">
        <f>_xlfn.XLOOKUP(A323,'[1]Value Traded'!A:A,'[1]Value Traded'!E:E)</f>
        <v>8937300.1400000006</v>
      </c>
      <c r="X323" s="12">
        <f>_xlfn.XLOOKUP(A323,'[1]Value Traded'!A:A,'[1]Value Traded'!F:F)</f>
        <v>7571568.96</v>
      </c>
      <c r="Y323" s="12">
        <f>_xlfn.XLOOKUP(A323,'[1]Value Traded'!A:A,'[1]Value Traded'!G:G)</f>
        <v>8937300.1400000006</v>
      </c>
      <c r="Z323" s="12">
        <f>_xlfn.XLOOKUP(A323,'[1]Value Traded'!A:A,'[1]Value Traded'!H:H)</f>
        <v>5467094.0599999996</v>
      </c>
    </row>
    <row r="324" spans="1:26" x14ac:dyDescent="0.25">
      <c r="A324" s="8">
        <v>9524495</v>
      </c>
      <c r="B324" s="8" t="s">
        <v>1405</v>
      </c>
      <c r="C324" s="8" t="s">
        <v>1405</v>
      </c>
      <c r="D324" s="8" t="s">
        <v>1406</v>
      </c>
      <c r="E324" s="8" t="s">
        <v>1407</v>
      </c>
      <c r="F324" s="8" t="s">
        <v>32</v>
      </c>
      <c r="G324" s="8" t="s">
        <v>60</v>
      </c>
      <c r="H324" s="8" t="s">
        <v>61</v>
      </c>
      <c r="I324" s="8" t="s">
        <v>1408</v>
      </c>
      <c r="J324" s="8" t="s">
        <v>36</v>
      </c>
      <c r="K324" s="8" t="s">
        <v>37</v>
      </c>
      <c r="L324" s="8" t="s">
        <v>38</v>
      </c>
      <c r="M324" s="9">
        <v>179555119</v>
      </c>
      <c r="N324" s="10">
        <v>2833379777.8200002</v>
      </c>
      <c r="O324" s="11">
        <f>_xlfn.XLOOKUP(A324,[1]MIC!A:A,[1]MIC!C:C)</f>
        <v>45644</v>
      </c>
      <c r="P324" s="11">
        <f>_xlfn.XLOOKUP(A324,[1]MIC!A:A,[1]MIC!D:D)</f>
        <v>45709</v>
      </c>
      <c r="Q324" s="5">
        <f>_xlfn.XLOOKUP(A324,'[1]Days Listed'!A:A,'[1]Days Listed'!B:B)</f>
        <v>45</v>
      </c>
      <c r="R324" s="5">
        <f>_xlfn.XLOOKUP(A324,'[1]Days Listed'!A:A,'[1]Days Listed'!C:C)</f>
        <v>45</v>
      </c>
      <c r="S324" s="5">
        <f>_xlfn.XLOOKUP(A324,'[1]Days With Trades'!A:A,'[1]Days With Trades'!B:B)</f>
        <v>42</v>
      </c>
      <c r="T324" s="5">
        <f>_xlfn.XLOOKUP(A324,'[1]Days With Trades'!A:A,'[1]Days With Trades'!C:C)</f>
        <v>42</v>
      </c>
      <c r="U324" s="12">
        <f>_xlfn.XLOOKUP(A324,'[1]Value Traded'!A:A,'[1]Value Traded'!B:B)</f>
        <v>32889395.41</v>
      </c>
      <c r="V324" s="12">
        <f>_xlfn.XLOOKUP(A324,'[1]Value Traded'!A:A,'[1]Value Traded'!C:C)</f>
        <v>49529789.130000003</v>
      </c>
      <c r="W324" s="12">
        <f>_xlfn.XLOOKUP(A324,'[1]Value Traded'!A:A,'[1]Value Traded'!E:E)</f>
        <v>127476038.2</v>
      </c>
      <c r="X324" s="12">
        <f>_xlfn.XLOOKUP(A324,'[1]Value Traded'!A:A,'[1]Value Traded'!F:F)</f>
        <v>94586642.790000007</v>
      </c>
      <c r="Y324" s="12">
        <f>_xlfn.XLOOKUP(A324,'[1]Value Traded'!A:A,'[1]Value Traded'!G:G)</f>
        <v>127476038.2</v>
      </c>
      <c r="Z324" s="12">
        <f>_xlfn.XLOOKUP(A324,'[1]Value Traded'!A:A,'[1]Value Traded'!H:H)</f>
        <v>77946249.069999993</v>
      </c>
    </row>
    <row r="325" spans="1:26" x14ac:dyDescent="0.25">
      <c r="A325" s="13">
        <v>9557492</v>
      </c>
      <c r="B325" s="13" t="s">
        <v>1409</v>
      </c>
      <c r="C325" s="13" t="s">
        <v>1409</v>
      </c>
      <c r="D325" s="13" t="s">
        <v>1410</v>
      </c>
      <c r="E325" s="13" t="s">
        <v>1411</v>
      </c>
      <c r="F325" s="13" t="s">
        <v>32</v>
      </c>
      <c r="G325" s="13" t="s">
        <v>60</v>
      </c>
      <c r="H325" s="13" t="s">
        <v>1362</v>
      </c>
      <c r="I325" s="13" t="s">
        <v>1412</v>
      </c>
      <c r="J325" s="13" t="s">
        <v>1364</v>
      </c>
      <c r="K325" s="13" t="s">
        <v>37</v>
      </c>
      <c r="L325" s="13" t="s">
        <v>130</v>
      </c>
      <c r="M325" s="14">
        <v>397213376</v>
      </c>
      <c r="N325" s="15">
        <v>3892691.08</v>
      </c>
      <c r="O325" s="11">
        <f>_xlfn.XLOOKUP(A325,[1]MIC!A:A,[1]MIC!C:C)</f>
        <v>45677</v>
      </c>
      <c r="P325" s="11">
        <f>_xlfn.XLOOKUP(A325,[1]MIC!A:A,[1]MIC!D:D)</f>
        <v>45709</v>
      </c>
      <c r="Q325" s="5">
        <f>_xlfn.XLOOKUP(A325,'[1]Days Listed'!A:A,'[1]Days Listed'!B:B)</f>
        <v>25</v>
      </c>
      <c r="R325" s="5">
        <f>_xlfn.XLOOKUP(A325,'[1]Days Listed'!A:A,'[1]Days Listed'!C:C)</f>
        <v>25</v>
      </c>
      <c r="S325" s="5">
        <f>_xlfn.XLOOKUP(A325,'[1]Days With Trades'!A:A,'[1]Days With Trades'!B:B)</f>
        <v>10</v>
      </c>
      <c r="T325" s="5">
        <f>_xlfn.XLOOKUP(A325,'[1]Days With Trades'!A:A,'[1]Days With Trades'!C:C)</f>
        <v>10</v>
      </c>
      <c r="U325" s="12">
        <f>_xlfn.XLOOKUP(A325,'[1]Value Traded'!A:A,'[1]Value Traded'!B:B)</f>
        <v>0</v>
      </c>
      <c r="V325" s="12">
        <f>_xlfn.XLOOKUP(A325,'[1]Value Traded'!A:A,'[1]Value Traded'!C:C)</f>
        <v>13261.91</v>
      </c>
      <c r="W325" s="12">
        <f>_xlfn.XLOOKUP(A325,'[1]Value Traded'!A:A,'[1]Value Traded'!E:E)</f>
        <v>253159.66</v>
      </c>
      <c r="X325" s="12">
        <f>_xlfn.XLOOKUP(A325,'[1]Value Traded'!A:A,'[1]Value Traded'!F:F)</f>
        <v>253159.66</v>
      </c>
      <c r="Y325" s="12">
        <f>_xlfn.XLOOKUP(A325,'[1]Value Traded'!A:A,'[1]Value Traded'!G:G)</f>
        <v>253159.66</v>
      </c>
      <c r="Z325" s="12">
        <f>_xlfn.XLOOKUP(A325,'[1]Value Traded'!A:A,'[1]Value Traded'!H:H)</f>
        <v>239897.75</v>
      </c>
    </row>
    <row r="326" spans="1:26" ht="0" hidden="1" customHeight="1" x14ac:dyDescent="0.25"/>
  </sheetData>
  <mergeCells count="2">
    <mergeCell ref="A1:B1"/>
    <mergeCell ref="A2:B2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Wan</dc:creator>
  <cp:lastModifiedBy>Ken Wan</cp:lastModifiedBy>
  <dcterms:created xsi:type="dcterms:W3CDTF">2025-02-25T09:51:13Z</dcterms:created>
  <dcterms:modified xsi:type="dcterms:W3CDTF">2025-02-25T09:52:07Z</dcterms:modified>
</cp:coreProperties>
</file>