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3/Review 202503/Dataiku/"/>
    </mc:Choice>
  </mc:AlternateContent>
  <xr:revisionPtr revIDLastSave="8" documentId="11_9BAE32D360ECD59896F7037523E95AD14FEC385E" xr6:coauthVersionLast="47" xr6:coauthVersionMax="47" xr10:uidLastSave="{C7BCA8CE-9E58-4A5C-9021-82CD7FF49AD1}"/>
  <bookViews>
    <workbookView xWindow="-29115" yWindow="-16005" windowWidth="29040" windowHeight="1584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1" l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<sst xmlns="http://schemas.openxmlformats.org/spreadsheetml/2006/main" count="378" uniqueCount="142">
  <si>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</si>
  <si>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</si>
  <si>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</si>
  <si>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</si>
  <si>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</si>
  <si>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</si>
  <si>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</si>
  <si>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</si>
  <si>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</si>
  <si>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</si>
  <si>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</si>
  <si>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</si>
  <si>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</si>
  <si>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</si>
  <si>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</si>
  <si>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</si>
  <si>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CISCO SYSTEMS INC</t>
  </si>
  <si>
    <t>CITIGROUP INC</t>
  </si>
  <si>
    <t>CORNING INC</t>
  </si>
  <si>
    <t>DANONE</t>
  </si>
  <si>
    <t>DSM FIRMENICH AG</t>
  </si>
  <si>
    <t>EURONEXT</t>
  </si>
  <si>
    <t>GENERAL MILLS INC.</t>
  </si>
  <si>
    <t>GSK PLC</t>
  </si>
  <si>
    <t>HERMES INTL</t>
  </si>
  <si>
    <t>KERING</t>
  </si>
  <si>
    <t>KINGFISHER</t>
  </si>
  <si>
    <t>KKR &amp; CO. INC.</t>
  </si>
  <si>
    <t>LEGRAND</t>
  </si>
  <si>
    <t>L'OREAL</t>
  </si>
  <si>
    <t>LVMH</t>
  </si>
  <si>
    <t>MONDELEZ INT CLASS A</t>
  </si>
  <si>
    <t>NEXANS</t>
  </si>
  <si>
    <t>NOKIA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</si>
  <si>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</si>
  <si>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</si>
  <si>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</si>
  <si>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</si>
  <si>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</si>
  <si>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</si>
  <si>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</si>
  <si>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</si>
  <si>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</si>
  <si>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SYSCO CORPORATION</t>
  </si>
  <si>
    <t>THERMO FISHER SCIENT</t>
  </si>
  <si>
    <t>TOYOTA INDUSTRIE</t>
  </si>
  <si>
    <t>TOYOTA MOTOR CORP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</si>
  <si>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</si>
  <si>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</si>
  <si>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</si>
  <si>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</si>
  <si>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</si>
  <si>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</si>
  <si>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</si>
  <si>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</si>
  <si>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</si>
  <si>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US17275R1023</t>
  </si>
  <si>
    <t>US1729674242</t>
  </si>
  <si>
    <t>US2193501051</t>
  </si>
  <si>
    <t>FR0000120644</t>
  </si>
  <si>
    <t>CH1216478797</t>
  </si>
  <si>
    <t>NL0006294274</t>
  </si>
  <si>
    <t>US3703341046</t>
  </si>
  <si>
    <t>GB00BN7SWP63</t>
  </si>
  <si>
    <t>FR0000052292</t>
  </si>
  <si>
    <t>FR0000121485</t>
  </si>
  <si>
    <t>GB0033195214</t>
  </si>
  <si>
    <t>US48251W1045</t>
  </si>
  <si>
    <t>FR0010307819</t>
  </si>
  <si>
    <t>FR0000120321</t>
  </si>
  <si>
    <t>FR0000121014</t>
  </si>
  <si>
    <t>US6092071058</t>
  </si>
  <si>
    <t>FR0000044448</t>
  </si>
  <si>
    <t>FI0009000681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</si>
  <si>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</si>
  <si>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</si>
  <si>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</si>
  <si>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</si>
  <si>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</si>
  <si>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</si>
  <si>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</si>
  <si>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</si>
  <si>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</si>
  <si>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US8718291078</t>
  </si>
  <si>
    <t>US8835561023</t>
  </si>
  <si>
    <t>JP3634600005</t>
  </si>
  <si>
    <t>JP3633400001</t>
  </si>
  <si>
    <t>FR0000125486</t>
  </si>
  <si>
    <t>XLON</t>
  </si>
  <si>
    <t>XNYS</t>
  </si>
  <si>
    <t>XPAR</t>
  </si>
  <si>
    <t>XTSE</t>
  </si>
  <si>
    <t>XNGS</t>
  </si>
  <si>
    <t>XAMS</t>
  </si>
  <si>
    <t>XHEL</t>
  </si>
  <si>
    <t>XETR</t>
  </si>
  <si>
    <t>XTKS</t>
  </si>
  <si>
    <t>24-Mar-25</t>
  </si>
  <si>
    <t>GBX</t>
  </si>
  <si>
    <t>USD</t>
  </si>
  <si>
    <t>EUR</t>
  </si>
  <si>
    <t>CAD</t>
  </si>
  <si>
    <t>JPY</t>
  </si>
  <si>
    <t>ADMIRAL GROUP PLC</t>
  </si>
  <si>
    <t>AMADEUS IT GROUP</t>
  </si>
  <si>
    <t>ASTRAZENECA</t>
  </si>
  <si>
    <t>BECTON DICKINSON</t>
  </si>
  <si>
    <t>BIOGEN INC</t>
  </si>
  <si>
    <t>BLACKSTONE INC</t>
  </si>
  <si>
    <t>BNP PARIBAS ACT.A</t>
  </si>
  <si>
    <t>BOUYGUES</t>
  </si>
  <si>
    <t>CREDIT AGRICOLE</t>
  </si>
  <si>
    <t>EIFFAGE</t>
  </si>
  <si>
    <t>EQUINIX INC</t>
  </si>
  <si>
    <t>MERCK KGA</t>
  </si>
  <si>
    <t>PUBLICIS GROUPE SA</t>
  </si>
  <si>
    <t>STMICROELECTRONICS</t>
  </si>
  <si>
    <t>GB00B02J6398</t>
  </si>
  <si>
    <t>ES0109067019</t>
  </si>
  <si>
    <t>GB0009895292</t>
  </si>
  <si>
    <t>US0758871091</t>
  </si>
  <si>
    <t>US09062X1037</t>
  </si>
  <si>
    <t>US09260D1072</t>
  </si>
  <si>
    <t>FR0000131104</t>
  </si>
  <si>
    <t>FR0000120503</t>
  </si>
  <si>
    <t>FR0000045072</t>
  </si>
  <si>
    <t>FR0000130452</t>
  </si>
  <si>
    <t>US29444U7000</t>
  </si>
  <si>
    <t>DE0006599905</t>
  </si>
  <si>
    <t>FR0000130577</t>
  </si>
  <si>
    <t>NL0000226223</t>
  </si>
  <si>
    <t>XMAD</t>
  </si>
  <si>
    <t>AIR LIQUIDE</t>
  </si>
  <si>
    <t>FR0000120073</t>
  </si>
  <si>
    <t>MITSUBISHI HEAVY</t>
  </si>
  <si>
    <t>JP3900000005</t>
  </si>
  <si>
    <t>PARKER-HANNIFIN CORP</t>
  </si>
  <si>
    <t>US7010941042</t>
  </si>
  <si>
    <t>STRYKER CORPORATION</t>
  </si>
  <si>
    <t>US8636671013</t>
  </si>
  <si>
    <t>TOYOTA TSUSHO</t>
  </si>
  <si>
    <t>JP3635000007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</si>
</sst>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J6" sqref="J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0.59898293876722997</v>
      </c>
      <c r="G2" t="s">
        <v>97</v>
      </c>
      <c r="H2" t="s">
        <v>98</v>
      </c>
      <c r="I2" t="b">
        <f>ISNUMBER(MATCH(B2,$K$2:$K$41,0))</f>
        <v>1</v>
      </c>
      <c r="J2" t="s">
        <v>8</v>
      </c>
      <c r="K2" t="s">
        <v>48</v>
      </c>
      <c r="L2" t="b">
        <f>ISNUMBER(MATCH(K2,$B$2:$B$41,0))</f>
        <v>1</v>
      </c>
    </row>
    <row r="3" spans="1:12" x14ac:dyDescent="0.25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0.59898293876722997</v>
      </c>
      <c r="G3" t="s">
        <v>97</v>
      </c>
      <c r="H3" t="s">
        <v>99</v>
      </c>
      <c r="I3" t="b">
        <f t="shared" ref="I3:I41" si="0">ISNUMBER(MATCH(B3,$K$2:$K$41,0))</f>
        <v>1</v>
      </c>
      <c r="J3" t="s">
        <v>9</v>
      </c>
      <c r="K3" t="s">
        <v>49</v>
      </c>
      <c r="L3" t="b">
        <f t="shared" ref="L3:L41" si="1">ISNUMBER(MATCH(K3,$B$2:$B$41,0))</f>
        <v>1</v>
      </c>
    </row>
    <row r="4" spans="1:12" x14ac:dyDescent="0.25">
      <c r="A4" t="s">
        <v>10</v>
      </c>
      <c r="B4" t="s">
        <v>50</v>
      </c>
      <c r="C4" t="s">
        <v>90</v>
      </c>
      <c r="D4">
        <v>243667720</v>
      </c>
      <c r="E4">
        <v>0.85000000000000009</v>
      </c>
      <c r="F4">
        <v>1</v>
      </c>
      <c r="G4" t="s">
        <v>97</v>
      </c>
      <c r="H4" t="s">
        <v>100</v>
      </c>
      <c r="I4" t="b">
        <f t="shared" si="0"/>
        <v>1</v>
      </c>
      <c r="J4" t="s">
        <v>10</v>
      </c>
      <c r="K4" t="s">
        <v>50</v>
      </c>
      <c r="L4" t="b">
        <f t="shared" si="1"/>
        <v>1</v>
      </c>
    </row>
    <row r="5" spans="1:12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  <c r="I5" t="b">
        <f t="shared" si="0"/>
        <v>1</v>
      </c>
      <c r="J5" t="s">
        <v>11</v>
      </c>
      <c r="K5" t="s">
        <v>51</v>
      </c>
      <c r="L5" t="b">
        <f t="shared" si="1"/>
        <v>1</v>
      </c>
    </row>
    <row r="6" spans="1:12" x14ac:dyDescent="0.25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  <c r="I6" t="b">
        <f t="shared" si="0"/>
        <v>1</v>
      </c>
      <c r="J6" t="s">
        <v>132</v>
      </c>
      <c r="K6" t="s">
        <v>133</v>
      </c>
      <c r="L6" t="b">
        <f t="shared" si="1"/>
        <v>0</v>
      </c>
    </row>
    <row r="7" spans="1:12" x14ac:dyDescent="0.25">
      <c r="A7" t="s">
        <v>13</v>
      </c>
      <c r="B7" t="s">
        <v>53</v>
      </c>
      <c r="C7" t="s">
        <v>90</v>
      </c>
      <c r="D7">
        <v>2214797873</v>
      </c>
      <c r="E7">
        <v>0.85000000000000009</v>
      </c>
      <c r="F7">
        <v>1</v>
      </c>
      <c r="G7" t="s">
        <v>97</v>
      </c>
      <c r="H7" t="s">
        <v>100</v>
      </c>
      <c r="I7" t="b">
        <f t="shared" si="0"/>
        <v>1</v>
      </c>
      <c r="J7" t="s">
        <v>12</v>
      </c>
      <c r="K7" t="s">
        <v>52</v>
      </c>
      <c r="L7" t="b">
        <f t="shared" si="1"/>
        <v>1</v>
      </c>
    </row>
    <row r="8" spans="1:12" x14ac:dyDescent="0.25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  <c r="I8" t="b">
        <f t="shared" si="0"/>
        <v>0</v>
      </c>
      <c r="J8" t="s">
        <v>13</v>
      </c>
      <c r="K8" t="s">
        <v>53</v>
      </c>
      <c r="L8" t="b">
        <f t="shared" si="1"/>
        <v>1</v>
      </c>
    </row>
    <row r="9" spans="1:12" x14ac:dyDescent="0.25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0.59898293876722997</v>
      </c>
      <c r="G9" t="s">
        <v>97</v>
      </c>
      <c r="H9" t="s">
        <v>101</v>
      </c>
      <c r="I9" t="b">
        <f t="shared" si="0"/>
        <v>1</v>
      </c>
      <c r="J9" t="s">
        <v>15</v>
      </c>
      <c r="K9" t="s">
        <v>55</v>
      </c>
      <c r="L9" t="b">
        <f t="shared" si="1"/>
        <v>1</v>
      </c>
    </row>
    <row r="10" spans="1:12" x14ac:dyDescent="0.25">
      <c r="A10" t="s">
        <v>16</v>
      </c>
      <c r="B10" t="s">
        <v>56</v>
      </c>
      <c r="C10" t="s">
        <v>92</v>
      </c>
      <c r="D10">
        <v>3978292500</v>
      </c>
      <c r="E10">
        <v>1</v>
      </c>
      <c r="F10">
        <v>0.59898293876722997</v>
      </c>
      <c r="G10" t="s">
        <v>97</v>
      </c>
      <c r="H10" t="s">
        <v>99</v>
      </c>
      <c r="I10" t="b">
        <f t="shared" si="0"/>
        <v>0</v>
      </c>
      <c r="J10" t="s">
        <v>17</v>
      </c>
      <c r="K10" t="s">
        <v>57</v>
      </c>
      <c r="L10" t="b">
        <f t="shared" si="1"/>
        <v>1</v>
      </c>
    </row>
    <row r="11" spans="1:12" x14ac:dyDescent="0.25">
      <c r="A11" t="s">
        <v>17</v>
      </c>
      <c r="B11" t="s">
        <v>57</v>
      </c>
      <c r="C11" t="s">
        <v>89</v>
      </c>
      <c r="D11">
        <v>1884479500</v>
      </c>
      <c r="E11">
        <v>1</v>
      </c>
      <c r="F11">
        <v>0.59898293876722997</v>
      </c>
      <c r="G11" t="s">
        <v>97</v>
      </c>
      <c r="H11" t="s">
        <v>99</v>
      </c>
      <c r="I11" t="b">
        <f t="shared" si="0"/>
        <v>1</v>
      </c>
      <c r="J11" t="s">
        <v>18</v>
      </c>
      <c r="K11" t="s">
        <v>58</v>
      </c>
      <c r="L11" t="b">
        <f t="shared" si="1"/>
        <v>1</v>
      </c>
    </row>
    <row r="12" spans="1:12" x14ac:dyDescent="0.25">
      <c r="A12" t="s">
        <v>18</v>
      </c>
      <c r="B12" t="s">
        <v>58</v>
      </c>
      <c r="C12" t="s">
        <v>89</v>
      </c>
      <c r="D12">
        <v>856564000</v>
      </c>
      <c r="E12">
        <v>0.9</v>
      </c>
      <c r="F12">
        <v>0.59898293876722997</v>
      </c>
      <c r="G12" t="s">
        <v>97</v>
      </c>
      <c r="H12" t="s">
        <v>99</v>
      </c>
      <c r="I12" t="b">
        <f t="shared" si="0"/>
        <v>1</v>
      </c>
      <c r="J12" t="s">
        <v>111</v>
      </c>
      <c r="K12" t="s">
        <v>125</v>
      </c>
      <c r="L12" t="b">
        <f t="shared" si="1"/>
        <v>0</v>
      </c>
    </row>
    <row r="13" spans="1:12" x14ac:dyDescent="0.25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  <c r="I13" t="b">
        <f t="shared" si="0"/>
        <v>1</v>
      </c>
      <c r="J13" t="s">
        <v>19</v>
      </c>
      <c r="K13" t="s">
        <v>59</v>
      </c>
      <c r="L13" t="b">
        <f t="shared" si="1"/>
        <v>1</v>
      </c>
    </row>
    <row r="14" spans="1:12" x14ac:dyDescent="0.25">
      <c r="A14" t="s">
        <v>20</v>
      </c>
      <c r="B14" t="s">
        <v>60</v>
      </c>
      <c r="C14" t="s">
        <v>93</v>
      </c>
      <c r="D14">
        <v>265676388</v>
      </c>
      <c r="E14">
        <v>0.8</v>
      </c>
      <c r="F14">
        <v>0.59898293876722997</v>
      </c>
      <c r="G14" t="s">
        <v>97</v>
      </c>
      <c r="H14" t="s">
        <v>100</v>
      </c>
      <c r="I14" t="b">
        <f t="shared" si="0"/>
        <v>0</v>
      </c>
      <c r="J14" t="s">
        <v>21</v>
      </c>
      <c r="K14" t="s">
        <v>61</v>
      </c>
      <c r="L14" t="b">
        <f t="shared" si="1"/>
        <v>1</v>
      </c>
    </row>
    <row r="15" spans="1:12" x14ac:dyDescent="0.25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  <c r="I15" t="b">
        <f t="shared" si="0"/>
        <v>1</v>
      </c>
      <c r="J15" t="s">
        <v>22</v>
      </c>
      <c r="K15" t="s">
        <v>62</v>
      </c>
      <c r="L15" t="b">
        <f t="shared" si="1"/>
        <v>1</v>
      </c>
    </row>
    <row r="16" spans="1:12" x14ac:dyDescent="0.25">
      <c r="A16" t="s">
        <v>22</v>
      </c>
      <c r="B16" t="s">
        <v>62</v>
      </c>
      <c r="C16" t="s">
        <v>89</v>
      </c>
      <c r="D16">
        <v>551231260</v>
      </c>
      <c r="E16">
        <v>1</v>
      </c>
      <c r="F16">
        <v>0.59898293876722997</v>
      </c>
      <c r="G16" t="s">
        <v>97</v>
      </c>
      <c r="H16" t="s">
        <v>99</v>
      </c>
      <c r="I16" t="b">
        <f t="shared" si="0"/>
        <v>1</v>
      </c>
      <c r="J16" t="s">
        <v>23</v>
      </c>
      <c r="K16" t="s">
        <v>63</v>
      </c>
      <c r="L16" t="b">
        <f t="shared" si="1"/>
        <v>1</v>
      </c>
    </row>
    <row r="17" spans="1:12" x14ac:dyDescent="0.25">
      <c r="A17" t="s">
        <v>23</v>
      </c>
      <c r="B17" t="s">
        <v>63</v>
      </c>
      <c r="C17" t="s">
        <v>88</v>
      </c>
      <c r="D17">
        <v>4145945300</v>
      </c>
      <c r="E17">
        <v>1</v>
      </c>
      <c r="F17">
        <v>0.59898293876722997</v>
      </c>
      <c r="G17" t="s">
        <v>97</v>
      </c>
      <c r="H17" t="s">
        <v>98</v>
      </c>
      <c r="I17" t="b">
        <f t="shared" si="0"/>
        <v>1</v>
      </c>
      <c r="J17" t="s">
        <v>24</v>
      </c>
      <c r="K17" t="s">
        <v>64</v>
      </c>
      <c r="L17" t="b">
        <f t="shared" si="1"/>
        <v>1</v>
      </c>
    </row>
    <row r="18" spans="1:12" x14ac:dyDescent="0.25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  <c r="I18" t="b">
        <f t="shared" si="0"/>
        <v>1</v>
      </c>
      <c r="J18" t="s">
        <v>25</v>
      </c>
      <c r="K18" t="s">
        <v>65</v>
      </c>
      <c r="L18" t="b">
        <f t="shared" si="1"/>
        <v>1</v>
      </c>
    </row>
    <row r="19" spans="1:12" x14ac:dyDescent="0.25">
      <c r="A19" t="s">
        <v>25</v>
      </c>
      <c r="B19" t="s">
        <v>65</v>
      </c>
      <c r="C19" t="s">
        <v>90</v>
      </c>
      <c r="D19">
        <v>123420778</v>
      </c>
      <c r="E19">
        <v>0.60000000000000009</v>
      </c>
      <c r="F19">
        <v>1</v>
      </c>
      <c r="G19" t="s">
        <v>97</v>
      </c>
      <c r="H19" t="s">
        <v>100</v>
      </c>
      <c r="I19" t="b">
        <f t="shared" si="0"/>
        <v>1</v>
      </c>
      <c r="J19" t="s">
        <v>26</v>
      </c>
      <c r="K19" t="s">
        <v>66</v>
      </c>
      <c r="L19" t="b">
        <f t="shared" si="1"/>
        <v>1</v>
      </c>
    </row>
    <row r="20" spans="1:12" x14ac:dyDescent="0.25">
      <c r="A20" t="s">
        <v>26</v>
      </c>
      <c r="B20" t="s">
        <v>66</v>
      </c>
      <c r="C20" t="s">
        <v>88</v>
      </c>
      <c r="D20">
        <v>1788668100</v>
      </c>
      <c r="E20">
        <v>0.85</v>
      </c>
      <c r="F20">
        <v>0.59898293876722997</v>
      </c>
      <c r="G20" t="s">
        <v>97</v>
      </c>
      <c r="H20" t="s">
        <v>98</v>
      </c>
      <c r="I20" t="b">
        <f t="shared" si="0"/>
        <v>1</v>
      </c>
      <c r="J20" t="s">
        <v>29</v>
      </c>
      <c r="K20" t="s">
        <v>69</v>
      </c>
      <c r="L20" t="b">
        <f t="shared" si="1"/>
        <v>1</v>
      </c>
    </row>
    <row r="21" spans="1:12" x14ac:dyDescent="0.25">
      <c r="A21" t="s">
        <v>27</v>
      </c>
      <c r="B21" t="s">
        <v>67</v>
      </c>
      <c r="C21" t="s">
        <v>89</v>
      </c>
      <c r="D21">
        <v>888228900</v>
      </c>
      <c r="E21">
        <v>0.75</v>
      </c>
      <c r="F21">
        <v>0.59898293876722997</v>
      </c>
      <c r="G21" t="s">
        <v>97</v>
      </c>
      <c r="H21" t="s">
        <v>99</v>
      </c>
      <c r="I21" t="b">
        <f t="shared" si="0"/>
        <v>0</v>
      </c>
      <c r="J21" t="s">
        <v>30</v>
      </c>
      <c r="K21" t="s">
        <v>70</v>
      </c>
      <c r="L21" t="b">
        <f t="shared" si="1"/>
        <v>1</v>
      </c>
    </row>
    <row r="22" spans="1:12" x14ac:dyDescent="0.25">
      <c r="A22" t="s">
        <v>28</v>
      </c>
      <c r="B22" t="s">
        <v>68</v>
      </c>
      <c r="C22" t="s">
        <v>90</v>
      </c>
      <c r="D22">
        <v>262245733</v>
      </c>
      <c r="E22">
        <v>1</v>
      </c>
      <c r="F22">
        <v>1</v>
      </c>
      <c r="G22" t="s">
        <v>97</v>
      </c>
      <c r="H22" t="s">
        <v>100</v>
      </c>
      <c r="I22" t="b">
        <f t="shared" si="0"/>
        <v>0</v>
      </c>
      <c r="J22" t="s">
        <v>134</v>
      </c>
      <c r="K22" t="s">
        <v>135</v>
      </c>
      <c r="L22" t="b">
        <f t="shared" si="1"/>
        <v>0</v>
      </c>
    </row>
    <row r="23" spans="1:12" x14ac:dyDescent="0.25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97</v>
      </c>
      <c r="H23" t="s">
        <v>100</v>
      </c>
      <c r="I23" t="b">
        <f t="shared" si="0"/>
        <v>1</v>
      </c>
      <c r="J23" t="s">
        <v>31</v>
      </c>
      <c r="K23" t="s">
        <v>71</v>
      </c>
      <c r="L23" t="b">
        <f t="shared" si="1"/>
        <v>1</v>
      </c>
    </row>
    <row r="24" spans="1:12" x14ac:dyDescent="0.25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  <c r="I24" t="b">
        <f t="shared" si="0"/>
        <v>1</v>
      </c>
      <c r="J24" t="s">
        <v>32</v>
      </c>
      <c r="K24" t="s">
        <v>72</v>
      </c>
      <c r="L24" t="b">
        <f t="shared" si="1"/>
        <v>1</v>
      </c>
    </row>
    <row r="25" spans="1:12" x14ac:dyDescent="0.25">
      <c r="A25" t="s">
        <v>31</v>
      </c>
      <c r="B25" t="s">
        <v>71</v>
      </c>
      <c r="C25" t="s">
        <v>92</v>
      </c>
      <c r="D25">
        <v>1293525100</v>
      </c>
      <c r="E25">
        <v>1</v>
      </c>
      <c r="F25">
        <v>0.59898293876722997</v>
      </c>
      <c r="G25" t="s">
        <v>97</v>
      </c>
      <c r="H25" t="s">
        <v>99</v>
      </c>
      <c r="I25" t="b">
        <f t="shared" si="0"/>
        <v>1</v>
      </c>
      <c r="J25" t="s">
        <v>33</v>
      </c>
      <c r="K25" t="s">
        <v>73</v>
      </c>
      <c r="L25" t="b">
        <f t="shared" si="1"/>
        <v>1</v>
      </c>
    </row>
    <row r="26" spans="1:12" x14ac:dyDescent="0.25">
      <c r="A26" t="s">
        <v>32</v>
      </c>
      <c r="B26" t="s">
        <v>72</v>
      </c>
      <c r="C26" t="s">
        <v>90</v>
      </c>
      <c r="D26">
        <v>43753380</v>
      </c>
      <c r="E26">
        <v>0.8</v>
      </c>
      <c r="F26">
        <v>1</v>
      </c>
      <c r="G26" t="s">
        <v>97</v>
      </c>
      <c r="H26" t="s">
        <v>100</v>
      </c>
      <c r="I26" t="b">
        <f t="shared" si="0"/>
        <v>1</v>
      </c>
      <c r="J26" t="s">
        <v>136</v>
      </c>
      <c r="K26" t="s">
        <v>137</v>
      </c>
      <c r="L26" t="b">
        <f t="shared" si="1"/>
        <v>0</v>
      </c>
    </row>
    <row r="27" spans="1:12" x14ac:dyDescent="0.25">
      <c r="A27" t="s">
        <v>33</v>
      </c>
      <c r="B27" t="s">
        <v>73</v>
      </c>
      <c r="C27" t="s">
        <v>94</v>
      </c>
      <c r="D27">
        <v>5605850600</v>
      </c>
      <c r="E27">
        <v>0.95</v>
      </c>
      <c r="F27">
        <v>0.59898293876722997</v>
      </c>
      <c r="G27" t="s">
        <v>97</v>
      </c>
      <c r="H27" t="s">
        <v>100</v>
      </c>
      <c r="I27" t="b">
        <f t="shared" si="0"/>
        <v>1</v>
      </c>
      <c r="J27" t="s">
        <v>34</v>
      </c>
      <c r="K27" t="s">
        <v>74</v>
      </c>
      <c r="L27" t="b">
        <f t="shared" si="1"/>
        <v>1</v>
      </c>
    </row>
    <row r="28" spans="1:12" x14ac:dyDescent="0.25">
      <c r="A28" t="s">
        <v>34</v>
      </c>
      <c r="B28" t="s">
        <v>74</v>
      </c>
      <c r="C28" t="s">
        <v>89</v>
      </c>
      <c r="D28">
        <v>226953550</v>
      </c>
      <c r="E28">
        <v>1</v>
      </c>
      <c r="F28">
        <v>0.59898293876722997</v>
      </c>
      <c r="G28" t="s">
        <v>97</v>
      </c>
      <c r="H28" t="s">
        <v>99</v>
      </c>
      <c r="I28" t="b">
        <f t="shared" si="0"/>
        <v>1</v>
      </c>
      <c r="J28" t="s">
        <v>35</v>
      </c>
      <c r="K28" t="s">
        <v>75</v>
      </c>
      <c r="L28" t="b">
        <f t="shared" si="1"/>
        <v>1</v>
      </c>
    </row>
    <row r="29" spans="1:12" x14ac:dyDescent="0.25">
      <c r="A29" t="s">
        <v>35</v>
      </c>
      <c r="B29" t="s">
        <v>75</v>
      </c>
      <c r="C29" t="s">
        <v>93</v>
      </c>
      <c r="D29">
        <v>180869312</v>
      </c>
      <c r="E29">
        <v>0.55000000000000004</v>
      </c>
      <c r="F29">
        <v>0.59898293876722997</v>
      </c>
      <c r="G29" t="s">
        <v>97</v>
      </c>
      <c r="H29" t="s">
        <v>100</v>
      </c>
      <c r="I29" t="b">
        <f t="shared" si="0"/>
        <v>1</v>
      </c>
      <c r="J29" t="s">
        <v>36</v>
      </c>
      <c r="K29" t="s">
        <v>76</v>
      </c>
      <c r="L29" t="b">
        <f t="shared" si="1"/>
        <v>1</v>
      </c>
    </row>
    <row r="30" spans="1:12" x14ac:dyDescent="0.25">
      <c r="A30" t="s">
        <v>36</v>
      </c>
      <c r="B30" t="s">
        <v>76</v>
      </c>
      <c r="C30" t="s">
        <v>90</v>
      </c>
      <c r="D30">
        <v>295722284</v>
      </c>
      <c r="E30">
        <v>0.70000000000000007</v>
      </c>
      <c r="F30">
        <v>1</v>
      </c>
      <c r="G30" t="s">
        <v>97</v>
      </c>
      <c r="H30" t="s">
        <v>100</v>
      </c>
      <c r="I30" t="b">
        <f t="shared" si="0"/>
        <v>1</v>
      </c>
      <c r="J30" t="s">
        <v>37</v>
      </c>
      <c r="K30" t="s">
        <v>77</v>
      </c>
      <c r="L30" t="b">
        <f t="shared" si="1"/>
        <v>1</v>
      </c>
    </row>
    <row r="31" spans="1:12" x14ac:dyDescent="0.25">
      <c r="A31" t="s">
        <v>37</v>
      </c>
      <c r="B31" t="s">
        <v>77</v>
      </c>
      <c r="C31" t="s">
        <v>90</v>
      </c>
      <c r="D31">
        <v>298233069</v>
      </c>
      <c r="E31">
        <v>0.70000000000000007</v>
      </c>
      <c r="F31">
        <v>1</v>
      </c>
      <c r="G31" t="s">
        <v>97</v>
      </c>
      <c r="H31" t="s">
        <v>100</v>
      </c>
      <c r="I31" t="b">
        <f t="shared" si="0"/>
        <v>1</v>
      </c>
      <c r="J31" t="s">
        <v>38</v>
      </c>
      <c r="K31" t="s">
        <v>78</v>
      </c>
      <c r="L31" t="b">
        <f t="shared" si="1"/>
        <v>1</v>
      </c>
    </row>
    <row r="32" spans="1:12" x14ac:dyDescent="0.25">
      <c r="A32" t="s">
        <v>38</v>
      </c>
      <c r="B32" t="s">
        <v>78</v>
      </c>
      <c r="C32" t="s">
        <v>90</v>
      </c>
      <c r="D32">
        <v>499050774</v>
      </c>
      <c r="E32">
        <v>0.9</v>
      </c>
      <c r="F32">
        <v>1</v>
      </c>
      <c r="G32" t="s">
        <v>97</v>
      </c>
      <c r="H32" t="s">
        <v>100</v>
      </c>
      <c r="I32" t="b">
        <f t="shared" si="0"/>
        <v>1</v>
      </c>
      <c r="J32" t="s">
        <v>39</v>
      </c>
      <c r="K32" t="s">
        <v>79</v>
      </c>
      <c r="L32" t="b">
        <f t="shared" si="1"/>
        <v>1</v>
      </c>
    </row>
    <row r="33" spans="1:12" x14ac:dyDescent="0.25">
      <c r="A33" t="s">
        <v>39</v>
      </c>
      <c r="B33" t="s">
        <v>79</v>
      </c>
      <c r="C33" t="s">
        <v>90</v>
      </c>
      <c r="D33">
        <v>1263122721</v>
      </c>
      <c r="E33">
        <v>0.95</v>
      </c>
      <c r="F33">
        <v>1</v>
      </c>
      <c r="G33" t="s">
        <v>97</v>
      </c>
      <c r="H33" t="s">
        <v>100</v>
      </c>
      <c r="I33" t="b">
        <f t="shared" si="0"/>
        <v>1</v>
      </c>
      <c r="J33" t="s">
        <v>40</v>
      </c>
      <c r="K33" t="s">
        <v>80</v>
      </c>
      <c r="L33" t="b">
        <f t="shared" si="1"/>
        <v>1</v>
      </c>
    </row>
    <row r="34" spans="1:12" x14ac:dyDescent="0.25">
      <c r="A34" t="s">
        <v>40</v>
      </c>
      <c r="B34" t="s">
        <v>80</v>
      </c>
      <c r="C34" t="s">
        <v>90</v>
      </c>
      <c r="D34">
        <v>575631676</v>
      </c>
      <c r="E34">
        <v>1</v>
      </c>
      <c r="F34">
        <v>1</v>
      </c>
      <c r="G34" t="s">
        <v>97</v>
      </c>
      <c r="H34" t="s">
        <v>100</v>
      </c>
      <c r="I34" t="b">
        <f t="shared" si="0"/>
        <v>1</v>
      </c>
      <c r="J34" t="s">
        <v>41</v>
      </c>
      <c r="K34" t="s">
        <v>81</v>
      </c>
      <c r="L34" t="b">
        <f t="shared" si="1"/>
        <v>1</v>
      </c>
    </row>
    <row r="35" spans="1:12" x14ac:dyDescent="0.25">
      <c r="A35" t="s">
        <v>41</v>
      </c>
      <c r="B35" t="s">
        <v>81</v>
      </c>
      <c r="C35" t="s">
        <v>95</v>
      </c>
      <c r="D35">
        <v>800000000</v>
      </c>
      <c r="E35">
        <v>0.95</v>
      </c>
      <c r="F35">
        <v>0.59898293876722997</v>
      </c>
      <c r="G35" t="s">
        <v>97</v>
      </c>
      <c r="H35" t="s">
        <v>100</v>
      </c>
      <c r="I35" t="b">
        <f t="shared" si="0"/>
        <v>1</v>
      </c>
      <c r="J35" t="s">
        <v>42</v>
      </c>
      <c r="K35" t="s">
        <v>82</v>
      </c>
      <c r="L35" t="b">
        <f t="shared" si="1"/>
        <v>1</v>
      </c>
    </row>
    <row r="36" spans="1:12" x14ac:dyDescent="0.25">
      <c r="A36" t="s">
        <v>42</v>
      </c>
      <c r="B36" t="s">
        <v>82</v>
      </c>
      <c r="C36" t="s">
        <v>90</v>
      </c>
      <c r="D36">
        <v>800316777</v>
      </c>
      <c r="E36">
        <v>0.9</v>
      </c>
      <c r="F36">
        <v>1</v>
      </c>
      <c r="G36" t="s">
        <v>97</v>
      </c>
      <c r="H36" t="s">
        <v>100</v>
      </c>
      <c r="I36" t="b">
        <f t="shared" si="0"/>
        <v>1</v>
      </c>
      <c r="J36" t="s">
        <v>138</v>
      </c>
      <c r="K36" t="s">
        <v>139</v>
      </c>
      <c r="L36" t="b">
        <f t="shared" si="1"/>
        <v>0</v>
      </c>
    </row>
    <row r="37" spans="1:12" x14ac:dyDescent="0.25">
      <c r="A37" t="s">
        <v>43</v>
      </c>
      <c r="B37" t="s">
        <v>83</v>
      </c>
      <c r="C37" t="s">
        <v>89</v>
      </c>
      <c r="D37">
        <v>489229640</v>
      </c>
      <c r="E37">
        <v>1</v>
      </c>
      <c r="F37">
        <v>0.59898293876722997</v>
      </c>
      <c r="G37" t="s">
        <v>97</v>
      </c>
      <c r="H37" t="s">
        <v>99</v>
      </c>
      <c r="I37" t="b">
        <f t="shared" si="0"/>
        <v>0</v>
      </c>
      <c r="J37" t="s">
        <v>44</v>
      </c>
      <c r="K37" t="s">
        <v>84</v>
      </c>
      <c r="L37" t="b">
        <f t="shared" si="1"/>
        <v>1</v>
      </c>
    </row>
    <row r="38" spans="1:12" x14ac:dyDescent="0.25">
      <c r="A38" t="s">
        <v>44</v>
      </c>
      <c r="B38" t="s">
        <v>84</v>
      </c>
      <c r="C38" t="s">
        <v>89</v>
      </c>
      <c r="D38">
        <v>377261170</v>
      </c>
      <c r="E38">
        <v>1</v>
      </c>
      <c r="F38">
        <v>0.59898293876722997</v>
      </c>
      <c r="G38" t="s">
        <v>97</v>
      </c>
      <c r="H38" t="s">
        <v>99</v>
      </c>
      <c r="I38" t="b">
        <f t="shared" si="0"/>
        <v>1</v>
      </c>
      <c r="J38" t="s">
        <v>45</v>
      </c>
      <c r="K38" t="s">
        <v>85</v>
      </c>
      <c r="L38" t="b">
        <f t="shared" si="1"/>
        <v>1</v>
      </c>
    </row>
    <row r="39" spans="1:12" x14ac:dyDescent="0.25">
      <c r="A39" t="s">
        <v>45</v>
      </c>
      <c r="B39" t="s">
        <v>85</v>
      </c>
      <c r="C39" t="s">
        <v>96</v>
      </c>
      <c r="D39">
        <v>325840640</v>
      </c>
      <c r="E39">
        <v>0.65</v>
      </c>
      <c r="F39">
        <v>0.59898293876722997</v>
      </c>
      <c r="G39" t="s">
        <v>97</v>
      </c>
      <c r="H39" t="s">
        <v>102</v>
      </c>
      <c r="I39" t="b">
        <f t="shared" si="0"/>
        <v>1</v>
      </c>
      <c r="J39" t="s">
        <v>46</v>
      </c>
      <c r="K39" t="s">
        <v>86</v>
      </c>
      <c r="L39" t="b">
        <f t="shared" si="1"/>
        <v>1</v>
      </c>
    </row>
    <row r="40" spans="1:12" x14ac:dyDescent="0.25">
      <c r="A40" t="s">
        <v>46</v>
      </c>
      <c r="B40" t="s">
        <v>86</v>
      </c>
      <c r="C40" t="s">
        <v>96</v>
      </c>
      <c r="D40">
        <v>15794987000</v>
      </c>
      <c r="E40">
        <v>0.75</v>
      </c>
      <c r="F40">
        <v>0.59898293876722997</v>
      </c>
      <c r="G40" t="s">
        <v>97</v>
      </c>
      <c r="H40" t="s">
        <v>102</v>
      </c>
      <c r="I40" t="b">
        <f t="shared" si="0"/>
        <v>1</v>
      </c>
      <c r="J40" t="s">
        <v>140</v>
      </c>
      <c r="K40" t="s">
        <v>141</v>
      </c>
      <c r="L40" t="b">
        <f t="shared" si="1"/>
        <v>0</v>
      </c>
    </row>
    <row r="41" spans="1:12" x14ac:dyDescent="0.25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  <c r="I41" t="b">
        <f t="shared" si="0"/>
        <v>1</v>
      </c>
      <c r="J41" t="s">
        <v>47</v>
      </c>
      <c r="K41" t="s">
        <v>87</v>
      </c>
      <c r="L41" t="b">
        <f t="shared" si="1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90</v>
      </c>
    </row>
    <row r="3" spans="1:3" x14ac:dyDescent="0.25">
      <c r="A3" t="s">
        <v>16</v>
      </c>
      <c r="B3" t="s">
        <v>56</v>
      </c>
      <c r="C3" t="s">
        <v>92</v>
      </c>
    </row>
    <row r="4" spans="1:3" x14ac:dyDescent="0.25">
      <c r="A4" t="s">
        <v>17</v>
      </c>
      <c r="B4" t="s">
        <v>57</v>
      </c>
      <c r="C4" t="s">
        <v>89</v>
      </c>
    </row>
    <row r="5" spans="1:3" x14ac:dyDescent="0.25">
      <c r="A5" t="s">
        <v>20</v>
      </c>
      <c r="B5" t="s">
        <v>60</v>
      </c>
      <c r="C5" t="s">
        <v>93</v>
      </c>
    </row>
    <row r="6" spans="1:3" x14ac:dyDescent="0.25">
      <c r="A6" t="s">
        <v>21</v>
      </c>
      <c r="B6" t="s">
        <v>61</v>
      </c>
      <c r="C6" t="s">
        <v>90</v>
      </c>
    </row>
    <row r="7" spans="1:3" x14ac:dyDescent="0.25">
      <c r="A7" t="s">
        <v>25</v>
      </c>
      <c r="B7" t="s">
        <v>65</v>
      </c>
      <c r="C7" t="s">
        <v>90</v>
      </c>
    </row>
    <row r="8" spans="1:3" x14ac:dyDescent="0.25">
      <c r="A8" t="s">
        <v>27</v>
      </c>
      <c r="B8" t="s">
        <v>67</v>
      </c>
      <c r="C8" t="s">
        <v>89</v>
      </c>
    </row>
    <row r="9" spans="1:3" x14ac:dyDescent="0.25">
      <c r="A9" t="s">
        <v>28</v>
      </c>
      <c r="B9" t="s">
        <v>68</v>
      </c>
      <c r="C9" t="s">
        <v>90</v>
      </c>
    </row>
    <row r="10" spans="1:3" x14ac:dyDescent="0.25">
      <c r="A10" t="s">
        <v>31</v>
      </c>
      <c r="B10" t="s">
        <v>71</v>
      </c>
      <c r="C10" t="s">
        <v>92</v>
      </c>
    </row>
    <row r="11" spans="1:3" x14ac:dyDescent="0.25">
      <c r="A11" t="s">
        <v>34</v>
      </c>
      <c r="B11" t="s">
        <v>74</v>
      </c>
      <c r="C11" t="s">
        <v>89</v>
      </c>
    </row>
    <row r="12" spans="1:3" x14ac:dyDescent="0.25">
      <c r="A12" t="s">
        <v>40</v>
      </c>
      <c r="B12" t="s">
        <v>80</v>
      </c>
      <c r="C12" t="s">
        <v>90</v>
      </c>
    </row>
    <row r="13" spans="1:3" x14ac:dyDescent="0.25">
      <c r="A13" t="s">
        <v>42</v>
      </c>
      <c r="B13" t="s">
        <v>82</v>
      </c>
      <c r="C13" t="s">
        <v>90</v>
      </c>
    </row>
    <row r="14" spans="1:3" x14ac:dyDescent="0.25">
      <c r="A14" t="s">
        <v>43</v>
      </c>
      <c r="B14" t="s">
        <v>83</v>
      </c>
      <c r="C14" t="s">
        <v>89</v>
      </c>
    </row>
    <row r="15" spans="1:3" x14ac:dyDescent="0.25">
      <c r="A15" t="s">
        <v>45</v>
      </c>
      <c r="B15" t="s">
        <v>85</v>
      </c>
      <c r="C15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103</v>
      </c>
      <c r="B2" t="s">
        <v>117</v>
      </c>
      <c r="C2" t="s">
        <v>88</v>
      </c>
    </row>
    <row r="3" spans="1:3" x14ac:dyDescent="0.25">
      <c r="A3" t="s">
        <v>104</v>
      </c>
      <c r="B3" t="s">
        <v>118</v>
      </c>
      <c r="C3" t="s">
        <v>131</v>
      </c>
    </row>
    <row r="4" spans="1:3" x14ac:dyDescent="0.25">
      <c r="A4" t="s">
        <v>105</v>
      </c>
      <c r="B4" t="s">
        <v>119</v>
      </c>
      <c r="C4" t="s">
        <v>88</v>
      </c>
    </row>
    <row r="5" spans="1:3" x14ac:dyDescent="0.25">
      <c r="A5" t="s">
        <v>106</v>
      </c>
      <c r="B5" t="s">
        <v>120</v>
      </c>
      <c r="C5" t="s">
        <v>89</v>
      </c>
    </row>
    <row r="6" spans="1:3" x14ac:dyDescent="0.25">
      <c r="A6" t="s">
        <v>107</v>
      </c>
      <c r="B6" t="s">
        <v>121</v>
      </c>
      <c r="C6" t="s">
        <v>92</v>
      </c>
    </row>
    <row r="7" spans="1:3" x14ac:dyDescent="0.25">
      <c r="A7" t="s">
        <v>108</v>
      </c>
      <c r="B7" t="s">
        <v>122</v>
      </c>
      <c r="C7" t="s">
        <v>89</v>
      </c>
    </row>
    <row r="8" spans="1:3" x14ac:dyDescent="0.25">
      <c r="A8" t="s">
        <v>109</v>
      </c>
      <c r="B8" t="s">
        <v>123</v>
      </c>
      <c r="C8" t="s">
        <v>90</v>
      </c>
    </row>
    <row r="9" spans="1:3" x14ac:dyDescent="0.25">
      <c r="A9" t="s">
        <v>110</v>
      </c>
      <c r="B9" t="s">
        <v>124</v>
      </c>
      <c r="C9" t="s">
        <v>90</v>
      </c>
    </row>
    <row r="10" spans="1:3" x14ac:dyDescent="0.25">
      <c r="A10" t="s">
        <v>111</v>
      </c>
      <c r="B10" t="s">
        <v>125</v>
      </c>
      <c r="C10" t="s">
        <v>90</v>
      </c>
    </row>
    <row r="11" spans="1:3" x14ac:dyDescent="0.25">
      <c r="A11" t="s">
        <v>112</v>
      </c>
      <c r="B11" t="s">
        <v>126</v>
      </c>
      <c r="C11" t="s">
        <v>90</v>
      </c>
    </row>
    <row r="12" spans="1:3" x14ac:dyDescent="0.25">
      <c r="A12" t="s">
        <v>113</v>
      </c>
      <c r="B12" t="s">
        <v>127</v>
      </c>
      <c r="C12" t="s">
        <v>92</v>
      </c>
    </row>
    <row r="13" spans="1:3" x14ac:dyDescent="0.25">
      <c r="A13" t="s">
        <v>114</v>
      </c>
      <c r="B13" t="s">
        <v>128</v>
      </c>
      <c r="C13" t="s">
        <v>95</v>
      </c>
    </row>
    <row r="14" spans="1:3" x14ac:dyDescent="0.25">
      <c r="A14" t="s">
        <v>115</v>
      </c>
      <c r="B14" t="s">
        <v>129</v>
      </c>
      <c r="C14" t="s">
        <v>90</v>
      </c>
    </row>
    <row r="15" spans="1:3" x14ac:dyDescent="0.25">
      <c r="A15" t="s">
        <v>116</v>
      </c>
      <c r="B15" t="s">
        <v>130</v>
      </c>
      <c r="C15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2025-03-19T07:11:19Z</dcterms:created>
  <dcterms:modified xsi:type="dcterms:W3CDTF">2025-03-19T16:11:33Z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2025-03-19T16:11:33Z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a074a885-c1d2-4db9-a4ae-1c678c2127d3</vt:lpwstr>
  </property>
  <property fmtid="{D5CDD505-2E9C-101B-9397-08002B2CF9AE}" pid="8" name="MSIP_Label_ac0b9ce6-6e99-42a1-af95-429494370cbc_ContentBits">
    <vt:lpwstr>2</vt:lpwstr>
  </property>
</Properties>
</file>