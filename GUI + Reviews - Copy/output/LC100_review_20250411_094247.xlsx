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5" documentId="11_AFA8218BE86FD2E7AE244548348F579FEFDAEC7F" xr6:coauthVersionLast="47" xr6:coauthVersionMax="47" xr10:uidLastSave="{DE3383A3-1D03-4E83-8442-E753787238A3}"/>
  <bookViews>
    <workbookView xWindow="-120" yWindow="-120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Universe'!$A$1:$CK$500</definedName>
    <definedName name="_xlnm._FilterDatabase" localSheetId="0" hidden="1">'Selected Companies'!$A$1:$CT$101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15" i="1" l="1"/>
  <c r="CQ16" i="1"/>
  <c r="CQ17" i="1"/>
  <c r="CQ18" i="1"/>
  <c r="CQ19" i="1"/>
  <c r="CQ20" i="1"/>
  <c r="CQ21" i="1"/>
  <c r="CQ22" i="1"/>
  <c r="CQ23" i="1"/>
  <c r="CR23" i="1" s="1"/>
  <c r="CQ24" i="1"/>
  <c r="CQ25" i="1"/>
  <c r="CQ26" i="1"/>
  <c r="CR26" i="1" s="1"/>
  <c r="CQ27" i="1"/>
  <c r="CR27" i="1" s="1"/>
  <c r="CQ28" i="1"/>
  <c r="CR28" i="1" s="1"/>
  <c r="CQ29" i="1"/>
  <c r="CR29" i="1" s="1"/>
  <c r="CQ30" i="1"/>
  <c r="CQ31" i="1"/>
  <c r="CQ32" i="1"/>
  <c r="CQ33" i="1"/>
  <c r="CQ34" i="1"/>
  <c r="CR34" i="1" s="1"/>
  <c r="CS34" i="1" s="1"/>
  <c r="CQ35" i="1"/>
  <c r="CR35" i="1" s="1"/>
  <c r="CS35" i="1" s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R53" i="1" s="1"/>
  <c r="CQ54" i="1"/>
  <c r="CQ55" i="1"/>
  <c r="CQ56" i="1"/>
  <c r="CQ57" i="1"/>
  <c r="CQ58" i="1"/>
  <c r="CQ59" i="1"/>
  <c r="CQ60" i="1"/>
  <c r="CQ61" i="1"/>
  <c r="CQ62" i="1"/>
  <c r="CQ63" i="1"/>
  <c r="CQ64" i="1"/>
  <c r="CR64" i="1" s="1"/>
  <c r="CT64" i="1" s="1"/>
  <c r="CQ65" i="1"/>
  <c r="CR65" i="1" s="1"/>
  <c r="CQ66" i="1"/>
  <c r="CQ67" i="1"/>
  <c r="CR67" i="1" s="1"/>
  <c r="CQ68" i="1"/>
  <c r="CR68" i="1" s="1"/>
  <c r="CQ69" i="1"/>
  <c r="CR69" i="1" s="1"/>
  <c r="CQ70" i="1"/>
  <c r="CR70" i="1" s="1"/>
  <c r="CQ71" i="1"/>
  <c r="CR71" i="1" s="1"/>
  <c r="CQ72" i="1"/>
  <c r="CR72" i="1" s="1"/>
  <c r="CQ73" i="1"/>
  <c r="CQ74" i="1"/>
  <c r="CR74" i="1" s="1"/>
  <c r="CT74" i="1" s="1"/>
  <c r="CQ75" i="1"/>
  <c r="CQ76" i="1"/>
  <c r="CQ77" i="1"/>
  <c r="CQ78" i="1"/>
  <c r="CQ79" i="1"/>
  <c r="CQ80" i="1"/>
  <c r="CQ81" i="1"/>
  <c r="CQ82" i="1"/>
  <c r="CQ83" i="1"/>
  <c r="CR83" i="1" s="1"/>
  <c r="CQ84" i="1"/>
  <c r="CQ85" i="1"/>
  <c r="CQ86" i="1"/>
  <c r="CR86" i="1" s="1"/>
  <c r="CQ87" i="1"/>
  <c r="CR87" i="1" s="1"/>
  <c r="CQ88" i="1"/>
  <c r="CQ89" i="1"/>
  <c r="CQ90" i="1"/>
  <c r="CQ91" i="1"/>
  <c r="CQ92" i="1"/>
  <c r="CQ93" i="1"/>
  <c r="CR93" i="1" s="1"/>
  <c r="CQ94" i="1"/>
  <c r="CQ95" i="1"/>
  <c r="CQ96" i="1"/>
  <c r="CQ97" i="1"/>
  <c r="CQ98" i="1"/>
  <c r="CQ99" i="1"/>
  <c r="CQ100" i="1"/>
  <c r="CQ101" i="1"/>
  <c r="CQ3" i="1"/>
  <c r="CQ4" i="1"/>
  <c r="CQ5" i="1"/>
  <c r="CR5" i="1" s="1"/>
  <c r="CQ6" i="1"/>
  <c r="CQ7" i="1"/>
  <c r="CR7" i="1" s="1"/>
  <c r="CQ8" i="1"/>
  <c r="CQ9" i="1"/>
  <c r="CQ10" i="1"/>
  <c r="CQ11" i="1"/>
  <c r="CQ12" i="1"/>
  <c r="CQ13" i="1"/>
  <c r="CR13" i="1" s="1"/>
  <c r="CQ14" i="1"/>
  <c r="CQ2" i="1"/>
  <c r="CP2" i="1"/>
  <c r="CP3" i="1"/>
  <c r="CP4" i="1"/>
  <c r="CP5" i="1"/>
  <c r="CP6" i="1"/>
  <c r="CP7" i="1"/>
  <c r="CP8" i="1"/>
  <c r="CP9" i="1"/>
  <c r="CR9" i="1" s="1"/>
  <c r="CP10" i="1"/>
  <c r="CP11" i="1"/>
  <c r="CR11" i="1" s="1"/>
  <c r="CP12" i="1"/>
  <c r="CR12" i="1" s="1"/>
  <c r="CP13" i="1"/>
  <c r="CP14" i="1"/>
  <c r="CP15" i="1"/>
  <c r="CR15" i="1" s="1"/>
  <c r="CT15" i="1" s="1"/>
  <c r="CP16" i="1"/>
  <c r="CR16" i="1" s="1"/>
  <c r="CS16" i="1" s="1"/>
  <c r="CP17" i="1"/>
  <c r="CR17" i="1" s="1"/>
  <c r="CS17" i="1" s="1"/>
  <c r="CP18" i="1"/>
  <c r="CR18" i="1" s="1"/>
  <c r="CS18" i="1" s="1"/>
  <c r="CP19" i="1"/>
  <c r="CR19" i="1" s="1"/>
  <c r="CT19" i="1" s="1"/>
  <c r="CP20" i="1"/>
  <c r="CR20" i="1" s="1"/>
  <c r="CS20" i="1" s="1"/>
  <c r="CP21" i="1"/>
  <c r="CR21" i="1" s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R38" i="1" s="1"/>
  <c r="CS38" i="1" s="1"/>
  <c r="CP39" i="1"/>
  <c r="CR39" i="1" s="1"/>
  <c r="CS39" i="1" s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R56" i="1" s="1"/>
  <c r="CS56" i="1" s="1"/>
  <c r="CP57" i="1"/>
  <c r="CR57" i="1" s="1"/>
  <c r="CS57" i="1" s="1"/>
  <c r="CP58" i="1"/>
  <c r="CR58" i="1" s="1"/>
  <c r="CS58" i="1" s="1"/>
  <c r="CP59" i="1"/>
  <c r="CR59" i="1" s="1"/>
  <c r="CT59" i="1" s="1"/>
  <c r="CP60" i="1"/>
  <c r="CR60" i="1" s="1"/>
  <c r="CS60" i="1" s="1"/>
  <c r="CP61" i="1"/>
  <c r="CR61" i="1" s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R81" i="1" s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R96" i="1" s="1"/>
  <c r="CS96" i="1" s="1"/>
  <c r="CP97" i="1"/>
  <c r="CR97" i="1" s="1"/>
  <c r="CS97" i="1" s="1"/>
  <c r="CP98" i="1"/>
  <c r="CR98" i="1" s="1"/>
  <c r="CS98" i="1" s="1"/>
  <c r="CP99" i="1"/>
  <c r="CR99" i="1" s="1"/>
  <c r="CT99" i="1" s="1"/>
  <c r="CP100" i="1"/>
  <c r="CR100" i="1" s="1"/>
  <c r="CS100" i="1" s="1"/>
  <c r="CP101" i="1"/>
  <c r="CR101" i="1" s="1"/>
  <c r="CR66" i="1"/>
  <c r="CR63" i="1"/>
  <c r="CR48" i="1"/>
  <c r="CR47" i="1"/>
  <c r="CR46" i="1"/>
  <c r="CR43" i="1"/>
  <c r="CR32" i="1"/>
  <c r="CR31" i="1"/>
  <c r="CR30" i="1"/>
  <c r="CR10" i="1"/>
  <c r="CR8" i="1"/>
  <c r="CR6" i="1"/>
  <c r="CR3" i="1"/>
  <c r="CR4" i="1"/>
  <c r="CS4" i="1" s="1"/>
  <c r="CR24" i="1"/>
  <c r="CT24" i="1" s="1"/>
  <c r="CR25" i="1"/>
  <c r="CR36" i="1"/>
  <c r="CT36" i="1" s="1"/>
  <c r="CR37" i="1"/>
  <c r="CS37" i="1" s="1"/>
  <c r="CR40" i="1"/>
  <c r="CS40" i="1" s="1"/>
  <c r="CR41" i="1"/>
  <c r="CR44" i="1"/>
  <c r="CS44" i="1" s="1"/>
  <c r="CR45" i="1"/>
  <c r="CR76" i="1"/>
  <c r="CS76" i="1" s="1"/>
  <c r="CR77" i="1"/>
  <c r="CS77" i="1" s="1"/>
  <c r="CR78" i="1"/>
  <c r="CS78" i="1" s="1"/>
  <c r="CR79" i="1"/>
  <c r="CS79" i="1" s="1"/>
  <c r="CR80" i="1"/>
  <c r="CS80" i="1" s="1"/>
  <c r="CR84" i="1"/>
  <c r="CS84" i="1" s="1"/>
  <c r="CR85" i="1"/>
  <c r="CR95" i="1" l="1"/>
  <c r="CT95" i="1" s="1"/>
  <c r="CR94" i="1"/>
  <c r="CT94" i="1" s="1"/>
  <c r="CR91" i="1"/>
  <c r="CS91" i="1" s="1"/>
  <c r="CR90" i="1"/>
  <c r="CR73" i="1"/>
  <c r="CR92" i="1"/>
  <c r="CR75" i="1"/>
  <c r="CT75" i="1" s="1"/>
  <c r="CR52" i="1"/>
  <c r="CR49" i="1"/>
  <c r="CT49" i="1" s="1"/>
  <c r="CR33" i="1"/>
  <c r="CR51" i="1"/>
  <c r="CS51" i="1" s="1"/>
  <c r="CR89" i="1"/>
  <c r="CR55" i="1"/>
  <c r="CS55" i="1" s="1"/>
  <c r="CR54" i="1"/>
  <c r="CS54" i="1" s="1"/>
  <c r="CR50" i="1"/>
  <c r="CT50" i="1" s="1"/>
  <c r="CR88" i="1"/>
  <c r="CT88" i="1" s="1"/>
  <c r="CR82" i="1"/>
  <c r="CT82" i="1" s="1"/>
  <c r="CR62" i="1"/>
  <c r="CR42" i="1"/>
  <c r="CT42" i="1" s="1"/>
  <c r="CR22" i="1"/>
  <c r="CS22" i="1" s="1"/>
  <c r="CR14" i="1"/>
  <c r="CS14" i="1" s="1"/>
  <c r="CR2" i="1"/>
  <c r="CT2" i="1" s="1"/>
  <c r="CT21" i="1"/>
  <c r="CS21" i="1"/>
  <c r="CT81" i="1"/>
  <c r="CS81" i="1"/>
  <c r="CT61" i="1"/>
  <c r="CS61" i="1"/>
  <c r="CT101" i="1"/>
  <c r="CS101" i="1"/>
  <c r="CT41" i="1"/>
  <c r="CS41" i="1"/>
  <c r="CS63" i="1"/>
  <c r="CT63" i="1"/>
  <c r="CS27" i="1"/>
  <c r="CT27" i="1"/>
  <c r="CS52" i="1"/>
  <c r="CT52" i="1"/>
  <c r="CS3" i="1"/>
  <c r="CT3" i="1"/>
  <c r="CT46" i="1"/>
  <c r="CS46" i="1"/>
  <c r="CS87" i="1"/>
  <c r="CT87" i="1"/>
  <c r="CS68" i="1"/>
  <c r="CT68" i="1"/>
  <c r="CT5" i="1"/>
  <c r="CS5" i="1"/>
  <c r="CS12" i="1"/>
  <c r="CT12" i="1"/>
  <c r="CT83" i="1"/>
  <c r="CS83" i="1"/>
  <c r="CS6" i="1"/>
  <c r="CT6" i="1"/>
  <c r="CT89" i="1"/>
  <c r="CS89" i="1"/>
  <c r="CT91" i="1"/>
  <c r="CS93" i="1"/>
  <c r="CT93" i="1"/>
  <c r="CS86" i="1"/>
  <c r="CT86" i="1"/>
  <c r="CT90" i="1"/>
  <c r="CS90" i="1"/>
  <c r="CS31" i="1"/>
  <c r="CT31" i="1"/>
  <c r="CT92" i="1"/>
  <c r="CS92" i="1"/>
  <c r="CS67" i="1"/>
  <c r="CT67" i="1"/>
  <c r="CT28" i="1"/>
  <c r="CS28" i="1"/>
  <c r="CS69" i="1"/>
  <c r="CT69" i="1"/>
  <c r="CT70" i="1"/>
  <c r="CS70" i="1"/>
  <c r="CS71" i="1"/>
  <c r="CT71" i="1"/>
  <c r="CT53" i="1"/>
  <c r="CS53" i="1"/>
  <c r="CS43" i="1"/>
  <c r="CT43" i="1"/>
  <c r="CT66" i="1"/>
  <c r="CS66" i="1"/>
  <c r="CT47" i="1"/>
  <c r="CS47" i="1"/>
  <c r="CT48" i="1"/>
  <c r="CS48" i="1"/>
  <c r="CS9" i="1"/>
  <c r="CT9" i="1"/>
  <c r="CT85" i="1"/>
  <c r="CS85" i="1"/>
  <c r="CT10" i="1"/>
  <c r="CS10" i="1"/>
  <c r="CT30" i="1"/>
  <c r="CS30" i="1"/>
  <c r="CS32" i="1"/>
  <c r="CT32" i="1"/>
  <c r="CT13" i="1"/>
  <c r="CS13" i="1"/>
  <c r="CS73" i="1"/>
  <c r="CT73" i="1"/>
  <c r="CS65" i="1"/>
  <c r="CT65" i="1"/>
  <c r="CS25" i="1"/>
  <c r="CT25" i="1"/>
  <c r="CS62" i="1"/>
  <c r="CT62" i="1"/>
  <c r="CT23" i="1"/>
  <c r="CS23" i="1"/>
  <c r="CS26" i="1"/>
  <c r="CT26" i="1"/>
  <c r="CT7" i="1"/>
  <c r="CS7" i="1"/>
  <c r="CS8" i="1"/>
  <c r="CT8" i="1"/>
  <c r="CS29" i="1"/>
  <c r="CT29" i="1"/>
  <c r="CS45" i="1"/>
  <c r="CT45" i="1"/>
  <c r="CS11" i="1"/>
  <c r="CT11" i="1"/>
  <c r="CT72" i="1"/>
  <c r="CS72" i="1"/>
  <c r="CS33" i="1"/>
  <c r="CT33" i="1"/>
  <c r="CS64" i="1"/>
  <c r="CS94" i="1"/>
  <c r="CT35" i="1"/>
  <c r="CS15" i="1"/>
  <c r="CS95" i="1"/>
  <c r="CT56" i="1"/>
  <c r="CT76" i="1"/>
  <c r="CT96" i="1"/>
  <c r="CT44" i="1"/>
  <c r="CS24" i="1"/>
  <c r="CS74" i="1"/>
  <c r="CT55" i="1"/>
  <c r="CT16" i="1"/>
  <c r="CS36" i="1"/>
  <c r="CT17" i="1"/>
  <c r="CT37" i="1"/>
  <c r="CT57" i="1"/>
  <c r="CT77" i="1"/>
  <c r="CT97" i="1"/>
  <c r="CT14" i="1"/>
  <c r="CT34" i="1"/>
  <c r="CT18" i="1"/>
  <c r="CT38" i="1"/>
  <c r="CT58" i="1"/>
  <c r="CT78" i="1"/>
  <c r="CT98" i="1"/>
  <c r="CT4" i="1"/>
  <c r="CT84" i="1"/>
  <c r="CT39" i="1"/>
  <c r="CT79" i="1"/>
  <c r="CS19" i="1"/>
  <c r="CS59" i="1"/>
  <c r="CS99" i="1"/>
  <c r="CT20" i="1"/>
  <c r="CT40" i="1"/>
  <c r="CT60" i="1"/>
  <c r="CT80" i="1"/>
  <c r="CT100" i="1"/>
  <c r="CT22" i="1" l="1"/>
  <c r="CS82" i="1"/>
  <c r="CS42" i="1"/>
  <c r="CS49" i="1"/>
  <c r="CS88" i="1"/>
  <c r="CS50" i="1"/>
  <c r="CT51" i="1"/>
  <c r="CS75" i="1"/>
  <c r="CT54" i="1"/>
  <c r="CS2" i="1"/>
</calcChain>
</file>

<file path=xl/sharedStrings.xml><?xml version="1.0" encoding="utf-8"?>
<sst xmlns="http://schemas.openxmlformats.org/spreadsheetml/2006/main" count="25090" uniqueCount="1753">
  <si>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</si>
  <si>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</si>
  <si>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</si>
  <si>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</si>
  <si>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</si>
  <si>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</si>
  <si>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</si>
  <si>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</si>
  <si>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</si>
  <si>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</si>
  <si>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</si>
  <si>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</si>
  <si>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</si>
  <si>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</si>
  <si>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</si>
  <si>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</si>
  <si>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</si>
  <si>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</si>
  <si>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</si>
  <si>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</si>
  <si>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</si>
  <si>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</si>
  <si>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</si>
  <si>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</si>
  <si>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</si>
  <si>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</si>
  <si>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</si>
  <si>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</si>
  <si>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</si>
  <si>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</si>
  <si>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</si>
  <si>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</si>
  <si>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</si>
  <si>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</si>
  <si>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</si>
  <si>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</si>
  <si>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</si>
  <si>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</si>
  <si>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</si>
  <si>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</si>
  <si>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</si>
  <si>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</si>
  <si>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</si>
  <si>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</si>
  <si>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</si>
  <si>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</si>
  <si>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</si>
  <si>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</si>
  <si>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</si>
  <si>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</si>
  <si>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</si>
  <si>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</si>
  <si>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</si>
  <si>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</si>
  <si>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</si>
  <si>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</si>
  <si>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</si>
  <si>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</si>
  <si>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</si>
  <si>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</si>
  <si>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</si>
  <si>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</si>
  <si>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</si>
  <si>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</si>
  <si>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</si>
  <si>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</si>
  <si>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</si>
  <si>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</si>
  <si>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</si>
  <si>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</si>
  <si>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</si>
  <si>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</si>
  <si>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</si>
  <si>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</si>
  <si>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</si>
  <si>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</si>
  <si>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</si>
  <si>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</si>
  <si>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</si>
  <si>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</si>
  <si>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</si>
  <si>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</si>
  <si>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</si>
  <si>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</si>
  <si>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</si>
  <si>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</si>
  <si>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</si>
  <si>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</si>
  <si>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</si>
  <si>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</si>
  <si>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</si>
  <si>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</si>
  <si>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</si>
  <si>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</si>
  <si>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</si>
  <si>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</si>
  <si>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</si>
  <si>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</si>
  <si>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</si>
  <si>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</si>
  <si>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</si>
  <si>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</si>
  <si>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</si>
  <si>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</si>
  <si>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</si>
  <si>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</si>
  <si>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</si>
  <si>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</si>
  <si>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</si>
  <si>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</si>
  <si>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</si>
  <si>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</si>
  <si>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</si>
  <si>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</si>
  <si>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</si>
  <si>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</si>
  <si>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</si>
  <si>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</si>
  <si>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</si>
  <si>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</si>
  <si>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</si>
  <si>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</si>
  <si>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</si>
  <si>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</si>
  <si>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</si>
  <si>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</si>
  <si>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</si>
  <si>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</si>
  <si>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</si>
  <si>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</si>
  <si>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</si>
  <si>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</si>
  <si>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</si>
  <si>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</si>
  <si>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</si>
  <si>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</si>
  <si>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</si>
  <si>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</si>
  <si>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</si>
  <si>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</si>
  <si>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</si>
  <si>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</si>
  <si>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</si>
  <si>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</si>
  <si>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</si>
  <si>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</si>
  <si>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</si>
  <si>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</si>
  <si>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</si>
  <si>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</si>
  <si>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</si>
  <si>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</si>
  <si>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</si>
  <si>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</si>
  <si>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</si>
  <si>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</si>
  <si>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</si>
  <si>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</si>
  <si>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</si>
  <si>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</si>
  <si>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</si>
  <si>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</si>
  <si>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</si>
  <si>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</si>
  <si>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</si>
  <si>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</si>
  <si>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</si>
  <si>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</si>
  <si>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</si>
  <si>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</si>
  <si>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</si>
  <si>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</si>
  <si>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</si>
  <si>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</si>
  <si>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</si>
  <si>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</si>
  <si>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</si>
  <si>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</si>
  <si>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</si>
  <si>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</si>
  <si>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</si>
  <si>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</si>
  <si>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</si>
  <si>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</si>
  <si>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</si>
  <si>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</si>
  <si>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</si>
  <si>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</si>
  <si>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</si>
  <si>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</si>
  <si>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</si>
  <si>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</si>
  <si>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</si>
  <si>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</si>
  <si>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</si>
  <si>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</si>
  <si>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</si>
  <si>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</si>
  <si>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</si>
  <si>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</si>
  <si>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</si>
  <si>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</si>
  <si>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</si>
  <si>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</si>
  <si>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</si>
  <si>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</si>
  <si>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</si>
  <si>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</si>
  <si>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</si>
  <si>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</si>
  <si>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</si>
  <si>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</si>
  <si>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</si>
  <si>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</si>
  <si>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</si>
  <si>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</si>
  <si>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</si>
  <si>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</si>
  <si>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</si>
  <si>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</si>
  <si>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</si>
  <si>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</si>
  <si>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</si>
  <si>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</si>
  <si>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</si>
  <si>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</si>
  <si>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</si>
  <si>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</si>
  <si>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</si>
  <si>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</si>
  <si>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</si>
  <si>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</si>
  <si>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</si>
  <si>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</si>
  <si>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</si>
  <si>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</si>
  <si>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</si>
  <si>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</si>
  <si>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</si>
  <si>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</si>
  <si>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</si>
  <si>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</si>
  <si>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</si>
  <si>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</si>
  <si>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</si>
  <si>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</si>
  <si>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</si>
  <si>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</si>
  <si>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</si>
  <si>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</si>
  <si>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</si>
  <si>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</si>
  <si>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</si>
  <si>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</si>
  <si>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</si>
  <si>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</si>
  <si>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</si>
  <si>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</si>
  <si>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</si>
  <si>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</si>
  <si>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</si>
  <si>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</si>
  <si>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</si>
  <si>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</si>
  <si>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</si>
  <si>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</si>
  <si>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</si>
  <si>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</si>
  <si>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</si>
  <si>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</si>
  <si>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</si>
  <si>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</si>
  <si>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</si>
  <si>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</si>
  <si>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</si>
  <si>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</si>
  <si>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</si>
  <si>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</si>
  <si>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</si>
  <si>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</si>
  <si>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</si>
  <si>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</si>
  <si>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</si>
  <si>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</si>
  <si>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</si>
  <si>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</si>
  <si>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</si>
  <si>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</si>
  <si>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</si>
  <si>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</si>
  <si>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</si>
  <si>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</si>
  <si>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</si>
  <si>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</si>
  <si>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</si>
  <si>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</si>
  <si>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</si>
  <si>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</si>
  <si>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</si>
  <si>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</si>
  <si>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</si>
  <si>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</si>
  <si>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</si>
  <si>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</si>
  <si>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</si>
  <si>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</si>
  <si>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</si>
  <si>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</si>
  <si>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</si>
  <si>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</si>
  <si>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</si>
  <si>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</si>
  <si>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</si>
  <si>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</si>
  <si>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</si>
  <si>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</si>
  <si>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</si>
  <si>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</si>
  <si>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</si>
  <si>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</si>
  <si>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</si>
  <si>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</si>
  <si>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</si>
  <si>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</si>
  <si>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</si>
  <si>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</si>
  <si>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</si>
  <si>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</si>
  <si>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</si>
  <si>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</si>
  <si>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</si>
  <si>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</si>
  <si>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</si>
  <si>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</si>
  <si>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</si>
  <si>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</si>
  <si>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</si>
  <si>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</si>
  <si>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</si>
  <si>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</si>
  <si>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</si>
  <si>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</si>
  <si>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</si>
  <si>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</si>
  <si>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</si>
  <si>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</si>
  <si>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</si>
  <si>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</si>
  <si>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</si>
  <si>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</si>
  <si>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</si>
  <si>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</si>
  <si>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</si>
  <si>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</si>
  <si>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</si>
  <si>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</si>
  <si>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</si>
  <si>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</si>
  <si>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</si>
  <si>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</si>
  <si>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</si>
  <si>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</si>
  <si>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</si>
  <si>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</si>
  <si>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</si>
  <si>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</si>
  <si>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</si>
  <si>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</si>
  <si>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</si>
  <si>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</si>
  <si>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</si>
  <si>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</si>
  <si>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</si>
  <si>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</si>
  <si>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</si>
  <si>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</si>
  <si>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</si>
  <si>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</si>
  <si>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</si>
  <si>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</si>
  <si>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</si>
  <si>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</si>
  <si>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</si>
  <si>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</si>
  <si>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</si>
  <si>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</si>
  <si>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</si>
  <si>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</si>
  <si>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</si>
  <si>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</si>
  <si>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</si>
  <si>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</si>
  <si>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</si>
  <si>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</si>
  <si>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</si>
  <si>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</si>
  <si>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</si>
  <si>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</si>
  <si>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</si>
  <si>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</si>
  <si>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</si>
  <si>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</si>
  <si>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</si>
  <si>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</si>
  <si>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</si>
  <si>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</si>
  <si>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</si>
  <si>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</si>
  <si>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</si>
  <si>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</si>
  <si>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</si>
  <si>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</si>
  <si>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</si>
  <si>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</si>
  <si>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</si>
  <si>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</si>
  <si>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</si>
  <si>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</si>
  <si>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</si>
  <si>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</si>
  <si>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</si>
  <si>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</si>
  <si>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</si>
  <si>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</si>
  <si>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</si>
  <si>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</si>
  <si>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</si>
  <si>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</si>
  <si>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</si>
  <si>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</si>
  <si>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</si>
  <si>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</si>
  <si>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</si>
  <si>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</si>
  <si>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</si>
  <si>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</si>
  <si>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</si>
  <si>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</si>
  <si>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</si>
  <si>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</si>
  <si>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</si>
  <si>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</si>
  <si>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</si>
  <si>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</si>
  <si>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</si>
  <si>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</si>
  <si>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</si>
  <si>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</si>
  <si>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</si>
  <si>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</si>
  <si>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</si>
  <si>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</si>
  <si>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</si>
  <si>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</si>
  <si>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</si>
  <si>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</si>
  <si>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</si>
  <si>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</si>
  <si>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</si>
  <si>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</si>
  <si>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</si>
  <si>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</si>
  <si>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</si>
  <si>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</si>
  <si>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</si>
  <si>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</si>
  <si>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</si>
  <si>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</si>
  <si>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</si>
  <si>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</si>
  <si>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</si>
  <si>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</si>
  <si>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</si>
  <si>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</si>
  <si>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</si>
  <si>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</si>
  <si>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</si>
  <si>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</si>
  <si>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</si>
  <si>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</si>
  <si>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</si>
  <si>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</si>
  <si>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</si>
  <si>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</si>
  <si>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</si>
  <si>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</si>
  <si>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</si>
  <si>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</si>
  <si>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</si>
  <si>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</si>
  <si>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</si>
  <si>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</si>
  <si>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</si>
  <si>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</si>
  <si>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</si>
  <si>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</si>
  <si>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</si>
  <si>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</si>
  <si>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</si>
  <si>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</si>
  <si>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</si>
  <si>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</si>
  <si>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</si>
  <si>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</si>
  <si>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</si>
  <si>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</si>
  <si>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</si>
  <si>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</si>
  <si>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</si>
  <si>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</si>
  <si>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</si>
  <si>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</si>
  <si>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</si>
  <si>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</si>
  <si>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</si>
  <si>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</si>
  <si>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</si>
  <si>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</si>
  <si>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</si>
  <si>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</si>
  <si>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</si>
  <si>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</si>
  <si>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</si>
  <si>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</si>
  <si>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</si>
  <si>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</si>
  <si>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</si>
  <si>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</si>
  <si>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</si>
  <si>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</si>
  <si>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</si>
  <si>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</si>
  <si>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</si>
  <si>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</si>
  <si>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</si>
  <si>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</si>
  <si>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</si>
  <si>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</si>
  <si>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</si>
  <si>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</si>
  <si>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</si>
  <si>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</si>
  <si>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</si>
  <si>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</si>
  <si>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</si>
  <si>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</si>
  <si>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</si>
  <si>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</si>
  <si>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</si>
  <si>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</si>
  <si>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</si>
  <si>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</si>
  <si>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</si>
  <si>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</si>
  <si>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</si>
  <si>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</si>
  <si>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</si>
  <si>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</si>
  <si>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</si>
  <si>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</si>
  <si>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</si>
  <si>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</si>
  <si>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</si>
  <si>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</si>
  <si>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</si>
  <si>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</si>
  <si>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</si>
  <si>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</si>
  <si>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</si>
  <si>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</si>
  <si>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</si>
  <si>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</si>
  <si>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</si>
  <si>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</si>
  <si>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</si>
  <si>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</si>
  <si>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</si>
  <si>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</si>
  <si>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</si>
  <si>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</si>
  <si>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</si>
  <si>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</si>
  <si>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</si>
  <si>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</si>
  <si>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</si>
  <si>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</si>
  <si>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</si>
  <si>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</si>
  <si>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</si>
  <si>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</si>
  <si>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</si>
  <si>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</si>
  <si>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</si>
  <si>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</si>
  <si>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</si>
  <si>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</si>
  <si>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</si>
  <si>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</si>
  <si>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</si>
  <si>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</si>
  <si>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</si>
  <si>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</si>
  <si>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</si>
  <si>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</si>
  <si>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</si>
  <si>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</si>
  <si>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</si>
  <si>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</si>
  <si>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</si>
  <si>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</si>
  <si>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</si>
  <si>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</si>
  <si>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</si>
  <si>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</si>
  <si>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</si>
  <si>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</si>
  <si>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</si>
  <si>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</si>
  <si>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</si>
  <si>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</si>
  <si>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</si>
  <si>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</si>
  <si>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</si>
  <si>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</si>
  <si>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</si>
  <si>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</si>
  <si>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</si>
  <si>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</si>
  <si>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</si>
  <si>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</si>
  <si>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</si>
  <si>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</si>
  <si>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</si>
  <si>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</si>
  <si>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</si>
  <si>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</si>
  <si>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</si>
  <si>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</si>
  <si>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</si>
  <si>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</si>
  <si>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</si>
  <si>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</si>
  <si>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</si>
  <si>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</si>
  <si>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</si>
  <si>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</si>
  <si>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</si>
  <si>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</si>
  <si>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</si>
  <si>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</si>
  <si>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</si>
  <si>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</si>
  <si>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</si>
  <si>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</si>
  <si>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</si>
  <si>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</si>
  <si>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</si>
  <si>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</si>
  <si>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</si>
  <si>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</si>
  <si>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</si>
  <si>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</si>
  <si>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</si>
  <si>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</si>
  <si>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</si>
  <si>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</si>
  <si>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</si>
  <si>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</si>
  <si>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</si>
  <si>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</si>
  <si>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</si>
  <si>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</si>
  <si>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</si>
  <si>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</si>
  <si>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</si>
  <si>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</si>
  <si>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</si>
  <si>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</si>
  <si>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</si>
  <si>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</si>
  <si>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</si>
  <si>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</si>
  <si>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</si>
  <si>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</si>
  <si>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</si>
  <si>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</si>
  <si>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</si>
  <si>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</si>
  <si>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</si>
  <si>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</si>
  <si>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</si>
  <si>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</si>
  <si>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</si>
  <si>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</si>
  <si>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</si>
  <si>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</si>
  <si>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</si>
  <si>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</si>
  <si>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</si>
  <si>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</si>
  <si>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</si>
  <si>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</si>
  <si>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</si>
  <si>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</si>
  <si>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</si>
  <si>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</si>
  <si>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</si>
  <si>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</si>
  <si>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</si>
  <si>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</si>
  <si>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</si>
  <si>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</si>
  <si>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</si>
  <si>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</si>
  <si>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</si>
  <si>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</si>
  <si>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</si>
  <si>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</si>
  <si>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</si>
  <si>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</si>
  <si>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</si>
  <si>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</si>
  <si>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</si>
  <si>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</si>
  <si>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</si>
  <si>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</si>
  <si>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</si>
  <si>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</si>
  <si>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</si>
  <si>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</si>
  <si>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</si>
  <si>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</si>
  <si>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</si>
  <si>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</si>
  <si>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</si>
  <si>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</si>
  <si>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</si>
  <si>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</si>
  <si>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</si>
  <si>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</si>
  <si>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</si>
  <si>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</si>
  <si>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</si>
  <si>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</si>
  <si>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</si>
  <si>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</si>
  <si>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</si>
  <si>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</si>
  <si>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</si>
  <si>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</si>
  <si>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</si>
  <si>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</si>
  <si>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</si>
  <si>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</si>
  <si>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</si>
  <si>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</si>
  <si>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</si>
  <si>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</si>
  <si>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</si>
  <si>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</si>
  <si>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</si>
  <si>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</si>
  <si>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</si>
  <si>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</si>
  <si>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</si>
  <si>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</si>
  <si>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</si>
  <si>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</si>
  <si>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</si>
  <si>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</si>
  <si>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</si>
  <si>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</si>
  <si>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</si>
  <si>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</si>
  <si>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</si>
  <si>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</si>
  <si>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</si>
  <si>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</si>
  <si>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</si>
  <si>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</si>
  <si>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</si>
  <si>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</si>
  <si>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</si>
  <si>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</si>
  <si>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</si>
  <si>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</si>
  <si>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</si>
  <si>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</si>
  <si>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</si>
  <si>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</si>
  <si>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</si>
  <si>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</si>
  <si>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</si>
  <si>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</si>
  <si>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</si>
  <si>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</si>
  <si>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</si>
  <si>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</si>
  <si>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</si>
  <si>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</si>
  <si>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</si>
  <si>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</si>
  <si>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</si>
  <si>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</si>
  <si>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</si>
  <si>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</si>
  <si>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</si>
  <si>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</si>
  <si>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</si>
  <si>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</si>
  <si>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</si>
  <si>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</si>
  <si>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</si>
  <si>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</si>
  <si>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</si>
  <si>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</si>
  <si>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</si>
  <si>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</si>
  <si>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</si>
  <si>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</si>
  <si>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</si>
  <si>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</si>
  <si>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</si>
  <si>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</si>
  <si>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</si>
  <si>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</si>
  <si>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</si>
  <si>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</si>
  <si>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</si>
  <si>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</si>
  <si>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</si>
  <si>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</si>
  <si>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</si>
  <si>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</si>
  <si>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</si>
  <si>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</si>
  <si>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</si>
  <si>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</si>
  <si>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</si>
  <si>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</si>
  <si>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</si>
  <si>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</si>
  <si>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</si>
  <si>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</si>
  <si>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</si>
  <si>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</si>
  <si>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</si>
  <si>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</si>
  <si>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</si>
  <si>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</si>
  <si>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</si>
  <si>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</si>
  <si>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</si>
  <si>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</si>
  <si>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</si>
  <si>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</si>
  <si>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</si>
  <si>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</si>
  <si>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</si>
  <si>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</si>
  <si>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</si>
  <si>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</si>
  <si>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</si>
  <si>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</si>
  <si>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</si>
  <si>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</si>
  <si>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</si>
  <si>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</si>
  <si>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</si>
  <si>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</si>
  <si>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</si>
  <si>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</si>
  <si>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</si>
  <si>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</si>
  <si>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</si>
  <si>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</si>
  <si>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</si>
  <si>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</si>
  <si>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</si>
  <si>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</si>
  <si>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</si>
  <si>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</si>
  <si>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</si>
  <si>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</si>
  <si>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</si>
  <si>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</si>
  <si>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</si>
  <si>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</si>
  <si>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</si>
  <si>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</si>
  <si>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</si>
  <si>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</si>
  <si>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</si>
  <si>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</si>
  <si>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</si>
  <si>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</si>
  <si>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</si>
  <si>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</si>
  <si>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</si>
  <si>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</si>
  <si>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</si>
  <si>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</si>
  <si>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</si>
  <si>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</si>
  <si>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</si>
  <si>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</si>
  <si>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</si>
  <si>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</si>
  <si>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</si>
  <si>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</si>
  <si>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</si>
  <si>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</si>
  <si>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</si>
  <si>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</si>
  <si>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</si>
  <si>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</si>
  <si>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</si>
  <si>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</si>
  <si>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</si>
  <si>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</si>
  <si>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</si>
  <si>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</si>
  <si>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</si>
  <si>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</si>
  <si>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</si>
  <si>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</si>
  <si>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</si>
  <si>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</si>
  <si>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</si>
  <si>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</si>
  <si>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</si>
  <si>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</si>
  <si>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</si>
  <si>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</si>
  <si>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</si>
  <si>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</si>
  <si>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</si>
  <si>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</si>
  <si>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</si>
  <si>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</si>
  <si>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</si>
  <si>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</si>
  <si>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</si>
  <si>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</si>
  <si>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</si>
  <si>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</si>
  <si>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</si>
  <si>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</si>
  <si>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</si>
  <si>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</si>
  <si>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</si>
  <si>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</si>
  <si>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</si>
  <si>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</si>
  <si>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</si>
  <si>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</si>
  <si>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</si>
  <si>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</si>
  <si>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</si>
  <si>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</si>
  <si>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</si>
  <si>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</si>
  <si>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</si>
  <si>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</si>
  <si>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</si>
  <si>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</si>
  <si>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</si>
  <si>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</si>
  <si>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</si>
  <si>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</si>
  <si>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</si>
  <si>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</si>
  <si>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</si>
  <si>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</si>
  <si>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</si>
  <si>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</si>
  <si>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</si>
  <si>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</si>
  <si>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</si>
  <si>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</si>
  <si>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</si>
  <si>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</si>
  <si>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</si>
  <si>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</si>
  <si>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</si>
  <si>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</si>
  <si>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</si>
  <si>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</si>
  <si>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</si>
  <si>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</si>
  <si>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</si>
  <si>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</si>
  <si>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</si>
  <si>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</si>
  <si>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</si>
  <si>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</si>
  <si>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</si>
  <si>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</si>
  <si>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</si>
  <si>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</si>
  <si>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</si>
  <si>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</si>
  <si>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</si>
  <si>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</si>
  <si>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</si>
  <si>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</si>
  <si>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</si>
  <si>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</si>
  <si>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</si>
  <si>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</si>
  <si>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</si>
  <si>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</si>
  <si>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</si>
  <si>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</si>
  <si>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</si>
  <si>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</si>
  <si>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</si>
  <si>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</si>
  <si>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</si>
  <si>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</si>
  <si>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</si>
  <si>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</si>
  <si>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</si>
  <si>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</si>
  <si>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</si>
  <si>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</si>
  <si>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</si>
  <si>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</si>
  <si>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</si>
  <si>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</si>
  <si>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</si>
  <si>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</si>
  <si>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</si>
  <si>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</si>
  <si>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</si>
  <si>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</si>
  <si>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</si>
  <si>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</si>
  <si>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</si>
  <si>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</si>
  <si>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</si>
  <si>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</si>
  <si>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</si>
  <si>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</si>
  <si>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</si>
  <si>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</si>
  <si>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</si>
  <si>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</si>
  <si>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</si>
  <si>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</si>
  <si>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</si>
  <si>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</si>
  <si>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</si>
  <si>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</si>
  <si>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</si>
  <si>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</si>
  <si>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</si>
  <si>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</si>
  <si>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</si>
  <si>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</si>
  <si>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</si>
  <si>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</si>
  <si>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</si>
  <si>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</si>
  <si>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</si>
  <si>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</si>
  <si>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</si>
  <si>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</si>
  <si>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</si>
  <si>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</si>
  <si>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</si>
  <si>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</si>
  <si>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</si>
  <si>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</si>
  <si>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</si>
  <si>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</si>
  <si>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</si>
  <si>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</si>
  <si>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</si>
  <si>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</si>
  <si>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</si>
  <si>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</si>
  <si>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</si>
  <si>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</si>
  <si>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</si>
  <si>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</si>
  <si>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</si>
  <si>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</si>
  <si>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</si>
  <si>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</si>
  <si>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</si>
  <si>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</si>
  <si>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</si>
  <si>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</si>
  <si>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</si>
  <si>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</si>
  <si>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</si>
  <si>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</si>
  <si>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</si>
  <si>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</si>
  <si>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</si>
  <si>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</si>
  <si>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</si>
  <si>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</si>
  <si>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</si>
  <si>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</si>
  <si>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</si>
  <si>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</si>
  <si>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</si>
  <si>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</si>
  <si>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</si>
  <si>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</si>
  <si>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</si>
  <si>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</si>
  <si>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</si>
  <si>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</si>
  <si>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</si>
  <si>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</si>
  <si>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</si>
  <si>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</si>
  <si>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</si>
  <si>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</si>
  <si>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</si>
  <si>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</si>
  <si>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</si>
  <si>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</si>
  <si>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</si>
  <si>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</si>
  <si>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</si>
  <si>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</si>
  <si>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</si>
  <si>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</si>
  <si>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</si>
  <si>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</si>
  <si>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</si>
  <si>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</si>
  <si>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</si>
  <si>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</si>
  <si>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</si>
  <si>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</si>
  <si>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</si>
  <si>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</si>
  <si>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</si>
  <si>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</si>
  <si>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</si>
  <si>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</si>
  <si>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</si>
  <si>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</si>
  <si>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</si>
  <si>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</si>
  <si>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</si>
  <si>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</si>
  <si>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</si>
  <si>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</si>
  <si>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</si>
  <si>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</si>
  <si>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</si>
  <si>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</si>
  <si>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</si>
  <si>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</si>
  <si>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</si>
  <si>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</si>
  <si>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</si>
  <si>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</si>
  <si>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</si>
  <si>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</si>
  <si>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</si>
  <si>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</si>
  <si>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</si>
  <si>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</si>
  <si>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</si>
  <si>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</si>
  <si>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</si>
  <si>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</si>
  <si>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</si>
  <si>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</si>
  <si>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</si>
  <si>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</si>
  <si>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</si>
  <si>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</si>
  <si>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</si>
  <si>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</si>
  <si>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</si>
  <si>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</si>
  <si>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</si>
  <si>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</si>
  <si>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</si>
  <si>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</si>
  <si>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</si>
  <si>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</si>
  <si>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</si>
  <si>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</si>
  <si>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</si>
  <si>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</si>
  <si>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</si>
  <si>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</si>
  <si>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</si>
  <si>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</si>
  <si>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</si>
  <si>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</si>
  <si>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</si>
  <si>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</si>
  <si>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</si>
  <si>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</si>
  <si>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</si>
  <si>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</si>
  <si>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</si>
  <si>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</si>
  <si>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</si>
  <si>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</si>
  <si>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</si>
  <si>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</si>
  <si>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</si>
  <si>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</si>
  <si>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</si>
  <si>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</si>
  <si>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</si>
  <si>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</si>
  <si>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</si>
  <si>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</si>
  <si>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</si>
  <si>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</si>
  <si>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</si>
  <si>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</si>
  <si>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</si>
  <si>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</si>
  <si>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</si>
  <si>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</si>
  <si>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</si>
  <si>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</si>
  <si>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</si>
  <si>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</si>
  <si>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</si>
  <si>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</si>
  <si>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</si>
  <si>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</si>
  <si>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</si>
  <si>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</si>
  <si>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</si>
  <si>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</si>
  <si>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</si>
  <si>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</si>
  <si>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</si>
  <si>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</si>
  <si>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</si>
  <si>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</si>
  <si>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</si>
  <si>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</si>
  <si>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</si>
  <si>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</si>
  <si>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</si>
  <si>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</si>
  <si>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</si>
  <si>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</si>
  <si>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</si>
  <si>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</si>
  <si>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</si>
  <si>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</si>
  <si>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</si>
  <si>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</si>
  <si>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</si>
  <si>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</si>
  <si>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</si>
  <si>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</si>
  <si>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</si>
  <si>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</si>
  <si>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</si>
  <si>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</si>
  <si>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</si>
  <si>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</si>
  <si>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</si>
  <si>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</si>
  <si>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</si>
  <si>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</si>
  <si>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</si>
  <si>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</si>
  <si>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</si>
  <si>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</si>
  <si>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</si>
  <si>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</si>
  <si>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</si>
  <si>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</si>
  <si>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</si>
  <si>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</si>
  <si>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</si>
  <si>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</si>
  <si>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</si>
  <si>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</si>
  <si>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</si>
  <si>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</si>
  <si>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</si>
  <si>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</si>
  <si>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</si>
  <si>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</si>
  <si>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</si>
  <si>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</si>
  <si>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</si>
  <si>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</si>
  <si>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</si>
  <si>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</si>
  <si>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</si>
  <si>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</si>
  <si>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</si>
  <si>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</si>
  <si>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</si>
  <si>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</si>
  <si>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</si>
  <si>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</si>
  <si>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</si>
  <si>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</si>
  <si>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</si>
  <si>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</si>
  <si>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</si>
  <si>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</si>
  <si>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</si>
  <si>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</si>
  <si>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</si>
  <si>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</si>
  <si>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</si>
  <si>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</si>
  <si>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</si>
  <si>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</si>
  <si>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</si>
  <si>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</si>
  <si>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</si>
  <si>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</si>
  <si>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</si>
  <si>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</si>
  <si>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</si>
  <si>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</si>
  <si>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</si>
  <si>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</si>
  <si>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</si>
  <si>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</si>
  <si>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</si>
  <si>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</si>
  <si>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</si>
  <si>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</si>
  <si>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</si>
  <si>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</si>
  <si>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</si>
  <si>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</si>
  <si>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</si>
  <si>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</si>
  <si>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</si>
  <si>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</si>
  <si>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</si>
  <si>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</si>
  <si>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</si>
  <si>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</si>
  <si>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</si>
  <si>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</si>
  <si>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</si>
  <si>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</si>
  <si>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</si>
  <si>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</si>
  <si>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</si>
  <si>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</si>
  <si>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</si>
  <si>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</si>
  <si>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</si>
  <si>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</si>
  <si>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</si>
  <si>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</si>
  <si>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</si>
  <si>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</si>
  <si>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</si>
  <si>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</si>
  <si>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</si>
  <si>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</si>
  <si>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</si>
  <si>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</si>
  <si>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</si>
  <si>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</si>
  <si>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</si>
  <si>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</si>
  <si>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</si>
  <si>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</si>
  <si>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</si>
  <si>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</si>
  <si>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</si>
  <si>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</si>
  <si>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</si>
  <si>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</si>
  <si>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</si>
  <si>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</si>
  <si>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</si>
  <si>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</si>
  <si>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</si>
  <si>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</si>
  <si>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</si>
  <si>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</si>
  <si>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</si>
  <si>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</si>
  <si>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</si>
  <si>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</si>
  <si>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</si>
  <si>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</si>
  <si>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</si>
  <si>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</si>
  <si>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</si>
  <si>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</si>
  <si>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</si>
  <si>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</si>
  <si>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</si>
  <si>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</si>
  <si>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</si>
  <si>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</si>
  <si>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</si>
  <si>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</si>
  <si>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</si>
  <si>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</si>
  <si>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</si>
  <si>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</si>
  <si>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</si>
  <si>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</si>
  <si>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</si>
  <si>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</si>
  <si>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</si>
  <si>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</si>
  <si>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</si>
  <si>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</si>
  <si>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</si>
  <si>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</si>
  <si>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</si>
  <si>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</si>
  <si>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</si>
  <si>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</si>
  <si>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</si>
  <si>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</si>
  <si>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</si>
  <si>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</si>
  <si>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</si>
  <si>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</si>
  <si>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</si>
  <si>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</si>
  <si>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</si>
  <si>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</si>
  <si>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</si>
  <si>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</si>
  <si>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</si>
  <si>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</si>
  <si>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</si>
  <si>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</si>
  <si>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</si>
  <si>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</si>
  <si>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</si>
  <si>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</si>
  <si>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</si>
  <si>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</si>
  <si>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</si>
  <si>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</si>
  <si>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</si>
  <si>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</si>
  <si>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</si>
  <si>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</si>
  <si>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</si>
  <si>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</si>
  <si>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</si>
  <si>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</si>
  <si>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</si>
  <si>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</si>
  <si>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</si>
  <si>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</si>
  <si>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</si>
  <si>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</si>
  <si>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</si>
  <si>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</si>
  <si>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</si>
  <si>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</si>
  <si>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</si>
  <si>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</si>
  <si>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</si>
  <si>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</si>
  <si>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</si>
  <si>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</si>
  <si>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</si>
  <si>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</si>
  <si>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</si>
  <si>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</si>
  <si>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</si>
  <si>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</si>
  <si>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</si>
  <si>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</si>
  <si>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</si>
  <si>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</si>
  <si>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</si>
  <si>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</si>
  <si>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</si>
  <si>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</si>
  <si>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</si>
  <si>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</si>
  <si>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</si>
  <si>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</si>
  <si>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</si>
  <si>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</si>
  <si>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</si>
  <si>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</si>
  <si>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</si>
  <si>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</si>
  <si>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</si>
  <si>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</si>
  <si>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</si>
  <si>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</si>
  <si>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</si>
  <si>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</si>
  <si>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</si>
  <si>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</si>
  <si>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</si>
  <si>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</si>
  <si>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</si>
  <si>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</si>
  <si>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</si>
  <si>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</si>
  <si>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</si>
  <si>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</si>
  <si>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</si>
  <si>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</si>
  <si>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</si>
  <si>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</si>
  <si>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</si>
  <si>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</si>
  <si>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</si>
  <si>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</si>
  <si>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</si>
  <si>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</si>
  <si>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</si>
  <si>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</si>
  <si>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</si>
  <si>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</si>
  <si>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</si>
  <si>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</si>
  <si>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</si>
  <si>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</si>
  <si>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</si>
  <si>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</si>
  <si>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</si>
  <si>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</si>
  <si>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</si>
  <si>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</si>
  <si>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</si>
  <si>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</si>
  <si>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</si>
  <si>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</si>
  <si>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</si>
  <si>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</si>
  <si>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</si>
  <si>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</si>
  <si>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</si>
  <si>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</si>
  <si>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</si>
  <si>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</si>
  <si>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</si>
  <si>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</si>
  <si>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</si>
  <si>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</si>
  <si>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</si>
  <si>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</si>
  <si>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</si>
  <si>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</si>
  <si>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</si>
  <si>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</si>
  <si>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</si>
  <si>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</si>
  <si>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</si>
  <si>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</si>
  <si>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</si>
  <si>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</si>
  <si>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</si>
  <si>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</si>
  <si>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</si>
  <si>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</si>
  <si>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</si>
  <si>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</si>
  <si>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</si>
  <si>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</si>
  <si>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</si>
  <si>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</si>
  <si>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</si>
  <si>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</si>
  <si>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</si>
  <si>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</si>
  <si>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</si>
  <si>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</si>
  <si>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</si>
  <si>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</si>
  <si>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</si>
  <si>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</si>
  <si>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</si>
  <si>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</si>
  <si>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</si>
  <si>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</si>
  <si>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</si>
  <si>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</si>
  <si>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</si>
  <si>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</si>
  <si>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</si>
  <si>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</si>
  <si>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</si>
  <si>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</si>
  <si>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</si>
  <si>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</si>
  <si>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</si>
  <si>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</si>
  <si>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</si>
  <si>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</si>
  <si>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</si>
  <si>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</si>
  <si>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</si>
  <si>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</si>
  <si>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</si>
  <si>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</si>
  <si>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</si>
  <si>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</si>
  <si>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</si>
  <si>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</si>
  <si>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</si>
  <si>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</si>
  <si>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</si>
  <si>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</si>
  <si>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</si>
  <si>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</si>
  <si>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</si>
  <si>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</si>
  <si>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</si>
  <si>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</si>
  <si>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</si>
  <si>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</si>
  <si>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</si>
  <si>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</si>
  <si>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</si>
  <si>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</si>
  <si>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</si>
  <si>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</si>
  <si>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</si>
  <si>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</si>
  <si>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</si>
  <si>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</si>
  <si>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</si>
  <si>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</si>
  <si>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</si>
  <si>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</si>
  <si>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</si>
  <si>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</si>
  <si>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</si>
  <si>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</si>
  <si>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</si>
  <si>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</si>
  <si>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</si>
  <si>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</si>
  <si>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</si>
  <si>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</si>
  <si>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</si>
  <si>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</si>
  <si>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</si>
  <si>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</si>
  <si>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</si>
  <si>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</si>
  <si>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</si>
  <si>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</si>
  <si>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</si>
  <si>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</si>
  <si>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</si>
  <si>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</si>
  <si>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</si>
  <si>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</si>
  <si>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</si>
  <si>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</si>
  <si>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</si>
  <si>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</si>
  <si>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</si>
  <si>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</si>
  <si>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</si>
  <si>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</si>
  <si>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</si>
  <si>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</si>
  <si>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</si>
  <si>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</si>
  <si>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</si>
  <si>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</si>
  <si>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</si>
  <si>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</si>
  <si>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</si>
  <si>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</si>
  <si>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</si>
  <si>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</si>
  <si>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</si>
  <si>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</si>
  <si>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</si>
  <si>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</si>
  <si>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</si>
  <si>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</si>
  <si>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</si>
  <si>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</si>
  <si>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</si>
  <si>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</si>
  <si>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</si>
  <si>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</si>
  <si>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</si>
  <si>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</si>
  <si>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</si>
  <si>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</si>
  <si>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</si>
  <si>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</si>
  <si>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</si>
  <si>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</si>
  <si>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</si>
  <si>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</si>
  <si>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</si>
  <si>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</si>
  <si>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</si>
  <si>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</si>
  <si>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</si>
  <si>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</si>
  <si>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</si>
  <si>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</si>
  <si>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</si>
  <si>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</si>
  <si>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</si>
  <si>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</si>
  <si>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</si>
  <si>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</si>
  <si>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</si>
  <si>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</si>
  <si>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</si>
  <si>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</si>
  <si>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</si>
  <si>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</si>
  <si>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</si>
  <si>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</si>
  <si>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</si>
  <si>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</si>
  <si>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</si>
  <si>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</si>
  <si>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</si>
  <si>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</si>
  <si>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</si>
  <si>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</si>
  <si>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</si>
  <si>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</si>
  <si>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</si>
  <si>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</si>
  <si>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</si>
  <si>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</si>
  <si>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</si>
  <si>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</si>
  <si>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</si>
  <si>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</si>
  <si>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</si>
  <si>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</si>
  <si>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</si>
  <si>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</si>
  <si>
    <t>Wig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</si>
</sst>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3" fontId="0" fillId="0" borderId="0" xfId="0" applyNumberFormat="1"/>
    <xf numFmtId="0" fontId="0" fillId="2" borderId="0" xfId="0" applyFill="1"/>
    <xf numFmtId="173" fontId="0" fillId="2" borderId="0" xfId="0" applyNumberForma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1"/>
  <sheetViews>
    <sheetView topLeftCell="BW1" workbookViewId="0">
      <selection activeCell="CC1" sqref="CC1"/>
    </sheetView>
  </sheetViews>
  <sheetFormatPr defaultRowHeight="15" x14ac:dyDescent="0.25"/>
  <cols>
    <col min="28" max="28" width="68.42578125" bestFit="1" customWidth="1"/>
    <col min="85" max="85" width="24.5703125" bestFit="1" customWidth="1"/>
    <col min="86" max="86" width="23.140625" bestFit="1" customWidth="1"/>
    <col min="87" max="87" width="22.5703125" bestFit="1" customWidth="1"/>
    <col min="88" max="88" width="12.7109375" bestFit="1" customWidth="1"/>
    <col min="89" max="89" width="13.42578125" bestFit="1" customWidth="1"/>
    <col min="90" max="90" width="9.140625" customWidth="1"/>
    <col min="91" max="91" width="13.140625" bestFit="1" customWidth="1"/>
    <col min="92" max="92" width="14.42578125" bestFit="1" customWidth="1"/>
    <col min="93" max="93" width="12" bestFit="1" customWidth="1"/>
    <col min="95" max="95" width="17.85546875" bestFit="1" customWidth="1"/>
    <col min="96" max="96" width="10.5703125" bestFit="1" customWidth="1"/>
    <col min="98" max="98" width="11.28515625" bestFit="1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10</v>
      </c>
      <c r="CP1" s="5" t="s">
        <v>1752</v>
      </c>
    </row>
    <row r="2" spans="1:98" s="3" customFormat="1" x14ac:dyDescent="0.25">
      <c r="A2" s="3">
        <v>67</v>
      </c>
      <c r="B2" s="3" t="s">
        <v>92</v>
      </c>
      <c r="C2" s="3" t="s">
        <v>192</v>
      </c>
      <c r="D2" s="3" t="s">
        <v>292</v>
      </c>
      <c r="E2" s="3" t="s">
        <v>392</v>
      </c>
      <c r="F2" s="3">
        <v>461510538</v>
      </c>
      <c r="G2" s="3">
        <v>20.09</v>
      </c>
      <c r="H2" s="3" t="s">
        <v>407</v>
      </c>
      <c r="I2" s="3">
        <v>9271746708.4200001</v>
      </c>
      <c r="J2" s="3" t="s">
        <v>413</v>
      </c>
      <c r="K2" s="3">
        <v>23095735.4445238</v>
      </c>
      <c r="L2" s="3">
        <v>0.75</v>
      </c>
      <c r="M2" s="3">
        <v>50202010</v>
      </c>
      <c r="N2" s="3">
        <v>5020</v>
      </c>
      <c r="O2" s="3">
        <v>1.99805211144036</v>
      </c>
      <c r="P2" s="3">
        <v>3.1</v>
      </c>
      <c r="Q2" s="3" t="s">
        <v>415</v>
      </c>
      <c r="R2" s="3" t="s">
        <v>421</v>
      </c>
      <c r="S2" s="3">
        <v>0</v>
      </c>
      <c r="T2" s="3">
        <v>0</v>
      </c>
      <c r="U2" s="3" t="s">
        <v>421</v>
      </c>
      <c r="V2" s="3" t="s">
        <v>421</v>
      </c>
      <c r="W2" s="3" t="s">
        <v>421</v>
      </c>
      <c r="X2" s="3" t="s">
        <v>421</v>
      </c>
      <c r="Y2" s="3" t="s">
        <v>421</v>
      </c>
      <c r="Z2" s="3" t="s">
        <v>421</v>
      </c>
      <c r="AA2" s="3" t="s">
        <v>421</v>
      </c>
      <c r="AB2" s="3">
        <v>0</v>
      </c>
      <c r="AC2" s="3">
        <v>0</v>
      </c>
      <c r="AD2" s="3">
        <v>0</v>
      </c>
      <c r="AF2" s="3">
        <v>0</v>
      </c>
      <c r="AG2" s="3" t="s">
        <v>423</v>
      </c>
      <c r="AI2" s="3" t="s">
        <v>423</v>
      </c>
      <c r="AJ2" s="3" t="s">
        <v>423</v>
      </c>
      <c r="AK2" s="3" t="s">
        <v>423</v>
      </c>
      <c r="AM2" s="3">
        <v>0</v>
      </c>
      <c r="AN2" s="3">
        <v>0</v>
      </c>
      <c r="AO2" s="3">
        <v>0</v>
      </c>
      <c r="AP2" s="3">
        <v>0</v>
      </c>
      <c r="AQ2" s="3">
        <v>2.7949999999999999</v>
      </c>
      <c r="AR2" s="3">
        <v>3.363</v>
      </c>
      <c r="AS2" s="3" t="s">
        <v>418</v>
      </c>
      <c r="AT2" s="3">
        <v>1</v>
      </c>
      <c r="AU2" s="3">
        <v>1</v>
      </c>
      <c r="AV2" s="3" t="s">
        <v>433</v>
      </c>
      <c r="AW2" s="3">
        <v>0</v>
      </c>
      <c r="AX2" s="3">
        <v>0</v>
      </c>
      <c r="AY2" s="3">
        <v>0</v>
      </c>
      <c r="CC2" s="3">
        <v>3.0790000000000002</v>
      </c>
      <c r="CE2" s="3" t="s">
        <v>450</v>
      </c>
      <c r="CG2" s="3">
        <v>1.99805211144036</v>
      </c>
      <c r="CH2" s="3">
        <v>3.1</v>
      </c>
      <c r="CI2" s="3">
        <v>2.54902605572018</v>
      </c>
      <c r="CJ2" s="3">
        <v>-0.3</v>
      </c>
      <c r="CK2" s="3">
        <v>2.2490260557201802</v>
      </c>
      <c r="CL2" s="3">
        <v>0</v>
      </c>
      <c r="CM2" s="3">
        <v>1.9900527951295311E-2</v>
      </c>
      <c r="CN2" s="3">
        <v>0</v>
      </c>
      <c r="CO2" s="3">
        <v>23095735.4445238</v>
      </c>
      <c r="CP2" s="3">
        <f>I2/SUM($I$2:$I$101)</f>
        <v>2.5787263679024554E-3</v>
      </c>
      <c r="CQ2" s="4">
        <f>(CO2*0.3*5)/2000000000</f>
        <v>1.7321801583392853E-2</v>
      </c>
      <c r="CR2" s="4">
        <f>CQ2+CP2</f>
        <v>1.9900527951295308E-2</v>
      </c>
      <c r="CS2" s="3" t="b">
        <f>CM2=CR2</f>
        <v>1</v>
      </c>
      <c r="CT2" s="4">
        <f>CR2-CM2</f>
        <v>0</v>
      </c>
    </row>
    <row r="3" spans="1:98" s="3" customFormat="1" x14ac:dyDescent="0.25">
      <c r="A3" s="3">
        <v>254</v>
      </c>
      <c r="B3" s="3" t="s">
        <v>93</v>
      </c>
      <c r="C3" s="3" t="s">
        <v>193</v>
      </c>
      <c r="D3" s="3" t="s">
        <v>293</v>
      </c>
      <c r="E3" s="3" t="s">
        <v>393</v>
      </c>
      <c r="F3" s="3">
        <v>492601440</v>
      </c>
      <c r="G3" s="3">
        <v>10.556570000000001</v>
      </c>
      <c r="H3" s="3" t="s">
        <v>408</v>
      </c>
      <c r="I3" s="3">
        <v>5200181583.4608002</v>
      </c>
      <c r="J3" s="3" t="s">
        <v>414</v>
      </c>
      <c r="K3" s="3">
        <v>15217501.354249701</v>
      </c>
      <c r="L3" s="3">
        <v>0.9</v>
      </c>
      <c r="M3" s="3">
        <v>35101010</v>
      </c>
      <c r="N3" s="3">
        <v>3510</v>
      </c>
      <c r="O3" s="3">
        <v>1.9835888454470301</v>
      </c>
      <c r="Q3" s="3" t="s">
        <v>415</v>
      </c>
      <c r="R3" s="3" t="s">
        <v>421</v>
      </c>
      <c r="S3" s="3">
        <v>0</v>
      </c>
      <c r="T3" s="3">
        <v>0</v>
      </c>
      <c r="U3" s="3" t="s">
        <v>421</v>
      </c>
      <c r="V3" s="3" t="s">
        <v>421</v>
      </c>
      <c r="W3" s="3" t="s">
        <v>421</v>
      </c>
      <c r="X3" s="3" t="s">
        <v>421</v>
      </c>
      <c r="Y3" s="3" t="s">
        <v>421</v>
      </c>
      <c r="Z3" s="3" t="s">
        <v>421</v>
      </c>
      <c r="AA3" s="3" t="s">
        <v>421</v>
      </c>
      <c r="AB3" s="3">
        <v>0</v>
      </c>
      <c r="AC3" s="3">
        <v>0</v>
      </c>
      <c r="AD3" s="3">
        <v>0</v>
      </c>
      <c r="AF3" s="3">
        <v>0</v>
      </c>
      <c r="AG3" s="3" t="s">
        <v>423</v>
      </c>
      <c r="AI3" s="3" t="s">
        <v>423</v>
      </c>
      <c r="AJ3" s="3" t="s">
        <v>423</v>
      </c>
      <c r="AK3" s="3" t="s">
        <v>423</v>
      </c>
      <c r="AM3" s="3">
        <v>0</v>
      </c>
      <c r="AN3" s="3">
        <v>0</v>
      </c>
      <c r="AO3" s="3">
        <v>0</v>
      </c>
      <c r="AP3" s="3">
        <v>0</v>
      </c>
      <c r="AQ3" s="3">
        <v>2.359</v>
      </c>
      <c r="AR3" s="3">
        <v>2.6629999999999998</v>
      </c>
      <c r="AS3" s="3" t="s">
        <v>424</v>
      </c>
      <c r="AT3" s="3">
        <v>1</v>
      </c>
      <c r="AU3" s="3">
        <v>1</v>
      </c>
      <c r="AV3" s="3" t="s">
        <v>434</v>
      </c>
      <c r="AW3" s="3">
        <v>0</v>
      </c>
      <c r="AX3" s="3">
        <v>0</v>
      </c>
      <c r="AY3" s="3">
        <v>0</v>
      </c>
      <c r="CC3" s="3">
        <v>2.5110000000000001</v>
      </c>
      <c r="CE3" s="3" t="s">
        <v>450</v>
      </c>
      <c r="CG3" s="3">
        <v>1.9835888454470301</v>
      </c>
      <c r="CH3" s="3">
        <v>3.4</v>
      </c>
      <c r="CI3" s="3">
        <v>2.6917944227235151</v>
      </c>
      <c r="CJ3" s="3">
        <v>-0.3</v>
      </c>
      <c r="CK3" s="3">
        <v>2.3917944227235148</v>
      </c>
      <c r="CL3" s="3">
        <v>0</v>
      </c>
      <c r="CM3" s="3">
        <v>1.285943875360678E-2</v>
      </c>
      <c r="CN3" s="3">
        <v>0</v>
      </c>
      <c r="CO3" s="3">
        <v>15217501.354249701</v>
      </c>
      <c r="CP3" s="3">
        <f t="shared" ref="CP3:CP66" si="0">I3/SUM($I$2:$I$101)</f>
        <v>1.4463127379195071E-3</v>
      </c>
      <c r="CQ3" s="4">
        <f t="shared" ref="CQ3:CQ15" si="1">(CO3*0.3*5)/2000000000</f>
        <v>1.1413126015687275E-2</v>
      </c>
      <c r="CR3" s="4">
        <f t="shared" ref="CR3:CR66" si="2">CQ3+CP3</f>
        <v>1.2859438753606782E-2</v>
      </c>
      <c r="CS3" s="3" t="b">
        <f t="shared" ref="CS3:CS66" si="3">CM3=CR3</f>
        <v>1</v>
      </c>
      <c r="CT3" s="4">
        <f t="shared" ref="CT3:CT66" si="4">CR3-CM3</f>
        <v>0</v>
      </c>
    </row>
    <row r="4" spans="1:98" s="3" customFormat="1" x14ac:dyDescent="0.25">
      <c r="A4" s="3">
        <v>368</v>
      </c>
      <c r="B4" s="3" t="s">
        <v>94</v>
      </c>
      <c r="C4" s="3" t="s">
        <v>194</v>
      </c>
      <c r="D4" s="3" t="s">
        <v>294</v>
      </c>
      <c r="E4" s="3" t="s">
        <v>392</v>
      </c>
      <c r="F4" s="3">
        <v>1338435363</v>
      </c>
      <c r="G4" s="3">
        <v>39.72</v>
      </c>
      <c r="H4" s="3" t="s">
        <v>407</v>
      </c>
      <c r="I4" s="3">
        <v>53162652618.360001</v>
      </c>
      <c r="J4" s="3" t="s">
        <v>413</v>
      </c>
      <c r="K4" s="3">
        <v>57311402.692936502</v>
      </c>
      <c r="L4" s="3">
        <v>0.5</v>
      </c>
      <c r="M4" s="3">
        <v>10101015</v>
      </c>
      <c r="N4" s="3">
        <v>1010</v>
      </c>
      <c r="O4" s="3">
        <v>1.99432374876754</v>
      </c>
      <c r="Q4" s="3" t="s">
        <v>416</v>
      </c>
      <c r="R4" s="3" t="s">
        <v>421</v>
      </c>
      <c r="S4" s="3">
        <v>0</v>
      </c>
      <c r="T4" s="3">
        <v>0</v>
      </c>
      <c r="U4" s="3" t="s">
        <v>421</v>
      </c>
      <c r="V4" s="3" t="s">
        <v>421</v>
      </c>
      <c r="W4" s="3" t="s">
        <v>421</v>
      </c>
      <c r="X4" s="3" t="s">
        <v>421</v>
      </c>
      <c r="Y4" s="3" t="s">
        <v>421</v>
      </c>
      <c r="Z4" s="3" t="s">
        <v>421</v>
      </c>
      <c r="AA4" s="3" t="s">
        <v>421</v>
      </c>
      <c r="AB4" s="3">
        <v>0</v>
      </c>
      <c r="AC4" s="3">
        <v>0</v>
      </c>
      <c r="AD4" s="3">
        <v>0</v>
      </c>
      <c r="AF4" s="3">
        <v>0</v>
      </c>
      <c r="AG4" s="3" t="s">
        <v>423</v>
      </c>
      <c r="AI4" s="3" t="s">
        <v>423</v>
      </c>
      <c r="AJ4" s="3" t="s">
        <v>423</v>
      </c>
      <c r="AK4" s="3" t="s">
        <v>423</v>
      </c>
      <c r="AM4" s="3">
        <v>0</v>
      </c>
      <c r="AN4" s="3">
        <v>0</v>
      </c>
      <c r="AO4" s="3">
        <v>0</v>
      </c>
      <c r="AP4" s="3">
        <v>0</v>
      </c>
      <c r="AQ4" s="3">
        <v>2.6360000000000001</v>
      </c>
      <c r="AR4" s="3">
        <v>3.3039999999999998</v>
      </c>
      <c r="AS4" s="3" t="s">
        <v>425</v>
      </c>
      <c r="AT4" s="3">
        <v>0</v>
      </c>
      <c r="AU4" s="3">
        <v>1</v>
      </c>
      <c r="AV4" s="3" t="s">
        <v>433</v>
      </c>
      <c r="AW4" s="3">
        <v>0</v>
      </c>
      <c r="AX4" s="3">
        <v>0</v>
      </c>
      <c r="AY4" s="3">
        <v>0</v>
      </c>
      <c r="CC4" s="3">
        <v>2.97</v>
      </c>
      <c r="CE4" s="3" t="s">
        <v>450</v>
      </c>
      <c r="CG4" s="3">
        <v>1.99432374876754</v>
      </c>
      <c r="CH4" s="3">
        <v>3.4</v>
      </c>
      <c r="CI4" s="3">
        <v>2.6971618743837702</v>
      </c>
      <c r="CJ4" s="3">
        <v>-0.18</v>
      </c>
      <c r="CK4" s="3">
        <v>2.51716187438377</v>
      </c>
      <c r="CL4" s="3">
        <v>0</v>
      </c>
      <c r="CM4" s="3">
        <v>5.7769539860602452E-2</v>
      </c>
      <c r="CN4" s="3">
        <v>0</v>
      </c>
      <c r="CO4" s="3">
        <v>57311402.692936502</v>
      </c>
      <c r="CP4" s="3">
        <f t="shared" si="0"/>
        <v>1.4785987840900077E-2</v>
      </c>
      <c r="CQ4" s="4">
        <f t="shared" si="1"/>
        <v>4.2983552019702373E-2</v>
      </c>
      <c r="CR4" s="4">
        <f t="shared" si="2"/>
        <v>5.7769539860602452E-2</v>
      </c>
      <c r="CS4" s="3" t="b">
        <f t="shared" si="3"/>
        <v>1</v>
      </c>
      <c r="CT4" s="4">
        <f t="shared" si="4"/>
        <v>0</v>
      </c>
    </row>
    <row r="5" spans="1:98" s="3" customFormat="1" x14ac:dyDescent="0.25">
      <c r="A5" s="3">
        <v>652</v>
      </c>
      <c r="B5" s="3" t="s">
        <v>95</v>
      </c>
      <c r="C5" s="3" t="s">
        <v>195</v>
      </c>
      <c r="D5" s="3" t="s">
        <v>295</v>
      </c>
      <c r="E5" s="3" t="s">
        <v>394</v>
      </c>
      <c r="F5" s="3">
        <v>500000000</v>
      </c>
      <c r="G5" s="3">
        <v>17.46</v>
      </c>
      <c r="H5" s="3" t="s">
        <v>407</v>
      </c>
      <c r="I5" s="3">
        <v>8730000000</v>
      </c>
      <c r="J5" s="3" t="s">
        <v>413</v>
      </c>
      <c r="K5" s="3">
        <v>7745434.1676984103</v>
      </c>
      <c r="L5" s="3">
        <v>0.4</v>
      </c>
      <c r="M5" s="3">
        <v>50206040</v>
      </c>
      <c r="N5" s="3">
        <v>5020</v>
      </c>
      <c r="Q5" s="3" t="s">
        <v>415</v>
      </c>
      <c r="R5" s="3" t="s">
        <v>421</v>
      </c>
      <c r="S5" s="3">
        <v>0</v>
      </c>
      <c r="T5" s="3">
        <v>0</v>
      </c>
      <c r="U5" s="3" t="s">
        <v>421</v>
      </c>
      <c r="V5" s="3" t="s">
        <v>421</v>
      </c>
      <c r="W5" s="3" t="s">
        <v>421</v>
      </c>
      <c r="X5" s="3" t="s">
        <v>421</v>
      </c>
      <c r="Y5" s="3" t="s">
        <v>421</v>
      </c>
      <c r="Z5" s="3" t="s">
        <v>421</v>
      </c>
      <c r="AA5" s="3" t="s">
        <v>421</v>
      </c>
      <c r="AB5" s="3">
        <v>0</v>
      </c>
      <c r="AC5" s="3">
        <v>0</v>
      </c>
      <c r="AD5" s="3">
        <v>0</v>
      </c>
      <c r="AF5" s="3">
        <v>0</v>
      </c>
      <c r="AG5" s="3" t="s">
        <v>423</v>
      </c>
      <c r="AI5" s="3" t="s">
        <v>423</v>
      </c>
      <c r="AJ5" s="3" t="s">
        <v>423</v>
      </c>
      <c r="AK5" s="3" t="s">
        <v>423</v>
      </c>
      <c r="AM5" s="3">
        <v>0</v>
      </c>
      <c r="AN5" s="3">
        <v>0</v>
      </c>
      <c r="AO5" s="3">
        <v>0</v>
      </c>
      <c r="AP5" s="3">
        <v>0</v>
      </c>
      <c r="AQ5" s="3">
        <v>2.0499999999999998</v>
      </c>
      <c r="AR5" s="3">
        <v>3.117</v>
      </c>
      <c r="AS5" s="3" t="s">
        <v>426</v>
      </c>
      <c r="AT5" s="3">
        <v>1</v>
      </c>
      <c r="AU5" s="3">
        <v>1</v>
      </c>
      <c r="AV5" s="3" t="s">
        <v>435</v>
      </c>
      <c r="AW5" s="3">
        <v>0</v>
      </c>
      <c r="AX5" s="3">
        <v>0</v>
      </c>
      <c r="AY5" s="3">
        <v>0</v>
      </c>
      <c r="CC5" s="3">
        <v>2.5834999999999999</v>
      </c>
      <c r="CE5" s="3" t="s">
        <v>450</v>
      </c>
      <c r="CG5" s="3">
        <v>3.4</v>
      </c>
      <c r="CH5" s="3">
        <v>3.4</v>
      </c>
      <c r="CI5" s="3">
        <v>3.4</v>
      </c>
      <c r="CJ5" s="3">
        <v>-0.3</v>
      </c>
      <c r="CK5" s="3">
        <v>3.1</v>
      </c>
      <c r="CL5" s="3">
        <v>0</v>
      </c>
      <c r="CM5" s="3">
        <v>8.2371274157719363E-3</v>
      </c>
      <c r="CN5" s="3">
        <v>0</v>
      </c>
      <c r="CO5" s="3">
        <v>7745434.1676984103</v>
      </c>
      <c r="CP5" s="3">
        <f t="shared" si="0"/>
        <v>2.4280517899981282E-3</v>
      </c>
      <c r="CQ5" s="4">
        <f t="shared" si="1"/>
        <v>5.8090756257738081E-3</v>
      </c>
      <c r="CR5" s="4">
        <f t="shared" si="2"/>
        <v>8.2371274157719363E-3</v>
      </c>
      <c r="CS5" s="3" t="b">
        <f t="shared" si="3"/>
        <v>1</v>
      </c>
      <c r="CT5" s="4">
        <f t="shared" si="4"/>
        <v>0</v>
      </c>
    </row>
    <row r="6" spans="1:98" s="3" customFormat="1" x14ac:dyDescent="0.25">
      <c r="A6" s="3">
        <v>748</v>
      </c>
      <c r="B6" s="3" t="s">
        <v>96</v>
      </c>
      <c r="C6" s="3" t="s">
        <v>196</v>
      </c>
      <c r="D6" s="3" t="s">
        <v>296</v>
      </c>
      <c r="E6" s="3" t="s">
        <v>395</v>
      </c>
      <c r="F6" s="3">
        <v>181964859</v>
      </c>
      <c r="G6" s="3">
        <v>75.5</v>
      </c>
      <c r="H6" s="3" t="s">
        <v>407</v>
      </c>
      <c r="I6" s="3">
        <v>13738346854.5</v>
      </c>
      <c r="J6" s="3" t="s">
        <v>413</v>
      </c>
      <c r="K6" s="3">
        <v>27712783.5906079</v>
      </c>
      <c r="L6" s="3">
        <v>0.85000000000000009</v>
      </c>
      <c r="M6" s="3">
        <v>50101035</v>
      </c>
      <c r="N6" s="3">
        <v>5010</v>
      </c>
      <c r="O6" s="3">
        <v>1.9783311772679499</v>
      </c>
      <c r="P6" s="3">
        <v>3.1</v>
      </c>
      <c r="Q6" s="3" t="s">
        <v>415</v>
      </c>
      <c r="R6" s="3" t="s">
        <v>421</v>
      </c>
      <c r="S6" s="3">
        <v>0</v>
      </c>
      <c r="T6" s="3">
        <v>0</v>
      </c>
      <c r="U6" s="3" t="s">
        <v>421</v>
      </c>
      <c r="V6" s="3" t="s">
        <v>421</v>
      </c>
      <c r="W6" s="3" t="s">
        <v>421</v>
      </c>
      <c r="X6" s="3" t="s">
        <v>421</v>
      </c>
      <c r="Y6" s="3" t="s">
        <v>421</v>
      </c>
      <c r="Z6" s="3" t="s">
        <v>421</v>
      </c>
      <c r="AA6" s="3" t="s">
        <v>421</v>
      </c>
      <c r="AB6" s="3">
        <v>0</v>
      </c>
      <c r="AC6" s="3">
        <v>0</v>
      </c>
      <c r="AD6" s="3">
        <v>0</v>
      </c>
      <c r="AF6" s="3">
        <v>0</v>
      </c>
      <c r="AG6" s="3" t="s">
        <v>423</v>
      </c>
      <c r="AI6" s="3" t="s">
        <v>423</v>
      </c>
      <c r="AJ6" s="3" t="s">
        <v>423</v>
      </c>
      <c r="AK6" s="3" t="s">
        <v>423</v>
      </c>
      <c r="AM6" s="3">
        <v>0</v>
      </c>
      <c r="AN6" s="3">
        <v>0</v>
      </c>
      <c r="AO6" s="3">
        <v>0</v>
      </c>
      <c r="AP6" s="3">
        <v>0</v>
      </c>
      <c r="AQ6" s="3">
        <v>2.1080000000000001</v>
      </c>
      <c r="AR6" s="3">
        <v>2.617</v>
      </c>
      <c r="AS6" s="3" t="s">
        <v>418</v>
      </c>
      <c r="AT6" s="3">
        <v>1</v>
      </c>
      <c r="AU6" s="3">
        <v>1</v>
      </c>
      <c r="AV6" s="3" t="s">
        <v>436</v>
      </c>
      <c r="AW6" s="3">
        <v>0</v>
      </c>
      <c r="AX6" s="3">
        <v>0</v>
      </c>
      <c r="AY6" s="3">
        <v>0</v>
      </c>
      <c r="CC6" s="3">
        <v>2.3624999999999998</v>
      </c>
      <c r="CE6" s="3" t="s">
        <v>450</v>
      </c>
      <c r="CG6" s="3">
        <v>1.9783311772679499</v>
      </c>
      <c r="CH6" s="3">
        <v>3.1</v>
      </c>
      <c r="CI6" s="3">
        <v>2.539165588633975</v>
      </c>
      <c r="CJ6" s="3">
        <v>-0.3</v>
      </c>
      <c r="CK6" s="3">
        <v>2.2391655886339752</v>
      </c>
      <c r="CL6" s="3">
        <v>0</v>
      </c>
      <c r="CM6" s="3">
        <v>2.46055977355314E-2</v>
      </c>
      <c r="CN6" s="3">
        <v>0</v>
      </c>
      <c r="CO6" s="3">
        <v>27712783.5906079</v>
      </c>
      <c r="CP6" s="3">
        <f t="shared" si="0"/>
        <v>3.8210100425754732E-3</v>
      </c>
      <c r="CQ6" s="4">
        <f t="shared" si="1"/>
        <v>2.0784587692955922E-2</v>
      </c>
      <c r="CR6" s="4">
        <f t="shared" si="2"/>
        <v>2.4605597735531396E-2</v>
      </c>
      <c r="CS6" s="3" t="b">
        <f t="shared" si="3"/>
        <v>1</v>
      </c>
      <c r="CT6" s="4">
        <f t="shared" si="4"/>
        <v>0</v>
      </c>
    </row>
    <row r="7" spans="1:98" s="3" customFormat="1" x14ac:dyDescent="0.25">
      <c r="A7" s="3">
        <v>755</v>
      </c>
      <c r="B7" s="3" t="s">
        <v>97</v>
      </c>
      <c r="C7" s="3" t="s">
        <v>197</v>
      </c>
      <c r="D7" s="3" t="s">
        <v>297</v>
      </c>
      <c r="E7" s="3" t="s">
        <v>396</v>
      </c>
      <c r="F7" s="3">
        <v>161200000</v>
      </c>
      <c r="G7" s="3">
        <v>82.2</v>
      </c>
      <c r="H7" s="3" t="s">
        <v>407</v>
      </c>
      <c r="I7" s="3">
        <v>13250640000</v>
      </c>
      <c r="J7" s="3" t="s">
        <v>413</v>
      </c>
      <c r="K7" s="3">
        <v>9423306.8155737706</v>
      </c>
      <c r="L7" s="3">
        <v>0.4</v>
      </c>
      <c r="M7" s="3">
        <v>50206025</v>
      </c>
      <c r="N7" s="3">
        <v>5020</v>
      </c>
      <c r="O7" s="3">
        <v>1.9989891691281201</v>
      </c>
      <c r="Q7" s="3" t="s">
        <v>417</v>
      </c>
      <c r="R7" s="3" t="s">
        <v>421</v>
      </c>
      <c r="S7" s="3">
        <v>0</v>
      </c>
      <c r="T7" s="3">
        <v>0</v>
      </c>
      <c r="U7" s="3" t="s">
        <v>421</v>
      </c>
      <c r="V7" s="3" t="s">
        <v>421</v>
      </c>
      <c r="W7" s="3" t="s">
        <v>421</v>
      </c>
      <c r="X7" s="3" t="s">
        <v>421</v>
      </c>
      <c r="Y7" s="3" t="s">
        <v>421</v>
      </c>
      <c r="Z7" s="3" t="s">
        <v>421</v>
      </c>
      <c r="AA7" s="3" t="s">
        <v>421</v>
      </c>
      <c r="AB7" s="3">
        <v>0</v>
      </c>
      <c r="AC7" s="3">
        <v>0</v>
      </c>
      <c r="AD7" s="3">
        <v>0</v>
      </c>
      <c r="AF7" s="3">
        <v>0</v>
      </c>
      <c r="AG7" s="3" t="s">
        <v>423</v>
      </c>
      <c r="AI7" s="3" t="s">
        <v>423</v>
      </c>
      <c r="AJ7" s="3" t="s">
        <v>423</v>
      </c>
      <c r="AK7" s="3" t="s">
        <v>423</v>
      </c>
      <c r="AM7" s="3">
        <v>0</v>
      </c>
      <c r="AN7" s="3">
        <v>0</v>
      </c>
      <c r="AO7" s="3">
        <v>0</v>
      </c>
      <c r="AP7" s="3">
        <v>0</v>
      </c>
      <c r="AQ7" s="3">
        <v>2.78</v>
      </c>
      <c r="AR7" s="3">
        <v>2.8879999999999999</v>
      </c>
      <c r="AS7" s="3" t="s">
        <v>418</v>
      </c>
      <c r="AT7" s="3">
        <v>1</v>
      </c>
      <c r="AU7" s="3">
        <v>1</v>
      </c>
      <c r="AV7" s="3" t="s">
        <v>437</v>
      </c>
      <c r="AW7" s="3">
        <v>0</v>
      </c>
      <c r="AX7" s="3">
        <v>0</v>
      </c>
      <c r="AY7" s="3">
        <v>0</v>
      </c>
      <c r="CC7" s="3">
        <v>2.8340000000000001</v>
      </c>
      <c r="CE7" s="3" t="s">
        <v>450</v>
      </c>
      <c r="CG7" s="3">
        <v>1.9989891691281201</v>
      </c>
      <c r="CH7" s="3">
        <v>3.4</v>
      </c>
      <c r="CI7" s="3">
        <v>2.6994945845640599</v>
      </c>
      <c r="CJ7" s="3">
        <v>-0.24</v>
      </c>
      <c r="CK7" s="3">
        <v>2.4594945845640601</v>
      </c>
      <c r="CL7" s="3">
        <v>0</v>
      </c>
      <c r="CM7" s="3">
        <v>1.075284553786828E-2</v>
      </c>
      <c r="CN7" s="3">
        <v>0</v>
      </c>
      <c r="CO7" s="3">
        <v>9423306.8155737706</v>
      </c>
      <c r="CP7" s="3">
        <f t="shared" si="0"/>
        <v>3.6853654261879494E-3</v>
      </c>
      <c r="CQ7" s="4">
        <f t="shared" si="1"/>
        <v>7.0674801116803283E-3</v>
      </c>
      <c r="CR7" s="4">
        <f t="shared" si="2"/>
        <v>1.0752845537868278E-2</v>
      </c>
      <c r="CS7" s="3" t="b">
        <f t="shared" si="3"/>
        <v>1</v>
      </c>
      <c r="CT7" s="4">
        <f t="shared" si="4"/>
        <v>0</v>
      </c>
    </row>
    <row r="8" spans="1:98" s="3" customFormat="1" x14ac:dyDescent="0.25">
      <c r="A8" s="3">
        <v>865</v>
      </c>
      <c r="B8" s="3" t="s">
        <v>98</v>
      </c>
      <c r="C8" s="3" t="s">
        <v>198</v>
      </c>
      <c r="D8" s="3" t="s">
        <v>298</v>
      </c>
      <c r="E8" s="3" t="s">
        <v>397</v>
      </c>
      <c r="F8" s="3">
        <v>828972400</v>
      </c>
      <c r="G8" s="3">
        <v>10.98</v>
      </c>
      <c r="H8" s="3" t="s">
        <v>407</v>
      </c>
      <c r="I8" s="3">
        <v>9102116952</v>
      </c>
      <c r="J8" s="3" t="s">
        <v>413</v>
      </c>
      <c r="K8" s="3">
        <v>13202645.764067801</v>
      </c>
      <c r="L8" s="3">
        <v>0.85</v>
      </c>
      <c r="M8" s="3">
        <v>50204020</v>
      </c>
      <c r="N8" s="3">
        <v>5020</v>
      </c>
      <c r="O8" s="3">
        <v>1.99354514534105</v>
      </c>
      <c r="Q8" s="3" t="s">
        <v>416</v>
      </c>
      <c r="R8" s="3" t="s">
        <v>421</v>
      </c>
      <c r="S8" s="3">
        <v>0</v>
      </c>
      <c r="T8" s="3">
        <v>0</v>
      </c>
      <c r="U8" s="3" t="s">
        <v>421</v>
      </c>
      <c r="V8" s="3" t="s">
        <v>421</v>
      </c>
      <c r="W8" s="3" t="s">
        <v>421</v>
      </c>
      <c r="X8" s="3" t="s">
        <v>421</v>
      </c>
      <c r="Y8" s="3" t="s">
        <v>421</v>
      </c>
      <c r="Z8" s="3" t="s">
        <v>421</v>
      </c>
      <c r="AA8" s="3" t="s">
        <v>421</v>
      </c>
      <c r="AB8" s="3">
        <v>0</v>
      </c>
      <c r="AC8" s="3">
        <v>0</v>
      </c>
      <c r="AD8" s="3">
        <v>0</v>
      </c>
      <c r="AF8" s="3">
        <v>0</v>
      </c>
      <c r="AG8" s="3" t="s">
        <v>423</v>
      </c>
      <c r="AI8" s="3" t="s">
        <v>423</v>
      </c>
      <c r="AJ8" s="3" t="s">
        <v>423</v>
      </c>
      <c r="AK8" s="3" t="s">
        <v>423</v>
      </c>
      <c r="AM8" s="3">
        <v>0</v>
      </c>
      <c r="AN8" s="3">
        <v>0</v>
      </c>
      <c r="AO8" s="3">
        <v>0</v>
      </c>
      <c r="AP8" s="3">
        <v>0</v>
      </c>
      <c r="AQ8" s="3">
        <v>2.5590000000000002</v>
      </c>
      <c r="AR8" s="3">
        <v>2.673</v>
      </c>
      <c r="AS8" s="3" t="s">
        <v>418</v>
      </c>
      <c r="AT8" s="3">
        <v>1</v>
      </c>
      <c r="AU8" s="3">
        <v>1</v>
      </c>
      <c r="AV8" s="3" t="s">
        <v>438</v>
      </c>
      <c r="AW8" s="3">
        <v>0</v>
      </c>
      <c r="AX8" s="3">
        <v>0</v>
      </c>
      <c r="AY8" s="3">
        <v>0</v>
      </c>
      <c r="CC8" s="3">
        <v>2.6160000000000001</v>
      </c>
      <c r="CE8" s="3" t="s">
        <v>450</v>
      </c>
      <c r="CG8" s="3">
        <v>1.99354514534105</v>
      </c>
      <c r="CH8" s="3">
        <v>3.4</v>
      </c>
      <c r="CI8" s="3">
        <v>2.6967725726705249</v>
      </c>
      <c r="CJ8" s="3">
        <v>-0.18</v>
      </c>
      <c r="CK8" s="3">
        <v>2.5167725726705248</v>
      </c>
      <c r="CL8" s="3">
        <v>0</v>
      </c>
      <c r="CM8" s="3">
        <v>1.243353201584305E-2</v>
      </c>
      <c r="CN8" s="3">
        <v>0</v>
      </c>
      <c r="CO8" s="3">
        <v>13202645.764067801</v>
      </c>
      <c r="CP8" s="3">
        <f t="shared" si="0"/>
        <v>2.5315476927922002E-3</v>
      </c>
      <c r="CQ8" s="4">
        <f t="shared" si="1"/>
        <v>9.9019843230508491E-3</v>
      </c>
      <c r="CR8" s="4">
        <f t="shared" si="2"/>
        <v>1.243353201584305E-2</v>
      </c>
      <c r="CS8" s="3" t="b">
        <f t="shared" si="3"/>
        <v>1</v>
      </c>
      <c r="CT8" s="4">
        <f t="shared" si="4"/>
        <v>0</v>
      </c>
    </row>
    <row r="9" spans="1:98" s="3" customFormat="1" x14ac:dyDescent="0.25">
      <c r="A9" s="3">
        <v>970</v>
      </c>
      <c r="B9" s="3" t="s">
        <v>99</v>
      </c>
      <c r="C9" s="3" t="s">
        <v>199</v>
      </c>
      <c r="D9" s="3" t="s">
        <v>299</v>
      </c>
      <c r="E9" s="3" t="s">
        <v>398</v>
      </c>
      <c r="F9" s="3">
        <v>2009015998</v>
      </c>
      <c r="G9" s="3">
        <v>5.7135639999999999</v>
      </c>
      <c r="H9" s="3" t="s">
        <v>409</v>
      </c>
      <c r="I9" s="3">
        <v>11478641481.59687</v>
      </c>
      <c r="J9" s="3" t="s">
        <v>414</v>
      </c>
      <c r="K9" s="3">
        <v>22699023.726144701</v>
      </c>
      <c r="L9" s="3">
        <v>0.65</v>
      </c>
      <c r="M9" s="3">
        <v>55102035</v>
      </c>
      <c r="N9" s="3">
        <v>5510</v>
      </c>
      <c r="O9" s="3">
        <v>2.7283290216989098</v>
      </c>
      <c r="P9" s="3">
        <v>1.5</v>
      </c>
      <c r="Q9" s="3" t="s">
        <v>418</v>
      </c>
      <c r="R9" s="3" t="s">
        <v>421</v>
      </c>
      <c r="S9" s="3">
        <v>0</v>
      </c>
      <c r="T9" s="3">
        <v>0</v>
      </c>
      <c r="U9" s="3" t="s">
        <v>421</v>
      </c>
      <c r="V9" s="3" t="s">
        <v>421</v>
      </c>
      <c r="W9" s="3" t="s">
        <v>421</v>
      </c>
      <c r="X9" s="3" t="s">
        <v>421</v>
      </c>
      <c r="Y9" s="3" t="s">
        <v>421</v>
      </c>
      <c r="Z9" s="3" t="s">
        <v>421</v>
      </c>
      <c r="AA9" s="3" t="s">
        <v>421</v>
      </c>
      <c r="AB9" s="3">
        <v>0</v>
      </c>
      <c r="AC9" s="3">
        <v>0</v>
      </c>
      <c r="AD9" s="3">
        <v>0</v>
      </c>
      <c r="AF9" s="3">
        <v>0</v>
      </c>
      <c r="AG9" s="3" t="s">
        <v>423</v>
      </c>
      <c r="AI9" s="3" t="s">
        <v>423</v>
      </c>
      <c r="AJ9" s="3" t="s">
        <v>423</v>
      </c>
      <c r="AK9" s="3" t="s">
        <v>423</v>
      </c>
      <c r="AM9" s="3">
        <v>0</v>
      </c>
      <c r="AN9" s="3">
        <v>0</v>
      </c>
      <c r="AO9" s="3">
        <v>0</v>
      </c>
      <c r="AP9" s="3">
        <v>0</v>
      </c>
      <c r="AQ9" s="3">
        <v>2.8610000000000002</v>
      </c>
      <c r="AR9" s="3">
        <v>3.7229999999999999</v>
      </c>
      <c r="AS9" s="3" t="s">
        <v>418</v>
      </c>
      <c r="AT9" s="3">
        <v>1</v>
      </c>
      <c r="AU9" s="3">
        <v>1</v>
      </c>
      <c r="AV9" s="3" t="s">
        <v>439</v>
      </c>
      <c r="AW9" s="3">
        <v>0</v>
      </c>
      <c r="AX9" s="3">
        <v>0</v>
      </c>
      <c r="AY9" s="3">
        <v>0</v>
      </c>
      <c r="CC9" s="3">
        <v>3.2919999999999998</v>
      </c>
      <c r="CE9" s="3" t="s">
        <v>450</v>
      </c>
      <c r="CG9" s="3">
        <v>2.7283290216989098</v>
      </c>
      <c r="CH9" s="3">
        <v>1.5</v>
      </c>
      <c r="CI9" s="3">
        <v>2.1141645108494549</v>
      </c>
      <c r="CJ9" s="3">
        <v>0</v>
      </c>
      <c r="CK9" s="3">
        <v>2.1141645108494549</v>
      </c>
      <c r="CL9" s="3">
        <v>0</v>
      </c>
      <c r="CM9" s="3">
        <v>2.0216791963696509E-2</v>
      </c>
      <c r="CN9" s="3">
        <v>0</v>
      </c>
      <c r="CO9" s="3">
        <v>22699023.726144701</v>
      </c>
      <c r="CP9" s="3">
        <f t="shared" si="0"/>
        <v>3.192524169087978E-3</v>
      </c>
      <c r="CQ9" s="4">
        <f t="shared" si="1"/>
        <v>1.7024267794608527E-2</v>
      </c>
      <c r="CR9" s="4">
        <f t="shared" si="2"/>
        <v>2.0216791963696506E-2</v>
      </c>
      <c r="CS9" s="3" t="b">
        <f t="shared" si="3"/>
        <v>1</v>
      </c>
      <c r="CT9" s="4">
        <f t="shared" si="4"/>
        <v>0</v>
      </c>
    </row>
    <row r="10" spans="1:98" s="3" customFormat="1" x14ac:dyDescent="0.25">
      <c r="A10" s="3">
        <v>1092</v>
      </c>
      <c r="B10" s="3" t="s">
        <v>100</v>
      </c>
      <c r="C10" s="3" t="s">
        <v>200</v>
      </c>
      <c r="D10" s="3" t="s">
        <v>300</v>
      </c>
      <c r="E10" s="3" t="s">
        <v>399</v>
      </c>
      <c r="F10" s="3">
        <v>541080000</v>
      </c>
      <c r="G10" s="3">
        <v>16.829999999999998</v>
      </c>
      <c r="H10" s="3" t="s">
        <v>407</v>
      </c>
      <c r="I10" s="3">
        <v>9106376400</v>
      </c>
      <c r="J10" s="3" t="s">
        <v>413</v>
      </c>
      <c r="K10" s="3">
        <v>15311684.9957524</v>
      </c>
      <c r="L10" s="3">
        <v>0.75</v>
      </c>
      <c r="M10" s="3">
        <v>65101015</v>
      </c>
      <c r="N10" s="3">
        <v>6510</v>
      </c>
      <c r="O10" s="3">
        <v>1.5959603304940599</v>
      </c>
      <c r="Q10" s="3" t="s">
        <v>415</v>
      </c>
      <c r="R10" s="3" t="s">
        <v>421</v>
      </c>
      <c r="S10" s="3">
        <v>0</v>
      </c>
      <c r="T10" s="3">
        <v>0</v>
      </c>
      <c r="U10" s="3" t="s">
        <v>421</v>
      </c>
      <c r="V10" s="3" t="s">
        <v>421</v>
      </c>
      <c r="W10" s="3" t="s">
        <v>421</v>
      </c>
      <c r="X10" s="3" t="s">
        <v>421</v>
      </c>
      <c r="Y10" s="3" t="s">
        <v>421</v>
      </c>
      <c r="Z10" s="3" t="s">
        <v>421</v>
      </c>
      <c r="AA10" s="3" t="s">
        <v>421</v>
      </c>
      <c r="AB10" s="3">
        <v>0</v>
      </c>
      <c r="AC10" s="3">
        <v>0</v>
      </c>
      <c r="AD10" s="3">
        <v>0</v>
      </c>
      <c r="AF10" s="3">
        <v>0</v>
      </c>
      <c r="AG10" s="3" t="s">
        <v>423</v>
      </c>
      <c r="AI10" s="3" t="s">
        <v>423</v>
      </c>
      <c r="AJ10" s="3" t="s">
        <v>423</v>
      </c>
      <c r="AK10" s="3" t="s">
        <v>423</v>
      </c>
      <c r="AM10" s="3">
        <v>0</v>
      </c>
      <c r="AN10" s="3">
        <v>0</v>
      </c>
      <c r="AO10" s="3">
        <v>0</v>
      </c>
      <c r="AP10" s="3">
        <v>0</v>
      </c>
      <c r="AQ10" s="3">
        <v>2.9380000000000002</v>
      </c>
      <c r="AR10" s="3">
        <v>2.8740000000000001</v>
      </c>
      <c r="AS10" s="3" t="s">
        <v>419</v>
      </c>
      <c r="AT10" s="3">
        <v>1</v>
      </c>
      <c r="AU10" s="3">
        <v>1</v>
      </c>
      <c r="AV10" s="3" t="s">
        <v>440</v>
      </c>
      <c r="AW10" s="3">
        <v>0</v>
      </c>
      <c r="AX10" s="3">
        <v>0</v>
      </c>
      <c r="AY10" s="3">
        <v>0</v>
      </c>
      <c r="CC10" s="3">
        <v>2.9060000000000001</v>
      </c>
      <c r="CE10" s="3" t="s">
        <v>450</v>
      </c>
      <c r="CG10" s="3">
        <v>1.5959603304940599</v>
      </c>
      <c r="CH10" s="3">
        <v>3.4</v>
      </c>
      <c r="CI10" s="3">
        <v>2.4979801652470299</v>
      </c>
      <c r="CJ10" s="3">
        <v>-0.3</v>
      </c>
      <c r="CK10" s="3">
        <v>2.1979801652470301</v>
      </c>
      <c r="CL10" s="3">
        <v>0</v>
      </c>
      <c r="CM10" s="3">
        <v>1.4016496108603151E-2</v>
      </c>
      <c r="CN10" s="3">
        <v>0</v>
      </c>
      <c r="CO10" s="3">
        <v>15311684.9957524</v>
      </c>
      <c r="CP10" s="3">
        <f t="shared" si="0"/>
        <v>2.532732361788856E-3</v>
      </c>
      <c r="CQ10" s="4">
        <f t="shared" si="1"/>
        <v>1.1483763746814299E-2</v>
      </c>
      <c r="CR10" s="4">
        <f t="shared" si="2"/>
        <v>1.4016496108603154E-2</v>
      </c>
      <c r="CS10" s="3" t="b">
        <f t="shared" si="3"/>
        <v>1</v>
      </c>
      <c r="CT10" s="4">
        <f t="shared" si="4"/>
        <v>0</v>
      </c>
    </row>
    <row r="11" spans="1:98" s="3" customFormat="1" x14ac:dyDescent="0.25">
      <c r="A11" s="3">
        <v>1192</v>
      </c>
      <c r="B11" s="3" t="s">
        <v>101</v>
      </c>
      <c r="C11" s="3" t="s">
        <v>201</v>
      </c>
      <c r="D11" s="3" t="s">
        <v>301</v>
      </c>
      <c r="E11" s="3" t="s">
        <v>400</v>
      </c>
      <c r="F11" s="3">
        <v>300209100</v>
      </c>
      <c r="G11" s="3">
        <v>29.42568</v>
      </c>
      <c r="H11" s="3" t="s">
        <v>410</v>
      </c>
      <c r="I11" s="3">
        <v>8833856909.6879997</v>
      </c>
      <c r="J11" s="3" t="s">
        <v>414</v>
      </c>
      <c r="K11" s="3">
        <v>14800849.030249599</v>
      </c>
      <c r="L11" s="3">
        <v>0.9</v>
      </c>
      <c r="M11" s="3">
        <v>65102030</v>
      </c>
      <c r="N11" s="3">
        <v>6510</v>
      </c>
      <c r="O11" s="3">
        <v>1.7824347572228401</v>
      </c>
      <c r="P11" s="3">
        <v>1.5</v>
      </c>
      <c r="Q11" s="3" t="s">
        <v>417</v>
      </c>
      <c r="R11" s="3" t="s">
        <v>421</v>
      </c>
      <c r="S11" s="3">
        <v>0</v>
      </c>
      <c r="T11" s="3">
        <v>0</v>
      </c>
      <c r="U11" s="3" t="s">
        <v>421</v>
      </c>
      <c r="V11" s="3" t="s">
        <v>421</v>
      </c>
      <c r="W11" s="3" t="s">
        <v>421</v>
      </c>
      <c r="X11" s="3" t="s">
        <v>421</v>
      </c>
      <c r="Y11" s="3" t="s">
        <v>421</v>
      </c>
      <c r="Z11" s="3" t="s">
        <v>421</v>
      </c>
      <c r="AA11" s="3" t="s">
        <v>421</v>
      </c>
      <c r="AB11" s="3">
        <v>0</v>
      </c>
      <c r="AC11" s="3">
        <v>0</v>
      </c>
      <c r="AD11" s="3">
        <v>0</v>
      </c>
      <c r="AF11" s="3">
        <v>0</v>
      </c>
      <c r="AG11" s="3" t="s">
        <v>423</v>
      </c>
      <c r="AI11" s="3" t="s">
        <v>423</v>
      </c>
      <c r="AJ11" s="3" t="s">
        <v>423</v>
      </c>
      <c r="AK11" s="3" t="s">
        <v>423</v>
      </c>
      <c r="AM11" s="3">
        <v>0</v>
      </c>
      <c r="AN11" s="3">
        <v>0</v>
      </c>
      <c r="AO11" s="3">
        <v>0</v>
      </c>
      <c r="AP11" s="3">
        <v>0</v>
      </c>
      <c r="AQ11" s="3">
        <v>2.8260000000000001</v>
      </c>
      <c r="AR11" s="3">
        <v>3.137</v>
      </c>
      <c r="AS11" s="3" t="s">
        <v>427</v>
      </c>
      <c r="AT11" s="3">
        <v>1</v>
      </c>
      <c r="AU11" s="3">
        <v>1</v>
      </c>
      <c r="AV11" s="3" t="s">
        <v>441</v>
      </c>
      <c r="AW11" s="3">
        <v>0</v>
      </c>
      <c r="AX11" s="3">
        <v>0</v>
      </c>
      <c r="AY11" s="3">
        <v>0</v>
      </c>
      <c r="CC11" s="3">
        <v>2.9815</v>
      </c>
      <c r="CE11" s="3" t="s">
        <v>450</v>
      </c>
      <c r="CG11" s="3">
        <v>1.7824347572228401</v>
      </c>
      <c r="CH11" s="3">
        <v>1.5</v>
      </c>
      <c r="CI11" s="3">
        <v>1.6412173786114199</v>
      </c>
      <c r="CJ11" s="3">
        <v>-0.24</v>
      </c>
      <c r="CK11" s="3">
        <v>1.4012173786114199</v>
      </c>
      <c r="CL11" s="3">
        <v>1</v>
      </c>
      <c r="CM11" s="3">
        <v>1.355757401004749E-2</v>
      </c>
      <c r="CN11" s="3">
        <v>0</v>
      </c>
      <c r="CO11" s="3">
        <v>14800849.030249599</v>
      </c>
      <c r="CP11" s="3">
        <f t="shared" si="0"/>
        <v>2.4569372373602844E-3</v>
      </c>
      <c r="CQ11" s="4">
        <f t="shared" si="1"/>
        <v>1.1100636772687201E-2</v>
      </c>
      <c r="CR11" s="4">
        <f t="shared" si="2"/>
        <v>1.3557574010047486E-2</v>
      </c>
      <c r="CS11" s="3" t="b">
        <f t="shared" si="3"/>
        <v>1</v>
      </c>
      <c r="CT11" s="4">
        <f t="shared" si="4"/>
        <v>0</v>
      </c>
    </row>
    <row r="12" spans="1:98" s="3" customFormat="1" x14ac:dyDescent="0.25">
      <c r="A12" s="3">
        <v>1359</v>
      </c>
      <c r="B12" s="3" t="s">
        <v>102</v>
      </c>
      <c r="C12" s="3" t="s">
        <v>202</v>
      </c>
      <c r="D12" s="3" t="s">
        <v>302</v>
      </c>
      <c r="E12" s="3" t="s">
        <v>401</v>
      </c>
      <c r="F12" s="3">
        <v>2009992000</v>
      </c>
      <c r="G12" s="3">
        <v>7.8259999999999996</v>
      </c>
      <c r="H12" s="3" t="s">
        <v>407</v>
      </c>
      <c r="I12" s="3">
        <v>15730197392</v>
      </c>
      <c r="J12" s="3" t="s">
        <v>413</v>
      </c>
      <c r="K12" s="3">
        <v>30108575.329360701</v>
      </c>
      <c r="L12" s="3">
        <v>0.70000000000000007</v>
      </c>
      <c r="M12" s="3">
        <v>65101015</v>
      </c>
      <c r="N12" s="3">
        <v>6510</v>
      </c>
      <c r="O12" s="3">
        <v>1.7449210642355399</v>
      </c>
      <c r="Q12" s="3" t="s">
        <v>417</v>
      </c>
      <c r="R12" s="3" t="s">
        <v>421</v>
      </c>
      <c r="S12" s="3">
        <v>0</v>
      </c>
      <c r="T12" s="3">
        <v>0</v>
      </c>
      <c r="U12" s="3" t="s">
        <v>421</v>
      </c>
      <c r="V12" s="3" t="s">
        <v>421</v>
      </c>
      <c r="W12" s="3" t="s">
        <v>421</v>
      </c>
      <c r="X12" s="3" t="s">
        <v>421</v>
      </c>
      <c r="Y12" s="3" t="s">
        <v>421</v>
      </c>
      <c r="Z12" s="3" t="s">
        <v>421</v>
      </c>
      <c r="AA12" s="3" t="s">
        <v>421</v>
      </c>
      <c r="AB12" s="3">
        <v>0</v>
      </c>
      <c r="AC12" s="3">
        <v>0</v>
      </c>
      <c r="AD12" s="3">
        <v>0</v>
      </c>
      <c r="AF12" s="3">
        <v>0</v>
      </c>
      <c r="AG12" s="3" t="s">
        <v>423</v>
      </c>
      <c r="AI12" s="3" t="s">
        <v>423</v>
      </c>
      <c r="AJ12" s="3" t="s">
        <v>423</v>
      </c>
      <c r="AK12" s="3" t="s">
        <v>423</v>
      </c>
      <c r="AM12" s="3">
        <v>0</v>
      </c>
      <c r="AN12" s="3">
        <v>0</v>
      </c>
      <c r="AO12" s="3">
        <v>0</v>
      </c>
      <c r="AP12" s="3">
        <v>0</v>
      </c>
      <c r="AQ12" s="3">
        <v>2.8530000000000002</v>
      </c>
      <c r="AR12" s="3">
        <v>3.169</v>
      </c>
      <c r="AS12" s="3" t="s">
        <v>419</v>
      </c>
      <c r="AT12" s="3">
        <v>1</v>
      </c>
      <c r="AU12" s="3">
        <v>1</v>
      </c>
      <c r="AV12" s="3" t="s">
        <v>442</v>
      </c>
      <c r="AW12" s="3">
        <v>0</v>
      </c>
      <c r="AX12" s="3">
        <v>0</v>
      </c>
      <c r="AY12" s="3">
        <v>0</v>
      </c>
      <c r="CC12" s="3">
        <v>3.0110000000000001</v>
      </c>
      <c r="CE12" s="3" t="s">
        <v>450</v>
      </c>
      <c r="CG12" s="3">
        <v>1.7449210642355399</v>
      </c>
      <c r="CH12" s="3">
        <v>3.4</v>
      </c>
      <c r="CI12" s="3">
        <v>2.5724605321177698</v>
      </c>
      <c r="CJ12" s="3">
        <v>-0.24</v>
      </c>
      <c r="CK12" s="3">
        <v>2.33246053211777</v>
      </c>
      <c r="CL12" s="3">
        <v>0</v>
      </c>
      <c r="CM12" s="3">
        <v>2.6956429656776481E-2</v>
      </c>
      <c r="CN12" s="3">
        <v>0</v>
      </c>
      <c r="CO12" s="3">
        <v>30108575.329360701</v>
      </c>
      <c r="CP12" s="3">
        <f t="shared" si="0"/>
        <v>4.3749981597559556E-3</v>
      </c>
      <c r="CQ12" s="4">
        <f t="shared" si="1"/>
        <v>2.2581431497020528E-2</v>
      </c>
      <c r="CR12" s="4">
        <f t="shared" si="2"/>
        <v>2.6956429656776484E-2</v>
      </c>
      <c r="CS12" s="3" t="b">
        <f t="shared" si="3"/>
        <v>1</v>
      </c>
      <c r="CT12" s="4">
        <f t="shared" si="4"/>
        <v>0</v>
      </c>
    </row>
    <row r="13" spans="1:98" s="3" customFormat="1" x14ac:dyDescent="0.25">
      <c r="A13" s="3">
        <v>1462</v>
      </c>
      <c r="B13" s="3" t="s">
        <v>103</v>
      </c>
      <c r="C13" s="3" t="s">
        <v>203</v>
      </c>
      <c r="D13" s="3" t="s">
        <v>303</v>
      </c>
      <c r="E13" s="3" t="s">
        <v>402</v>
      </c>
      <c r="F13" s="3">
        <v>1009867250</v>
      </c>
      <c r="G13" s="3">
        <v>13.13903</v>
      </c>
      <c r="H13" s="3" t="s">
        <v>411</v>
      </c>
      <c r="I13" s="3">
        <v>13268676093.7675</v>
      </c>
      <c r="J13" s="3" t="s">
        <v>414</v>
      </c>
      <c r="K13" s="3">
        <v>50667588.035409801</v>
      </c>
      <c r="L13" s="3">
        <v>1</v>
      </c>
      <c r="M13" s="3">
        <v>60102020</v>
      </c>
      <c r="N13" s="3">
        <v>6010</v>
      </c>
      <c r="O13" s="3">
        <v>1.9940728394311</v>
      </c>
      <c r="P13" s="3">
        <v>3.1</v>
      </c>
      <c r="Q13" s="3" t="s">
        <v>419</v>
      </c>
      <c r="R13" s="3" t="s">
        <v>421</v>
      </c>
      <c r="S13" s="3">
        <v>0</v>
      </c>
      <c r="T13" s="3">
        <v>0</v>
      </c>
      <c r="U13" s="3" t="s">
        <v>421</v>
      </c>
      <c r="V13" s="3" t="s">
        <v>421</v>
      </c>
      <c r="W13" s="3" t="s">
        <v>421</v>
      </c>
      <c r="X13" s="3" t="s">
        <v>421</v>
      </c>
      <c r="Y13" s="3" t="s">
        <v>421</v>
      </c>
      <c r="Z13" s="3" t="s">
        <v>421</v>
      </c>
      <c r="AA13" s="3" t="s">
        <v>421</v>
      </c>
      <c r="AB13" s="3">
        <v>0</v>
      </c>
      <c r="AC13" s="3">
        <v>0</v>
      </c>
      <c r="AD13" s="3">
        <v>0</v>
      </c>
      <c r="AF13" s="3">
        <v>0</v>
      </c>
      <c r="AG13" s="3" t="s">
        <v>423</v>
      </c>
      <c r="AI13" s="3" t="s">
        <v>423</v>
      </c>
      <c r="AJ13" s="3" t="s">
        <v>423</v>
      </c>
      <c r="AK13" s="3" t="s">
        <v>423</v>
      </c>
      <c r="AM13" s="3">
        <v>0</v>
      </c>
      <c r="AN13" s="3">
        <v>0</v>
      </c>
      <c r="AO13" s="3">
        <v>0</v>
      </c>
      <c r="AP13" s="3">
        <v>0</v>
      </c>
      <c r="AQ13" s="3">
        <v>2.3039999999999998</v>
      </c>
      <c r="AR13" s="3">
        <v>3.2229999999999999</v>
      </c>
      <c r="AS13" s="3" t="s">
        <v>418</v>
      </c>
      <c r="AT13" s="3">
        <v>1</v>
      </c>
      <c r="AU13" s="3">
        <v>1</v>
      </c>
      <c r="AV13" s="3" t="s">
        <v>443</v>
      </c>
      <c r="AW13" s="3">
        <v>0</v>
      </c>
      <c r="AX13" s="3">
        <v>0</v>
      </c>
      <c r="AY13" s="3">
        <v>0</v>
      </c>
      <c r="CC13" s="3">
        <v>2.7635000000000001</v>
      </c>
      <c r="CE13" s="3" t="s">
        <v>450</v>
      </c>
      <c r="CG13" s="3">
        <v>1.9940728394311</v>
      </c>
      <c r="CH13" s="3">
        <v>3.1</v>
      </c>
      <c r="CI13" s="3">
        <v>2.5470364197155502</v>
      </c>
      <c r="CJ13" s="3">
        <v>0.18</v>
      </c>
      <c r="CK13" s="3">
        <v>2.7270364197155499</v>
      </c>
      <c r="CL13" s="3">
        <v>0</v>
      </c>
      <c r="CM13" s="3">
        <v>4.1691072783759817E-2</v>
      </c>
      <c r="CN13" s="3">
        <v>0</v>
      </c>
      <c r="CO13" s="3">
        <v>50667588.035409801</v>
      </c>
      <c r="CP13" s="3">
        <f t="shared" si="0"/>
        <v>3.6903817572024687E-3</v>
      </c>
      <c r="CQ13" s="4">
        <f t="shared" si="1"/>
        <v>3.800069102655735E-2</v>
      </c>
      <c r="CR13" s="4">
        <f t="shared" si="2"/>
        <v>4.1691072783759817E-2</v>
      </c>
      <c r="CS13" s="3" t="b">
        <f t="shared" si="3"/>
        <v>1</v>
      </c>
      <c r="CT13" s="4">
        <f t="shared" si="4"/>
        <v>0</v>
      </c>
    </row>
    <row r="14" spans="1:98" s="3" customFormat="1" x14ac:dyDescent="0.25">
      <c r="A14" s="3">
        <v>1505</v>
      </c>
      <c r="B14" s="3" t="s">
        <v>104</v>
      </c>
      <c r="C14" s="3" t="s">
        <v>204</v>
      </c>
      <c r="D14" s="3" t="s">
        <v>304</v>
      </c>
      <c r="E14" s="3" t="s">
        <v>403</v>
      </c>
      <c r="F14" s="3">
        <v>111732346</v>
      </c>
      <c r="G14" s="3">
        <v>29.66</v>
      </c>
      <c r="H14" s="3" t="s">
        <v>407</v>
      </c>
      <c r="I14" s="3">
        <v>3313981382.3600001</v>
      </c>
      <c r="J14" s="3" t="s">
        <v>413</v>
      </c>
      <c r="K14" s="3">
        <v>6821360.8039344298</v>
      </c>
      <c r="L14" s="3">
        <v>1</v>
      </c>
      <c r="M14" s="3">
        <v>50101035</v>
      </c>
      <c r="N14" s="3">
        <v>5010</v>
      </c>
      <c r="Q14" s="3" t="s">
        <v>416</v>
      </c>
      <c r="R14" s="3" t="s">
        <v>421</v>
      </c>
      <c r="S14" s="3">
        <v>0</v>
      </c>
      <c r="T14" s="3">
        <v>0</v>
      </c>
      <c r="U14" s="3" t="s">
        <v>421</v>
      </c>
      <c r="V14" s="3" t="s">
        <v>421</v>
      </c>
      <c r="W14" s="3" t="s">
        <v>421</v>
      </c>
      <c r="X14" s="3" t="s">
        <v>421</v>
      </c>
      <c r="Y14" s="3" t="s">
        <v>421</v>
      </c>
      <c r="Z14" s="3" t="s">
        <v>421</v>
      </c>
      <c r="AA14" s="3" t="s">
        <v>421</v>
      </c>
      <c r="AB14" s="3">
        <v>0</v>
      </c>
      <c r="AC14" s="3">
        <v>0</v>
      </c>
      <c r="AD14" s="3">
        <v>0</v>
      </c>
      <c r="AF14" s="3">
        <v>0</v>
      </c>
      <c r="AG14" s="3" t="s">
        <v>423</v>
      </c>
      <c r="AI14" s="3" t="s">
        <v>423</v>
      </c>
      <c r="AJ14" s="3" t="s">
        <v>423</v>
      </c>
      <c r="AK14" s="3" t="s">
        <v>423</v>
      </c>
      <c r="AM14" s="3">
        <v>0</v>
      </c>
      <c r="AN14" s="3">
        <v>0</v>
      </c>
      <c r="AO14" s="3">
        <v>0</v>
      </c>
      <c r="AP14" s="3">
        <v>0</v>
      </c>
      <c r="AQ14" s="3">
        <v>2.4409999999999998</v>
      </c>
      <c r="AR14" s="3">
        <v>3.4710000000000001</v>
      </c>
      <c r="AS14" s="3" t="s">
        <v>418</v>
      </c>
      <c r="AT14" s="3">
        <v>1</v>
      </c>
      <c r="AU14" s="3">
        <v>1</v>
      </c>
      <c r="AV14" s="3" t="s">
        <v>444</v>
      </c>
      <c r="AW14" s="3">
        <v>0</v>
      </c>
      <c r="AX14" s="3">
        <v>0</v>
      </c>
      <c r="AY14" s="3">
        <v>0</v>
      </c>
      <c r="CC14" s="3">
        <v>2.956</v>
      </c>
      <c r="CE14" s="3" t="s">
        <v>450</v>
      </c>
      <c r="CG14" s="3">
        <v>3.4</v>
      </c>
      <c r="CH14" s="3">
        <v>3.4</v>
      </c>
      <c r="CI14" s="3">
        <v>3.4</v>
      </c>
      <c r="CJ14" s="3">
        <v>-0.18</v>
      </c>
      <c r="CK14" s="3">
        <v>3.22</v>
      </c>
      <c r="CL14" s="3">
        <v>0</v>
      </c>
      <c r="CM14" s="3">
        <v>6.037729472075642E-3</v>
      </c>
      <c r="CN14" s="3">
        <v>0</v>
      </c>
      <c r="CO14" s="3">
        <v>6821360.8039344298</v>
      </c>
      <c r="CP14" s="3">
        <f t="shared" si="0"/>
        <v>9.2170886912481902E-4</v>
      </c>
      <c r="CQ14" s="4">
        <f t="shared" si="1"/>
        <v>5.1160206029508227E-3</v>
      </c>
      <c r="CR14" s="4">
        <f t="shared" si="2"/>
        <v>6.037729472075642E-3</v>
      </c>
      <c r="CS14" s="3" t="b">
        <f t="shared" si="3"/>
        <v>1</v>
      </c>
      <c r="CT14" s="4">
        <f t="shared" si="4"/>
        <v>0</v>
      </c>
    </row>
    <row r="15" spans="1:98" x14ac:dyDescent="0.25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15.692080000000001</v>
      </c>
      <c r="H15" t="s">
        <v>410</v>
      </c>
      <c r="I15">
        <v>15625495993.8272</v>
      </c>
      <c r="J15" t="s">
        <v>414</v>
      </c>
      <c r="K15">
        <v>29289351.006745402</v>
      </c>
      <c r="L15">
        <v>1</v>
      </c>
      <c r="M15">
        <v>10101015</v>
      </c>
      <c r="N15">
        <v>1010</v>
      </c>
      <c r="O15">
        <v>1.7465783472899099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425</v>
      </c>
      <c r="AT15">
        <v>0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2.8580000000000001</v>
      </c>
      <c r="CE15" t="s">
        <v>450</v>
      </c>
      <c r="CG15">
        <v>1.7465783472899099</v>
      </c>
      <c r="CH15">
        <v>1.5</v>
      </c>
      <c r="CI15">
        <v>1.6232891736449551</v>
      </c>
      <c r="CJ15">
        <v>-0.3</v>
      </c>
      <c r="CK15">
        <v>1.323289173644955</v>
      </c>
      <c r="CL15">
        <v>1</v>
      </c>
      <c r="CM15">
        <v>2.191948844109429E-2</v>
      </c>
      <c r="CN15">
        <v>0</v>
      </c>
      <c r="CO15">
        <v>29289351.006745402</v>
      </c>
      <c r="CP15">
        <f t="shared" si="0"/>
        <v>4.3458778370470469E-3</v>
      </c>
      <c r="CQ15" s="4">
        <f>(CO15*0.3)/1000000000</f>
        <v>8.7868053020236196E-3</v>
      </c>
      <c r="CR15" s="2">
        <f t="shared" si="2"/>
        <v>1.3132683139070667E-2</v>
      </c>
      <c r="CS15" t="b">
        <f t="shared" si="3"/>
        <v>0</v>
      </c>
      <c r="CT15" s="2">
        <f t="shared" si="4"/>
        <v>-8.7868053020236231E-3</v>
      </c>
    </row>
    <row r="16" spans="1:98" x14ac:dyDescent="0.25">
      <c r="A16">
        <v>119</v>
      </c>
      <c r="B16" t="s">
        <v>106</v>
      </c>
      <c r="C16" t="s">
        <v>206</v>
      </c>
      <c r="D16" t="s">
        <v>306</v>
      </c>
      <c r="E16" t="s">
        <v>394</v>
      </c>
      <c r="F16">
        <v>49328548</v>
      </c>
      <c r="G16">
        <v>569.79999999999995</v>
      </c>
      <c r="H16" t="s">
        <v>407</v>
      </c>
      <c r="I16">
        <v>28107406650.400002</v>
      </c>
      <c r="J16" t="s">
        <v>413</v>
      </c>
      <c r="K16">
        <v>78679459.003174603</v>
      </c>
      <c r="L16">
        <v>0.95000000000000007</v>
      </c>
      <c r="M16">
        <v>10102020</v>
      </c>
      <c r="N16">
        <v>1010</v>
      </c>
      <c r="O16">
        <v>1.7486641100579701</v>
      </c>
      <c r="P16">
        <v>3.1</v>
      </c>
      <c r="Q16" t="s">
        <v>415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2.4460000000000002</v>
      </c>
      <c r="AR16">
        <v>3.2189999999999999</v>
      </c>
      <c r="AS16" t="s">
        <v>418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2.8325</v>
      </c>
      <c r="CE16" t="s">
        <v>450</v>
      </c>
      <c r="CG16">
        <v>1.7486641100579701</v>
      </c>
      <c r="CH16">
        <v>3.1</v>
      </c>
      <c r="CI16">
        <v>2.4243320550289851</v>
      </c>
      <c r="CJ16">
        <v>-0.3</v>
      </c>
      <c r="CK16">
        <v>2.1243320550289848</v>
      </c>
      <c r="CL16">
        <v>0</v>
      </c>
      <c r="CM16">
        <v>5.5025114007827898E-2</v>
      </c>
      <c r="CN16">
        <v>0</v>
      </c>
      <c r="CO16">
        <v>78679459.003174603</v>
      </c>
      <c r="CP16">
        <f t="shared" si="0"/>
        <v>7.817438605923141E-3</v>
      </c>
      <c r="CQ16" s="4">
        <f t="shared" ref="CQ16:CQ79" si="5">(CO16*0.3)/1000000000</f>
        <v>2.3603837700952382E-2</v>
      </c>
      <c r="CR16" s="2">
        <f t="shared" si="2"/>
        <v>3.1421276306875523E-2</v>
      </c>
      <c r="CS16" t="b">
        <f t="shared" si="3"/>
        <v>0</v>
      </c>
      <c r="CT16" s="2">
        <f t="shared" si="4"/>
        <v>-2.3603837700952375E-2</v>
      </c>
    </row>
    <row r="17" spans="1:98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2.8210000000000002</v>
      </c>
      <c r="CE17" t="s">
        <v>450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  <c r="CL17">
        <v>0</v>
      </c>
      <c r="CM17">
        <v>3.4179862799217038E-2</v>
      </c>
      <c r="CN17">
        <v>0</v>
      </c>
      <c r="CO17">
        <v>42461320.374285698</v>
      </c>
      <c r="CP17">
        <f t="shared" si="0"/>
        <v>8.7030705746456195E-3</v>
      </c>
      <c r="CQ17" s="4">
        <f t="shared" si="5"/>
        <v>1.2738396112285709E-2</v>
      </c>
      <c r="CR17" s="2">
        <f t="shared" si="2"/>
        <v>2.1441466686931331E-2</v>
      </c>
      <c r="CS17" t="b">
        <f t="shared" si="3"/>
        <v>0</v>
      </c>
      <c r="CT17" s="2">
        <f t="shared" si="4"/>
        <v>-1.2738396112285708E-2</v>
      </c>
    </row>
    <row r="18" spans="1:98" x14ac:dyDescent="0.25">
      <c r="A18">
        <v>1156</v>
      </c>
      <c r="B18" t="s">
        <v>108</v>
      </c>
      <c r="C18" t="s">
        <v>208</v>
      </c>
      <c r="D18" t="s">
        <v>308</v>
      </c>
      <c r="E18" t="s">
        <v>396</v>
      </c>
      <c r="F18">
        <v>1228504300</v>
      </c>
      <c r="G18">
        <v>273.60000000000002</v>
      </c>
      <c r="H18" t="s">
        <v>407</v>
      </c>
      <c r="I18">
        <v>336118776480</v>
      </c>
      <c r="J18" t="s">
        <v>413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2.9609999999999999</v>
      </c>
      <c r="AR18">
        <v>3.121</v>
      </c>
      <c r="AS18" t="s">
        <v>425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3.0409999999999999</v>
      </c>
      <c r="CE18" t="s">
        <v>450</v>
      </c>
      <c r="CG18">
        <v>1.74740684989184</v>
      </c>
      <c r="CH18">
        <v>3.1</v>
      </c>
      <c r="CI18">
        <v>2.4237034249459199</v>
      </c>
      <c r="CJ18">
        <v>-0.18</v>
      </c>
      <c r="CK18">
        <v>2.2437034249459198</v>
      </c>
      <c r="CL18">
        <v>0</v>
      </c>
      <c r="CM18">
        <v>0.1</v>
      </c>
      <c r="CN18">
        <v>0</v>
      </c>
      <c r="CO18">
        <v>368554481.884426</v>
      </c>
      <c r="CP18">
        <f t="shared" si="0"/>
        <v>9.3483825530841322E-2</v>
      </c>
      <c r="CQ18" s="4">
        <f t="shared" si="5"/>
        <v>0.1105663445653278</v>
      </c>
      <c r="CR18" s="2">
        <f t="shared" si="2"/>
        <v>0.2040501700961691</v>
      </c>
      <c r="CS18" t="b">
        <f t="shared" si="3"/>
        <v>0</v>
      </c>
      <c r="CT18" s="2">
        <f t="shared" si="4"/>
        <v>0.1040501700961691</v>
      </c>
    </row>
    <row r="19" spans="1:98" x14ac:dyDescent="0.25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99.481160000000003</v>
      </c>
      <c r="H19" t="s">
        <v>412</v>
      </c>
      <c r="I19">
        <v>16811733080.402399</v>
      </c>
      <c r="J19" t="s">
        <v>414</v>
      </c>
      <c r="K19">
        <v>53427462.634575203</v>
      </c>
      <c r="L19">
        <v>0.9</v>
      </c>
      <c r="M19">
        <v>10102030</v>
      </c>
      <c r="N19">
        <v>1010</v>
      </c>
      <c r="O19">
        <v>1.7497523085933799</v>
      </c>
      <c r="Q19" t="s">
        <v>415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2.5649999999999999</v>
      </c>
      <c r="AR19">
        <v>3.4</v>
      </c>
      <c r="AS19" t="s">
        <v>418</v>
      </c>
      <c r="AT19">
        <v>1</v>
      </c>
      <c r="AU19">
        <v>0</v>
      </c>
      <c r="AV19" t="s">
        <v>446</v>
      </c>
      <c r="AW19">
        <v>0</v>
      </c>
      <c r="AX19">
        <v>0</v>
      </c>
      <c r="AY19">
        <v>0</v>
      </c>
      <c r="CC19">
        <v>2.9824999999999999</v>
      </c>
      <c r="CE19" t="s">
        <v>450</v>
      </c>
      <c r="CG19">
        <v>1.7497523085933799</v>
      </c>
      <c r="CH19">
        <v>3.4</v>
      </c>
      <c r="CI19">
        <v>2.5748761542966898</v>
      </c>
      <c r="CJ19">
        <v>-0.3</v>
      </c>
      <c r="CK19">
        <v>2.27487615429669</v>
      </c>
      <c r="CL19">
        <v>0</v>
      </c>
      <c r="CM19">
        <v>3.6732280398481858E-2</v>
      </c>
      <c r="CN19">
        <v>0</v>
      </c>
      <c r="CO19">
        <v>53427462.634575203</v>
      </c>
      <c r="CP19">
        <f t="shared" si="0"/>
        <v>4.6758028177367461E-3</v>
      </c>
      <c r="CQ19" s="4">
        <f t="shared" si="5"/>
        <v>1.6028238790372559E-2</v>
      </c>
      <c r="CR19" s="2">
        <f t="shared" si="2"/>
        <v>2.0704041608109305E-2</v>
      </c>
      <c r="CS19" t="b">
        <f t="shared" si="3"/>
        <v>0</v>
      </c>
      <c r="CT19" s="2">
        <f t="shared" si="4"/>
        <v>-1.6028238790372552E-2</v>
      </c>
    </row>
    <row r="20" spans="1:98" x14ac:dyDescent="0.25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4.1740000000000004</v>
      </c>
      <c r="H20" t="s">
        <v>407</v>
      </c>
      <c r="I20">
        <v>23667254518.400002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415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425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2.9940000000000002</v>
      </c>
      <c r="CE20" t="s">
        <v>450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</v>
      </c>
      <c r="CM20">
        <v>3.8543671449199839E-2</v>
      </c>
      <c r="CN20">
        <v>0</v>
      </c>
      <c r="CO20">
        <v>53268601.0030111</v>
      </c>
      <c r="CP20">
        <f t="shared" si="0"/>
        <v>6.5825108473931745E-3</v>
      </c>
      <c r="CQ20" s="4">
        <f t="shared" si="5"/>
        <v>1.5980580300903331E-2</v>
      </c>
      <c r="CR20" s="2">
        <f t="shared" si="2"/>
        <v>2.2563091148296507E-2</v>
      </c>
      <c r="CS20" t="b">
        <f t="shared" si="3"/>
        <v>0</v>
      </c>
      <c r="CT20" s="2">
        <f t="shared" si="4"/>
        <v>-1.5980580300903331E-2</v>
      </c>
    </row>
    <row r="21" spans="1:98" x14ac:dyDescent="0.25">
      <c r="A21">
        <v>1471</v>
      </c>
      <c r="B21" t="s">
        <v>111</v>
      </c>
      <c r="C21" t="s">
        <v>211</v>
      </c>
      <c r="D21" t="s">
        <v>311</v>
      </c>
      <c r="E21" t="s">
        <v>400</v>
      </c>
      <c r="F21">
        <v>25081295000</v>
      </c>
      <c r="G21">
        <v>0.80032029999999998</v>
      </c>
      <c r="H21" t="s">
        <v>410</v>
      </c>
      <c r="I21">
        <v>20073069538.788502</v>
      </c>
      <c r="J21" t="s">
        <v>414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425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2.9529999999999998</v>
      </c>
      <c r="CE21" t="s">
        <v>450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3.6445704057885428E-2</v>
      </c>
      <c r="CN21">
        <v>0</v>
      </c>
      <c r="CO21">
        <v>51438057.273945697</v>
      </c>
      <c r="CP21">
        <f t="shared" si="0"/>
        <v>5.5828696935180215E-3</v>
      </c>
      <c r="CQ21" s="4">
        <f t="shared" si="5"/>
        <v>1.5431417182183708E-2</v>
      </c>
      <c r="CR21" s="2">
        <f t="shared" si="2"/>
        <v>2.101428687570173E-2</v>
      </c>
      <c r="CS21" t="b">
        <f t="shared" si="3"/>
        <v>0</v>
      </c>
      <c r="CT21" s="2">
        <f t="shared" si="4"/>
        <v>-1.5431417182183698E-2</v>
      </c>
    </row>
    <row r="22" spans="1:98" x14ac:dyDescent="0.25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11.074999999999999</v>
      </c>
      <c r="H22" t="s">
        <v>407</v>
      </c>
      <c r="I22">
        <v>29460126833.924999</v>
      </c>
      <c r="J22" t="s">
        <v>413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425</v>
      </c>
      <c r="AT22">
        <v>0</v>
      </c>
      <c r="AU22">
        <v>0</v>
      </c>
      <c r="AV22" t="s">
        <v>433</v>
      </c>
      <c r="AW22">
        <v>0</v>
      </c>
      <c r="AX22">
        <v>0</v>
      </c>
      <c r="AY22">
        <v>0</v>
      </c>
      <c r="CC22">
        <v>2.7315</v>
      </c>
      <c r="CE22" t="s">
        <v>450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5.1107314916992552E-2</v>
      </c>
      <c r="CN22">
        <v>0</v>
      </c>
      <c r="CO22">
        <v>71522746.378896803</v>
      </c>
      <c r="CP22">
        <f t="shared" si="0"/>
        <v>8.1936670896544661E-3</v>
      </c>
      <c r="CQ22" s="4">
        <f t="shared" si="5"/>
        <v>2.145682391366904E-2</v>
      </c>
      <c r="CR22" s="2">
        <f t="shared" si="2"/>
        <v>2.9650491003323506E-2</v>
      </c>
      <c r="CS22" t="b">
        <f t="shared" si="3"/>
        <v>0</v>
      </c>
      <c r="CT22" s="2">
        <f t="shared" si="4"/>
        <v>-2.1456823913669047E-2</v>
      </c>
    </row>
    <row r="23" spans="1:98" x14ac:dyDescent="0.25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12.142609999999999</v>
      </c>
      <c r="H23" t="s">
        <v>409</v>
      </c>
      <c r="I23">
        <v>16615340259.93129</v>
      </c>
      <c r="J23" t="s">
        <v>414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425</v>
      </c>
      <c r="AT23">
        <v>0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2.6355</v>
      </c>
      <c r="CE23" t="s">
        <v>450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1.3383824363531289E-2</v>
      </c>
      <c r="CN23">
        <v>0</v>
      </c>
      <c r="CO23">
        <v>14604406.268437199</v>
      </c>
      <c r="CP23">
        <f t="shared" si="0"/>
        <v>4.6211806024689731E-3</v>
      </c>
      <c r="CQ23" s="4">
        <f t="shared" si="5"/>
        <v>4.3813218805311589E-3</v>
      </c>
      <c r="CR23" s="2">
        <f t="shared" si="2"/>
        <v>9.002502483000132E-3</v>
      </c>
      <c r="CS23" t="b">
        <f t="shared" si="3"/>
        <v>0</v>
      </c>
      <c r="CT23" s="2">
        <f t="shared" si="4"/>
        <v>-4.3813218805311572E-3</v>
      </c>
    </row>
    <row r="24" spans="1:98" x14ac:dyDescent="0.25">
      <c r="A24">
        <v>227</v>
      </c>
      <c r="B24" t="s">
        <v>114</v>
      </c>
      <c r="C24" t="s">
        <v>214</v>
      </c>
      <c r="D24" t="s">
        <v>314</v>
      </c>
      <c r="E24" t="s">
        <v>400</v>
      </c>
      <c r="F24">
        <v>9956837000</v>
      </c>
      <c r="G24">
        <v>1.820668</v>
      </c>
      <c r="H24" t="s">
        <v>410</v>
      </c>
      <c r="I24">
        <v>18128094507.116001</v>
      </c>
      <c r="J24" t="s">
        <v>414</v>
      </c>
      <c r="K24">
        <v>22456253.843416799</v>
      </c>
      <c r="L24">
        <v>0.4</v>
      </c>
      <c r="M24">
        <v>15102015</v>
      </c>
      <c r="N24">
        <v>1510</v>
      </c>
      <c r="O24">
        <v>2.3119389045162899</v>
      </c>
      <c r="P24">
        <v>2.39</v>
      </c>
      <c r="Q24" t="s">
        <v>415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2.5619999999999998</v>
      </c>
      <c r="AS24" t="s">
        <v>425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2.6619999999999999</v>
      </c>
      <c r="CE24" t="s">
        <v>450</v>
      </c>
      <c r="CG24">
        <v>2.3119389045162899</v>
      </c>
      <c r="CH24">
        <v>2.39</v>
      </c>
      <c r="CI24">
        <v>2.3509694522581448</v>
      </c>
      <c r="CJ24">
        <v>-0.3</v>
      </c>
      <c r="CK24">
        <v>2.050969452258145</v>
      </c>
      <c r="CL24">
        <v>0</v>
      </c>
      <c r="CM24">
        <v>1.8515671242734871E-2</v>
      </c>
      <c r="CN24">
        <v>0</v>
      </c>
      <c r="CO24">
        <v>22456253.843416799</v>
      </c>
      <c r="CP24">
        <f t="shared" si="0"/>
        <v>5.0419189366847934E-3</v>
      </c>
      <c r="CQ24" s="4">
        <f t="shared" si="5"/>
        <v>6.7368761530250398E-3</v>
      </c>
      <c r="CR24" s="2">
        <f t="shared" si="2"/>
        <v>1.1778795089709833E-2</v>
      </c>
      <c r="CS24" t="b">
        <f t="shared" si="3"/>
        <v>0</v>
      </c>
      <c r="CT24" s="2">
        <f t="shared" si="4"/>
        <v>-6.7368761530250381E-3</v>
      </c>
    </row>
    <row r="25" spans="1:98" x14ac:dyDescent="0.25">
      <c r="A25">
        <v>976</v>
      </c>
      <c r="B25" t="s">
        <v>115</v>
      </c>
      <c r="C25" t="s">
        <v>215</v>
      </c>
      <c r="D25" t="s">
        <v>315</v>
      </c>
      <c r="E25" t="s">
        <v>402</v>
      </c>
      <c r="F25">
        <v>414555050</v>
      </c>
      <c r="G25">
        <v>53.644550000000002</v>
      </c>
      <c r="H25" t="s">
        <v>411</v>
      </c>
      <c r="I25">
        <v>22238619107.477501</v>
      </c>
      <c r="J25" t="s">
        <v>414</v>
      </c>
      <c r="K25">
        <v>28551144.8592216</v>
      </c>
      <c r="L25">
        <v>0.85</v>
      </c>
      <c r="M25">
        <v>20103010</v>
      </c>
      <c r="N25">
        <v>2010</v>
      </c>
      <c r="O25">
        <v>1.7046060481660801</v>
      </c>
      <c r="P25">
        <v>1.5</v>
      </c>
      <c r="Q25" t="s">
        <v>415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2.5750000000000002</v>
      </c>
      <c r="AR25">
        <v>2.8759999999999999</v>
      </c>
      <c r="AS25" t="s">
        <v>418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2.7254999999999998</v>
      </c>
      <c r="CE25" t="s">
        <v>450</v>
      </c>
      <c r="CG25">
        <v>1.7046060481660801</v>
      </c>
      <c r="CH25">
        <v>1.5</v>
      </c>
      <c r="CI25">
        <v>1.60230302408304</v>
      </c>
      <c r="CJ25">
        <v>-0.3</v>
      </c>
      <c r="CK25">
        <v>1.30230302408304</v>
      </c>
      <c r="CL25">
        <v>1</v>
      </c>
      <c r="CM25">
        <v>2.3315855177961059E-2</v>
      </c>
      <c r="CN25">
        <v>0</v>
      </c>
      <c r="CO25">
        <v>28551144.8592216</v>
      </c>
      <c r="CP25">
        <f t="shared" si="0"/>
        <v>6.1851682624281014E-3</v>
      </c>
      <c r="CQ25" s="4">
        <f t="shared" si="5"/>
        <v>8.5653434577664788E-3</v>
      </c>
      <c r="CR25" s="2">
        <f t="shared" si="2"/>
        <v>1.475051172019458E-2</v>
      </c>
      <c r="CS25" t="b">
        <f t="shared" si="3"/>
        <v>0</v>
      </c>
      <c r="CT25" s="2">
        <f t="shared" si="4"/>
        <v>-8.5653434577664788E-3</v>
      </c>
    </row>
    <row r="26" spans="1:98" x14ac:dyDescent="0.25">
      <c r="A26">
        <v>566</v>
      </c>
      <c r="B26" t="s">
        <v>116</v>
      </c>
      <c r="C26" t="s">
        <v>216</v>
      </c>
      <c r="D26" t="s">
        <v>316</v>
      </c>
      <c r="E26" t="s">
        <v>400</v>
      </c>
      <c r="F26">
        <v>4145945300</v>
      </c>
      <c r="G26">
        <v>17.2758</v>
      </c>
      <c r="H26" t="s">
        <v>410</v>
      </c>
      <c r="I26">
        <v>71624521813.740005</v>
      </c>
      <c r="J26" t="s">
        <v>414</v>
      </c>
      <c r="K26">
        <v>94231734.899956703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415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2.7879999999999998</v>
      </c>
      <c r="AS26" t="s">
        <v>418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2.9929999999999999</v>
      </c>
      <c r="CE26" t="s">
        <v>450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</v>
      </c>
      <c r="CM26">
        <v>7.645977958803947E-2</v>
      </c>
      <c r="CN26">
        <v>0</v>
      </c>
      <c r="CO26">
        <v>94231734.899956703</v>
      </c>
      <c r="CP26">
        <f t="shared" si="0"/>
        <v>1.9920738648065452E-2</v>
      </c>
      <c r="CQ26" s="4">
        <f t="shared" si="5"/>
        <v>2.8269520469987007E-2</v>
      </c>
      <c r="CR26" s="2">
        <f t="shared" si="2"/>
        <v>4.8190259118052456E-2</v>
      </c>
      <c r="CS26" t="b">
        <f t="shared" si="3"/>
        <v>0</v>
      </c>
      <c r="CT26" s="2">
        <f t="shared" si="4"/>
        <v>-2.8269520469987014E-2</v>
      </c>
    </row>
    <row r="27" spans="1:98" x14ac:dyDescent="0.25">
      <c r="A27">
        <v>974</v>
      </c>
      <c r="B27" t="s">
        <v>117</v>
      </c>
      <c r="C27" t="s">
        <v>217</v>
      </c>
      <c r="D27" t="s">
        <v>317</v>
      </c>
      <c r="E27" t="s">
        <v>404</v>
      </c>
      <c r="F27">
        <v>2189930400</v>
      </c>
      <c r="G27">
        <v>104.3617</v>
      </c>
      <c r="H27" t="s">
        <v>412</v>
      </c>
      <c r="I27">
        <v>228544859425.67999</v>
      </c>
      <c r="J27" t="s">
        <v>414</v>
      </c>
      <c r="K27">
        <v>348052438.84857303</v>
      </c>
      <c r="L27">
        <v>0.95</v>
      </c>
      <c r="M27">
        <v>20103015</v>
      </c>
      <c r="N27">
        <v>2010</v>
      </c>
      <c r="O27">
        <v>1.7351435772655099</v>
      </c>
      <c r="P27">
        <v>1.5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2.9780000000000002</v>
      </c>
      <c r="AR27">
        <v>2.9729999999999999</v>
      </c>
      <c r="AS27" t="s">
        <v>418</v>
      </c>
      <c r="AT27">
        <v>1</v>
      </c>
      <c r="AU27">
        <v>0</v>
      </c>
      <c r="AV27" t="s">
        <v>446</v>
      </c>
      <c r="AW27">
        <v>0</v>
      </c>
      <c r="AX27">
        <v>0</v>
      </c>
      <c r="AY27">
        <v>0</v>
      </c>
      <c r="CC27">
        <v>2.9754999999999998</v>
      </c>
      <c r="CE27" t="s">
        <v>450</v>
      </c>
      <c r="CG27">
        <v>1.7351435772655099</v>
      </c>
      <c r="CH27">
        <v>1.5</v>
      </c>
      <c r="CI27">
        <v>1.617571788632755</v>
      </c>
      <c r="CJ27">
        <v>-0.3</v>
      </c>
      <c r="CK27">
        <v>1.3175717886327549</v>
      </c>
      <c r="CL27">
        <v>1</v>
      </c>
      <c r="CM27">
        <v>0.1</v>
      </c>
      <c r="CN27">
        <v>0</v>
      </c>
      <c r="CO27">
        <v>348052438.84857303</v>
      </c>
      <c r="CP27">
        <f t="shared" si="0"/>
        <v>6.3564576749529547E-2</v>
      </c>
      <c r="CQ27" s="4">
        <f t="shared" si="5"/>
        <v>0.10441573165457191</v>
      </c>
      <c r="CR27" s="2">
        <f t="shared" si="2"/>
        <v>0.16798030840410144</v>
      </c>
      <c r="CS27" t="b">
        <f t="shared" si="3"/>
        <v>0</v>
      </c>
      <c r="CT27" s="2">
        <f t="shared" si="4"/>
        <v>6.7980308404101436E-2</v>
      </c>
    </row>
    <row r="28" spans="1:98" x14ac:dyDescent="0.25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450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  <c r="CL28">
        <v>1</v>
      </c>
      <c r="CM28">
        <v>0.1</v>
      </c>
      <c r="CN28">
        <v>0</v>
      </c>
      <c r="CO28">
        <v>175769656.35404101</v>
      </c>
      <c r="CP28">
        <f t="shared" si="0"/>
        <v>6.1041742056905712E-2</v>
      </c>
      <c r="CQ28" s="4">
        <f t="shared" si="5"/>
        <v>5.2730896906212299E-2</v>
      </c>
      <c r="CR28" s="2">
        <f t="shared" si="2"/>
        <v>0.11377263896311801</v>
      </c>
      <c r="CS28" t="b">
        <f t="shared" si="3"/>
        <v>0</v>
      </c>
      <c r="CT28" s="2">
        <f t="shared" si="4"/>
        <v>1.3772638963118006E-2</v>
      </c>
    </row>
    <row r="29" spans="1:98" x14ac:dyDescent="0.25">
      <c r="A29">
        <v>1151</v>
      </c>
      <c r="B29" t="s">
        <v>119</v>
      </c>
      <c r="C29" t="s">
        <v>219</v>
      </c>
      <c r="D29" t="s">
        <v>319</v>
      </c>
      <c r="E29" t="s">
        <v>392</v>
      </c>
      <c r="F29">
        <v>1263122721</v>
      </c>
      <c r="G29">
        <v>104.12</v>
      </c>
      <c r="H29" t="s">
        <v>407</v>
      </c>
      <c r="I29">
        <v>131516337710.52</v>
      </c>
      <c r="J29" t="s">
        <v>413</v>
      </c>
      <c r="K29">
        <v>154796225.17039701</v>
      </c>
      <c r="L29">
        <v>0.95000000000000007</v>
      </c>
      <c r="M29">
        <v>20103015</v>
      </c>
      <c r="N29">
        <v>2010</v>
      </c>
      <c r="O29">
        <v>1.72319966282151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418</v>
      </c>
      <c r="AT29">
        <v>1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2.8769999999999998</v>
      </c>
      <c r="CE29" t="s">
        <v>450</v>
      </c>
      <c r="CG29">
        <v>1.72319966282151</v>
      </c>
      <c r="CH29">
        <v>1.5</v>
      </c>
      <c r="CI29">
        <v>1.6115998314107549</v>
      </c>
      <c r="CJ29">
        <v>-0.24</v>
      </c>
      <c r="CK29">
        <v>1.3715998314107549</v>
      </c>
      <c r="CL29">
        <v>1</v>
      </c>
      <c r="CM29">
        <v>0.1</v>
      </c>
      <c r="CN29">
        <v>0</v>
      </c>
      <c r="CO29">
        <v>154796225.17039701</v>
      </c>
      <c r="CP29">
        <f t="shared" si="0"/>
        <v>3.6578290858193176E-2</v>
      </c>
      <c r="CQ29" s="4">
        <f t="shared" si="5"/>
        <v>4.6438867551119103E-2</v>
      </c>
      <c r="CR29" s="2">
        <f t="shared" si="2"/>
        <v>8.3017158409312286E-2</v>
      </c>
      <c r="CS29" t="b">
        <f t="shared" si="3"/>
        <v>0</v>
      </c>
      <c r="CT29" s="2">
        <f t="shared" si="4"/>
        <v>-1.6982841590687719E-2</v>
      </c>
    </row>
    <row r="30" spans="1:98" x14ac:dyDescent="0.25">
      <c r="A30">
        <v>1426</v>
      </c>
      <c r="B30" t="s">
        <v>120</v>
      </c>
      <c r="C30" t="s">
        <v>220</v>
      </c>
      <c r="D30" t="s">
        <v>320</v>
      </c>
      <c r="E30" t="s">
        <v>405</v>
      </c>
      <c r="F30">
        <v>194505658</v>
      </c>
      <c r="G30">
        <v>181.8</v>
      </c>
      <c r="H30" t="s">
        <v>407</v>
      </c>
      <c r="I30">
        <v>35361128624.400002</v>
      </c>
      <c r="J30" t="s">
        <v>413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417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2.8610000000000002</v>
      </c>
      <c r="AS30" t="s">
        <v>429</v>
      </c>
      <c r="AT30">
        <v>0</v>
      </c>
      <c r="AU30">
        <v>0</v>
      </c>
      <c r="AV30" t="s">
        <v>447</v>
      </c>
      <c r="AW30">
        <v>0</v>
      </c>
      <c r="AX30">
        <v>0</v>
      </c>
      <c r="AY30">
        <v>0</v>
      </c>
      <c r="CC30">
        <v>2.7610000000000001</v>
      </c>
      <c r="CE30" t="s">
        <v>450</v>
      </c>
      <c r="CG30">
        <v>1.74156423615151</v>
      </c>
      <c r="CH30">
        <v>1.77</v>
      </c>
      <c r="CI30">
        <v>1.7557821180757549</v>
      </c>
      <c r="CJ30">
        <v>-0.24</v>
      </c>
      <c r="CK30">
        <v>1.5157821180757549</v>
      </c>
      <c r="CL30">
        <v>1</v>
      </c>
      <c r="CM30">
        <v>3.1935495919877252E-2</v>
      </c>
      <c r="CN30">
        <v>0</v>
      </c>
      <c r="CO30">
        <v>36834331.3722222</v>
      </c>
      <c r="CP30">
        <f t="shared" si="0"/>
        <v>9.8348970965439261E-3</v>
      </c>
      <c r="CQ30" s="4">
        <f t="shared" si="5"/>
        <v>1.105029941166666E-2</v>
      </c>
      <c r="CR30" s="2">
        <f t="shared" si="2"/>
        <v>2.0885196508210586E-2</v>
      </c>
      <c r="CS30" t="b">
        <f t="shared" si="3"/>
        <v>0</v>
      </c>
      <c r="CT30" s="2">
        <f t="shared" si="4"/>
        <v>-1.1050299411666666E-2</v>
      </c>
    </row>
    <row r="31" spans="1:98" x14ac:dyDescent="0.25">
      <c r="A31">
        <v>322</v>
      </c>
      <c r="B31" t="s">
        <v>121</v>
      </c>
      <c r="C31" t="s">
        <v>221</v>
      </c>
      <c r="D31" t="s">
        <v>321</v>
      </c>
      <c r="E31" t="s">
        <v>400</v>
      </c>
      <c r="F31">
        <v>2049789600</v>
      </c>
      <c r="G31">
        <v>2.9909249999999998</v>
      </c>
      <c r="H31" t="s">
        <v>410</v>
      </c>
      <c r="I31">
        <v>6130766959.3800001</v>
      </c>
      <c r="J31" t="s">
        <v>414</v>
      </c>
      <c r="K31">
        <v>9155054.9499982595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416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3.0009999999999999</v>
      </c>
      <c r="AS31" t="s">
        <v>418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450</v>
      </c>
      <c r="CG31">
        <v>1.97423180401412</v>
      </c>
      <c r="CH31">
        <v>1.5</v>
      </c>
      <c r="CI31">
        <v>1.7371159020070599</v>
      </c>
      <c r="CJ31">
        <v>-0.18</v>
      </c>
      <c r="CK31">
        <v>1.55711590200706</v>
      </c>
      <c r="CL31">
        <v>1</v>
      </c>
      <c r="CM31">
        <v>7.1981669550830324E-3</v>
      </c>
      <c r="CN31">
        <v>0</v>
      </c>
      <c r="CO31">
        <v>9155054.9499982595</v>
      </c>
      <c r="CP31">
        <f t="shared" si="0"/>
        <v>1.705133985084077E-3</v>
      </c>
      <c r="CQ31" s="4">
        <f t="shared" si="5"/>
        <v>2.7465164849994777E-3</v>
      </c>
      <c r="CR31" s="2">
        <f t="shared" si="2"/>
        <v>4.4516504700835551E-3</v>
      </c>
      <c r="CS31" t="b">
        <f t="shared" si="3"/>
        <v>0</v>
      </c>
      <c r="CT31" s="2">
        <f t="shared" si="4"/>
        <v>-2.7465164849994773E-3</v>
      </c>
    </row>
    <row r="32" spans="1:98" x14ac:dyDescent="0.25">
      <c r="A32">
        <v>73</v>
      </c>
      <c r="B32" t="s">
        <v>122</v>
      </c>
      <c r="C32" t="s">
        <v>222</v>
      </c>
      <c r="D32" t="s">
        <v>322</v>
      </c>
      <c r="E32" t="s">
        <v>402</v>
      </c>
      <c r="F32">
        <v>234974400</v>
      </c>
      <c r="G32">
        <v>18.719290000000001</v>
      </c>
      <c r="H32" t="s">
        <v>411</v>
      </c>
      <c r="I32">
        <v>4398553936.1760006</v>
      </c>
      <c r="J32" t="s">
        <v>414</v>
      </c>
      <c r="K32">
        <v>7606684.1957903598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419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2.6269999999999998</v>
      </c>
      <c r="AR32">
        <v>2.7530000000000001</v>
      </c>
      <c r="AS32" t="s">
        <v>418</v>
      </c>
      <c r="AT32">
        <v>1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2.69</v>
      </c>
      <c r="CE32" t="s">
        <v>450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1.8879954664022049</v>
      </c>
      <c r="CL32">
        <v>1</v>
      </c>
      <c r="CM32">
        <v>5.7873686799181394E-3</v>
      </c>
      <c r="CN32">
        <v>0</v>
      </c>
      <c r="CO32">
        <v>7606684.1957903598</v>
      </c>
      <c r="CP32">
        <f t="shared" si="0"/>
        <v>1.2233581624439235E-3</v>
      </c>
      <c r="CQ32" s="4">
        <f t="shared" si="5"/>
        <v>2.2820052587371078E-3</v>
      </c>
      <c r="CR32" s="2">
        <f t="shared" si="2"/>
        <v>3.5053634211810311E-3</v>
      </c>
      <c r="CS32" t="b">
        <f t="shared" si="3"/>
        <v>0</v>
      </c>
      <c r="CT32" s="2">
        <f t="shared" si="4"/>
        <v>-2.2820052587371083E-3</v>
      </c>
    </row>
    <row r="33" spans="1:98" x14ac:dyDescent="0.25">
      <c r="A33">
        <v>1250</v>
      </c>
      <c r="B33" t="s">
        <v>123</v>
      </c>
      <c r="C33" t="s">
        <v>223</v>
      </c>
      <c r="D33" t="s">
        <v>323</v>
      </c>
      <c r="E33" t="s">
        <v>404</v>
      </c>
      <c r="F33">
        <v>59626810</v>
      </c>
      <c r="G33">
        <v>310.37360000000001</v>
      </c>
      <c r="H33" t="s">
        <v>412</v>
      </c>
      <c r="I33">
        <v>18506587676.216</v>
      </c>
      <c r="J33" t="s">
        <v>414</v>
      </c>
      <c r="K33">
        <v>37253581.499226198</v>
      </c>
      <c r="L33">
        <v>0.85</v>
      </c>
      <c r="M33">
        <v>20102010</v>
      </c>
      <c r="N33">
        <v>2010</v>
      </c>
      <c r="O33">
        <v>1.9776400456237699</v>
      </c>
      <c r="P33">
        <v>2.39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3.0779999999999998</v>
      </c>
      <c r="AR33">
        <v>3.0640000000000001</v>
      </c>
      <c r="AS33" t="s">
        <v>418</v>
      </c>
      <c r="AT33">
        <v>1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3.0710000000000002</v>
      </c>
      <c r="CE33" t="s">
        <v>450</v>
      </c>
      <c r="CG33">
        <v>1.9776400456237699</v>
      </c>
      <c r="CH33">
        <v>2.39</v>
      </c>
      <c r="CI33">
        <v>2.1838200228118851</v>
      </c>
      <c r="CJ33">
        <v>-0.18</v>
      </c>
      <c r="CK33">
        <v>2.003820022811885</v>
      </c>
      <c r="CL33">
        <v>0</v>
      </c>
      <c r="CM33">
        <v>2.749933713939752E-2</v>
      </c>
      <c r="CN33">
        <v>0</v>
      </c>
      <c r="CO33">
        <v>37253581.499226198</v>
      </c>
      <c r="CP33">
        <f t="shared" si="0"/>
        <v>5.1471882398618054E-3</v>
      </c>
      <c r="CQ33" s="4">
        <f t="shared" si="5"/>
        <v>1.1176074449767859E-2</v>
      </c>
      <c r="CR33" s="2">
        <f t="shared" si="2"/>
        <v>1.6323262689629664E-2</v>
      </c>
      <c r="CS33" t="b">
        <f t="shared" si="3"/>
        <v>0</v>
      </c>
      <c r="CT33" s="2">
        <f t="shared" si="4"/>
        <v>-1.1176074449767856E-2</v>
      </c>
    </row>
    <row r="34" spans="1:98" x14ac:dyDescent="0.25">
      <c r="A34">
        <v>1007</v>
      </c>
      <c r="B34" t="s">
        <v>124</v>
      </c>
      <c r="C34" t="s">
        <v>224</v>
      </c>
      <c r="D34" t="s">
        <v>324</v>
      </c>
      <c r="E34" t="s">
        <v>397</v>
      </c>
      <c r="F34">
        <v>108382010</v>
      </c>
      <c r="G34">
        <v>52.44</v>
      </c>
      <c r="H34" t="s">
        <v>407</v>
      </c>
      <c r="I34">
        <v>5683552604.3999996</v>
      </c>
      <c r="J34" t="s">
        <v>413</v>
      </c>
      <c r="K34">
        <v>9590018.5647457596</v>
      </c>
      <c r="L34">
        <v>1</v>
      </c>
      <c r="M34">
        <v>20103015</v>
      </c>
      <c r="N34">
        <v>2010</v>
      </c>
      <c r="O34">
        <v>1.9707580162642699</v>
      </c>
      <c r="P34">
        <v>2.7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2.4689999999999999</v>
      </c>
      <c r="AR34">
        <v>2.8260000000000001</v>
      </c>
      <c r="AS34" t="s">
        <v>418</v>
      </c>
      <c r="AT34">
        <v>1</v>
      </c>
      <c r="AU34">
        <v>0</v>
      </c>
      <c r="AV34" t="s">
        <v>438</v>
      </c>
      <c r="AW34">
        <v>0</v>
      </c>
      <c r="AX34">
        <v>0</v>
      </c>
      <c r="AY34">
        <v>0</v>
      </c>
      <c r="CC34">
        <v>2.6475</v>
      </c>
      <c r="CE34" t="s">
        <v>450</v>
      </c>
      <c r="CG34">
        <v>1.9707580162642699</v>
      </c>
      <c r="CH34">
        <v>2.7</v>
      </c>
      <c r="CI34">
        <v>2.3353790081321351</v>
      </c>
      <c r="CJ34">
        <v>-0.18</v>
      </c>
      <c r="CK34">
        <v>2.1553790081321349</v>
      </c>
      <c r="CL34">
        <v>0</v>
      </c>
      <c r="CM34">
        <v>7.334762579244012E-3</v>
      </c>
      <c r="CN34">
        <v>0</v>
      </c>
      <c r="CO34">
        <v>9590018.5647457596</v>
      </c>
      <c r="CP34">
        <f t="shared" si="0"/>
        <v>1.5807514403965571E-3</v>
      </c>
      <c r="CQ34" s="4">
        <f t="shared" si="5"/>
        <v>2.8770055694237275E-3</v>
      </c>
      <c r="CR34" s="2">
        <f t="shared" si="2"/>
        <v>4.4577570098202849E-3</v>
      </c>
      <c r="CS34" t="b">
        <f t="shared" si="3"/>
        <v>0</v>
      </c>
      <c r="CT34" s="2">
        <f t="shared" si="4"/>
        <v>-2.8770055694237271E-3</v>
      </c>
    </row>
    <row r="35" spans="1:98" x14ac:dyDescent="0.25">
      <c r="A35">
        <v>1279</v>
      </c>
      <c r="B35" t="s">
        <v>125</v>
      </c>
      <c r="C35" t="s">
        <v>225</v>
      </c>
      <c r="D35" t="s">
        <v>325</v>
      </c>
      <c r="E35" t="s">
        <v>404</v>
      </c>
      <c r="F35">
        <v>159455250</v>
      </c>
      <c r="G35">
        <v>138.75899999999999</v>
      </c>
      <c r="H35" t="s">
        <v>412</v>
      </c>
      <c r="I35">
        <v>22125851034.75</v>
      </c>
      <c r="J35" t="s">
        <v>414</v>
      </c>
      <c r="K35">
        <v>38963232.823840298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2.2160000000000002</v>
      </c>
      <c r="AS35" t="s">
        <v>418</v>
      </c>
      <c r="AT35">
        <v>1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2.5329999999999999</v>
      </c>
      <c r="CE35" t="s">
        <v>450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2.1971580576397298</v>
      </c>
      <c r="CL35">
        <v>0</v>
      </c>
      <c r="CM35">
        <v>2.953174407118352E-2</v>
      </c>
      <c r="CN35">
        <v>0</v>
      </c>
      <c r="CO35">
        <v>38963232.823840298</v>
      </c>
      <c r="CP35">
        <f t="shared" si="0"/>
        <v>6.1538043768793443E-3</v>
      </c>
      <c r="CQ35" s="4">
        <f t="shared" si="5"/>
        <v>1.168896984715209E-2</v>
      </c>
      <c r="CR35" s="2">
        <f t="shared" si="2"/>
        <v>1.7842774224031435E-2</v>
      </c>
      <c r="CS35" t="b">
        <f t="shared" si="3"/>
        <v>0</v>
      </c>
      <c r="CT35" s="2">
        <f t="shared" si="4"/>
        <v>-1.1688969847152085E-2</v>
      </c>
    </row>
    <row r="36" spans="1:98" x14ac:dyDescent="0.25">
      <c r="A36">
        <v>178</v>
      </c>
      <c r="B36" t="s">
        <v>126</v>
      </c>
      <c r="C36" t="s">
        <v>226</v>
      </c>
      <c r="D36" t="s">
        <v>326</v>
      </c>
      <c r="E36" t="s">
        <v>396</v>
      </c>
      <c r="F36">
        <v>982424100</v>
      </c>
      <c r="G36">
        <v>22.05</v>
      </c>
      <c r="H36" t="s">
        <v>407</v>
      </c>
      <c r="I36">
        <v>21662451405</v>
      </c>
      <c r="J36" t="s">
        <v>413</v>
      </c>
      <c r="K36">
        <v>74110033.456483603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2.6280000000000001</v>
      </c>
      <c r="AR36">
        <v>3.1920000000000002</v>
      </c>
      <c r="AS36" t="s">
        <v>418</v>
      </c>
      <c r="AT36">
        <v>1</v>
      </c>
      <c r="AU36">
        <v>0</v>
      </c>
      <c r="AV36" t="s">
        <v>437</v>
      </c>
      <c r="AW36">
        <v>0</v>
      </c>
      <c r="AX36">
        <v>0</v>
      </c>
      <c r="AY36">
        <v>0</v>
      </c>
      <c r="CC36">
        <v>2.91</v>
      </c>
      <c r="CE36" t="s">
        <v>450</v>
      </c>
      <c r="CG36">
        <v>1.6931442341836</v>
      </c>
      <c r="CH36">
        <v>3.1</v>
      </c>
      <c r="CI36">
        <v>2.3965721170918002</v>
      </c>
      <c r="CJ36">
        <v>-0.18</v>
      </c>
      <c r="CK36">
        <v>2.2165721170918</v>
      </c>
      <c r="CL36">
        <v>0</v>
      </c>
      <c r="CM36">
        <v>5.0490940338455761E-2</v>
      </c>
      <c r="CN36">
        <v>0</v>
      </c>
      <c r="CO36">
        <v>74110033.456483603</v>
      </c>
      <c r="CP36">
        <f t="shared" si="0"/>
        <v>6.0249202645656034E-3</v>
      </c>
      <c r="CQ36" s="4">
        <f t="shared" si="5"/>
        <v>2.223301003694508E-2</v>
      </c>
      <c r="CR36" s="2">
        <f t="shared" si="2"/>
        <v>2.8257930301510685E-2</v>
      </c>
      <c r="CS36" t="b">
        <f t="shared" si="3"/>
        <v>0</v>
      </c>
      <c r="CT36" s="2">
        <f t="shared" si="4"/>
        <v>-2.2233010036945076E-2</v>
      </c>
    </row>
    <row r="37" spans="1:98" x14ac:dyDescent="0.25">
      <c r="A37">
        <v>465</v>
      </c>
      <c r="B37" t="s">
        <v>127</v>
      </c>
      <c r="C37" t="s">
        <v>227</v>
      </c>
      <c r="D37" t="s">
        <v>327</v>
      </c>
      <c r="E37" t="s">
        <v>392</v>
      </c>
      <c r="F37">
        <v>457507201</v>
      </c>
      <c r="G37">
        <v>290.89999999999998</v>
      </c>
      <c r="H37" t="s">
        <v>407</v>
      </c>
      <c r="I37">
        <v>133088844770.89999</v>
      </c>
      <c r="J37" t="s">
        <v>413</v>
      </c>
      <c r="K37">
        <v>129173182.36587299</v>
      </c>
      <c r="L37">
        <v>0.70000000000000007</v>
      </c>
      <c r="M37">
        <v>20102015</v>
      </c>
      <c r="N37">
        <v>2010</v>
      </c>
      <c r="O37">
        <v>1.8933020825698099</v>
      </c>
      <c r="P37">
        <v>3.1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2.7309999999999999</v>
      </c>
      <c r="AR37">
        <v>2.5099999999999998</v>
      </c>
      <c r="AS37" t="s">
        <v>418</v>
      </c>
      <c r="AT37">
        <v>1</v>
      </c>
      <c r="AU37">
        <v>0</v>
      </c>
      <c r="AV37" t="s">
        <v>433</v>
      </c>
      <c r="AW37">
        <v>0</v>
      </c>
      <c r="AX37">
        <v>0</v>
      </c>
      <c r="AY37">
        <v>0</v>
      </c>
      <c r="CC37">
        <v>2.6204999999999998</v>
      </c>
      <c r="CE37" t="s">
        <v>450</v>
      </c>
      <c r="CG37">
        <v>1.8933020825698099</v>
      </c>
      <c r="CH37">
        <v>3.1</v>
      </c>
      <c r="CI37">
        <v>2.4966510412849048</v>
      </c>
      <c r="CJ37">
        <v>-0.24</v>
      </c>
      <c r="CK37">
        <v>2.256651041284905</v>
      </c>
      <c r="CL37">
        <v>0</v>
      </c>
      <c r="CM37">
        <v>0.1</v>
      </c>
      <c r="CN37">
        <v>0</v>
      </c>
      <c r="CO37">
        <v>129173182.36587299</v>
      </c>
      <c r="CP37">
        <f t="shared" si="0"/>
        <v>3.7015648084165721E-2</v>
      </c>
      <c r="CQ37" s="4">
        <f t="shared" si="5"/>
        <v>3.8751954709761893E-2</v>
      </c>
      <c r="CR37" s="2">
        <f t="shared" si="2"/>
        <v>7.5767602793927608E-2</v>
      </c>
      <c r="CS37" t="b">
        <f t="shared" si="3"/>
        <v>0</v>
      </c>
      <c r="CT37" s="2">
        <f t="shared" si="4"/>
        <v>-2.4232397206072398E-2</v>
      </c>
    </row>
    <row r="38" spans="1:98" x14ac:dyDescent="0.25">
      <c r="A38">
        <v>309</v>
      </c>
      <c r="B38" t="s">
        <v>128</v>
      </c>
      <c r="C38" t="s">
        <v>228</v>
      </c>
      <c r="D38" t="s">
        <v>328</v>
      </c>
      <c r="E38" t="s">
        <v>396</v>
      </c>
      <c r="F38">
        <v>1184669100</v>
      </c>
      <c r="G38">
        <v>19.524999999999999</v>
      </c>
      <c r="H38" t="s">
        <v>407</v>
      </c>
      <c r="I38">
        <v>23130664177.5</v>
      </c>
      <c r="J38" t="s">
        <v>413</v>
      </c>
      <c r="K38">
        <v>92864872.3770082</v>
      </c>
      <c r="L38">
        <v>0.8</v>
      </c>
      <c r="M38">
        <v>30101010</v>
      </c>
      <c r="N38">
        <v>3010</v>
      </c>
      <c r="O38">
        <v>1.9118214423098601</v>
      </c>
      <c r="P38">
        <v>1.5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2.3889999999999998</v>
      </c>
      <c r="AR38">
        <v>2.794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2.5914999999999999</v>
      </c>
      <c r="CE38" t="s">
        <v>450</v>
      </c>
      <c r="CG38">
        <v>1.9118214423098601</v>
      </c>
      <c r="CH38">
        <v>1.5</v>
      </c>
      <c r="CI38">
        <v>1.70591072115493</v>
      </c>
      <c r="CJ38">
        <v>-0.18</v>
      </c>
      <c r="CK38">
        <v>1.5259107211549301</v>
      </c>
      <c r="CL38">
        <v>1</v>
      </c>
      <c r="CM38">
        <v>6.2152193822542202E-2</v>
      </c>
      <c r="CN38">
        <v>0</v>
      </c>
      <c r="CO38">
        <v>92864872.3770082</v>
      </c>
      <c r="CP38">
        <f t="shared" si="0"/>
        <v>6.4332703963372803E-3</v>
      </c>
      <c r="CQ38" s="4">
        <f t="shared" si="5"/>
        <v>2.7859461713102461E-2</v>
      </c>
      <c r="CR38" s="2">
        <f t="shared" si="2"/>
        <v>3.4292732109439741E-2</v>
      </c>
      <c r="CS38" t="b">
        <f t="shared" si="3"/>
        <v>0</v>
      </c>
      <c r="CT38" s="2">
        <f t="shared" si="4"/>
        <v>-2.7859461713102461E-2</v>
      </c>
    </row>
    <row r="39" spans="1:98" x14ac:dyDescent="0.25">
      <c r="A39">
        <v>45</v>
      </c>
      <c r="B39" t="s">
        <v>129</v>
      </c>
      <c r="C39" t="s">
        <v>229</v>
      </c>
      <c r="D39" t="s">
        <v>329</v>
      </c>
      <c r="E39" t="s">
        <v>395</v>
      </c>
      <c r="F39">
        <v>2328438575</v>
      </c>
      <c r="G39">
        <v>6.34</v>
      </c>
      <c r="H39" t="s">
        <v>407</v>
      </c>
      <c r="I39">
        <v>14762300565.5</v>
      </c>
      <c r="J39" t="s">
        <v>413</v>
      </c>
      <c r="K39">
        <v>28502146.137509499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416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2.4860000000000002</v>
      </c>
      <c r="AR39">
        <v>3.169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2.8275000000000001</v>
      </c>
      <c r="CE39" t="s">
        <v>450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1</v>
      </c>
      <c r="CM39">
        <v>2.120708726011768E-2</v>
      </c>
      <c r="CN39">
        <v>0</v>
      </c>
      <c r="CO39">
        <v>28502146.137509499</v>
      </c>
      <c r="CP39">
        <f t="shared" si="0"/>
        <v>4.105799577611988E-3</v>
      </c>
      <c r="CQ39" s="4">
        <f t="shared" si="5"/>
        <v>8.5506438412528488E-3</v>
      </c>
      <c r="CR39" s="2">
        <f t="shared" si="2"/>
        <v>1.2656443418864837E-2</v>
      </c>
      <c r="CS39" t="b">
        <f t="shared" si="3"/>
        <v>0</v>
      </c>
      <c r="CT39" s="2">
        <f t="shared" si="4"/>
        <v>-8.5506438412528436E-3</v>
      </c>
    </row>
    <row r="40" spans="1:98" x14ac:dyDescent="0.25">
      <c r="A40">
        <v>665</v>
      </c>
      <c r="B40" t="s">
        <v>130</v>
      </c>
      <c r="C40" t="s">
        <v>230</v>
      </c>
      <c r="D40" t="s">
        <v>330</v>
      </c>
      <c r="E40" t="s">
        <v>401</v>
      </c>
      <c r="F40">
        <v>17803670501</v>
      </c>
      <c r="G40">
        <v>4.5205000000000002</v>
      </c>
      <c r="H40" t="s">
        <v>407</v>
      </c>
      <c r="I40">
        <v>80481492499.770508</v>
      </c>
      <c r="J40" t="s">
        <v>413</v>
      </c>
      <c r="K40">
        <v>260212884.25246701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415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2.7605</v>
      </c>
      <c r="CE40" t="s">
        <v>450</v>
      </c>
      <c r="CG40">
        <v>1.99846386909479</v>
      </c>
      <c r="CH40">
        <v>2.39</v>
      </c>
      <c r="CI40">
        <v>2.1942319345473948</v>
      </c>
      <c r="CJ40">
        <v>-0.3</v>
      </c>
      <c r="CK40">
        <v>1.894231934547395</v>
      </c>
      <c r="CL40">
        <v>0</v>
      </c>
      <c r="CM40">
        <v>0.1</v>
      </c>
      <c r="CN40">
        <v>0</v>
      </c>
      <c r="CO40">
        <v>260212884.25246701</v>
      </c>
      <c r="CP40">
        <f t="shared" si="0"/>
        <v>2.2384104458853232E-2</v>
      </c>
      <c r="CQ40" s="4">
        <f t="shared" si="5"/>
        <v>7.8063865275740107E-2</v>
      </c>
      <c r="CR40" s="2">
        <f t="shared" si="2"/>
        <v>0.10044796973459334</v>
      </c>
      <c r="CS40" t="b">
        <f t="shared" si="3"/>
        <v>0</v>
      </c>
      <c r="CT40" s="2">
        <f t="shared" si="4"/>
        <v>4.47969734593337E-4</v>
      </c>
    </row>
    <row r="41" spans="1:98" x14ac:dyDescent="0.25">
      <c r="A41">
        <v>723</v>
      </c>
      <c r="B41" t="s">
        <v>131</v>
      </c>
      <c r="C41" t="s">
        <v>231</v>
      </c>
      <c r="D41" t="s">
        <v>331</v>
      </c>
      <c r="E41" t="s">
        <v>405</v>
      </c>
      <c r="F41">
        <v>417544151</v>
      </c>
      <c r="G41">
        <v>81.3</v>
      </c>
      <c r="H41" t="s">
        <v>407</v>
      </c>
      <c r="I41">
        <v>33946339476.299999</v>
      </c>
      <c r="J41" t="s">
        <v>413</v>
      </c>
      <c r="K41">
        <v>34500356.415872999</v>
      </c>
      <c r="L41">
        <v>0.55000000000000004</v>
      </c>
      <c r="M41">
        <v>30101010</v>
      </c>
      <c r="N41">
        <v>3010</v>
      </c>
      <c r="O41">
        <v>2.89333333333333</v>
      </c>
      <c r="P41">
        <v>1.5</v>
      </c>
      <c r="Q41" t="s">
        <v>415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2.3780000000000001</v>
      </c>
      <c r="AR41">
        <v>2.879</v>
      </c>
      <c r="AS41" t="s">
        <v>430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2.6284999999999998</v>
      </c>
      <c r="CE41" t="s">
        <v>450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1.8966666666666649</v>
      </c>
      <c r="CL41">
        <v>0</v>
      </c>
      <c r="CM41">
        <v>3.0141619385527729E-2</v>
      </c>
      <c r="CN41">
        <v>0</v>
      </c>
      <c r="CO41">
        <v>34500356.415872999</v>
      </c>
      <c r="CP41">
        <f t="shared" si="0"/>
        <v>9.4414055360039339E-3</v>
      </c>
      <c r="CQ41" s="4">
        <f t="shared" si="5"/>
        <v>1.0350106924761899E-2</v>
      </c>
      <c r="CR41" s="2">
        <f t="shared" si="2"/>
        <v>1.9791512460765832E-2</v>
      </c>
      <c r="CS41" t="b">
        <f t="shared" si="3"/>
        <v>0</v>
      </c>
      <c r="CT41" s="2">
        <f t="shared" si="4"/>
        <v>-1.0350106924761897E-2</v>
      </c>
    </row>
    <row r="42" spans="1:98" x14ac:dyDescent="0.25">
      <c r="A42">
        <v>1239</v>
      </c>
      <c r="B42" t="s">
        <v>132</v>
      </c>
      <c r="C42" t="s">
        <v>232</v>
      </c>
      <c r="D42" t="s">
        <v>332</v>
      </c>
      <c r="E42" t="s">
        <v>392</v>
      </c>
      <c r="F42">
        <v>800316777</v>
      </c>
      <c r="G42">
        <v>37.835000000000001</v>
      </c>
      <c r="H42" t="s">
        <v>407</v>
      </c>
      <c r="I42">
        <v>30279985257.794998</v>
      </c>
      <c r="J42" t="s">
        <v>413</v>
      </c>
      <c r="K42">
        <v>97163081.891071394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3.1869999999999998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2.8195000000000001</v>
      </c>
      <c r="CE42" t="s">
        <v>450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</v>
      </c>
      <c r="CM42">
        <v>6.6719541277404121E-2</v>
      </c>
      <c r="CN42">
        <v>0</v>
      </c>
      <c r="CO42">
        <v>97163081.891071394</v>
      </c>
      <c r="CP42">
        <f t="shared" si="0"/>
        <v>8.4216921427612921E-3</v>
      </c>
      <c r="CQ42" s="4">
        <f t="shared" si="5"/>
        <v>2.9148924567321415E-2</v>
      </c>
      <c r="CR42" s="2">
        <f t="shared" si="2"/>
        <v>3.7570616710082709E-2</v>
      </c>
      <c r="CS42" t="b">
        <f t="shared" si="3"/>
        <v>0</v>
      </c>
      <c r="CT42" s="2">
        <f t="shared" si="4"/>
        <v>-2.9148924567321412E-2</v>
      </c>
    </row>
    <row r="43" spans="1:98" x14ac:dyDescent="0.25">
      <c r="A43">
        <v>161</v>
      </c>
      <c r="B43" t="s">
        <v>133</v>
      </c>
      <c r="C43" t="s">
        <v>233</v>
      </c>
      <c r="D43" t="s">
        <v>333</v>
      </c>
      <c r="E43" t="s">
        <v>399</v>
      </c>
      <c r="F43">
        <v>15152492000</v>
      </c>
      <c r="G43">
        <v>5.8840000000000003</v>
      </c>
      <c r="H43" t="s">
        <v>407</v>
      </c>
      <c r="I43">
        <v>89157262928</v>
      </c>
      <c r="J43" t="s">
        <v>413</v>
      </c>
      <c r="K43">
        <v>149229392.385506</v>
      </c>
      <c r="L43">
        <v>1</v>
      </c>
      <c r="M43">
        <v>30101010</v>
      </c>
      <c r="N43">
        <v>3010</v>
      </c>
      <c r="O43">
        <v>3.1466666666666598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2.3980000000000001</v>
      </c>
      <c r="AR43">
        <v>3.1459999999999999</v>
      </c>
      <c r="AS43" t="s">
        <v>430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2.7719999999999998</v>
      </c>
      <c r="CE43" t="s">
        <v>450</v>
      </c>
      <c r="CG43">
        <v>3.1466666666666598</v>
      </c>
      <c r="CH43">
        <v>1.5</v>
      </c>
      <c r="CI43">
        <v>2.3233333333333301</v>
      </c>
      <c r="CJ43">
        <v>-0.3</v>
      </c>
      <c r="CK43">
        <v>2.0233333333333299</v>
      </c>
      <c r="CL43">
        <v>0</v>
      </c>
      <c r="CM43">
        <v>0.1</v>
      </c>
      <c r="CN43">
        <v>0</v>
      </c>
      <c r="CO43">
        <v>149229392.385506</v>
      </c>
      <c r="CP43">
        <f t="shared" si="0"/>
        <v>2.4797073521611014E-2</v>
      </c>
      <c r="CQ43" s="4">
        <f t="shared" si="5"/>
        <v>4.4768817715651804E-2</v>
      </c>
      <c r="CR43" s="2">
        <f t="shared" si="2"/>
        <v>6.9565891237262811E-2</v>
      </c>
      <c r="CS43" t="b">
        <f t="shared" si="3"/>
        <v>0</v>
      </c>
      <c r="CT43" s="2">
        <f t="shared" si="4"/>
        <v>-3.0434108762737194E-2</v>
      </c>
    </row>
    <row r="44" spans="1:98" x14ac:dyDescent="0.25">
      <c r="A44">
        <v>338</v>
      </c>
      <c r="B44" t="s">
        <v>134</v>
      </c>
      <c r="C44" t="s">
        <v>234</v>
      </c>
      <c r="D44" t="s">
        <v>334</v>
      </c>
      <c r="E44" t="s">
        <v>392</v>
      </c>
      <c r="F44">
        <v>3025902350</v>
      </c>
      <c r="G44">
        <v>15.64</v>
      </c>
      <c r="H44" t="s">
        <v>407</v>
      </c>
      <c r="I44">
        <v>47325112754</v>
      </c>
      <c r="J44" t="s">
        <v>413</v>
      </c>
      <c r="K44">
        <v>92791251.722857103</v>
      </c>
      <c r="L44">
        <v>0.3</v>
      </c>
      <c r="M44">
        <v>30101010</v>
      </c>
      <c r="N44">
        <v>3010</v>
      </c>
      <c r="O44">
        <v>3.2733333333333299</v>
      </c>
      <c r="P44">
        <v>1.5</v>
      </c>
      <c r="Q44" t="s">
        <v>417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2.1840000000000002</v>
      </c>
      <c r="AR44">
        <v>2.8410000000000002</v>
      </c>
      <c r="AS44" t="s">
        <v>430</v>
      </c>
      <c r="AT44">
        <v>0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2.5125000000000002</v>
      </c>
      <c r="CE44" t="s">
        <v>450</v>
      </c>
      <c r="CG44">
        <v>3.2733333333333299</v>
      </c>
      <c r="CH44">
        <v>1.5</v>
      </c>
      <c r="CI44">
        <v>2.3866666666666649</v>
      </c>
      <c r="CJ44">
        <v>-0.24</v>
      </c>
      <c r="CK44">
        <v>2.1466666666666652</v>
      </c>
      <c r="CL44">
        <v>0</v>
      </c>
      <c r="CM44">
        <v>6.8837159365239223E-2</v>
      </c>
      <c r="CN44">
        <v>0</v>
      </c>
      <c r="CO44">
        <v>92791251.722857103</v>
      </c>
      <c r="CP44">
        <f t="shared" si="0"/>
        <v>1.3162408331524966E-2</v>
      </c>
      <c r="CQ44" s="4">
        <f t="shared" si="5"/>
        <v>2.7837375516857128E-2</v>
      </c>
      <c r="CR44" s="2">
        <f t="shared" si="2"/>
        <v>4.0999783848382092E-2</v>
      </c>
      <c r="CS44" t="b">
        <f t="shared" si="3"/>
        <v>0</v>
      </c>
      <c r="CT44" s="2">
        <f t="shared" si="4"/>
        <v>-2.7837375516857131E-2</v>
      </c>
    </row>
    <row r="45" spans="1:98" x14ac:dyDescent="0.25">
      <c r="A45">
        <v>203</v>
      </c>
      <c r="B45" t="s">
        <v>135</v>
      </c>
      <c r="C45" t="s">
        <v>235</v>
      </c>
      <c r="D45" t="s">
        <v>335</v>
      </c>
      <c r="E45" t="s">
        <v>392</v>
      </c>
      <c r="F45">
        <v>1130810671</v>
      </c>
      <c r="G45">
        <v>71.12</v>
      </c>
      <c r="H45" t="s">
        <v>407</v>
      </c>
      <c r="I45">
        <v>80423254921.520004</v>
      </c>
      <c r="J45" t="s">
        <v>413</v>
      </c>
      <c r="K45">
        <v>181499028.285079</v>
      </c>
      <c r="L45">
        <v>0.95000000000000007</v>
      </c>
      <c r="M45">
        <v>30101010</v>
      </c>
      <c r="N45">
        <v>3010</v>
      </c>
      <c r="O45">
        <v>3.3054605885148698</v>
      </c>
      <c r="P45">
        <v>1.5</v>
      </c>
      <c r="Q45" t="s">
        <v>417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2.3250000000000002</v>
      </c>
      <c r="AR45">
        <v>3.2959999999999998</v>
      </c>
      <c r="AS45" t="s">
        <v>430</v>
      </c>
      <c r="AT45">
        <v>0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2.8105000000000002</v>
      </c>
      <c r="CE45" t="s">
        <v>450</v>
      </c>
      <c r="CG45">
        <v>3.3054605885148698</v>
      </c>
      <c r="CH45">
        <v>1.5</v>
      </c>
      <c r="CI45">
        <v>2.4027302942574349</v>
      </c>
      <c r="CJ45">
        <v>-0.24</v>
      </c>
      <c r="CK45">
        <v>2.1627302942574351</v>
      </c>
      <c r="CL45">
        <v>0</v>
      </c>
      <c r="CM45">
        <v>0.1</v>
      </c>
      <c r="CN45">
        <v>0</v>
      </c>
      <c r="CO45">
        <v>181499028.285079</v>
      </c>
      <c r="CP45">
        <f t="shared" si="0"/>
        <v>2.2367906995380576E-2</v>
      </c>
      <c r="CQ45" s="4">
        <f t="shared" si="5"/>
        <v>5.4449708485523704E-2</v>
      </c>
      <c r="CR45" s="2">
        <f t="shared" si="2"/>
        <v>7.681761548090428E-2</v>
      </c>
      <c r="CS45" t="b">
        <f t="shared" si="3"/>
        <v>0</v>
      </c>
      <c r="CT45" s="2">
        <f t="shared" si="4"/>
        <v>-2.3182384519095725E-2</v>
      </c>
    </row>
    <row r="46" spans="1:98" x14ac:dyDescent="0.25">
      <c r="A46">
        <v>212</v>
      </c>
      <c r="B46" t="s">
        <v>136</v>
      </c>
      <c r="C46" t="s">
        <v>236</v>
      </c>
      <c r="D46" t="s">
        <v>336</v>
      </c>
      <c r="E46" t="s">
        <v>404</v>
      </c>
      <c r="F46">
        <v>86061900</v>
      </c>
      <c r="G46">
        <v>100.7996</v>
      </c>
      <c r="H46" t="s">
        <v>412</v>
      </c>
      <c r="I46">
        <v>8675005095.2399998</v>
      </c>
      <c r="J46" t="s">
        <v>414</v>
      </c>
      <c r="K46">
        <v>7565856.8700409401</v>
      </c>
      <c r="L46">
        <v>0.35</v>
      </c>
      <c r="M46">
        <v>30101010</v>
      </c>
      <c r="N46">
        <v>3010</v>
      </c>
      <c r="O46">
        <v>2.7183589714236498</v>
      </c>
      <c r="P46">
        <v>2.08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2.3719999999999999</v>
      </c>
      <c r="AR46">
        <v>2.5950000000000002</v>
      </c>
      <c r="AS46" t="s">
        <v>430</v>
      </c>
      <c r="AT46">
        <v>0</v>
      </c>
      <c r="AU46">
        <v>0</v>
      </c>
      <c r="AV46" t="s">
        <v>446</v>
      </c>
      <c r="AW46">
        <v>0</v>
      </c>
      <c r="AX46">
        <v>0</v>
      </c>
      <c r="AY46">
        <v>0</v>
      </c>
      <c r="CC46">
        <v>2.4834999999999998</v>
      </c>
      <c r="CE46" t="s">
        <v>450</v>
      </c>
      <c r="CG46">
        <v>2.7183589714236498</v>
      </c>
      <c r="CH46">
        <v>2.08</v>
      </c>
      <c r="CI46">
        <v>2.3991794857118252</v>
      </c>
      <c r="CJ46">
        <v>-0.18</v>
      </c>
      <c r="CK46">
        <v>2.219179485711825</v>
      </c>
      <c r="CL46">
        <v>0</v>
      </c>
      <c r="CM46">
        <v>6.9522703247439643E-3</v>
      </c>
      <c r="CN46">
        <v>0</v>
      </c>
      <c r="CO46">
        <v>7565856.8700409401</v>
      </c>
      <c r="CP46">
        <f t="shared" si="0"/>
        <v>2.4127562027194001E-3</v>
      </c>
      <c r="CQ46" s="4">
        <f t="shared" si="5"/>
        <v>2.2697570610122819E-3</v>
      </c>
      <c r="CR46" s="2">
        <f t="shared" si="2"/>
        <v>4.6825132637316816E-3</v>
      </c>
      <c r="CS46" t="b">
        <f t="shared" si="3"/>
        <v>0</v>
      </c>
      <c r="CT46" s="2">
        <f t="shared" si="4"/>
        <v>-2.2697570610122828E-3</v>
      </c>
    </row>
    <row r="47" spans="1:98" x14ac:dyDescent="0.25">
      <c r="A47">
        <v>1431</v>
      </c>
      <c r="B47" t="s">
        <v>137</v>
      </c>
      <c r="C47" t="s">
        <v>237</v>
      </c>
      <c r="D47" t="s">
        <v>337</v>
      </c>
      <c r="E47" t="s">
        <v>401</v>
      </c>
      <c r="F47">
        <v>1557675176</v>
      </c>
      <c r="G47">
        <v>47.784999999999997</v>
      </c>
      <c r="H47" t="s">
        <v>407</v>
      </c>
      <c r="I47">
        <v>74433508285.159988</v>
      </c>
      <c r="J47" t="s">
        <v>413</v>
      </c>
      <c r="K47">
        <v>328954382.36553299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3.0659999999999998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2.7105000000000001</v>
      </c>
      <c r="CE47" t="s">
        <v>450</v>
      </c>
      <c r="CG47">
        <v>3.4</v>
      </c>
      <c r="CH47">
        <v>1.5</v>
      </c>
      <c r="CI47">
        <v>2.4500000000000002</v>
      </c>
      <c r="CJ47">
        <v>-0.18</v>
      </c>
      <c r="CK47">
        <v>2.27</v>
      </c>
      <c r="CL47">
        <v>0</v>
      </c>
      <c r="CM47">
        <v>0.1</v>
      </c>
      <c r="CN47">
        <v>0</v>
      </c>
      <c r="CO47">
        <v>328954382.36553299</v>
      </c>
      <c r="CP47">
        <f t="shared" si="0"/>
        <v>2.0701994619429922E-2</v>
      </c>
      <c r="CQ47" s="4">
        <f t="shared" si="5"/>
        <v>9.8686314709659884E-2</v>
      </c>
      <c r="CR47" s="2">
        <f t="shared" si="2"/>
        <v>0.11938830932908981</v>
      </c>
      <c r="CS47" t="b">
        <f t="shared" si="3"/>
        <v>0</v>
      </c>
      <c r="CT47" s="2">
        <f t="shared" si="4"/>
        <v>1.9388309329089803E-2</v>
      </c>
    </row>
    <row r="48" spans="1:98" x14ac:dyDescent="0.25">
      <c r="A48">
        <v>712</v>
      </c>
      <c r="B48" t="s">
        <v>138</v>
      </c>
      <c r="C48" t="s">
        <v>238</v>
      </c>
      <c r="D48" t="s">
        <v>338</v>
      </c>
      <c r="E48" t="s">
        <v>404</v>
      </c>
      <c r="F48">
        <v>206001790</v>
      </c>
      <c r="G48">
        <v>62.627630000000003</v>
      </c>
      <c r="H48" t="s">
        <v>412</v>
      </c>
      <c r="I48">
        <v>12901403883.457701</v>
      </c>
      <c r="J48" t="s">
        <v>414</v>
      </c>
      <c r="K48">
        <v>34741508.719351202</v>
      </c>
      <c r="L48">
        <v>1</v>
      </c>
      <c r="M48">
        <v>30202010</v>
      </c>
      <c r="N48">
        <v>3020</v>
      </c>
      <c r="O48">
        <v>1.9981674720073901</v>
      </c>
      <c r="P48">
        <v>2.7</v>
      </c>
      <c r="Q48" t="s">
        <v>416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2.1840000000000002</v>
      </c>
      <c r="AR48">
        <v>2.6669999999999998</v>
      </c>
      <c r="AS48" t="s">
        <v>430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2.4255</v>
      </c>
      <c r="CE48" t="s">
        <v>450</v>
      </c>
      <c r="CG48">
        <v>1.9981674720073901</v>
      </c>
      <c r="CH48">
        <v>2.7</v>
      </c>
      <c r="CI48">
        <v>2.3490837360036951</v>
      </c>
      <c r="CJ48">
        <v>-0.18</v>
      </c>
      <c r="CK48">
        <v>2.169083736003695</v>
      </c>
      <c r="CL48">
        <v>0</v>
      </c>
      <c r="CM48">
        <v>2.4433138541200439E-2</v>
      </c>
      <c r="CN48">
        <v>0</v>
      </c>
      <c r="CO48">
        <v>34741508.719351202</v>
      </c>
      <c r="CP48">
        <f t="shared" si="0"/>
        <v>3.588233309589722E-3</v>
      </c>
      <c r="CQ48" s="4">
        <f t="shared" si="5"/>
        <v>1.042245261580536E-2</v>
      </c>
      <c r="CR48" s="2">
        <f t="shared" si="2"/>
        <v>1.4010685925395082E-2</v>
      </c>
      <c r="CS48" t="b">
        <f t="shared" si="3"/>
        <v>0</v>
      </c>
      <c r="CT48" s="2">
        <f t="shared" si="4"/>
        <v>-1.0422452615805357E-2</v>
      </c>
    </row>
    <row r="49" spans="1:98" x14ac:dyDescent="0.25">
      <c r="A49">
        <v>533</v>
      </c>
      <c r="B49" t="s">
        <v>139</v>
      </c>
      <c r="C49" t="s">
        <v>239</v>
      </c>
      <c r="D49" t="s">
        <v>339</v>
      </c>
      <c r="E49" t="s">
        <v>405</v>
      </c>
      <c r="F49">
        <v>138400000</v>
      </c>
      <c r="G49">
        <v>68.55</v>
      </c>
      <c r="H49" t="s">
        <v>407</v>
      </c>
      <c r="I49">
        <v>9487320000</v>
      </c>
      <c r="J49" t="s">
        <v>413</v>
      </c>
      <c r="K49">
        <v>6900889.3166666701</v>
      </c>
      <c r="L49">
        <v>0.55000000000000004</v>
      </c>
      <c r="M49">
        <v>30202000</v>
      </c>
      <c r="N49">
        <v>3020</v>
      </c>
      <c r="O49">
        <v>1.8920544675342099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2.2050000000000001</v>
      </c>
      <c r="AR49">
        <v>2.8639999999999999</v>
      </c>
      <c r="AS49" t="s">
        <v>430</v>
      </c>
      <c r="AT49">
        <v>0</v>
      </c>
      <c r="AU49">
        <v>0</v>
      </c>
      <c r="AV49" t="s">
        <v>447</v>
      </c>
      <c r="AW49">
        <v>0</v>
      </c>
      <c r="AX49">
        <v>0</v>
      </c>
      <c r="AY49">
        <v>0</v>
      </c>
      <c r="CC49">
        <v>2.5345</v>
      </c>
      <c r="CE49" t="s">
        <v>450</v>
      </c>
      <c r="CG49">
        <v>1.8920544675342099</v>
      </c>
      <c r="CH49">
        <v>3.4</v>
      </c>
      <c r="CI49">
        <v>2.6460272337671049</v>
      </c>
      <c r="CJ49">
        <v>-0.3</v>
      </c>
      <c r="CK49">
        <v>2.3460272337671051</v>
      </c>
      <c r="CL49">
        <v>0</v>
      </c>
      <c r="CM49">
        <v>6.7792167868253221E-3</v>
      </c>
      <c r="CN49">
        <v>0</v>
      </c>
      <c r="CO49">
        <v>6900889.3166666701</v>
      </c>
      <c r="CP49">
        <f t="shared" si="0"/>
        <v>2.6386831968253201E-3</v>
      </c>
      <c r="CQ49" s="4">
        <f t="shared" si="5"/>
        <v>2.070266795000001E-3</v>
      </c>
      <c r="CR49" s="2">
        <f t="shared" si="2"/>
        <v>4.7089499918253211E-3</v>
      </c>
      <c r="CS49" t="b">
        <f t="shared" si="3"/>
        <v>0</v>
      </c>
      <c r="CT49" s="2">
        <f t="shared" si="4"/>
        <v>-2.070266795000001E-3</v>
      </c>
    </row>
    <row r="50" spans="1:98" x14ac:dyDescent="0.25">
      <c r="A50">
        <v>470</v>
      </c>
      <c r="B50" t="s">
        <v>140</v>
      </c>
      <c r="C50" t="s">
        <v>240</v>
      </c>
      <c r="D50" t="s">
        <v>340</v>
      </c>
      <c r="E50" t="s">
        <v>392</v>
      </c>
      <c r="F50">
        <v>104235507</v>
      </c>
      <c r="G50">
        <v>119</v>
      </c>
      <c r="H50" t="s">
        <v>407</v>
      </c>
      <c r="I50">
        <v>12404025333</v>
      </c>
      <c r="J50" t="s">
        <v>413</v>
      </c>
      <c r="K50">
        <v>23304182.974603198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3.1080000000000001</v>
      </c>
      <c r="AS50" t="s">
        <v>430</v>
      </c>
      <c r="AT50">
        <v>0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2.7389999999999999</v>
      </c>
      <c r="CE50" t="s">
        <v>450</v>
      </c>
      <c r="CG50">
        <v>1.97838083490229</v>
      </c>
      <c r="CH50">
        <v>3.1</v>
      </c>
      <c r="CI50">
        <v>2.5391904174511448</v>
      </c>
      <c r="CJ50">
        <v>-0.18</v>
      </c>
      <c r="CK50">
        <v>2.3591904174511451</v>
      </c>
      <c r="CL50">
        <v>0</v>
      </c>
      <c r="CM50">
        <v>1.7432408514770261E-2</v>
      </c>
      <c r="CN50">
        <v>0</v>
      </c>
      <c r="CO50">
        <v>23304182.974603198</v>
      </c>
      <c r="CP50">
        <f t="shared" si="0"/>
        <v>3.4498987300083366E-3</v>
      </c>
      <c r="CQ50" s="4">
        <f t="shared" si="5"/>
        <v>6.9912548923809596E-3</v>
      </c>
      <c r="CR50" s="2">
        <f t="shared" si="2"/>
        <v>1.0441153622389296E-2</v>
      </c>
      <c r="CS50" t="b">
        <f t="shared" si="3"/>
        <v>0</v>
      </c>
      <c r="CT50" s="2">
        <f t="shared" si="4"/>
        <v>-6.9912548923809648E-3</v>
      </c>
    </row>
    <row r="51" spans="1:98" x14ac:dyDescent="0.25">
      <c r="A51">
        <v>384</v>
      </c>
      <c r="B51" t="s">
        <v>141</v>
      </c>
      <c r="C51" t="s">
        <v>241</v>
      </c>
      <c r="D51" t="s">
        <v>341</v>
      </c>
      <c r="E51" t="s">
        <v>396</v>
      </c>
      <c r="F51">
        <v>188300000</v>
      </c>
      <c r="G51">
        <v>246.4</v>
      </c>
      <c r="H51" t="s">
        <v>407</v>
      </c>
      <c r="I51">
        <v>46397120000</v>
      </c>
      <c r="J51" t="s">
        <v>413</v>
      </c>
      <c r="K51">
        <v>64953417.481147498</v>
      </c>
      <c r="L51">
        <v>1</v>
      </c>
      <c r="M51">
        <v>30202015</v>
      </c>
      <c r="N51">
        <v>3020</v>
      </c>
      <c r="O51">
        <v>1.73908167025175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2.3820000000000001</v>
      </c>
      <c r="AR51">
        <v>3.2309999999999999</v>
      </c>
      <c r="AS51" t="s">
        <v>430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2.8065000000000002</v>
      </c>
      <c r="CE51" t="s">
        <v>450</v>
      </c>
      <c r="CG51">
        <v>1.73908167025175</v>
      </c>
      <c r="CH51">
        <v>3.4</v>
      </c>
      <c r="CI51">
        <v>2.5695408351258751</v>
      </c>
      <c r="CJ51">
        <v>-0.18</v>
      </c>
      <c r="CK51">
        <v>2.3895408351258749</v>
      </c>
      <c r="CL51">
        <v>0</v>
      </c>
      <c r="CM51">
        <v>5.1876358652120112E-2</v>
      </c>
      <c r="CN51">
        <v>0</v>
      </c>
      <c r="CO51">
        <v>64953417.481147498</v>
      </c>
      <c r="CP51">
        <f t="shared" si="0"/>
        <v>1.290430816343161E-2</v>
      </c>
      <c r="CQ51" s="4">
        <f t="shared" si="5"/>
        <v>1.948602524434425E-2</v>
      </c>
      <c r="CR51" s="2">
        <f t="shared" si="2"/>
        <v>3.2390333407775862E-2</v>
      </c>
      <c r="CS51" t="b">
        <f t="shared" si="3"/>
        <v>0</v>
      </c>
      <c r="CT51" s="2">
        <f t="shared" si="4"/>
        <v>-1.948602524434425E-2</v>
      </c>
    </row>
    <row r="52" spans="1:98" x14ac:dyDescent="0.25">
      <c r="A52">
        <v>786</v>
      </c>
      <c r="B52" t="s">
        <v>142</v>
      </c>
      <c r="C52" t="s">
        <v>242</v>
      </c>
      <c r="D52" t="s">
        <v>342</v>
      </c>
      <c r="E52" t="s">
        <v>400</v>
      </c>
      <c r="F52">
        <v>5893244000</v>
      </c>
      <c r="G52">
        <v>2.8784939999999999</v>
      </c>
      <c r="H52" t="s">
        <v>410</v>
      </c>
      <c r="I52">
        <v>16963667494.535999</v>
      </c>
      <c r="J52" t="s">
        <v>414</v>
      </c>
      <c r="K52">
        <v>32798433.932136402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415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2.2440000000000002</v>
      </c>
      <c r="AR52">
        <v>2.6379999999999999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2.4409999999999998</v>
      </c>
      <c r="CE52" t="s">
        <v>450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  <c r="CM52">
        <v>2.4397120293421729E-2</v>
      </c>
      <c r="CN52">
        <v>0</v>
      </c>
      <c r="CO52">
        <v>32798433.932136402</v>
      </c>
      <c r="CP52">
        <f t="shared" si="0"/>
        <v>4.7180599341398854E-3</v>
      </c>
      <c r="CQ52" s="4">
        <f t="shared" si="5"/>
        <v>9.839530179640921E-3</v>
      </c>
      <c r="CR52" s="2">
        <f t="shared" si="2"/>
        <v>1.4557590113780806E-2</v>
      </c>
      <c r="CS52" t="b">
        <f t="shared" si="3"/>
        <v>0</v>
      </c>
      <c r="CT52" s="2">
        <f t="shared" si="4"/>
        <v>-9.8395301796409228E-3</v>
      </c>
    </row>
    <row r="53" spans="1:98" x14ac:dyDescent="0.25">
      <c r="A53">
        <v>543</v>
      </c>
      <c r="B53" t="s">
        <v>143</v>
      </c>
      <c r="C53" t="s">
        <v>243</v>
      </c>
      <c r="D53" t="s">
        <v>343</v>
      </c>
      <c r="E53" t="s">
        <v>401</v>
      </c>
      <c r="F53">
        <v>1569420004</v>
      </c>
      <c r="G53">
        <v>31.33</v>
      </c>
      <c r="H53" t="s">
        <v>407</v>
      </c>
      <c r="I53">
        <v>49169928725.32</v>
      </c>
      <c r="J53" t="s">
        <v>413</v>
      </c>
      <c r="K53">
        <v>104407090.472541</v>
      </c>
      <c r="L53">
        <v>0.70000000000000007</v>
      </c>
      <c r="M53">
        <v>30302010</v>
      </c>
      <c r="N53">
        <v>3030</v>
      </c>
      <c r="O53">
        <v>2.9259268183552698</v>
      </c>
      <c r="P53">
        <v>1.5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3.2090000000000001</v>
      </c>
      <c r="AS53" t="s">
        <v>430</v>
      </c>
      <c r="AT53">
        <v>0</v>
      </c>
      <c r="AU53">
        <v>0</v>
      </c>
      <c r="AV53" t="s">
        <v>442</v>
      </c>
      <c r="AW53">
        <v>0</v>
      </c>
      <c r="AX53">
        <v>0</v>
      </c>
      <c r="AY53">
        <v>0</v>
      </c>
      <c r="CC53">
        <v>2.794</v>
      </c>
      <c r="CE53" t="s">
        <v>450</v>
      </c>
      <c r="CG53">
        <v>2.9259268183552698</v>
      </c>
      <c r="CH53">
        <v>1.5</v>
      </c>
      <c r="CI53">
        <v>2.2129634091776351</v>
      </c>
      <c r="CJ53">
        <v>-0.18</v>
      </c>
      <c r="CK53">
        <v>2.032963409177635</v>
      </c>
      <c r="CL53">
        <v>0</v>
      </c>
      <c r="CM53">
        <v>7.6319756397567398E-2</v>
      </c>
      <c r="CN53">
        <v>0</v>
      </c>
      <c r="CO53">
        <v>104407090.472541</v>
      </c>
      <c r="CP53">
        <f t="shared" si="0"/>
        <v>1.3675502114042797E-2</v>
      </c>
      <c r="CQ53" s="4">
        <f t="shared" si="5"/>
        <v>3.1322127141762302E-2</v>
      </c>
      <c r="CR53" s="2">
        <f t="shared" si="2"/>
        <v>4.4997629255805097E-2</v>
      </c>
      <c r="CS53" t="b">
        <f t="shared" si="3"/>
        <v>0</v>
      </c>
      <c r="CT53" s="2">
        <f t="shared" si="4"/>
        <v>-3.1322127141762302E-2</v>
      </c>
    </row>
    <row r="54" spans="1:98" x14ac:dyDescent="0.25">
      <c r="A54">
        <v>25</v>
      </c>
      <c r="B54" t="s">
        <v>144</v>
      </c>
      <c r="C54" t="s">
        <v>244</v>
      </c>
      <c r="D54" t="s">
        <v>344</v>
      </c>
      <c r="E54" t="s">
        <v>400</v>
      </c>
      <c r="F54">
        <v>306304700</v>
      </c>
      <c r="G54">
        <v>33.850409999999997</v>
      </c>
      <c r="H54" t="s">
        <v>410</v>
      </c>
      <c r="I54">
        <v>10368539679.927</v>
      </c>
      <c r="J54" t="s">
        <v>414</v>
      </c>
      <c r="K54">
        <v>10015139.725619299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430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2.29</v>
      </c>
      <c r="CE54" t="s">
        <v>450</v>
      </c>
      <c r="CG54">
        <v>1.99880903325661</v>
      </c>
      <c r="CH54">
        <v>2.7</v>
      </c>
      <c r="CI54">
        <v>2.3494045166283049</v>
      </c>
      <c r="CJ54">
        <v>0</v>
      </c>
      <c r="CK54">
        <v>2.3494045166283049</v>
      </c>
      <c r="CL54">
        <v>0</v>
      </c>
      <c r="CM54">
        <v>8.8928583290157227E-3</v>
      </c>
      <c r="CN54">
        <v>0</v>
      </c>
      <c r="CO54">
        <v>10015139.725619299</v>
      </c>
      <c r="CP54">
        <f t="shared" si="0"/>
        <v>2.8837744936441433E-3</v>
      </c>
      <c r="CQ54" s="4">
        <f t="shared" si="5"/>
        <v>3.0045419176857897E-3</v>
      </c>
      <c r="CR54" s="2">
        <f t="shared" si="2"/>
        <v>5.888316411329933E-3</v>
      </c>
      <c r="CS54" t="b">
        <f t="shared" si="3"/>
        <v>0</v>
      </c>
      <c r="CT54" s="2">
        <f t="shared" si="4"/>
        <v>-3.0045419176857897E-3</v>
      </c>
    </row>
    <row r="55" spans="1:98" x14ac:dyDescent="0.25">
      <c r="A55">
        <v>145</v>
      </c>
      <c r="B55" t="s">
        <v>145</v>
      </c>
      <c r="C55" t="s">
        <v>245</v>
      </c>
      <c r="D55" t="s">
        <v>345</v>
      </c>
      <c r="E55" t="s">
        <v>392</v>
      </c>
      <c r="F55">
        <v>2214797873</v>
      </c>
      <c r="G55">
        <v>36.979999999999997</v>
      </c>
      <c r="H55" t="s">
        <v>407</v>
      </c>
      <c r="I55">
        <v>81903225343.539993</v>
      </c>
      <c r="J55" t="s">
        <v>413</v>
      </c>
      <c r="K55">
        <v>141293081.09468201</v>
      </c>
      <c r="L55">
        <v>0.85000000000000009</v>
      </c>
      <c r="M55">
        <v>30302010</v>
      </c>
      <c r="N55">
        <v>3030</v>
      </c>
      <c r="O55">
        <v>3.2733333333333299</v>
      </c>
      <c r="P55">
        <v>1.5</v>
      </c>
      <c r="Q55" t="s">
        <v>418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2.3420000000000001</v>
      </c>
      <c r="AR55">
        <v>2.6240000000000001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2.4830000000000001</v>
      </c>
      <c r="CE55" t="s">
        <v>450</v>
      </c>
      <c r="CG55">
        <v>3.2733333333333299</v>
      </c>
      <c r="CH55">
        <v>1.5</v>
      </c>
      <c r="CI55">
        <v>2.3866666666666649</v>
      </c>
      <c r="CJ55">
        <v>0</v>
      </c>
      <c r="CK55">
        <v>2.3866666666666649</v>
      </c>
      <c r="CL55">
        <v>0</v>
      </c>
      <c r="CM55">
        <v>0.1</v>
      </c>
      <c r="CN55">
        <v>0</v>
      </c>
      <c r="CO55">
        <v>141293081.09468201</v>
      </c>
      <c r="CP55">
        <f t="shared" si="0"/>
        <v>2.277952725108847E-2</v>
      </c>
      <c r="CQ55" s="4">
        <f t="shared" si="5"/>
        <v>4.2387924328404596E-2</v>
      </c>
      <c r="CR55" s="2">
        <f t="shared" si="2"/>
        <v>6.5167451579493066E-2</v>
      </c>
      <c r="CS55" t="b">
        <f t="shared" si="3"/>
        <v>0</v>
      </c>
      <c r="CT55" s="2">
        <f t="shared" si="4"/>
        <v>-3.483254842050694E-2</v>
      </c>
    </row>
    <row r="56" spans="1:98" x14ac:dyDescent="0.25">
      <c r="A56">
        <v>781</v>
      </c>
      <c r="B56" t="s">
        <v>146</v>
      </c>
      <c r="C56" t="s">
        <v>246</v>
      </c>
      <c r="D56" t="s">
        <v>346</v>
      </c>
      <c r="E56" t="s">
        <v>400</v>
      </c>
      <c r="F56">
        <v>744937900</v>
      </c>
      <c r="G56">
        <v>6.8970200000000004</v>
      </c>
      <c r="H56" t="s">
        <v>410</v>
      </c>
      <c r="I56">
        <v>5137851595.0580006</v>
      </c>
      <c r="J56" t="s">
        <v>414</v>
      </c>
      <c r="K56">
        <v>14821728.319426199</v>
      </c>
      <c r="L56">
        <v>1</v>
      </c>
      <c r="M56">
        <v>35102000</v>
      </c>
      <c r="N56">
        <v>3510</v>
      </c>
      <c r="O56">
        <v>1.7395630247731899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424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2.5605000000000002</v>
      </c>
      <c r="CE56" t="s">
        <v>450</v>
      </c>
      <c r="CG56">
        <v>1.7395630247731899</v>
      </c>
      <c r="CH56">
        <v>1.5</v>
      </c>
      <c r="CI56">
        <v>1.6197815123865951</v>
      </c>
      <c r="CJ56">
        <v>-0.3</v>
      </c>
      <c r="CK56">
        <v>1.319781512386595</v>
      </c>
      <c r="CL56">
        <v>1</v>
      </c>
      <c r="CM56">
        <v>1.0322014054900309E-2</v>
      </c>
      <c r="CN56">
        <v>0</v>
      </c>
      <c r="CO56">
        <v>14821728.319426199</v>
      </c>
      <c r="CP56">
        <f t="shared" si="0"/>
        <v>1.4289770632445952E-3</v>
      </c>
      <c r="CQ56" s="4">
        <f t="shared" si="5"/>
        <v>4.4465184958278597E-3</v>
      </c>
      <c r="CR56" s="2">
        <f t="shared" si="2"/>
        <v>5.8754955590724547E-3</v>
      </c>
      <c r="CS56" t="b">
        <f t="shared" si="3"/>
        <v>0</v>
      </c>
      <c r="CT56" s="2">
        <f t="shared" si="4"/>
        <v>-4.4465184958278545E-3</v>
      </c>
    </row>
    <row r="57" spans="1:98" x14ac:dyDescent="0.25">
      <c r="A57">
        <v>1429</v>
      </c>
      <c r="B57" t="s">
        <v>147</v>
      </c>
      <c r="C57" t="s">
        <v>247</v>
      </c>
      <c r="D57" t="s">
        <v>347</v>
      </c>
      <c r="E57" t="s">
        <v>392</v>
      </c>
      <c r="F57">
        <v>142625428</v>
      </c>
      <c r="G57">
        <v>82.02</v>
      </c>
      <c r="H57" t="s">
        <v>407</v>
      </c>
      <c r="I57">
        <v>11698137604.559999</v>
      </c>
      <c r="J57" t="s">
        <v>413</v>
      </c>
      <c r="K57">
        <v>24417917.903809499</v>
      </c>
      <c r="L57">
        <v>0.85000000000000009</v>
      </c>
      <c r="M57">
        <v>35102045</v>
      </c>
      <c r="N57">
        <v>3510</v>
      </c>
      <c r="O57">
        <v>1.7463750143176899</v>
      </c>
      <c r="P57">
        <v>2.7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2.6110000000000002</v>
      </c>
      <c r="AR57">
        <v>3.1669999999999998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2.8889999999999998</v>
      </c>
      <c r="CE57" t="s">
        <v>450</v>
      </c>
      <c r="CG57">
        <v>1.7463750143176899</v>
      </c>
      <c r="CH57">
        <v>2.7</v>
      </c>
      <c r="CI57">
        <v>2.2231875071588449</v>
      </c>
      <c r="CJ57">
        <v>-0.3</v>
      </c>
      <c r="CK57">
        <v>1.9231875071588449</v>
      </c>
      <c r="CL57">
        <v>0</v>
      </c>
      <c r="CM57">
        <v>1.7904322787004639E-2</v>
      </c>
      <c r="CN57">
        <v>0</v>
      </c>
      <c r="CO57">
        <v>24417917.903809499</v>
      </c>
      <c r="CP57">
        <f t="shared" si="0"/>
        <v>3.2535720447189375E-3</v>
      </c>
      <c r="CQ57" s="4">
        <f t="shared" si="5"/>
        <v>7.3253753711428494E-3</v>
      </c>
      <c r="CR57" s="2">
        <f t="shared" si="2"/>
        <v>1.0578947415861788E-2</v>
      </c>
      <c r="CS57" t="b">
        <f t="shared" si="3"/>
        <v>0</v>
      </c>
      <c r="CT57" s="2">
        <f t="shared" si="4"/>
        <v>-7.3253753711428511E-3</v>
      </c>
    </row>
    <row r="58" spans="1:98" x14ac:dyDescent="0.25">
      <c r="A58">
        <v>539</v>
      </c>
      <c r="B58" t="s">
        <v>148</v>
      </c>
      <c r="C58" t="s">
        <v>248</v>
      </c>
      <c r="D58" t="s">
        <v>348</v>
      </c>
      <c r="E58" t="s">
        <v>392</v>
      </c>
      <c r="F58">
        <v>76738691</v>
      </c>
      <c r="G58">
        <v>91.9</v>
      </c>
      <c r="H58" t="s">
        <v>407</v>
      </c>
      <c r="I58">
        <v>7052285702.9000006</v>
      </c>
      <c r="J58" t="s">
        <v>413</v>
      </c>
      <c r="K58">
        <v>10616904.702777799</v>
      </c>
      <c r="L58">
        <v>0.60000000000000009</v>
      </c>
      <c r="M58">
        <v>35102030</v>
      </c>
      <c r="N58">
        <v>3510</v>
      </c>
      <c r="O58">
        <v>2.2375872094998699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2.1800000000000002</v>
      </c>
      <c r="AR58">
        <v>3.1019999999999999</v>
      </c>
      <c r="AS58" t="s">
        <v>424</v>
      </c>
      <c r="AT58">
        <v>1</v>
      </c>
      <c r="AU58">
        <v>0</v>
      </c>
      <c r="AV58" t="s">
        <v>433</v>
      </c>
      <c r="AW58">
        <v>0</v>
      </c>
      <c r="AX58">
        <v>0</v>
      </c>
      <c r="AY58">
        <v>0</v>
      </c>
      <c r="CC58">
        <v>2.641</v>
      </c>
      <c r="CE58" t="s">
        <v>450</v>
      </c>
      <c r="CG58">
        <v>2.2375872094998699</v>
      </c>
      <c r="CH58">
        <v>2.08</v>
      </c>
      <c r="CI58">
        <v>2.1587936047499352</v>
      </c>
      <c r="CJ58">
        <v>-0.18</v>
      </c>
      <c r="CK58">
        <v>1.978793604749935</v>
      </c>
      <c r="CL58">
        <v>0</v>
      </c>
      <c r="CM58">
        <v>8.3315763754472708E-3</v>
      </c>
      <c r="CN58">
        <v>0</v>
      </c>
      <c r="CO58">
        <v>10616904.702777799</v>
      </c>
      <c r="CP58">
        <f t="shared" si="0"/>
        <v>1.9614335537805907E-3</v>
      </c>
      <c r="CQ58" s="4">
        <f t="shared" si="5"/>
        <v>3.1850714108333398E-3</v>
      </c>
      <c r="CR58" s="2">
        <f t="shared" si="2"/>
        <v>5.1465049646139301E-3</v>
      </c>
      <c r="CS58" t="b">
        <f t="shared" si="3"/>
        <v>0</v>
      </c>
      <c r="CT58" s="2">
        <f t="shared" si="4"/>
        <v>-3.1850714108333407E-3</v>
      </c>
    </row>
    <row r="59" spans="1:98" x14ac:dyDescent="0.25">
      <c r="A59">
        <v>862</v>
      </c>
      <c r="B59" t="s">
        <v>149</v>
      </c>
      <c r="C59" t="s">
        <v>249</v>
      </c>
      <c r="D59" t="s">
        <v>349</v>
      </c>
      <c r="E59" t="s">
        <v>399</v>
      </c>
      <c r="F59">
        <v>563724900</v>
      </c>
      <c r="G59">
        <v>10.87</v>
      </c>
      <c r="H59" t="s">
        <v>407</v>
      </c>
      <c r="I59">
        <v>6127689663</v>
      </c>
      <c r="J59" t="s">
        <v>413</v>
      </c>
      <c r="K59">
        <v>8755069.4216968194</v>
      </c>
      <c r="L59">
        <v>0.65</v>
      </c>
      <c r="M59">
        <v>35102000</v>
      </c>
      <c r="N59">
        <v>3510</v>
      </c>
      <c r="O59">
        <v>1.7450067698613001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2.6259999999999999</v>
      </c>
      <c r="AS59" t="s">
        <v>424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2.4015</v>
      </c>
      <c r="CE59" t="s">
        <v>450</v>
      </c>
      <c r="CG59">
        <v>1.7450067698613001</v>
      </c>
      <c r="CH59">
        <v>3.4</v>
      </c>
      <c r="CI59">
        <v>2.5725033849306498</v>
      </c>
      <c r="CJ59">
        <v>-0.18</v>
      </c>
      <c r="CK59">
        <v>2.3925033849306501</v>
      </c>
      <c r="CL59">
        <v>0</v>
      </c>
      <c r="CM59">
        <v>6.9573197578061997E-3</v>
      </c>
      <c r="CN59">
        <v>0</v>
      </c>
      <c r="CO59">
        <v>8755069.4216968194</v>
      </c>
      <c r="CP59">
        <f t="shared" si="0"/>
        <v>1.7042781047881075E-3</v>
      </c>
      <c r="CQ59" s="4">
        <f t="shared" si="5"/>
        <v>2.6265208265090459E-3</v>
      </c>
      <c r="CR59" s="2">
        <f t="shared" si="2"/>
        <v>4.3307989312971534E-3</v>
      </c>
      <c r="CS59" t="b">
        <f t="shared" si="3"/>
        <v>0</v>
      </c>
      <c r="CT59" s="2">
        <f t="shared" si="4"/>
        <v>-2.6265208265090463E-3</v>
      </c>
    </row>
    <row r="60" spans="1:98" x14ac:dyDescent="0.25">
      <c r="A60">
        <v>202</v>
      </c>
      <c r="B60" t="s">
        <v>150</v>
      </c>
      <c r="C60" t="s">
        <v>250</v>
      </c>
      <c r="D60" t="s">
        <v>350</v>
      </c>
      <c r="E60" t="s">
        <v>396</v>
      </c>
      <c r="F60">
        <v>579795650</v>
      </c>
      <c r="G60">
        <v>82.58</v>
      </c>
      <c r="H60" t="s">
        <v>407</v>
      </c>
      <c r="I60">
        <v>47879524777</v>
      </c>
      <c r="J60" t="s">
        <v>413</v>
      </c>
      <c r="K60">
        <v>97231108.921311393</v>
      </c>
      <c r="L60">
        <v>0.5</v>
      </c>
      <c r="M60">
        <v>40101020</v>
      </c>
      <c r="N60">
        <v>4010</v>
      </c>
      <c r="O60">
        <v>1.7483805263697001</v>
      </c>
      <c r="P60">
        <v>1.5</v>
      </c>
      <c r="Q60" t="s">
        <v>417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2.3959999999999999</v>
      </c>
      <c r="AR60">
        <v>2.3119999999999998</v>
      </c>
      <c r="AS60" t="s">
        <v>418</v>
      </c>
      <c r="AT60">
        <v>1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2.3540000000000001</v>
      </c>
      <c r="CE60" t="s">
        <v>450</v>
      </c>
      <c r="CG60">
        <v>1.7483805263697001</v>
      </c>
      <c r="CH60">
        <v>1.5</v>
      </c>
      <c r="CI60">
        <v>1.6241902631848499</v>
      </c>
      <c r="CJ60">
        <v>-0.24</v>
      </c>
      <c r="CK60">
        <v>1.3841902631848499</v>
      </c>
      <c r="CL60">
        <v>1</v>
      </c>
      <c r="CM60">
        <v>7.165527083263272E-2</v>
      </c>
      <c r="CN60">
        <v>0</v>
      </c>
      <c r="CO60">
        <v>97231108.921311393</v>
      </c>
      <c r="CP60">
        <f t="shared" si="0"/>
        <v>1.3316605479845886E-2</v>
      </c>
      <c r="CQ60" s="4">
        <f t="shared" si="5"/>
        <v>2.9169332676393416E-2</v>
      </c>
      <c r="CR60" s="2">
        <f t="shared" si="2"/>
        <v>4.24859381562393E-2</v>
      </c>
      <c r="CS60" t="b">
        <f t="shared" si="3"/>
        <v>0</v>
      </c>
      <c r="CT60" s="2">
        <f t="shared" si="4"/>
        <v>-2.916933267639342E-2</v>
      </c>
    </row>
    <row r="61" spans="1:98" x14ac:dyDescent="0.25">
      <c r="A61">
        <v>321</v>
      </c>
      <c r="B61" t="s">
        <v>151</v>
      </c>
      <c r="C61" t="s">
        <v>251</v>
      </c>
      <c r="D61" t="s">
        <v>351</v>
      </c>
      <c r="E61" t="s">
        <v>396</v>
      </c>
      <c r="F61">
        <v>200005980</v>
      </c>
      <c r="G61">
        <v>69</v>
      </c>
      <c r="H61" t="s">
        <v>407</v>
      </c>
      <c r="I61">
        <v>13800412620</v>
      </c>
      <c r="J61" t="s">
        <v>413</v>
      </c>
      <c r="K61">
        <v>24556942.140819699</v>
      </c>
      <c r="L61">
        <v>0.55000000000000004</v>
      </c>
      <c r="M61">
        <v>40101025</v>
      </c>
      <c r="N61">
        <v>4010</v>
      </c>
      <c r="O61">
        <v>1.99537761888822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2.4060000000000001</v>
      </c>
      <c r="AR61">
        <v>2.6320000000000001</v>
      </c>
      <c r="AS61" t="s">
        <v>418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2.5190000000000001</v>
      </c>
      <c r="CE61" t="s">
        <v>450</v>
      </c>
      <c r="CG61">
        <v>1.99537761888822</v>
      </c>
      <c r="CH61">
        <v>1.5</v>
      </c>
      <c r="CI61">
        <v>1.7476888094441101</v>
      </c>
      <c r="CJ61">
        <v>-0.24</v>
      </c>
      <c r="CK61">
        <v>1.5076888094441101</v>
      </c>
      <c r="CL61">
        <v>1</v>
      </c>
      <c r="CM61">
        <v>1.8572437514125701E-2</v>
      </c>
      <c r="CN61">
        <v>0</v>
      </c>
      <c r="CO61">
        <v>24556942.140819699</v>
      </c>
      <c r="CP61">
        <f t="shared" si="0"/>
        <v>3.8382722296338785E-3</v>
      </c>
      <c r="CQ61" s="4">
        <f t="shared" si="5"/>
        <v>7.3670826422459089E-3</v>
      </c>
      <c r="CR61" s="2">
        <f t="shared" si="2"/>
        <v>1.1205354871879788E-2</v>
      </c>
      <c r="CS61" t="b">
        <f t="shared" si="3"/>
        <v>0</v>
      </c>
      <c r="CT61" s="2">
        <f t="shared" si="4"/>
        <v>-7.3670826422459132E-3</v>
      </c>
    </row>
    <row r="62" spans="1:98" x14ac:dyDescent="0.25">
      <c r="A62">
        <v>809</v>
      </c>
      <c r="B62" t="s">
        <v>152</v>
      </c>
      <c r="C62" t="s">
        <v>252</v>
      </c>
      <c r="D62" t="s">
        <v>352</v>
      </c>
      <c r="E62" t="s">
        <v>392</v>
      </c>
      <c r="F62">
        <v>534311946</v>
      </c>
      <c r="G62">
        <v>346.1</v>
      </c>
      <c r="H62" t="s">
        <v>407</v>
      </c>
      <c r="I62">
        <v>184925364510.60001</v>
      </c>
      <c r="J62" t="s">
        <v>413</v>
      </c>
      <c r="K62">
        <v>150007719.04285699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2.4470000000000001</v>
      </c>
      <c r="AR62">
        <v>2.8420000000000001</v>
      </c>
      <c r="AS62" t="s">
        <v>418</v>
      </c>
      <c r="AT62">
        <v>1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2.6444999999999999</v>
      </c>
      <c r="CE62" t="s">
        <v>450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</v>
      </c>
      <c r="CM62">
        <v>0.1</v>
      </c>
      <c r="CN62">
        <v>0</v>
      </c>
      <c r="CO62">
        <v>150007719.04285699</v>
      </c>
      <c r="CP62">
        <f t="shared" si="0"/>
        <v>5.1432802098054835E-2</v>
      </c>
      <c r="CQ62" s="4">
        <f t="shared" si="5"/>
        <v>4.5002315712857101E-2</v>
      </c>
      <c r="CR62" s="2">
        <f t="shared" si="2"/>
        <v>9.6435117810911936E-2</v>
      </c>
      <c r="CS62" t="b">
        <f t="shared" si="3"/>
        <v>0</v>
      </c>
      <c r="CT62" s="2">
        <f t="shared" si="4"/>
        <v>-3.56488218908807E-3</v>
      </c>
    </row>
    <row r="63" spans="1:98" x14ac:dyDescent="0.25">
      <c r="A63">
        <v>1336</v>
      </c>
      <c r="B63" t="s">
        <v>153</v>
      </c>
      <c r="C63" t="s">
        <v>253</v>
      </c>
      <c r="D63" t="s">
        <v>353</v>
      </c>
      <c r="E63" t="s">
        <v>400</v>
      </c>
      <c r="F63">
        <v>3540041300</v>
      </c>
      <c r="G63">
        <v>1.3824259999999999</v>
      </c>
      <c r="H63" t="s">
        <v>410</v>
      </c>
      <c r="I63">
        <v>4893845134.1938</v>
      </c>
      <c r="J63" t="s">
        <v>414</v>
      </c>
      <c r="K63">
        <v>19580322.357266299</v>
      </c>
      <c r="L63">
        <v>1</v>
      </c>
      <c r="M63">
        <v>40202010</v>
      </c>
      <c r="N63">
        <v>4020</v>
      </c>
      <c r="O63">
        <v>1.7480510479370199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2.4900000000000002</v>
      </c>
      <c r="AR63">
        <v>2.7679999999999998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450</v>
      </c>
      <c r="CG63">
        <v>1.7480510479370199</v>
      </c>
      <c r="CH63">
        <v>1.5</v>
      </c>
      <c r="CI63">
        <v>1.62402552396851</v>
      </c>
      <c r="CJ63">
        <v>-0.24</v>
      </c>
      <c r="CK63">
        <v>1.38402552396851</v>
      </c>
      <c r="CL63">
        <v>1</v>
      </c>
      <c r="CM63">
        <v>1.31093056065766E-2</v>
      </c>
      <c r="CN63">
        <v>0</v>
      </c>
      <c r="CO63">
        <v>19580322.357266299</v>
      </c>
      <c r="CP63">
        <f t="shared" si="0"/>
        <v>1.3611121922168254E-3</v>
      </c>
      <c r="CQ63" s="4">
        <f t="shared" si="5"/>
        <v>5.8740967071798898E-3</v>
      </c>
      <c r="CR63" s="2">
        <f t="shared" si="2"/>
        <v>7.235208899396715E-3</v>
      </c>
      <c r="CS63" t="b">
        <f t="shared" si="3"/>
        <v>0</v>
      </c>
      <c r="CT63" s="2">
        <f t="shared" si="4"/>
        <v>-5.8740967071798846E-3</v>
      </c>
    </row>
    <row r="64" spans="1:98" x14ac:dyDescent="0.25">
      <c r="A64">
        <v>171</v>
      </c>
      <c r="B64" t="s">
        <v>154</v>
      </c>
      <c r="C64" t="s">
        <v>254</v>
      </c>
      <c r="D64" t="s">
        <v>354</v>
      </c>
      <c r="E64" t="s">
        <v>400</v>
      </c>
      <c r="F64">
        <v>1450318700</v>
      </c>
      <c r="G64">
        <v>5.1331730000000002</v>
      </c>
      <c r="H64" t="s">
        <v>410</v>
      </c>
      <c r="I64">
        <v>7444736792.2351007</v>
      </c>
      <c r="J64" t="s">
        <v>414</v>
      </c>
      <c r="K64">
        <v>20081175.638739999</v>
      </c>
      <c r="L64">
        <v>1</v>
      </c>
      <c r="M64">
        <v>40202010</v>
      </c>
      <c r="N64">
        <v>4020</v>
      </c>
      <c r="O64">
        <v>1.7482663894438499</v>
      </c>
      <c r="P64">
        <v>1.77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2.4900000000000002</v>
      </c>
      <c r="AR64">
        <v>3.2989999999999999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2.8944999999999999</v>
      </c>
      <c r="CE64" t="s">
        <v>450</v>
      </c>
      <c r="CG64">
        <v>1.7482663894438499</v>
      </c>
      <c r="CH64">
        <v>1.77</v>
      </c>
      <c r="CI64">
        <v>1.7591331947219251</v>
      </c>
      <c r="CJ64">
        <v>-0.3</v>
      </c>
      <c r="CK64">
        <v>1.459133194721925</v>
      </c>
      <c r="CL64">
        <v>1</v>
      </c>
      <c r="CM64">
        <v>1.4119290319607271E-2</v>
      </c>
      <c r="CN64">
        <v>0</v>
      </c>
      <c r="CO64">
        <v>20081175.638739999</v>
      </c>
      <c r="CP64">
        <f t="shared" si="0"/>
        <v>2.0705849363632715E-3</v>
      </c>
      <c r="CQ64" s="4">
        <f t="shared" si="5"/>
        <v>6.0243526916219994E-3</v>
      </c>
      <c r="CR64" s="2">
        <f t="shared" si="2"/>
        <v>8.0949376279852714E-3</v>
      </c>
      <c r="CS64" t="b">
        <f t="shared" si="3"/>
        <v>0</v>
      </c>
      <c r="CT64" s="2">
        <f t="shared" si="4"/>
        <v>-6.0243526916219994E-3</v>
      </c>
    </row>
    <row r="65" spans="1:98" x14ac:dyDescent="0.25">
      <c r="A65">
        <v>1033</v>
      </c>
      <c r="B65" t="s">
        <v>155</v>
      </c>
      <c r="C65" t="s">
        <v>255</v>
      </c>
      <c r="D65" t="s">
        <v>355</v>
      </c>
      <c r="E65" t="s">
        <v>400</v>
      </c>
      <c r="F65">
        <v>319915900</v>
      </c>
      <c r="G65">
        <v>14.61008</v>
      </c>
      <c r="H65" t="s">
        <v>410</v>
      </c>
      <c r="I65">
        <v>4673996892.2720003</v>
      </c>
      <c r="J65" t="s">
        <v>414</v>
      </c>
      <c r="K65">
        <v>15670413.556200899</v>
      </c>
      <c r="L65">
        <v>1</v>
      </c>
      <c r="M65">
        <v>40202010</v>
      </c>
      <c r="N65">
        <v>4020</v>
      </c>
      <c r="O65">
        <v>1.9955323498800199</v>
      </c>
      <c r="P65">
        <v>1.5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2.8759999999999999</v>
      </c>
      <c r="AS65" t="s">
        <v>423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2.5165000000000002</v>
      </c>
      <c r="CE65" t="s">
        <v>450</v>
      </c>
      <c r="CG65">
        <v>1.9955323498800199</v>
      </c>
      <c r="CH65">
        <v>1.5</v>
      </c>
      <c r="CI65">
        <v>1.74776617494001</v>
      </c>
      <c r="CJ65">
        <v>-0.24</v>
      </c>
      <c r="CK65">
        <v>1.50776617494001</v>
      </c>
      <c r="CL65">
        <v>1</v>
      </c>
      <c r="CM65">
        <v>1.070221451639256E-2</v>
      </c>
      <c r="CN65">
        <v>0</v>
      </c>
      <c r="CO65">
        <v>15670413.556200899</v>
      </c>
      <c r="CP65">
        <f t="shared" si="0"/>
        <v>1.2999663826720183E-3</v>
      </c>
      <c r="CQ65" s="4">
        <f t="shared" si="5"/>
        <v>4.70112406686027E-3</v>
      </c>
      <c r="CR65" s="2">
        <f t="shared" si="2"/>
        <v>6.0010904495322887E-3</v>
      </c>
      <c r="CS65" t="b">
        <f t="shared" si="3"/>
        <v>0</v>
      </c>
      <c r="CT65" s="2">
        <f t="shared" si="4"/>
        <v>-4.7011240668602718E-3</v>
      </c>
    </row>
    <row r="66" spans="1:98" x14ac:dyDescent="0.25">
      <c r="A66">
        <v>189</v>
      </c>
      <c r="B66" t="s">
        <v>156</v>
      </c>
      <c r="C66" t="s">
        <v>256</v>
      </c>
      <c r="D66" t="s">
        <v>356</v>
      </c>
      <c r="E66" t="s">
        <v>400</v>
      </c>
      <c r="F66">
        <v>118657364</v>
      </c>
      <c r="G66">
        <v>28.04748</v>
      </c>
      <c r="H66" t="s">
        <v>410</v>
      </c>
      <c r="I66">
        <v>3328040043.6427202</v>
      </c>
      <c r="J66" t="s">
        <v>414</v>
      </c>
      <c r="K66">
        <v>10092470.100475</v>
      </c>
      <c r="L66">
        <v>1</v>
      </c>
      <c r="M66">
        <v>40202010</v>
      </c>
      <c r="N66">
        <v>4020</v>
      </c>
      <c r="O66">
        <v>1.9966860020732899</v>
      </c>
      <c r="P66">
        <v>2.08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423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2.2829999999999999</v>
      </c>
      <c r="CE66" t="s">
        <v>450</v>
      </c>
      <c r="CG66">
        <v>1.9966860020732899</v>
      </c>
      <c r="CH66">
        <v>2.08</v>
      </c>
      <c r="CI66">
        <v>2.0383430010366448</v>
      </c>
      <c r="CJ66">
        <v>-0.18</v>
      </c>
      <c r="CK66">
        <v>1.8583430010366451</v>
      </c>
      <c r="CL66">
        <v>0</v>
      </c>
      <c r="CM66">
        <v>6.9811010276563806E-3</v>
      </c>
      <c r="CN66">
        <v>0</v>
      </c>
      <c r="CO66">
        <v>10092470.100475</v>
      </c>
      <c r="CP66">
        <f t="shared" si="0"/>
        <v>9.2561896737138093E-4</v>
      </c>
      <c r="CQ66" s="4">
        <f t="shared" si="5"/>
        <v>3.0277410301425001E-3</v>
      </c>
      <c r="CR66" s="2">
        <f t="shared" si="2"/>
        <v>3.9533599975138806E-3</v>
      </c>
      <c r="CS66" t="b">
        <f t="shared" si="3"/>
        <v>0</v>
      </c>
      <c r="CT66" s="2">
        <f t="shared" si="4"/>
        <v>-3.0277410301425001E-3</v>
      </c>
    </row>
    <row r="67" spans="1:98" x14ac:dyDescent="0.25">
      <c r="A67">
        <v>587</v>
      </c>
      <c r="B67" t="s">
        <v>157</v>
      </c>
      <c r="C67" t="s">
        <v>257</v>
      </c>
      <c r="D67" t="s">
        <v>357</v>
      </c>
      <c r="E67" t="s">
        <v>396</v>
      </c>
      <c r="F67">
        <v>178162870</v>
      </c>
      <c r="G67">
        <v>83.9</v>
      </c>
      <c r="H67" t="s">
        <v>407</v>
      </c>
      <c r="I67">
        <v>14947864793</v>
      </c>
      <c r="J67" t="s">
        <v>413</v>
      </c>
      <c r="K67">
        <v>27155576.799672101</v>
      </c>
      <c r="L67">
        <v>0.9</v>
      </c>
      <c r="M67">
        <v>40202025</v>
      </c>
      <c r="N67">
        <v>4020</v>
      </c>
      <c r="O67">
        <v>1.7474964823060299</v>
      </c>
      <c r="P67">
        <v>2.08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C67">
        <v>0</v>
      </c>
      <c r="AQ67">
        <v>2.9809999999999999</v>
      </c>
      <c r="AR67">
        <v>2.5419999999999998</v>
      </c>
      <c r="AS67" t="s">
        <v>418</v>
      </c>
      <c r="AT67">
        <v>1</v>
      </c>
      <c r="AU67">
        <v>0</v>
      </c>
      <c r="AV67" t="s">
        <v>437</v>
      </c>
      <c r="AW67">
        <v>0</v>
      </c>
      <c r="AX67">
        <v>0</v>
      </c>
      <c r="AY67">
        <v>0</v>
      </c>
      <c r="CC67">
        <v>2.7614999999999998</v>
      </c>
      <c r="CE67" t="s">
        <v>450</v>
      </c>
      <c r="CG67">
        <v>1.7474964823060299</v>
      </c>
      <c r="CH67">
        <v>2.08</v>
      </c>
      <c r="CI67">
        <v>1.9137482411530149</v>
      </c>
      <c r="CJ67">
        <v>0</v>
      </c>
      <c r="CK67">
        <v>1.9137482411530149</v>
      </c>
      <c r="CL67">
        <v>1</v>
      </c>
      <c r="CM67">
        <v>2.0450756144785351E-2</v>
      </c>
      <c r="CN67">
        <v>0</v>
      </c>
      <c r="CO67">
        <v>27155576.799672101</v>
      </c>
      <c r="CP67">
        <f t="shared" ref="CP67:CP101" si="6">I67/SUM($I$2:$I$101)</f>
        <v>4.1574100649820903E-3</v>
      </c>
      <c r="CQ67" s="4">
        <f t="shared" si="5"/>
        <v>8.1466730399016307E-3</v>
      </c>
      <c r="CR67" s="2">
        <f t="shared" ref="CR67:CR101" si="7">CQ67+CP67</f>
        <v>1.230408310488372E-2</v>
      </c>
      <c r="CS67" t="b">
        <f t="shared" ref="CS67:CS101" si="8">CM67=CR67</f>
        <v>0</v>
      </c>
      <c r="CT67" s="2">
        <f t="shared" ref="CT67:CT101" si="9">CR67-CM67</f>
        <v>-8.1466730399016307E-3</v>
      </c>
    </row>
    <row r="68" spans="1:98" x14ac:dyDescent="0.25">
      <c r="A68">
        <v>1512</v>
      </c>
      <c r="B68" t="s">
        <v>158</v>
      </c>
      <c r="C68" t="s">
        <v>258</v>
      </c>
      <c r="D68" t="s">
        <v>358</v>
      </c>
      <c r="E68" t="s">
        <v>394</v>
      </c>
      <c r="F68">
        <v>238516153</v>
      </c>
      <c r="G68">
        <v>172.6</v>
      </c>
      <c r="H68" t="s">
        <v>407</v>
      </c>
      <c r="I68">
        <v>41167888007.800003</v>
      </c>
      <c r="J68" t="s">
        <v>413</v>
      </c>
      <c r="K68">
        <v>74863714.427777797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429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2.895</v>
      </c>
      <c r="CE68" t="s">
        <v>450</v>
      </c>
      <c r="CG68">
        <v>1.5670644957319</v>
      </c>
      <c r="CH68">
        <v>1.5</v>
      </c>
      <c r="CI68">
        <v>1.5335322478659501</v>
      </c>
      <c r="CJ68">
        <v>-0.18</v>
      </c>
      <c r="CK68">
        <v>1.3535322478659499</v>
      </c>
      <c r="CL68">
        <v>1</v>
      </c>
      <c r="CM68">
        <v>5.6368144368898213E-2</v>
      </c>
      <c r="CN68">
        <v>0</v>
      </c>
      <c r="CO68">
        <v>74863714.427777797</v>
      </c>
      <c r="CP68">
        <f t="shared" si="6"/>
        <v>1.1449915712231532E-2</v>
      </c>
      <c r="CQ68" s="4">
        <f t="shared" si="5"/>
        <v>2.2459114328333338E-2</v>
      </c>
      <c r="CR68" s="2">
        <f t="shared" si="7"/>
        <v>3.3909030040564871E-2</v>
      </c>
      <c r="CS68" t="b">
        <f t="shared" si="8"/>
        <v>0</v>
      </c>
      <c r="CT68" s="2">
        <f t="shared" si="9"/>
        <v>-2.2459114328333342E-2</v>
      </c>
    </row>
    <row r="69" spans="1:98" x14ac:dyDescent="0.25">
      <c r="A69">
        <v>1098</v>
      </c>
      <c r="B69" t="s">
        <v>159</v>
      </c>
      <c r="C69" t="s">
        <v>259</v>
      </c>
      <c r="D69" t="s">
        <v>359</v>
      </c>
      <c r="E69" t="s">
        <v>394</v>
      </c>
      <c r="F69">
        <v>1907070957</v>
      </c>
      <c r="G69">
        <v>47.26</v>
      </c>
      <c r="H69" t="s">
        <v>407</v>
      </c>
      <c r="I69">
        <v>90128173427.819992</v>
      </c>
      <c r="J69" t="s">
        <v>413</v>
      </c>
      <c r="K69">
        <v>34161920.378412701</v>
      </c>
      <c r="L69">
        <v>1</v>
      </c>
      <c r="M69">
        <v>40301030</v>
      </c>
      <c r="N69">
        <v>4030</v>
      </c>
      <c r="O69">
        <v>1.9831746989669301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2.4740000000000002</v>
      </c>
      <c r="AR69">
        <v>3.2949999999999999</v>
      </c>
      <c r="AS69" t="s">
        <v>429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2.8845000000000001</v>
      </c>
      <c r="CE69" t="s">
        <v>450</v>
      </c>
      <c r="CG69">
        <v>1.9831746989669301</v>
      </c>
      <c r="CH69">
        <v>1.5</v>
      </c>
      <c r="CI69">
        <v>1.7415873494834651</v>
      </c>
      <c r="CJ69">
        <v>-0.18</v>
      </c>
      <c r="CK69">
        <v>1.5615873494834649</v>
      </c>
      <c r="CL69">
        <v>1</v>
      </c>
      <c r="CM69">
        <v>4.5564262515785312E-2</v>
      </c>
      <c r="CN69">
        <v>4.5699580616900756E-3</v>
      </c>
      <c r="CO69">
        <v>34161920.378412701</v>
      </c>
      <c r="CP69">
        <f t="shared" si="6"/>
        <v>2.5067110288737694E-2</v>
      </c>
      <c r="CQ69" s="4">
        <f t="shared" si="5"/>
        <v>1.0248576113523809E-2</v>
      </c>
      <c r="CR69" s="2">
        <f t="shared" si="7"/>
        <v>3.5315686402261501E-2</v>
      </c>
      <c r="CS69" t="b">
        <f t="shared" si="8"/>
        <v>0</v>
      </c>
      <c r="CT69" s="2">
        <f t="shared" si="9"/>
        <v>-1.0248576113523811E-2</v>
      </c>
    </row>
    <row r="70" spans="1:98" x14ac:dyDescent="0.25">
      <c r="A70">
        <v>1517</v>
      </c>
      <c r="B70" t="s">
        <v>160</v>
      </c>
      <c r="C70" t="s">
        <v>260</v>
      </c>
      <c r="D70" t="s">
        <v>360</v>
      </c>
      <c r="E70" t="s">
        <v>400</v>
      </c>
      <c r="F70">
        <v>1078802400</v>
      </c>
      <c r="G70">
        <v>9.1105959999999993</v>
      </c>
      <c r="H70" t="s">
        <v>410</v>
      </c>
      <c r="I70">
        <v>9828532830.2304001</v>
      </c>
      <c r="J70" t="s">
        <v>414</v>
      </c>
      <c r="K70">
        <v>20881891.102371901</v>
      </c>
      <c r="L70">
        <v>0.95</v>
      </c>
      <c r="M70">
        <v>40301020</v>
      </c>
      <c r="N70">
        <v>4030</v>
      </c>
      <c r="O70">
        <v>1.9934117984292601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2.2429999999999999</v>
      </c>
      <c r="AR70">
        <v>3.0659999999999998</v>
      </c>
      <c r="AS70" t="s">
        <v>429</v>
      </c>
      <c r="AT70">
        <v>0</v>
      </c>
      <c r="AU70">
        <v>0</v>
      </c>
      <c r="AV70" t="s">
        <v>448</v>
      </c>
      <c r="AW70">
        <v>0</v>
      </c>
      <c r="AX70">
        <v>0</v>
      </c>
      <c r="AY70">
        <v>0</v>
      </c>
      <c r="CC70">
        <v>2.6545000000000001</v>
      </c>
      <c r="CE70" t="s">
        <v>450</v>
      </c>
      <c r="CG70">
        <v>1.9934117984292601</v>
      </c>
      <c r="CH70">
        <v>1.5</v>
      </c>
      <c r="CI70">
        <v>1.74670589921463</v>
      </c>
      <c r="CJ70">
        <v>-0.18</v>
      </c>
      <c r="CK70">
        <v>1.5667058992146301</v>
      </c>
      <c r="CL70">
        <v>1</v>
      </c>
      <c r="CM70">
        <v>1.5262718479463949E-2</v>
      </c>
      <c r="CN70">
        <v>0</v>
      </c>
      <c r="CO70">
        <v>20881891.102371901</v>
      </c>
      <c r="CP70">
        <f t="shared" si="6"/>
        <v>2.7335838180408125E-3</v>
      </c>
      <c r="CQ70" s="4">
        <f t="shared" si="5"/>
        <v>6.2645673307115705E-3</v>
      </c>
      <c r="CR70" s="2">
        <f t="shared" si="7"/>
        <v>8.998151148752383E-3</v>
      </c>
      <c r="CS70" t="b">
        <f t="shared" si="8"/>
        <v>0</v>
      </c>
      <c r="CT70" s="2">
        <f t="shared" si="9"/>
        <v>-6.2645673307115662E-3</v>
      </c>
    </row>
    <row r="71" spans="1:98" x14ac:dyDescent="0.25">
      <c r="A71">
        <v>747</v>
      </c>
      <c r="B71" t="s">
        <v>161</v>
      </c>
      <c r="C71" t="s">
        <v>261</v>
      </c>
      <c r="D71" t="s">
        <v>361</v>
      </c>
      <c r="E71" t="s">
        <v>400</v>
      </c>
      <c r="F71">
        <v>1788668100</v>
      </c>
      <c r="G71">
        <v>2.9667460000000001</v>
      </c>
      <c r="H71" t="s">
        <v>410</v>
      </c>
      <c r="I71">
        <v>5306523931.0025997</v>
      </c>
      <c r="J71" t="s">
        <v>414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2.3319999999999999</v>
      </c>
      <c r="AR71">
        <v>3.3580000000000001</v>
      </c>
      <c r="AS71" t="s">
        <v>431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2.8450000000000002</v>
      </c>
      <c r="CE71" t="s">
        <v>450</v>
      </c>
      <c r="CG71">
        <v>1.99679915892727</v>
      </c>
      <c r="CH71">
        <v>1.5</v>
      </c>
      <c r="CI71">
        <v>1.7483995794636349</v>
      </c>
      <c r="CJ71">
        <v>-0.24</v>
      </c>
      <c r="CK71">
        <v>1.5083995794636349</v>
      </c>
      <c r="CL71">
        <v>1</v>
      </c>
      <c r="CM71">
        <v>1.027906698613297E-2</v>
      </c>
      <c r="CN71">
        <v>0</v>
      </c>
      <c r="CO71">
        <v>14671962.5543341</v>
      </c>
      <c r="CP71">
        <f t="shared" si="6"/>
        <v>1.4758894535325047E-3</v>
      </c>
      <c r="CQ71" s="4">
        <f t="shared" si="5"/>
        <v>4.4015887663002304E-3</v>
      </c>
      <c r="CR71" s="2">
        <f t="shared" si="7"/>
        <v>5.8774782198327356E-3</v>
      </c>
      <c r="CS71" t="b">
        <f t="shared" si="8"/>
        <v>0</v>
      </c>
      <c r="CT71" s="2">
        <f t="shared" si="9"/>
        <v>-4.4015887663002348E-3</v>
      </c>
    </row>
    <row r="72" spans="1:98" x14ac:dyDescent="0.25">
      <c r="A72">
        <v>931</v>
      </c>
      <c r="B72" t="s">
        <v>162</v>
      </c>
      <c r="C72" t="s">
        <v>262</v>
      </c>
      <c r="D72" t="s">
        <v>362</v>
      </c>
      <c r="E72" t="s">
        <v>400</v>
      </c>
      <c r="F72">
        <v>123443540</v>
      </c>
      <c r="G72">
        <v>121.0757</v>
      </c>
      <c r="H72" t="s">
        <v>410</v>
      </c>
      <c r="I72">
        <v>14946013015.978001</v>
      </c>
      <c r="J72" t="s">
        <v>414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2.3570000000000002</v>
      </c>
      <c r="AR72">
        <v>2.1</v>
      </c>
      <c r="AS72" t="s">
        <v>431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2.2284999999999999</v>
      </c>
      <c r="CE72" t="s">
        <v>450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1.5643494327549701</v>
      </c>
      <c r="CL72">
        <v>1</v>
      </c>
      <c r="CM72">
        <v>1.777755741921469E-2</v>
      </c>
      <c r="CN72">
        <v>0</v>
      </c>
      <c r="CO72">
        <v>22701103.9734562</v>
      </c>
      <c r="CP72">
        <f t="shared" si="6"/>
        <v>4.1568950351409751E-3</v>
      </c>
      <c r="CQ72" s="4">
        <f t="shared" si="5"/>
        <v>6.8103311920368597E-3</v>
      </c>
      <c r="CR72" s="2">
        <f t="shared" si="7"/>
        <v>1.0967226227177836E-2</v>
      </c>
      <c r="CS72" t="b">
        <f t="shared" si="8"/>
        <v>0</v>
      </c>
      <c r="CT72" s="2">
        <f t="shared" si="9"/>
        <v>-6.8103311920368545E-3</v>
      </c>
    </row>
    <row r="73" spans="1:98" x14ac:dyDescent="0.25">
      <c r="A73">
        <v>1419</v>
      </c>
      <c r="B73" t="s">
        <v>163</v>
      </c>
      <c r="C73" t="s">
        <v>263</v>
      </c>
      <c r="D73" t="s">
        <v>363</v>
      </c>
      <c r="E73" t="s">
        <v>396</v>
      </c>
      <c r="F73">
        <v>507431030</v>
      </c>
      <c r="G73">
        <v>6.5759999999999996</v>
      </c>
      <c r="H73" t="s">
        <v>407</v>
      </c>
      <c r="I73">
        <v>3336866453.2800002</v>
      </c>
      <c r="J73" t="s">
        <v>413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415</v>
      </c>
      <c r="R73" t="s">
        <v>421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2.5910000000000002</v>
      </c>
      <c r="AR73">
        <v>2.93</v>
      </c>
      <c r="AS73" t="s">
        <v>428</v>
      </c>
      <c r="AT73">
        <v>0</v>
      </c>
      <c r="AU73">
        <v>0</v>
      </c>
      <c r="AV73" t="s">
        <v>437</v>
      </c>
      <c r="AW73">
        <v>0</v>
      </c>
      <c r="AX73">
        <v>0</v>
      </c>
      <c r="AY73">
        <v>0</v>
      </c>
      <c r="CC73">
        <v>2.7605</v>
      </c>
      <c r="CE73" t="s">
        <v>450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</v>
      </c>
      <c r="CM73">
        <v>1.9415675368239859E-2</v>
      </c>
      <c r="CN73">
        <v>0</v>
      </c>
      <c r="CO73">
        <v>30812669.2248688</v>
      </c>
      <c r="CP73">
        <f t="shared" si="6"/>
        <v>9.2807383331858077E-4</v>
      </c>
      <c r="CQ73" s="4">
        <f t="shared" si="5"/>
        <v>9.2438007674606401E-3</v>
      </c>
      <c r="CR73" s="2">
        <f t="shared" si="7"/>
        <v>1.0171874600779221E-2</v>
      </c>
      <c r="CS73" t="b">
        <f t="shared" si="8"/>
        <v>0</v>
      </c>
      <c r="CT73" s="2">
        <f t="shared" si="9"/>
        <v>-9.2438007674606384E-3</v>
      </c>
    </row>
    <row r="74" spans="1:98" x14ac:dyDescent="0.25">
      <c r="A74">
        <v>815</v>
      </c>
      <c r="B74" t="s">
        <v>164</v>
      </c>
      <c r="C74" t="s">
        <v>264</v>
      </c>
      <c r="D74" t="s">
        <v>364</v>
      </c>
      <c r="E74" t="s">
        <v>396</v>
      </c>
      <c r="F74">
        <v>1200015000</v>
      </c>
      <c r="G74">
        <v>6.3940000000000001</v>
      </c>
      <c r="H74" t="s">
        <v>407</v>
      </c>
      <c r="I74">
        <v>7672895910</v>
      </c>
      <c r="J74" t="s">
        <v>413</v>
      </c>
      <c r="K74">
        <v>40455426.200245902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416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426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2.4750000000000001</v>
      </c>
      <c r="CE74" t="s">
        <v>450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1.4881934610356951</v>
      </c>
      <c r="CL74">
        <v>1</v>
      </c>
      <c r="CM74">
        <v>2.6407297947953361E-2</v>
      </c>
      <c r="CN74">
        <v>0</v>
      </c>
      <c r="CO74">
        <v>40455426.200245902</v>
      </c>
      <c r="CP74">
        <f t="shared" si="6"/>
        <v>2.1340422278058211E-3</v>
      </c>
      <c r="CQ74" s="4">
        <f t="shared" si="5"/>
        <v>1.213662786007377E-2</v>
      </c>
      <c r="CR74" s="2">
        <f t="shared" si="7"/>
        <v>1.4270670087879592E-2</v>
      </c>
      <c r="CS74" t="b">
        <f t="shared" si="8"/>
        <v>0</v>
      </c>
      <c r="CT74" s="2">
        <f t="shared" si="9"/>
        <v>-1.213662786007377E-2</v>
      </c>
    </row>
    <row r="75" spans="1:98" x14ac:dyDescent="0.25">
      <c r="A75">
        <v>1133</v>
      </c>
      <c r="B75" t="s">
        <v>165</v>
      </c>
      <c r="C75" t="s">
        <v>265</v>
      </c>
      <c r="D75" t="s">
        <v>365</v>
      </c>
      <c r="E75" t="s">
        <v>395</v>
      </c>
      <c r="F75">
        <v>1074613824</v>
      </c>
      <c r="G75">
        <v>20.260000000000002</v>
      </c>
      <c r="H75" t="s">
        <v>407</v>
      </c>
      <c r="I75">
        <v>21771676074.240002</v>
      </c>
      <c r="J75" t="s">
        <v>413</v>
      </c>
      <c r="K75">
        <v>37482966.910301603</v>
      </c>
      <c r="L75">
        <v>1</v>
      </c>
      <c r="M75">
        <v>40501010</v>
      </c>
      <c r="N75">
        <v>4050</v>
      </c>
      <c r="O75">
        <v>1.6201795191173001</v>
      </c>
      <c r="P75">
        <v>2.7</v>
      </c>
      <c r="Q75" t="s">
        <v>417</v>
      </c>
      <c r="R75" t="s">
        <v>422</v>
      </c>
      <c r="S75">
        <v>0</v>
      </c>
      <c r="T75">
        <v>0.01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3.0049999999999999</v>
      </c>
      <c r="AS75" t="s">
        <v>426</v>
      </c>
      <c r="AT75">
        <v>1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2.4125000000000001</v>
      </c>
      <c r="CE75" t="s">
        <v>450</v>
      </c>
      <c r="CG75">
        <v>1.6201795191173001</v>
      </c>
      <c r="CH75">
        <v>2.7</v>
      </c>
      <c r="CI75">
        <v>2.1600897595586499</v>
      </c>
      <c r="CJ75">
        <v>-0.24</v>
      </c>
      <c r="CK75">
        <v>1.9200897595586499</v>
      </c>
      <c r="CL75">
        <v>0</v>
      </c>
      <c r="CM75">
        <v>2.854507877886342E-2</v>
      </c>
      <c r="CN75">
        <v>0</v>
      </c>
      <c r="CO75">
        <v>37482966.910301603</v>
      </c>
      <c r="CP75">
        <f t="shared" si="6"/>
        <v>6.0552986326824583E-3</v>
      </c>
      <c r="CQ75" s="4">
        <f t="shared" si="5"/>
        <v>1.124489007309048E-2</v>
      </c>
      <c r="CR75" s="2">
        <f t="shared" si="7"/>
        <v>1.7300188705772938E-2</v>
      </c>
      <c r="CS75" t="b">
        <f t="shared" si="8"/>
        <v>0</v>
      </c>
      <c r="CT75" s="2">
        <f t="shared" si="9"/>
        <v>-1.1244890073090482E-2</v>
      </c>
    </row>
    <row r="76" spans="1:98" x14ac:dyDescent="0.25">
      <c r="A76">
        <v>659</v>
      </c>
      <c r="B76" t="s">
        <v>166</v>
      </c>
      <c r="C76" t="s">
        <v>266</v>
      </c>
      <c r="D76" t="s">
        <v>366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414</v>
      </c>
      <c r="K76">
        <v>32247793.982799198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418</v>
      </c>
      <c r="R76" t="s">
        <v>421</v>
      </c>
      <c r="S76">
        <v>0</v>
      </c>
      <c r="T76">
        <v>0.01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2.2839999999999998</v>
      </c>
      <c r="AR76">
        <v>2.9609999999999999</v>
      </c>
      <c r="AS76" t="s">
        <v>432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2.6225000000000001</v>
      </c>
      <c r="CE76" t="s">
        <v>450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</v>
      </c>
      <c r="CM76">
        <v>2.4613888320833451E-2</v>
      </c>
      <c r="CN76">
        <v>0</v>
      </c>
      <c r="CO76">
        <v>32247793.982799198</v>
      </c>
      <c r="CP76">
        <f t="shared" si="6"/>
        <v>5.2652119311539323E-3</v>
      </c>
      <c r="CQ76" s="4">
        <f t="shared" si="5"/>
        <v>9.6743381948397583E-3</v>
      </c>
      <c r="CR76" s="2">
        <f t="shared" si="7"/>
        <v>1.4939550125993691E-2</v>
      </c>
      <c r="CS76" t="b">
        <f t="shared" si="8"/>
        <v>0</v>
      </c>
      <c r="CT76" s="2">
        <f t="shared" si="9"/>
        <v>-9.67433819483976E-3</v>
      </c>
    </row>
    <row r="77" spans="1:98" x14ac:dyDescent="0.25">
      <c r="A77">
        <v>299</v>
      </c>
      <c r="B77" t="s">
        <v>167</v>
      </c>
      <c r="C77" t="s">
        <v>267</v>
      </c>
      <c r="D77" t="s">
        <v>367</v>
      </c>
      <c r="E77" t="s">
        <v>400</v>
      </c>
      <c r="F77">
        <v>362188870</v>
      </c>
      <c r="G77">
        <v>39.991840000000003</v>
      </c>
      <c r="H77" t="s">
        <v>410</v>
      </c>
      <c r="I77">
        <v>14484599338.820801</v>
      </c>
      <c r="J77" t="s">
        <v>414</v>
      </c>
      <c r="K77">
        <v>14412050.783097999</v>
      </c>
      <c r="L77">
        <v>0.55000000000000004</v>
      </c>
      <c r="M77">
        <v>45101020</v>
      </c>
      <c r="N77">
        <v>4510</v>
      </c>
      <c r="O77">
        <v>1.7271705380618301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2.3450000000000002</v>
      </c>
      <c r="AR77">
        <v>2.57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2.4575</v>
      </c>
      <c r="CE77" t="s">
        <v>450</v>
      </c>
      <c r="CG77">
        <v>1.7271705380618301</v>
      </c>
      <c r="CH77">
        <v>1.5</v>
      </c>
      <c r="CI77">
        <v>1.6135852690309149</v>
      </c>
      <c r="CJ77">
        <v>-0.3</v>
      </c>
      <c r="CK77">
        <v>1.3135852690309151</v>
      </c>
      <c r="CL77">
        <v>1</v>
      </c>
      <c r="CM77">
        <v>1.267579374042347E-2</v>
      </c>
      <c r="CN77">
        <v>0</v>
      </c>
      <c r="CO77">
        <v>14412050.783097999</v>
      </c>
      <c r="CP77">
        <f t="shared" si="6"/>
        <v>4.0285632705646677E-3</v>
      </c>
      <c r="CQ77" s="4">
        <f t="shared" si="5"/>
        <v>4.3236152349294E-3</v>
      </c>
      <c r="CR77" s="2">
        <f t="shared" si="7"/>
        <v>8.3521785054940685E-3</v>
      </c>
      <c r="CS77" t="b">
        <f t="shared" si="8"/>
        <v>0</v>
      </c>
      <c r="CT77" s="2">
        <f t="shared" si="9"/>
        <v>-4.3236152349294017E-3</v>
      </c>
    </row>
    <row r="78" spans="1:98" x14ac:dyDescent="0.25">
      <c r="A78">
        <v>364</v>
      </c>
      <c r="B78" t="s">
        <v>168</v>
      </c>
      <c r="C78" t="s">
        <v>268</v>
      </c>
      <c r="D78" t="s">
        <v>368</v>
      </c>
      <c r="E78" t="s">
        <v>392</v>
      </c>
      <c r="F78">
        <v>679553991</v>
      </c>
      <c r="G78">
        <v>68.48</v>
      </c>
      <c r="H78" t="s">
        <v>407</v>
      </c>
      <c r="I78">
        <v>46535857303.68</v>
      </c>
      <c r="J78" t="s">
        <v>413</v>
      </c>
      <c r="K78">
        <v>73768688.648571402</v>
      </c>
      <c r="L78">
        <v>0.95000000000000007</v>
      </c>
      <c r="M78">
        <v>45102020</v>
      </c>
      <c r="N78">
        <v>4510</v>
      </c>
      <c r="O78">
        <v>1.7387876622748</v>
      </c>
      <c r="P78">
        <v>1.5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2.4980000000000002</v>
      </c>
      <c r="AR78">
        <v>2.8370000000000002</v>
      </c>
      <c r="AS78" t="s">
        <v>418</v>
      </c>
      <c r="AT78">
        <v>1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2.6675</v>
      </c>
      <c r="CE78" t="s">
        <v>450</v>
      </c>
      <c r="CG78">
        <v>1.7387876622748</v>
      </c>
      <c r="CH78">
        <v>1.5</v>
      </c>
      <c r="CI78">
        <v>1.6193938311374001</v>
      </c>
      <c r="CJ78">
        <v>-0.3</v>
      </c>
      <c r="CK78">
        <v>1.3193938311374001</v>
      </c>
      <c r="CL78">
        <v>1</v>
      </c>
      <c r="CM78">
        <v>5.7204107991582438E-2</v>
      </c>
      <c r="CN78">
        <v>0</v>
      </c>
      <c r="CO78">
        <v>73768688.648571402</v>
      </c>
      <c r="CP78">
        <f t="shared" si="6"/>
        <v>1.2942894802439599E-2</v>
      </c>
      <c r="CQ78" s="4">
        <f t="shared" si="5"/>
        <v>2.213060659457142E-2</v>
      </c>
      <c r="CR78" s="2">
        <f t="shared" si="7"/>
        <v>3.5073501397011021E-2</v>
      </c>
      <c r="CS78" t="b">
        <f t="shared" si="8"/>
        <v>0</v>
      </c>
      <c r="CT78" s="2">
        <f t="shared" si="9"/>
        <v>-2.2130606594571417E-2</v>
      </c>
    </row>
    <row r="79" spans="1:98" x14ac:dyDescent="0.25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2.2054999999999998</v>
      </c>
      <c r="CE79" t="s">
        <v>450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  <c r="CL79">
        <v>1</v>
      </c>
      <c r="CM79">
        <v>1.4521213975244061E-2</v>
      </c>
      <c r="CN79">
        <v>0</v>
      </c>
      <c r="CO79">
        <v>21337047.627355602</v>
      </c>
      <c r="CP79">
        <f t="shared" si="6"/>
        <v>1.7189853988307006E-3</v>
      </c>
      <c r="CQ79" s="4">
        <f t="shared" si="5"/>
        <v>6.401114288206681E-3</v>
      </c>
      <c r="CR79" s="2">
        <f t="shared" si="7"/>
        <v>8.1200996870373823E-3</v>
      </c>
      <c r="CS79" t="b">
        <f t="shared" si="8"/>
        <v>0</v>
      </c>
      <c r="CT79" s="2">
        <f t="shared" si="9"/>
        <v>-6.4011142882066784E-3</v>
      </c>
    </row>
    <row r="80" spans="1:98" x14ac:dyDescent="0.25">
      <c r="A80">
        <v>923</v>
      </c>
      <c r="B80" t="s">
        <v>170</v>
      </c>
      <c r="C80" t="s">
        <v>270</v>
      </c>
      <c r="D80" t="s">
        <v>370</v>
      </c>
      <c r="E80" t="s">
        <v>404</v>
      </c>
      <c r="F80">
        <v>2620000000</v>
      </c>
      <c r="G80">
        <v>90.485759999999999</v>
      </c>
      <c r="H80" t="s">
        <v>412</v>
      </c>
      <c r="I80">
        <v>237072691200</v>
      </c>
      <c r="J80" t="s">
        <v>414</v>
      </c>
      <c r="K80">
        <v>395799404.31295902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417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2.2480000000000002</v>
      </c>
      <c r="AR80">
        <v>2.8980000000000001</v>
      </c>
      <c r="AS80" t="s">
        <v>418</v>
      </c>
      <c r="AT80">
        <v>1</v>
      </c>
      <c r="AU80">
        <v>0</v>
      </c>
      <c r="AV80" t="s">
        <v>446</v>
      </c>
      <c r="AW80">
        <v>0</v>
      </c>
      <c r="AX80">
        <v>0</v>
      </c>
      <c r="AY80">
        <v>0</v>
      </c>
      <c r="CC80">
        <v>2.573</v>
      </c>
      <c r="CE80" t="s">
        <v>450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</v>
      </c>
      <c r="CM80">
        <v>0.1</v>
      </c>
      <c r="CN80">
        <v>0</v>
      </c>
      <c r="CO80">
        <v>395799404.31295902</v>
      </c>
      <c r="CP80">
        <f t="shared" si="6"/>
        <v>6.5936400026097769E-2</v>
      </c>
      <c r="CQ80" s="4">
        <f t="shared" ref="CQ80:CQ101" si="10">(CO80*0.3)/1000000000</f>
        <v>0.1187398212938877</v>
      </c>
      <c r="CR80" s="2">
        <f t="shared" si="7"/>
        <v>0.18467622131998546</v>
      </c>
      <c r="CS80" t="b">
        <f t="shared" si="8"/>
        <v>0</v>
      </c>
      <c r="CT80" s="2">
        <f t="shared" si="9"/>
        <v>8.4676221319985451E-2</v>
      </c>
    </row>
    <row r="81" spans="1:98" x14ac:dyDescent="0.25">
      <c r="A81">
        <v>1010</v>
      </c>
      <c r="B81" t="s">
        <v>171</v>
      </c>
      <c r="C81" t="s">
        <v>271</v>
      </c>
      <c r="D81" t="s">
        <v>371</v>
      </c>
      <c r="E81" t="s">
        <v>398</v>
      </c>
      <c r="F81">
        <v>1001430970</v>
      </c>
      <c r="G81">
        <v>9.1671560000000003</v>
      </c>
      <c r="H81" t="s">
        <v>409</v>
      </c>
      <c r="I81">
        <v>9180273925.2213211</v>
      </c>
      <c r="J81" t="s">
        <v>414</v>
      </c>
      <c r="K81">
        <v>9237785.1270873696</v>
      </c>
      <c r="L81">
        <v>0.75</v>
      </c>
      <c r="M81">
        <v>45102020</v>
      </c>
      <c r="N81">
        <v>4510</v>
      </c>
      <c r="O81">
        <v>1.7387081680102601</v>
      </c>
      <c r="P81">
        <v>1.5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2.3149999999999999</v>
      </c>
      <c r="AR81">
        <v>3.2949999999999999</v>
      </c>
      <c r="AS81" t="s">
        <v>418</v>
      </c>
      <c r="AT81">
        <v>1</v>
      </c>
      <c r="AU81">
        <v>0</v>
      </c>
      <c r="AV81" t="s">
        <v>439</v>
      </c>
      <c r="AW81">
        <v>0</v>
      </c>
      <c r="AX81">
        <v>0</v>
      </c>
      <c r="AY81">
        <v>0</v>
      </c>
      <c r="CC81">
        <v>2.8050000000000002</v>
      </c>
      <c r="CE81" t="s">
        <v>450</v>
      </c>
      <c r="CG81">
        <v>1.7387081680102601</v>
      </c>
      <c r="CH81">
        <v>1.5</v>
      </c>
      <c r="CI81">
        <v>1.6193540840051299</v>
      </c>
      <c r="CJ81">
        <v>-0.18</v>
      </c>
      <c r="CK81">
        <v>1.43935408400513</v>
      </c>
      <c r="CL81">
        <v>1</v>
      </c>
      <c r="CM81">
        <v>8.0959563611100131E-3</v>
      </c>
      <c r="CN81">
        <v>0</v>
      </c>
      <c r="CO81">
        <v>9237785.1270873696</v>
      </c>
      <c r="CP81">
        <f t="shared" si="6"/>
        <v>2.5532852848575913E-3</v>
      </c>
      <c r="CQ81" s="4">
        <f t="shared" si="10"/>
        <v>2.7713355381262109E-3</v>
      </c>
      <c r="CR81" s="2">
        <f t="shared" si="7"/>
        <v>5.3246208229838022E-3</v>
      </c>
      <c r="CS81" t="b">
        <f t="shared" si="8"/>
        <v>0</v>
      </c>
      <c r="CT81" s="2">
        <f t="shared" si="9"/>
        <v>-2.7713355381262109E-3</v>
      </c>
    </row>
    <row r="82" spans="1:98" x14ac:dyDescent="0.25">
      <c r="A82">
        <v>391</v>
      </c>
      <c r="B82" t="s">
        <v>172</v>
      </c>
      <c r="C82" t="s">
        <v>272</v>
      </c>
      <c r="D82" t="s">
        <v>372</v>
      </c>
      <c r="E82" t="s">
        <v>400</v>
      </c>
      <c r="F82">
        <v>2225173800</v>
      </c>
      <c r="G82">
        <v>26.475850000000001</v>
      </c>
      <c r="H82" t="s">
        <v>410</v>
      </c>
      <c r="I82">
        <v>58913367752.730003</v>
      </c>
      <c r="J82" t="s">
        <v>414</v>
      </c>
      <c r="K82">
        <v>91262542.967915595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418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2.6575000000000002</v>
      </c>
      <c r="CE82" t="s">
        <v>450</v>
      </c>
      <c r="CG82">
        <v>1.96375273677233</v>
      </c>
      <c r="CH82">
        <v>1.5</v>
      </c>
      <c r="CI82">
        <v>1.7318763683861651</v>
      </c>
      <c r="CJ82">
        <v>-0.18</v>
      </c>
      <c r="CK82">
        <v>1.5518763683861649</v>
      </c>
      <c r="CL82">
        <v>1</v>
      </c>
      <c r="CM82">
        <v>7.1142944798714317E-2</v>
      </c>
      <c r="CN82">
        <v>0</v>
      </c>
      <c r="CO82">
        <v>91262542.967915595</v>
      </c>
      <c r="CP82">
        <f t="shared" si="6"/>
        <v>1.6385419017964958E-2</v>
      </c>
      <c r="CQ82" s="4">
        <f t="shared" si="10"/>
        <v>2.7378762890374678E-2</v>
      </c>
      <c r="CR82" s="2">
        <f t="shared" si="7"/>
        <v>4.3764181908339639E-2</v>
      </c>
      <c r="CS82" t="b">
        <f t="shared" si="8"/>
        <v>0</v>
      </c>
      <c r="CT82" s="2">
        <f t="shared" si="9"/>
        <v>-2.7378762890374678E-2</v>
      </c>
    </row>
    <row r="83" spans="1:98" x14ac:dyDescent="0.25">
      <c r="A83">
        <v>689</v>
      </c>
      <c r="B83" t="s">
        <v>173</v>
      </c>
      <c r="C83" t="s">
        <v>273</v>
      </c>
      <c r="D83" t="s">
        <v>373</v>
      </c>
      <c r="E83" t="s">
        <v>406</v>
      </c>
      <c r="F83">
        <v>629293220</v>
      </c>
      <c r="G83">
        <v>19.98</v>
      </c>
      <c r="H83" t="s">
        <v>407</v>
      </c>
      <c r="I83">
        <v>12573278535.6</v>
      </c>
      <c r="J83" t="s">
        <v>413</v>
      </c>
      <c r="K83">
        <v>10766081.2461905</v>
      </c>
      <c r="L83">
        <v>0.45</v>
      </c>
      <c r="M83">
        <v>45201010</v>
      </c>
      <c r="N83">
        <v>4520</v>
      </c>
      <c r="O83">
        <v>1.7406384718850201</v>
      </c>
      <c r="P83">
        <v>1.5</v>
      </c>
      <c r="Q83" t="s">
        <v>415</v>
      </c>
      <c r="R83" t="s">
        <v>421</v>
      </c>
      <c r="S83">
        <v>0</v>
      </c>
      <c r="T83">
        <v>0.05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2.5680000000000001</v>
      </c>
      <c r="AS83" t="s">
        <v>431</v>
      </c>
      <c r="AT83">
        <v>1</v>
      </c>
      <c r="AU83">
        <v>0</v>
      </c>
      <c r="AV83" t="s">
        <v>449</v>
      </c>
      <c r="AW83">
        <v>0</v>
      </c>
      <c r="AX83">
        <v>0</v>
      </c>
      <c r="AY83">
        <v>0</v>
      </c>
      <c r="CC83">
        <v>2.6440000000000001</v>
      </c>
      <c r="CE83" t="s">
        <v>450</v>
      </c>
      <c r="CG83">
        <v>1.7406384718850201</v>
      </c>
      <c r="CH83">
        <v>1.5</v>
      </c>
      <c r="CI83">
        <v>1.62031923594251</v>
      </c>
      <c r="CJ83">
        <v>-0.3</v>
      </c>
      <c r="CK83">
        <v>1.32031923594251</v>
      </c>
      <c r="CL83">
        <v>1</v>
      </c>
      <c r="CM83">
        <v>9.9566214229157464E-3</v>
      </c>
      <c r="CN83">
        <v>0</v>
      </c>
      <c r="CO83">
        <v>10766081.2461905</v>
      </c>
      <c r="CP83">
        <f t="shared" si="6"/>
        <v>3.4969726752014465E-3</v>
      </c>
      <c r="CQ83" s="4">
        <f t="shared" si="10"/>
        <v>3.2298243738571497E-3</v>
      </c>
      <c r="CR83" s="2">
        <f t="shared" si="7"/>
        <v>6.7267970490585962E-3</v>
      </c>
      <c r="CS83" t="b">
        <f t="shared" si="8"/>
        <v>0</v>
      </c>
      <c r="CT83" s="2">
        <f t="shared" si="9"/>
        <v>-3.2298243738571502E-3</v>
      </c>
    </row>
    <row r="84" spans="1:98" x14ac:dyDescent="0.25">
      <c r="A84">
        <v>186</v>
      </c>
      <c r="B84" t="s">
        <v>174</v>
      </c>
      <c r="C84" t="s">
        <v>274</v>
      </c>
      <c r="D84" t="s">
        <v>374</v>
      </c>
      <c r="E84" t="s">
        <v>396</v>
      </c>
      <c r="F84">
        <v>248000000</v>
      </c>
      <c r="G84">
        <v>128.15</v>
      </c>
      <c r="H84" t="s">
        <v>407</v>
      </c>
      <c r="I84">
        <v>31781200000</v>
      </c>
      <c r="J84" t="s">
        <v>413</v>
      </c>
      <c r="K84">
        <v>25987102.558196701</v>
      </c>
      <c r="L84">
        <v>0.4</v>
      </c>
      <c r="M84">
        <v>45201020</v>
      </c>
      <c r="N84">
        <v>4520</v>
      </c>
      <c r="O84">
        <v>1.7450134819631999</v>
      </c>
      <c r="P84">
        <v>1.5</v>
      </c>
      <c r="Q84" t="s">
        <v>417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2.3719999999999999</v>
      </c>
      <c r="AR84">
        <v>2.4630000000000001</v>
      </c>
      <c r="AS84" t="s">
        <v>418</v>
      </c>
      <c r="AT84">
        <v>1</v>
      </c>
      <c r="AU84">
        <v>0</v>
      </c>
      <c r="AV84" t="s">
        <v>437</v>
      </c>
      <c r="AW84">
        <v>0</v>
      </c>
      <c r="AX84">
        <v>0</v>
      </c>
      <c r="AY84">
        <v>0</v>
      </c>
      <c r="CC84">
        <v>2.4175</v>
      </c>
      <c r="CE84" t="s">
        <v>450</v>
      </c>
      <c r="CG84">
        <v>1.7450134819631999</v>
      </c>
      <c r="CH84">
        <v>1.5</v>
      </c>
      <c r="CI84">
        <v>1.6225067409816001</v>
      </c>
      <c r="CJ84">
        <v>-0.24</v>
      </c>
      <c r="CK84">
        <v>1.3825067409816001</v>
      </c>
      <c r="CL84">
        <v>1</v>
      </c>
      <c r="CM84">
        <v>2.4431482559922429E-2</v>
      </c>
      <c r="CN84">
        <v>0</v>
      </c>
      <c r="CO84">
        <v>25987102.558196701</v>
      </c>
      <c r="CP84">
        <f t="shared" si="6"/>
        <v>8.8392210250044113E-3</v>
      </c>
      <c r="CQ84" s="4">
        <f t="shared" si="10"/>
        <v>7.7961307674590096E-3</v>
      </c>
      <c r="CR84" s="2">
        <f t="shared" si="7"/>
        <v>1.6635351792463421E-2</v>
      </c>
      <c r="CS84" t="b">
        <f t="shared" si="8"/>
        <v>0</v>
      </c>
      <c r="CT84" s="2">
        <f t="shared" si="9"/>
        <v>-7.7961307674590079E-3</v>
      </c>
    </row>
    <row r="85" spans="1:98" x14ac:dyDescent="0.25">
      <c r="A85">
        <v>466</v>
      </c>
      <c r="B85" t="s">
        <v>175</v>
      </c>
      <c r="C85" t="s">
        <v>275</v>
      </c>
      <c r="D85" t="s">
        <v>375</v>
      </c>
      <c r="E85" t="s">
        <v>393</v>
      </c>
      <c r="F85">
        <v>643368840</v>
      </c>
      <c r="G85">
        <v>25.860900000000001</v>
      </c>
      <c r="H85" t="s">
        <v>408</v>
      </c>
      <c r="I85">
        <v>16638097234.356001</v>
      </c>
      <c r="J85" t="s">
        <v>414</v>
      </c>
      <c r="K85">
        <v>36684374.367596902</v>
      </c>
      <c r="L85">
        <v>0.9</v>
      </c>
      <c r="M85">
        <v>45201020</v>
      </c>
      <c r="N85">
        <v>4520</v>
      </c>
      <c r="O85">
        <v>1.6524943400662999</v>
      </c>
      <c r="P85">
        <v>1.77</v>
      </c>
      <c r="Q85" t="s">
        <v>415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2.3239999999999998</v>
      </c>
      <c r="AR85">
        <v>2.919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2.6215000000000002</v>
      </c>
      <c r="CE85" t="s">
        <v>450</v>
      </c>
      <c r="CG85">
        <v>1.6524943400662999</v>
      </c>
      <c r="CH85">
        <v>1.77</v>
      </c>
      <c r="CI85">
        <v>1.71124717003315</v>
      </c>
      <c r="CJ85">
        <v>-0.3</v>
      </c>
      <c r="CK85">
        <v>1.4112471700331499</v>
      </c>
      <c r="CL85">
        <v>1</v>
      </c>
      <c r="CM85">
        <v>2.6638134560081739E-2</v>
      </c>
      <c r="CN85">
        <v>0</v>
      </c>
      <c r="CO85">
        <v>36684374.367596902</v>
      </c>
      <c r="CP85">
        <f t="shared" si="6"/>
        <v>4.6275099395235962E-3</v>
      </c>
      <c r="CQ85" s="4">
        <f t="shared" si="10"/>
        <v>1.100531231027907E-2</v>
      </c>
      <c r="CR85" s="2">
        <f t="shared" si="7"/>
        <v>1.5632822249802666E-2</v>
      </c>
      <c r="CS85" t="b">
        <f t="shared" si="8"/>
        <v>0</v>
      </c>
      <c r="CT85" s="2">
        <f t="shared" si="9"/>
        <v>-1.1005312310279073E-2</v>
      </c>
    </row>
    <row r="86" spans="1:98" x14ac:dyDescent="0.25">
      <c r="A86">
        <v>123</v>
      </c>
      <c r="B86" t="s">
        <v>176</v>
      </c>
      <c r="C86" t="s">
        <v>276</v>
      </c>
      <c r="D86" t="s">
        <v>376</v>
      </c>
      <c r="E86" t="s">
        <v>393</v>
      </c>
      <c r="F86">
        <v>1055050400</v>
      </c>
      <c r="G86">
        <v>29.5566</v>
      </c>
      <c r="H86" t="s">
        <v>408</v>
      </c>
      <c r="I86">
        <v>31183702652.639999</v>
      </c>
      <c r="J86" t="s">
        <v>414</v>
      </c>
      <c r="K86">
        <v>42342444.337286301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3.0419999999999998</v>
      </c>
      <c r="AS86" t="s">
        <v>428</v>
      </c>
      <c r="AT86">
        <v>0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2.4990000000000001</v>
      </c>
      <c r="CE86" t="s">
        <v>450</v>
      </c>
      <c r="CG86">
        <v>1.74887448110706</v>
      </c>
      <c r="CH86">
        <v>1.5</v>
      </c>
      <c r="CI86">
        <v>1.6244372405535299</v>
      </c>
      <c r="CJ86">
        <v>-0.18</v>
      </c>
      <c r="CK86">
        <v>1.44443724055353</v>
      </c>
      <c r="CL86">
        <v>1</v>
      </c>
      <c r="CM86">
        <v>3.4078507271846227E-2</v>
      </c>
      <c r="CN86">
        <v>0</v>
      </c>
      <c r="CO86">
        <v>42342444.337286301</v>
      </c>
      <c r="CP86">
        <f t="shared" si="6"/>
        <v>8.673040669474448E-3</v>
      </c>
      <c r="CQ86" s="4">
        <f t="shared" si="10"/>
        <v>1.270273330118589E-2</v>
      </c>
      <c r="CR86" s="2">
        <f t="shared" si="7"/>
        <v>2.1375773970660338E-2</v>
      </c>
      <c r="CS86" t="b">
        <f t="shared" si="8"/>
        <v>0</v>
      </c>
      <c r="CT86" s="2">
        <f t="shared" si="9"/>
        <v>-1.270273330118589E-2</v>
      </c>
    </row>
    <row r="87" spans="1:98" x14ac:dyDescent="0.25">
      <c r="A87">
        <v>1218</v>
      </c>
      <c r="B87" t="s">
        <v>177</v>
      </c>
      <c r="C87" t="s">
        <v>277</v>
      </c>
      <c r="D87" t="s">
        <v>377</v>
      </c>
      <c r="E87" t="s">
        <v>404</v>
      </c>
      <c r="F87">
        <v>160479300</v>
      </c>
      <c r="G87">
        <v>252.84970000000001</v>
      </c>
      <c r="H87" t="s">
        <v>412</v>
      </c>
      <c r="I87">
        <v>40577142861.209999</v>
      </c>
      <c r="J87" t="s">
        <v>414</v>
      </c>
      <c r="K87">
        <v>92114432.940758303</v>
      </c>
      <c r="L87">
        <v>1</v>
      </c>
      <c r="M87">
        <v>50101035</v>
      </c>
      <c r="N87">
        <v>5010</v>
      </c>
      <c r="O87">
        <v>1.74390558393971</v>
      </c>
      <c r="Q87" t="s">
        <v>418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2.6779999999999999</v>
      </c>
      <c r="AR87">
        <v>2.95</v>
      </c>
      <c r="AS87" t="s">
        <v>418</v>
      </c>
      <c r="AT87">
        <v>1</v>
      </c>
      <c r="AU87">
        <v>0</v>
      </c>
      <c r="AV87" t="s">
        <v>446</v>
      </c>
      <c r="AW87">
        <v>0</v>
      </c>
      <c r="AX87">
        <v>0</v>
      </c>
      <c r="AY87">
        <v>0</v>
      </c>
      <c r="CC87">
        <v>2.8140000000000001</v>
      </c>
      <c r="CE87" t="s">
        <v>450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</v>
      </c>
      <c r="CM87">
        <v>6.6554273092882324E-2</v>
      </c>
      <c r="CN87">
        <v>0</v>
      </c>
      <c r="CO87">
        <v>92114432.940758303</v>
      </c>
      <c r="CP87">
        <f t="shared" si="6"/>
        <v>1.1285613328427344E-2</v>
      </c>
      <c r="CQ87" s="4">
        <f t="shared" si="10"/>
        <v>2.7634329882227492E-2</v>
      </c>
      <c r="CR87" s="2">
        <f t="shared" si="7"/>
        <v>3.8919943210654839E-2</v>
      </c>
      <c r="CS87" t="b">
        <f t="shared" si="8"/>
        <v>0</v>
      </c>
      <c r="CT87" s="2">
        <f t="shared" si="9"/>
        <v>-2.7634329882227485E-2</v>
      </c>
    </row>
    <row r="88" spans="1:98" x14ac:dyDescent="0.25">
      <c r="A88">
        <v>895</v>
      </c>
      <c r="B88" t="s">
        <v>178</v>
      </c>
      <c r="C88" t="s">
        <v>278</v>
      </c>
      <c r="D88" t="s">
        <v>378</v>
      </c>
      <c r="E88" t="s">
        <v>400</v>
      </c>
      <c r="F88">
        <v>441412540</v>
      </c>
      <c r="G88">
        <v>14.978809999999999</v>
      </c>
      <c r="H88" t="s">
        <v>410</v>
      </c>
      <c r="I88">
        <v>6611834568.2774</v>
      </c>
      <c r="J88" t="s">
        <v>414</v>
      </c>
      <c r="K88">
        <v>15552731.930010101</v>
      </c>
      <c r="L88">
        <v>1</v>
      </c>
      <c r="M88">
        <v>50203030</v>
      </c>
      <c r="N88">
        <v>5020</v>
      </c>
      <c r="O88">
        <v>1.6338401605731001</v>
      </c>
      <c r="P88">
        <v>1.5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2.3959999999999999</v>
      </c>
      <c r="AR88">
        <v>3.2839999999999998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450</v>
      </c>
      <c r="CG88">
        <v>1.6338401605731001</v>
      </c>
      <c r="CH88">
        <v>1.5</v>
      </c>
      <c r="CI88">
        <v>1.5669200802865499</v>
      </c>
      <c r="CJ88">
        <v>-0.3</v>
      </c>
      <c r="CK88">
        <v>1.2669200802865499</v>
      </c>
      <c r="CL88">
        <v>1</v>
      </c>
      <c r="CM88">
        <v>1.117057120367358E-2</v>
      </c>
      <c r="CN88">
        <v>0</v>
      </c>
      <c r="CO88">
        <v>15552731.930010101</v>
      </c>
      <c r="CP88">
        <f t="shared" si="6"/>
        <v>1.8389320456675192E-3</v>
      </c>
      <c r="CQ88" s="4">
        <f t="shared" si="10"/>
        <v>4.6658195790030303E-3</v>
      </c>
      <c r="CR88" s="2">
        <f t="shared" si="7"/>
        <v>6.5047516246705493E-3</v>
      </c>
      <c r="CS88" t="b">
        <f t="shared" si="8"/>
        <v>0</v>
      </c>
      <c r="CT88" s="2">
        <f t="shared" si="9"/>
        <v>-4.6658195790030312E-3</v>
      </c>
    </row>
    <row r="89" spans="1:98" x14ac:dyDescent="0.25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407</v>
      </c>
      <c r="I89">
        <v>28925704349.900002</v>
      </c>
      <c r="J89" t="s">
        <v>413</v>
      </c>
      <c r="K89">
        <v>56619307.900158703</v>
      </c>
      <c r="L89">
        <v>1</v>
      </c>
      <c r="M89">
        <v>50202010</v>
      </c>
      <c r="N89">
        <v>5020</v>
      </c>
      <c r="O89">
        <v>1.7418068415287999</v>
      </c>
      <c r="P89">
        <v>1.5</v>
      </c>
      <c r="Q89" t="s">
        <v>415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2.5249999999999999</v>
      </c>
      <c r="AR89">
        <v>3.0049999999999999</v>
      </c>
      <c r="AS89" t="s">
        <v>418</v>
      </c>
      <c r="AT89">
        <v>1</v>
      </c>
      <c r="AU89">
        <v>0</v>
      </c>
      <c r="AV89" t="s">
        <v>433</v>
      </c>
      <c r="AW89">
        <v>0</v>
      </c>
      <c r="AX89">
        <v>0</v>
      </c>
      <c r="AY89">
        <v>0</v>
      </c>
      <c r="CC89">
        <v>2.7650000000000001</v>
      </c>
      <c r="CE89" t="s">
        <v>450</v>
      </c>
      <c r="CG89">
        <v>1.7418068415287999</v>
      </c>
      <c r="CH89">
        <v>1.5</v>
      </c>
      <c r="CI89">
        <v>1.6209034207644</v>
      </c>
      <c r="CJ89">
        <v>-0.3</v>
      </c>
      <c r="CK89">
        <v>1.3209034207643999</v>
      </c>
      <c r="CL89">
        <v>1</v>
      </c>
      <c r="CM89">
        <v>4.2016614318987698E-2</v>
      </c>
      <c r="CN89">
        <v>0</v>
      </c>
      <c r="CO89">
        <v>56619307.900158703</v>
      </c>
      <c r="CP89">
        <f t="shared" si="6"/>
        <v>8.0450295788924795E-3</v>
      </c>
      <c r="CQ89" s="4">
        <f t="shared" si="10"/>
        <v>1.698579237004761E-2</v>
      </c>
      <c r="CR89" s="2">
        <f t="shared" si="7"/>
        <v>2.5030821948940088E-2</v>
      </c>
      <c r="CS89" t="b">
        <f t="shared" si="8"/>
        <v>0</v>
      </c>
      <c r="CT89" s="2">
        <f t="shared" si="9"/>
        <v>-1.698579237004761E-2</v>
      </c>
    </row>
    <row r="90" spans="1:98" x14ac:dyDescent="0.25">
      <c r="A90">
        <v>480</v>
      </c>
      <c r="B90" t="s">
        <v>180</v>
      </c>
      <c r="C90" t="s">
        <v>280</v>
      </c>
      <c r="D90" t="s">
        <v>380</v>
      </c>
      <c r="E90" t="s">
        <v>400</v>
      </c>
      <c r="F90">
        <v>919566160</v>
      </c>
      <c r="G90">
        <v>46.387149999999998</v>
      </c>
      <c r="H90" t="s">
        <v>410</v>
      </c>
      <c r="I90">
        <v>42656053398.844002</v>
      </c>
      <c r="J90" t="s">
        <v>414</v>
      </c>
      <c r="K90">
        <v>53659580.624927901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417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2.4129999999999998</v>
      </c>
      <c r="AR90">
        <v>3.26</v>
      </c>
      <c r="AS90" t="s">
        <v>425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450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</v>
      </c>
      <c r="CM90">
        <v>4.4059563587937139E-2</v>
      </c>
      <c r="CN90">
        <v>0</v>
      </c>
      <c r="CO90">
        <v>53659580.624927901</v>
      </c>
      <c r="CP90">
        <f t="shared" si="6"/>
        <v>1.1863815212980404E-2</v>
      </c>
      <c r="CQ90" s="4">
        <f t="shared" si="10"/>
        <v>1.6097874187478368E-2</v>
      </c>
      <c r="CR90" s="2">
        <f t="shared" si="7"/>
        <v>2.7961689400458772E-2</v>
      </c>
      <c r="CS90" t="b">
        <f t="shared" si="8"/>
        <v>0</v>
      </c>
      <c r="CT90" s="2">
        <f t="shared" si="9"/>
        <v>-1.6097874187478368E-2</v>
      </c>
    </row>
    <row r="91" spans="1:98" x14ac:dyDescent="0.25">
      <c r="A91">
        <v>624</v>
      </c>
      <c r="B91" t="s">
        <v>181</v>
      </c>
      <c r="C91" t="s">
        <v>281</v>
      </c>
      <c r="D91" t="s">
        <v>381</v>
      </c>
      <c r="E91" t="s">
        <v>397</v>
      </c>
      <c r="F91">
        <v>107760380</v>
      </c>
      <c r="G91">
        <v>37.44</v>
      </c>
      <c r="H91" t="s">
        <v>407</v>
      </c>
      <c r="I91">
        <v>4034548627.1999998</v>
      </c>
      <c r="J91" t="s">
        <v>413</v>
      </c>
      <c r="K91">
        <v>5079226.97288136</v>
      </c>
      <c r="L91">
        <v>0.9</v>
      </c>
      <c r="M91">
        <v>50203030</v>
      </c>
      <c r="N91">
        <v>5020</v>
      </c>
      <c r="O91">
        <v>1.9600431112566099</v>
      </c>
      <c r="P91">
        <v>1.77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2.7010000000000001</v>
      </c>
      <c r="AR91">
        <v>2.9630000000000001</v>
      </c>
      <c r="AS91" t="s">
        <v>418</v>
      </c>
      <c r="AT91">
        <v>1</v>
      </c>
      <c r="AU91">
        <v>0</v>
      </c>
      <c r="AV91" t="s">
        <v>438</v>
      </c>
      <c r="AW91">
        <v>0</v>
      </c>
      <c r="AX91">
        <v>0</v>
      </c>
      <c r="AY91">
        <v>0</v>
      </c>
      <c r="CC91">
        <v>2.8319999999999999</v>
      </c>
      <c r="CE91" t="s">
        <v>450</v>
      </c>
      <c r="CG91">
        <v>1.9600431112566099</v>
      </c>
      <c r="CH91">
        <v>1.77</v>
      </c>
      <c r="CI91">
        <v>1.865021555628305</v>
      </c>
      <c r="CJ91">
        <v>-0.24</v>
      </c>
      <c r="CK91">
        <v>1.625021555628305</v>
      </c>
      <c r="CL91">
        <v>1</v>
      </c>
      <c r="CM91">
        <v>4.1696545131798416E-3</v>
      </c>
      <c r="CN91">
        <v>0</v>
      </c>
      <c r="CO91">
        <v>5079226.97288136</v>
      </c>
      <c r="CP91">
        <f t="shared" si="6"/>
        <v>1.1221183294510253E-3</v>
      </c>
      <c r="CQ91" s="4">
        <f t="shared" si="10"/>
        <v>1.523768091864408E-3</v>
      </c>
      <c r="CR91" s="2">
        <f t="shared" si="7"/>
        <v>2.6458864213154331E-3</v>
      </c>
      <c r="CS91" t="b">
        <f t="shared" si="8"/>
        <v>0</v>
      </c>
      <c r="CT91" s="2">
        <f t="shared" si="9"/>
        <v>-1.5237680918644084E-3</v>
      </c>
    </row>
    <row r="92" spans="1:98" x14ac:dyDescent="0.25">
      <c r="A92">
        <v>762</v>
      </c>
      <c r="B92" t="s">
        <v>182</v>
      </c>
      <c r="C92" t="s">
        <v>282</v>
      </c>
      <c r="D92" t="s">
        <v>382</v>
      </c>
      <c r="E92" t="s">
        <v>397</v>
      </c>
      <c r="F92">
        <v>453187130</v>
      </c>
      <c r="G92">
        <v>55.22</v>
      </c>
      <c r="H92" t="s">
        <v>407</v>
      </c>
      <c r="I92">
        <v>25024993318.599998</v>
      </c>
      <c r="J92" t="s">
        <v>413</v>
      </c>
      <c r="K92">
        <v>26322525.057796601</v>
      </c>
      <c r="L92">
        <v>0.85</v>
      </c>
      <c r="M92">
        <v>50204000</v>
      </c>
      <c r="N92">
        <v>5020</v>
      </c>
      <c r="O92">
        <v>1.9953067049789499</v>
      </c>
      <c r="P92">
        <v>2.08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2.8839999999999999</v>
      </c>
      <c r="AS92" t="s">
        <v>418</v>
      </c>
      <c r="AT92">
        <v>1</v>
      </c>
      <c r="AU92">
        <v>0</v>
      </c>
      <c r="AV92" t="s">
        <v>438</v>
      </c>
      <c r="AW92">
        <v>0</v>
      </c>
      <c r="AX92">
        <v>0</v>
      </c>
      <c r="AY92">
        <v>0</v>
      </c>
      <c r="CC92">
        <v>2.742</v>
      </c>
      <c r="CE92" t="s">
        <v>450</v>
      </c>
      <c r="CG92">
        <v>1.9953067049789499</v>
      </c>
      <c r="CH92">
        <v>2.08</v>
      </c>
      <c r="CI92">
        <v>2.0376533524894751</v>
      </c>
      <c r="CJ92">
        <v>-0.3</v>
      </c>
      <c r="CK92">
        <v>1.7376533524894751</v>
      </c>
      <c r="CL92">
        <v>0</v>
      </c>
      <c r="CM92">
        <v>2.2753650180373029E-2</v>
      </c>
      <c r="CN92">
        <v>0</v>
      </c>
      <c r="CO92">
        <v>26322525.057796601</v>
      </c>
      <c r="CP92">
        <f t="shared" si="6"/>
        <v>6.9601351456950664E-3</v>
      </c>
      <c r="CQ92" s="4">
        <f t="shared" si="10"/>
        <v>7.8967575173389797E-3</v>
      </c>
      <c r="CR92" s="2">
        <f t="shared" si="7"/>
        <v>1.4856892663034046E-2</v>
      </c>
      <c r="CS92" t="b">
        <f t="shared" si="8"/>
        <v>0</v>
      </c>
      <c r="CT92" s="2">
        <f t="shared" si="9"/>
        <v>-7.8967575173389832E-3</v>
      </c>
    </row>
    <row r="93" spans="1:98" x14ac:dyDescent="0.25">
      <c r="A93">
        <v>1108</v>
      </c>
      <c r="B93" t="s">
        <v>183</v>
      </c>
      <c r="C93" t="s">
        <v>283</v>
      </c>
      <c r="D93" t="s">
        <v>383</v>
      </c>
      <c r="E93" t="s">
        <v>392</v>
      </c>
      <c r="F93">
        <v>298233069</v>
      </c>
      <c r="G93">
        <v>26.56</v>
      </c>
      <c r="H93" t="s">
        <v>407</v>
      </c>
      <c r="I93">
        <v>7921070312.6399994</v>
      </c>
      <c r="J93" t="s">
        <v>413</v>
      </c>
      <c r="K93">
        <v>13654330.0976191</v>
      </c>
      <c r="L93">
        <v>0.70000000000000007</v>
      </c>
      <c r="M93">
        <v>50202010</v>
      </c>
      <c r="N93">
        <v>5020</v>
      </c>
      <c r="O93">
        <v>1.7493489955167301</v>
      </c>
      <c r="P93">
        <v>2.39</v>
      </c>
      <c r="Q93" t="s">
        <v>415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2.1520000000000001</v>
      </c>
      <c r="AR93">
        <v>3.1819999999999999</v>
      </c>
      <c r="AS93" t="s">
        <v>431</v>
      </c>
      <c r="AT93">
        <v>1</v>
      </c>
      <c r="AU93">
        <v>0</v>
      </c>
      <c r="AV93" t="s">
        <v>433</v>
      </c>
      <c r="AW93">
        <v>0</v>
      </c>
      <c r="AX93">
        <v>0</v>
      </c>
      <c r="AY93">
        <v>0</v>
      </c>
      <c r="CC93">
        <v>2.6669999999999998</v>
      </c>
      <c r="CE93" t="s">
        <v>450</v>
      </c>
      <c r="CG93">
        <v>1.7493489955167301</v>
      </c>
      <c r="CH93">
        <v>2.39</v>
      </c>
      <c r="CI93">
        <v>2.0696744977583652</v>
      </c>
      <c r="CJ93">
        <v>-0.3</v>
      </c>
      <c r="CK93">
        <v>1.7696744977583649</v>
      </c>
      <c r="CL93">
        <v>0</v>
      </c>
      <c r="CM93">
        <v>1.0395664376017799E-2</v>
      </c>
      <c r="CN93">
        <v>0</v>
      </c>
      <c r="CO93">
        <v>13654330.0976191</v>
      </c>
      <c r="CP93">
        <f t="shared" si="6"/>
        <v>2.203066317446344E-3</v>
      </c>
      <c r="CQ93" s="4">
        <f t="shared" si="10"/>
        <v>4.0962990292857295E-3</v>
      </c>
      <c r="CR93" s="2">
        <f t="shared" si="7"/>
        <v>6.2993653467320731E-3</v>
      </c>
      <c r="CS93" t="b">
        <f t="shared" si="8"/>
        <v>0</v>
      </c>
      <c r="CT93" s="2">
        <f t="shared" si="9"/>
        <v>-4.096299029285726E-3</v>
      </c>
    </row>
    <row r="94" spans="1:98" x14ac:dyDescent="0.25">
      <c r="A94">
        <v>436</v>
      </c>
      <c r="B94" t="s">
        <v>184</v>
      </c>
      <c r="C94" t="s">
        <v>284</v>
      </c>
      <c r="D94" t="s">
        <v>384</v>
      </c>
      <c r="E94" t="s">
        <v>392</v>
      </c>
      <c r="F94">
        <v>236664445</v>
      </c>
      <c r="G94">
        <v>19.149999999999999</v>
      </c>
      <c r="H94" t="s">
        <v>407</v>
      </c>
      <c r="I94">
        <v>4532124121.75</v>
      </c>
      <c r="J94" t="s">
        <v>413</v>
      </c>
      <c r="K94">
        <v>6519939.4418254001</v>
      </c>
      <c r="L94">
        <v>0.70000000000000007</v>
      </c>
      <c r="M94">
        <v>50205010</v>
      </c>
      <c r="N94">
        <v>5020</v>
      </c>
      <c r="O94">
        <v>1.8621326355854599</v>
      </c>
      <c r="P94">
        <v>2.39</v>
      </c>
      <c r="Q94" t="s">
        <v>415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2.2839999999999998</v>
      </c>
      <c r="AR94">
        <v>2.8149999999999999</v>
      </c>
      <c r="AS94" t="s">
        <v>428</v>
      </c>
      <c r="AT94">
        <v>0</v>
      </c>
      <c r="AU94">
        <v>0</v>
      </c>
      <c r="AV94" t="s">
        <v>433</v>
      </c>
      <c r="AW94">
        <v>0</v>
      </c>
      <c r="AX94">
        <v>0</v>
      </c>
      <c r="AY94">
        <v>0</v>
      </c>
      <c r="CC94">
        <v>2.5495000000000001</v>
      </c>
      <c r="CE94" t="s">
        <v>450</v>
      </c>
      <c r="CG94">
        <v>1.8621326355854599</v>
      </c>
      <c r="CH94">
        <v>2.39</v>
      </c>
      <c r="CI94">
        <v>2.1260663177927301</v>
      </c>
      <c r="CJ94">
        <v>-0.3</v>
      </c>
      <c r="CK94">
        <v>1.8260663177927301</v>
      </c>
      <c r="CL94">
        <v>0</v>
      </c>
      <c r="CM94">
        <v>5.1724713496666928E-3</v>
      </c>
      <c r="CN94">
        <v>0</v>
      </c>
      <c r="CO94">
        <v>6519939.4418254001</v>
      </c>
      <c r="CP94">
        <f t="shared" si="6"/>
        <v>1.2605076845714528E-3</v>
      </c>
      <c r="CQ94" s="4">
        <f t="shared" si="10"/>
        <v>1.9559818325476201E-3</v>
      </c>
      <c r="CR94" s="2">
        <f t="shared" si="7"/>
        <v>3.2164895171190727E-3</v>
      </c>
      <c r="CS94" t="b">
        <f t="shared" si="8"/>
        <v>0</v>
      </c>
      <c r="CT94" s="2">
        <f t="shared" si="9"/>
        <v>-1.9559818325476201E-3</v>
      </c>
    </row>
    <row r="95" spans="1:98" x14ac:dyDescent="0.25">
      <c r="A95">
        <v>228</v>
      </c>
      <c r="B95" t="s">
        <v>185</v>
      </c>
      <c r="C95" t="s">
        <v>285</v>
      </c>
      <c r="D95" t="s">
        <v>385</v>
      </c>
      <c r="E95" t="s">
        <v>400</v>
      </c>
      <c r="F95">
        <v>329765630</v>
      </c>
      <c r="G95">
        <v>40.693019999999997</v>
      </c>
      <c r="H95" t="s">
        <v>410</v>
      </c>
      <c r="I95">
        <v>13419159376.902599</v>
      </c>
      <c r="J95" t="s">
        <v>414</v>
      </c>
      <c r="K95">
        <v>20420662.454890098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2.0009999999999999</v>
      </c>
      <c r="AR95">
        <v>2.996</v>
      </c>
      <c r="AS95" t="s">
        <v>431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2.4984999999999999</v>
      </c>
      <c r="CE95" t="s">
        <v>450</v>
      </c>
      <c r="CG95">
        <v>1.74632403309423</v>
      </c>
      <c r="CH95">
        <v>2.39</v>
      </c>
      <c r="CI95">
        <v>2.0681620165471148</v>
      </c>
      <c r="CJ95">
        <v>-0.18</v>
      </c>
      <c r="CK95">
        <v>1.8881620165471149</v>
      </c>
      <c r="CL95">
        <v>0</v>
      </c>
      <c r="CM95">
        <v>1.5984632747316482E-2</v>
      </c>
      <c r="CN95">
        <v>0</v>
      </c>
      <c r="CO95">
        <v>20420662.454890098</v>
      </c>
      <c r="CP95">
        <f t="shared" si="6"/>
        <v>3.7322352743824195E-3</v>
      </c>
      <c r="CQ95" s="4">
        <f t="shared" si="10"/>
        <v>6.1261987364670291E-3</v>
      </c>
      <c r="CR95" s="2">
        <f t="shared" si="7"/>
        <v>9.8584340108494491E-3</v>
      </c>
      <c r="CS95" t="b">
        <f t="shared" si="8"/>
        <v>0</v>
      </c>
      <c r="CT95" s="2">
        <f t="shared" si="9"/>
        <v>-6.1261987364670326E-3</v>
      </c>
    </row>
    <row r="96" spans="1:98" x14ac:dyDescent="0.25">
      <c r="A96">
        <v>679</v>
      </c>
      <c r="B96" t="s">
        <v>186</v>
      </c>
      <c r="C96" t="s">
        <v>286</v>
      </c>
      <c r="D96" t="s">
        <v>386</v>
      </c>
      <c r="E96" t="s">
        <v>402</v>
      </c>
      <c r="F96">
        <v>185668230</v>
      </c>
      <c r="G96">
        <v>22.72052</v>
      </c>
      <c r="H96" t="s">
        <v>411</v>
      </c>
      <c r="I96">
        <v>4218478733.0795999</v>
      </c>
      <c r="J96" t="s">
        <v>414</v>
      </c>
      <c r="K96">
        <v>10254797.4187051</v>
      </c>
      <c r="L96">
        <v>0.75</v>
      </c>
      <c r="M96">
        <v>50205040</v>
      </c>
      <c r="N96">
        <v>5020</v>
      </c>
      <c r="O96">
        <v>1.9739305453825799</v>
      </c>
      <c r="P96">
        <v>1.5</v>
      </c>
      <c r="Q96" t="s">
        <v>420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2.1389999999999998</v>
      </c>
      <c r="AR96">
        <v>3.25</v>
      </c>
      <c r="AS96" t="s">
        <v>428</v>
      </c>
      <c r="AT96">
        <v>0</v>
      </c>
      <c r="AU96">
        <v>0</v>
      </c>
      <c r="AV96" t="s">
        <v>443</v>
      </c>
      <c r="AW96">
        <v>0</v>
      </c>
      <c r="AX96">
        <v>0</v>
      </c>
      <c r="AY96">
        <v>0</v>
      </c>
      <c r="CC96">
        <v>2.6945000000000001</v>
      </c>
      <c r="CE96" t="s">
        <v>450</v>
      </c>
      <c r="CG96">
        <v>1.9739305453825799</v>
      </c>
      <c r="CH96">
        <v>1.5</v>
      </c>
      <c r="CI96">
        <v>1.7369652726912901</v>
      </c>
      <c r="CJ96">
        <v>0.3</v>
      </c>
      <c r="CK96">
        <v>2.0369652726912899</v>
      </c>
      <c r="CL96">
        <v>1</v>
      </c>
      <c r="CM96">
        <v>7.3261527741237424E-3</v>
      </c>
      <c r="CN96">
        <v>0</v>
      </c>
      <c r="CO96">
        <v>10254797.4187051</v>
      </c>
      <c r="CP96">
        <f t="shared" si="6"/>
        <v>1.1732743229006825E-3</v>
      </c>
      <c r="CQ96" s="4">
        <f t="shared" si="10"/>
        <v>3.0764392256115297E-3</v>
      </c>
      <c r="CR96" s="2">
        <f t="shared" si="7"/>
        <v>4.2497135485122118E-3</v>
      </c>
      <c r="CS96" t="b">
        <f t="shared" si="8"/>
        <v>0</v>
      </c>
      <c r="CT96" s="2">
        <f t="shared" si="9"/>
        <v>-3.0764392256115306E-3</v>
      </c>
    </row>
    <row r="97" spans="1:98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2.8610000000000002</v>
      </c>
      <c r="CE97" t="s">
        <v>450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1.330346137047185E-2</v>
      </c>
      <c r="CN97">
        <v>0</v>
      </c>
      <c r="CO97">
        <v>19128821.576101702</v>
      </c>
      <c r="CP97">
        <f t="shared" si="6"/>
        <v>1.8261684248108241E-3</v>
      </c>
      <c r="CQ97" s="4">
        <f t="shared" si="10"/>
        <v>5.7386464728305109E-3</v>
      </c>
      <c r="CR97" s="2">
        <f t="shared" si="7"/>
        <v>7.564814897641335E-3</v>
      </c>
      <c r="CS97" t="b">
        <f t="shared" si="8"/>
        <v>0</v>
      </c>
      <c r="CT97" s="2">
        <f t="shared" si="9"/>
        <v>-5.7386464728305152E-3</v>
      </c>
    </row>
    <row r="98" spans="1:98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434</v>
      </c>
      <c r="AW98">
        <v>0</v>
      </c>
      <c r="AX98">
        <v>0</v>
      </c>
      <c r="AY98">
        <v>0</v>
      </c>
      <c r="CC98">
        <v>2.6435</v>
      </c>
      <c r="CE98" t="s">
        <v>450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1.3502743238315081E-2</v>
      </c>
      <c r="CN98">
        <v>0</v>
      </c>
      <c r="CO98">
        <v>18512719.7292796</v>
      </c>
      <c r="CP98">
        <f t="shared" si="6"/>
        <v>2.3951114007473243E-3</v>
      </c>
      <c r="CQ98" s="4">
        <f t="shared" si="10"/>
        <v>5.5538159187838798E-3</v>
      </c>
      <c r="CR98" s="2">
        <f t="shared" si="7"/>
        <v>7.948927319531205E-3</v>
      </c>
      <c r="CS98" t="b">
        <f t="shared" si="8"/>
        <v>0</v>
      </c>
      <c r="CT98" s="2">
        <f t="shared" si="9"/>
        <v>-5.5538159187838755E-3</v>
      </c>
    </row>
    <row r="99" spans="1:98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446</v>
      </c>
      <c r="AW99">
        <v>0</v>
      </c>
      <c r="AX99">
        <v>0</v>
      </c>
      <c r="AY99">
        <v>0</v>
      </c>
      <c r="CC99">
        <v>2.4805000000000001</v>
      </c>
      <c r="CE99" t="s">
        <v>450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5.4733517271602042E-2</v>
      </c>
      <c r="CN99">
        <v>0</v>
      </c>
      <c r="CO99">
        <v>73350479.450200602</v>
      </c>
      <c r="CP99">
        <f t="shared" si="6"/>
        <v>1.0723229601481681E-2</v>
      </c>
      <c r="CQ99" s="4">
        <f t="shared" si="10"/>
        <v>2.2005143835060179E-2</v>
      </c>
      <c r="CR99" s="2">
        <f t="shared" si="7"/>
        <v>3.2728373436541863E-2</v>
      </c>
      <c r="CS99" t="b">
        <f t="shared" si="8"/>
        <v>0</v>
      </c>
      <c r="CT99" s="2">
        <f t="shared" si="9"/>
        <v>-2.2005143835060179E-2</v>
      </c>
    </row>
    <row r="100" spans="1:98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437</v>
      </c>
      <c r="AW100">
        <v>0</v>
      </c>
      <c r="AX100">
        <v>0</v>
      </c>
      <c r="AY100">
        <v>0</v>
      </c>
      <c r="CC100">
        <v>2.8235000000000001</v>
      </c>
      <c r="CE100" t="s">
        <v>450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2.093973324085107E-2</v>
      </c>
      <c r="CN100">
        <v>0</v>
      </c>
      <c r="CO100">
        <v>28548769.3108197</v>
      </c>
      <c r="CP100">
        <f t="shared" si="6"/>
        <v>3.8104716543592505E-3</v>
      </c>
      <c r="CQ100" s="4">
        <f t="shared" si="10"/>
        <v>8.5646307932459101E-3</v>
      </c>
      <c r="CR100" s="2">
        <f t="shared" si="7"/>
        <v>1.237510244760516E-2</v>
      </c>
      <c r="CS100" t="b">
        <f t="shared" si="8"/>
        <v>0</v>
      </c>
      <c r="CT100" s="2">
        <f t="shared" si="9"/>
        <v>-8.5646307932459101E-3</v>
      </c>
    </row>
    <row r="101" spans="1:98" x14ac:dyDescent="0.25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427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2.6760000000000002</v>
      </c>
      <c r="CE101" t="s">
        <v>450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1.1552312171307059E-2</v>
      </c>
      <c r="CN101">
        <v>0</v>
      </c>
      <c r="CO101">
        <v>15580051.4032885</v>
      </c>
      <c r="CP101">
        <f t="shared" si="6"/>
        <v>2.2042813293339596E-3</v>
      </c>
      <c r="CQ101" s="4">
        <f t="shared" si="10"/>
        <v>4.6740154209865496E-3</v>
      </c>
      <c r="CR101" s="2">
        <f t="shared" si="7"/>
        <v>6.8782967503205096E-3</v>
      </c>
      <c r="CS101" t="b">
        <f t="shared" si="8"/>
        <v>0</v>
      </c>
      <c r="CT101" s="2">
        <f t="shared" si="9"/>
        <v>-4.6740154209865496E-3</v>
      </c>
    </row>
  </sheetData>
  <autoFilter ref="A1:CT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tabSelected="1" topLeftCell="BH79" workbookViewId="0">
      <selection activeCell="CC110" sqref="CC110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451</v>
      </c>
      <c r="C2" t="s">
        <v>850</v>
      </c>
      <c r="D2" t="s">
        <v>1249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C2">
        <v>0.05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430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452</v>
      </c>
      <c r="C3" t="s">
        <v>851</v>
      </c>
      <c r="D3" t="s">
        <v>1250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423</v>
      </c>
      <c r="AI3" t="s">
        <v>423</v>
      </c>
      <c r="AJ3" t="s">
        <v>423</v>
      </c>
      <c r="AK3" t="s">
        <v>1654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453</v>
      </c>
      <c r="C4" t="s">
        <v>852</v>
      </c>
      <c r="D4" t="s">
        <v>1251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434</v>
      </c>
      <c r="AW4">
        <v>0</v>
      </c>
      <c r="AX4">
        <v>0</v>
      </c>
      <c r="AY4">
        <v>0</v>
      </c>
      <c r="CC4">
        <v>2.7869999999999999</v>
      </c>
      <c r="CE4" t="s">
        <v>450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454</v>
      </c>
      <c r="C5" t="s">
        <v>853</v>
      </c>
      <c r="D5" t="s">
        <v>1252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0.1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L5" t="s">
        <v>1652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445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455</v>
      </c>
      <c r="C6" t="s">
        <v>854</v>
      </c>
      <c r="D6" t="s">
        <v>1253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Q6" t="s">
        <v>420</v>
      </c>
      <c r="R6" t="s">
        <v>422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447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 x14ac:dyDescent="0.25">
      <c r="A7">
        <v>10</v>
      </c>
      <c r="B7" t="s">
        <v>456</v>
      </c>
      <c r="C7" t="s">
        <v>855</v>
      </c>
      <c r="D7" t="s">
        <v>1254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Q7" t="s">
        <v>423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424</v>
      </c>
      <c r="AT7">
        <v>1</v>
      </c>
      <c r="AU7">
        <v>0</v>
      </c>
      <c r="AV7" t="s">
        <v>434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 x14ac:dyDescent="0.25">
      <c r="A8">
        <v>11</v>
      </c>
      <c r="B8" t="s">
        <v>457</v>
      </c>
      <c r="C8" t="s">
        <v>856</v>
      </c>
      <c r="D8" t="s">
        <v>1255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422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0.01</v>
      </c>
      <c r="AC8">
        <v>0.15</v>
      </c>
      <c r="AD8">
        <v>0</v>
      </c>
      <c r="AF8">
        <v>0</v>
      </c>
      <c r="AG8" t="s">
        <v>1654</v>
      </c>
      <c r="AI8" t="s">
        <v>423</v>
      </c>
      <c r="AJ8" t="s">
        <v>423</v>
      </c>
      <c r="AK8" t="s">
        <v>423</v>
      </c>
      <c r="AL8" t="s">
        <v>1652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446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458</v>
      </c>
      <c r="C9" t="s">
        <v>857</v>
      </c>
      <c r="D9" t="s">
        <v>1256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430</v>
      </c>
      <c r="AT9">
        <v>0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2.5865</v>
      </c>
      <c r="CE9" t="s">
        <v>450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459</v>
      </c>
      <c r="C10" t="s">
        <v>858</v>
      </c>
      <c r="D10" t="s">
        <v>1257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430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450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460</v>
      </c>
      <c r="C11" t="s">
        <v>859</v>
      </c>
      <c r="D11" t="s">
        <v>1258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423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0.43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446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461</v>
      </c>
      <c r="C12" t="s">
        <v>860</v>
      </c>
      <c r="D12" t="s">
        <v>1259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421</v>
      </c>
      <c r="S12">
        <v>0</v>
      </c>
      <c r="T12">
        <v>0.01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432</v>
      </c>
      <c r="AT12">
        <v>0</v>
      </c>
      <c r="AU12">
        <v>0</v>
      </c>
      <c r="AV12" t="s">
        <v>433</v>
      </c>
      <c r="AW12">
        <v>0</v>
      </c>
      <c r="AX12">
        <v>0</v>
      </c>
      <c r="AY12">
        <v>0</v>
      </c>
      <c r="CC12">
        <v>2.8855</v>
      </c>
      <c r="CE12" t="s">
        <v>450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462</v>
      </c>
      <c r="C13" t="s">
        <v>861</v>
      </c>
      <c r="D13" t="s">
        <v>1260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0.5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423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463</v>
      </c>
      <c r="C14" t="s">
        <v>862</v>
      </c>
      <c r="D14" t="s">
        <v>1261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422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C14">
        <v>0.05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L14" t="s">
        <v>1652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423</v>
      </c>
      <c r="AT14">
        <v>1</v>
      </c>
      <c r="AU14">
        <v>0</v>
      </c>
      <c r="AV14" t="s">
        <v>440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464</v>
      </c>
      <c r="C15" t="s">
        <v>863</v>
      </c>
      <c r="D15" t="s">
        <v>1262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431</v>
      </c>
      <c r="AT15">
        <v>1</v>
      </c>
      <c r="AU15">
        <v>0</v>
      </c>
      <c r="AV15" t="s">
        <v>434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465</v>
      </c>
      <c r="C16" t="s">
        <v>864</v>
      </c>
      <c r="D16" t="s">
        <v>1263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1650</v>
      </c>
      <c r="Y16" t="s">
        <v>421</v>
      </c>
      <c r="Z16" t="s">
        <v>421</v>
      </c>
      <c r="AA16" t="s">
        <v>421</v>
      </c>
      <c r="AB16">
        <v>0</v>
      </c>
      <c r="AC16">
        <v>0.01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L16" t="s">
        <v>1652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446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466</v>
      </c>
      <c r="C17" t="s">
        <v>865</v>
      </c>
      <c r="D17" t="s">
        <v>1264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437</v>
      </c>
      <c r="AW17">
        <v>0</v>
      </c>
      <c r="AX17">
        <v>0</v>
      </c>
      <c r="AY17">
        <v>0</v>
      </c>
      <c r="CC17">
        <v>2.5505</v>
      </c>
      <c r="CE17" t="s">
        <v>450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144</v>
      </c>
      <c r="C18" t="s">
        <v>244</v>
      </c>
      <c r="D18" t="s">
        <v>344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430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450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467</v>
      </c>
      <c r="C19" t="s">
        <v>866</v>
      </c>
      <c r="D19" t="s">
        <v>1265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421</v>
      </c>
      <c r="S19">
        <v>0</v>
      </c>
      <c r="T19">
        <v>0.05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426</v>
      </c>
      <c r="AT19">
        <v>1</v>
      </c>
      <c r="AU19">
        <v>0</v>
      </c>
      <c r="AV19" t="s">
        <v>433</v>
      </c>
      <c r="AW19">
        <v>0</v>
      </c>
      <c r="AX19">
        <v>0</v>
      </c>
      <c r="AY19">
        <v>0</v>
      </c>
      <c r="CC19">
        <v>2.6555</v>
      </c>
      <c r="CE19" t="s">
        <v>450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468</v>
      </c>
      <c r="C20" t="s">
        <v>867</v>
      </c>
      <c r="D20" t="s">
        <v>1266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423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430</v>
      </c>
      <c r="AT20">
        <v>0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469</v>
      </c>
      <c r="C21" t="s">
        <v>868</v>
      </c>
      <c r="D21" t="s">
        <v>1267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424</v>
      </c>
      <c r="AT21">
        <v>1</v>
      </c>
      <c r="AU21">
        <v>0</v>
      </c>
      <c r="AV21" t="s">
        <v>447</v>
      </c>
      <c r="AW21">
        <v>0</v>
      </c>
      <c r="AX21">
        <v>0</v>
      </c>
      <c r="AY21">
        <v>0</v>
      </c>
      <c r="CC21">
        <v>2.1905000000000001</v>
      </c>
      <c r="CE21" t="s">
        <v>450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470</v>
      </c>
      <c r="C22" t="s">
        <v>869</v>
      </c>
      <c r="D22" t="s">
        <v>1268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430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450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471</v>
      </c>
      <c r="C23" t="s">
        <v>870</v>
      </c>
      <c r="D23" t="s">
        <v>1269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421</v>
      </c>
      <c r="S23">
        <v>0</v>
      </c>
      <c r="T23">
        <v>0.05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426</v>
      </c>
      <c r="AT23">
        <v>1</v>
      </c>
      <c r="AU23">
        <v>0</v>
      </c>
      <c r="AV23" t="s">
        <v>440</v>
      </c>
      <c r="AW23">
        <v>0</v>
      </c>
      <c r="AX23">
        <v>0</v>
      </c>
      <c r="AY23">
        <v>0</v>
      </c>
      <c r="CC23">
        <v>3.044</v>
      </c>
      <c r="CE23" t="s">
        <v>450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472</v>
      </c>
      <c r="C24" t="s">
        <v>871</v>
      </c>
      <c r="D24" t="s">
        <v>1270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430</v>
      </c>
      <c r="AT24">
        <v>0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2.5745</v>
      </c>
      <c r="CE24" t="s">
        <v>450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473</v>
      </c>
      <c r="C25" t="s">
        <v>872</v>
      </c>
      <c r="D25" t="s">
        <v>1271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421</v>
      </c>
      <c r="S25">
        <v>0</v>
      </c>
      <c r="T25">
        <v>0.05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1.2999999999999999E-2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431</v>
      </c>
      <c r="AT25">
        <v>1</v>
      </c>
      <c r="AU25">
        <v>0</v>
      </c>
      <c r="AV25" t="s">
        <v>445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474</v>
      </c>
      <c r="C27" t="s">
        <v>873</v>
      </c>
      <c r="D27" t="s">
        <v>1272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8.2000000000000003E-2</v>
      </c>
      <c r="AD27">
        <v>3.2000000000000001E-2</v>
      </c>
      <c r="AE27" t="s">
        <v>1652</v>
      </c>
      <c r="AF27">
        <v>0</v>
      </c>
      <c r="AG27" t="s">
        <v>423</v>
      </c>
      <c r="AH27" t="s">
        <v>1652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433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475</v>
      </c>
      <c r="C28" t="s">
        <v>874</v>
      </c>
      <c r="D28" t="s">
        <v>1273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1650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445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476</v>
      </c>
      <c r="C29" t="s">
        <v>875</v>
      </c>
      <c r="D29" t="s">
        <v>1274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0.99299999999999999</v>
      </c>
      <c r="AD29">
        <v>0</v>
      </c>
      <c r="AF29">
        <v>0</v>
      </c>
      <c r="AG29" t="s">
        <v>1654</v>
      </c>
      <c r="AH29" t="s">
        <v>1653</v>
      </c>
      <c r="AI29" t="s">
        <v>423</v>
      </c>
      <c r="AJ29" t="s">
        <v>1654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477</v>
      </c>
      <c r="C30" t="s">
        <v>876</v>
      </c>
      <c r="D30" t="s">
        <v>1275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0.05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445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478</v>
      </c>
      <c r="C31" t="s">
        <v>877</v>
      </c>
      <c r="D31" t="s">
        <v>1276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423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2.9830000000000001</v>
      </c>
      <c r="CE31" t="s">
        <v>450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479</v>
      </c>
      <c r="C32" t="s">
        <v>878</v>
      </c>
      <c r="D32" t="s">
        <v>1277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0.01</v>
      </c>
      <c r="AC32">
        <v>0.2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L32" t="s">
        <v>1652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434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480</v>
      </c>
      <c r="C33" t="s">
        <v>879</v>
      </c>
      <c r="D33" t="s">
        <v>1278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420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430</v>
      </c>
      <c r="AT33">
        <v>0</v>
      </c>
      <c r="AU33">
        <v>0</v>
      </c>
      <c r="AV33" t="s">
        <v>437</v>
      </c>
      <c r="AW33">
        <v>0</v>
      </c>
      <c r="AX33">
        <v>0</v>
      </c>
      <c r="AY33">
        <v>0</v>
      </c>
      <c r="CC33">
        <v>2.6154999999999999</v>
      </c>
      <c r="CE33" t="s">
        <v>450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481</v>
      </c>
      <c r="C34" t="s">
        <v>880</v>
      </c>
      <c r="D34" t="s">
        <v>1279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424</v>
      </c>
      <c r="AT34">
        <v>1</v>
      </c>
      <c r="AU34">
        <v>0</v>
      </c>
      <c r="AV34" t="s">
        <v>446</v>
      </c>
      <c r="AW34">
        <v>0</v>
      </c>
      <c r="AX34">
        <v>0</v>
      </c>
      <c r="AY34">
        <v>0</v>
      </c>
      <c r="CC34">
        <v>2.1930000000000001</v>
      </c>
      <c r="CE34" t="s">
        <v>450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 x14ac:dyDescent="0.25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430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433</v>
      </c>
      <c r="AW36">
        <v>0</v>
      </c>
      <c r="AX36">
        <v>0</v>
      </c>
      <c r="AY36">
        <v>0</v>
      </c>
      <c r="CC36">
        <v>3.0790000000000002</v>
      </c>
      <c r="CE36" t="s">
        <v>450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483</v>
      </c>
      <c r="C37" t="s">
        <v>882</v>
      </c>
      <c r="D37" t="s">
        <v>1281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1650</v>
      </c>
      <c r="Y37" t="s">
        <v>421</v>
      </c>
      <c r="Z37" t="s">
        <v>421</v>
      </c>
      <c r="AA37" t="s">
        <v>421</v>
      </c>
      <c r="AB37">
        <v>0</v>
      </c>
      <c r="AC37">
        <v>0.05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L37" t="s">
        <v>1652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429</v>
      </c>
      <c r="AT37">
        <v>0</v>
      </c>
      <c r="AU37">
        <v>0</v>
      </c>
      <c r="AV37" t="s">
        <v>433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107</v>
      </c>
      <c r="C38" t="s">
        <v>207</v>
      </c>
      <c r="D38" t="s">
        <v>307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2.8210000000000002</v>
      </c>
      <c r="CE38" t="s">
        <v>450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122</v>
      </c>
      <c r="C39" t="s">
        <v>222</v>
      </c>
      <c r="D39" t="s">
        <v>322</v>
      </c>
      <c r="E39" t="s">
        <v>402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2.69</v>
      </c>
      <c r="CE39" t="s">
        <v>450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484</v>
      </c>
      <c r="C40" t="s">
        <v>883</v>
      </c>
      <c r="D40" t="s">
        <v>1282</v>
      </c>
      <c r="E40" t="s">
        <v>401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431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2.4649999999999999</v>
      </c>
      <c r="CE40" t="s">
        <v>450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485</v>
      </c>
      <c r="C41" t="s">
        <v>884</v>
      </c>
      <c r="D41" t="s">
        <v>1283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430</v>
      </c>
      <c r="AT41">
        <v>0</v>
      </c>
      <c r="AU41">
        <v>0</v>
      </c>
      <c r="AV41" t="s">
        <v>433</v>
      </c>
      <c r="AW41">
        <v>0</v>
      </c>
      <c r="AX41">
        <v>0</v>
      </c>
      <c r="AY41">
        <v>0</v>
      </c>
      <c r="CC41">
        <v>2.3450000000000002</v>
      </c>
      <c r="CE41" t="s">
        <v>450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486</v>
      </c>
      <c r="C42" t="s">
        <v>885</v>
      </c>
      <c r="D42" t="s">
        <v>1284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0.01</v>
      </c>
      <c r="AC42">
        <v>0.01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L42" t="s">
        <v>1652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444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487</v>
      </c>
      <c r="C43" t="s">
        <v>886</v>
      </c>
      <c r="D43" t="s">
        <v>1285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0.128</v>
      </c>
      <c r="AC43">
        <v>0.15</v>
      </c>
      <c r="AD43">
        <v>0.01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488</v>
      </c>
      <c r="C44" t="s">
        <v>887</v>
      </c>
      <c r="D44" t="s">
        <v>1286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450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489</v>
      </c>
      <c r="C45" t="s">
        <v>888</v>
      </c>
      <c r="D45" t="s">
        <v>1287</v>
      </c>
      <c r="E45" t="s">
        <v>402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0.05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426</v>
      </c>
      <c r="AT45">
        <v>1</v>
      </c>
      <c r="AU45">
        <v>0</v>
      </c>
      <c r="AV45" t="s">
        <v>443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490</v>
      </c>
      <c r="C46" t="s">
        <v>889</v>
      </c>
      <c r="D46" t="s">
        <v>1288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0.1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L46" t="s">
        <v>1652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491</v>
      </c>
      <c r="C47" t="s">
        <v>890</v>
      </c>
      <c r="D47" t="s">
        <v>1289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1650</v>
      </c>
      <c r="Y47" t="s">
        <v>421</v>
      </c>
      <c r="Z47" t="s">
        <v>421</v>
      </c>
      <c r="AA47" t="s">
        <v>421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L47" t="s">
        <v>1652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435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492</v>
      </c>
      <c r="C48" t="s">
        <v>891</v>
      </c>
      <c r="D48" t="s">
        <v>1290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423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2.6715</v>
      </c>
      <c r="CE48" t="s">
        <v>450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493</v>
      </c>
      <c r="C49" t="s">
        <v>892</v>
      </c>
      <c r="D49" t="s">
        <v>1291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0.05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494</v>
      </c>
      <c r="C50" t="s">
        <v>893</v>
      </c>
      <c r="D50" t="s">
        <v>1292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106</v>
      </c>
      <c r="C51" t="s">
        <v>206</v>
      </c>
      <c r="D51" t="s">
        <v>306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445</v>
      </c>
      <c r="AW51">
        <v>0</v>
      </c>
      <c r="AX51">
        <v>0</v>
      </c>
      <c r="AY51">
        <v>0</v>
      </c>
      <c r="CC51">
        <v>2.8325</v>
      </c>
      <c r="CE51" t="s">
        <v>450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495</v>
      </c>
      <c r="C52" t="s">
        <v>894</v>
      </c>
      <c r="D52" t="s">
        <v>1293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445</v>
      </c>
      <c r="AW52">
        <v>0</v>
      </c>
      <c r="AX52">
        <v>0</v>
      </c>
      <c r="AY52">
        <v>0</v>
      </c>
      <c r="CC52">
        <v>3.1164999999999998</v>
      </c>
      <c r="CE52" t="s">
        <v>450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496</v>
      </c>
      <c r="C53" t="s">
        <v>895</v>
      </c>
      <c r="D53" t="s">
        <v>1294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430</v>
      </c>
      <c r="AT53">
        <v>0</v>
      </c>
      <c r="AU53">
        <v>0</v>
      </c>
      <c r="AV53" t="s">
        <v>445</v>
      </c>
      <c r="AW53">
        <v>0</v>
      </c>
      <c r="AX53">
        <v>0</v>
      </c>
      <c r="AY53">
        <v>0</v>
      </c>
      <c r="CC53">
        <v>2.6684999999999999</v>
      </c>
      <c r="CE53" t="s">
        <v>450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176</v>
      </c>
      <c r="C54" t="s">
        <v>276</v>
      </c>
      <c r="D54" t="s">
        <v>376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434</v>
      </c>
      <c r="AW54">
        <v>0</v>
      </c>
      <c r="AX54">
        <v>0</v>
      </c>
      <c r="AY54">
        <v>0</v>
      </c>
      <c r="CC54">
        <v>2.4990000000000001</v>
      </c>
      <c r="CE54" t="s">
        <v>450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497</v>
      </c>
      <c r="C55" t="s">
        <v>896</v>
      </c>
      <c r="D55" t="s">
        <v>1295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431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2.4470000000000001</v>
      </c>
      <c r="CE55" t="s">
        <v>450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118</v>
      </c>
      <c r="C56" t="s">
        <v>218</v>
      </c>
      <c r="D56" t="s">
        <v>318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2.5880000000000001</v>
      </c>
      <c r="CE56" t="s">
        <v>450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498</v>
      </c>
      <c r="C57" t="s">
        <v>897</v>
      </c>
      <c r="D57" t="s">
        <v>1296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0.05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L57" t="s">
        <v>1652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434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499</v>
      </c>
      <c r="C58" t="s">
        <v>898</v>
      </c>
      <c r="D58" t="s">
        <v>1297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425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500</v>
      </c>
      <c r="C59" t="s">
        <v>899</v>
      </c>
      <c r="D59" t="s">
        <v>1298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Q59" t="s">
        <v>423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430</v>
      </c>
      <c r="AT59">
        <v>0</v>
      </c>
      <c r="AU59">
        <v>0</v>
      </c>
      <c r="AV59" t="s">
        <v>434</v>
      </c>
      <c r="AW59">
        <v>0</v>
      </c>
      <c r="AX59">
        <v>0</v>
      </c>
      <c r="AY59">
        <v>0</v>
      </c>
      <c r="CC59">
        <v>2.4165000000000001</v>
      </c>
      <c r="CE59" t="s">
        <v>450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 x14ac:dyDescent="0.25">
      <c r="A60">
        <v>143</v>
      </c>
      <c r="B60" t="s">
        <v>501</v>
      </c>
      <c r="C60" t="s">
        <v>900</v>
      </c>
      <c r="D60" t="s">
        <v>1299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430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450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502</v>
      </c>
      <c r="C61" t="s">
        <v>901</v>
      </c>
      <c r="D61" t="s">
        <v>1300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423</v>
      </c>
      <c r="R61" t="s">
        <v>421</v>
      </c>
      <c r="S61">
        <v>0</v>
      </c>
      <c r="T61">
        <v>0.108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431</v>
      </c>
      <c r="AT61">
        <v>1</v>
      </c>
      <c r="AU61">
        <v>0</v>
      </c>
      <c r="AV61" t="s">
        <v>446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145</v>
      </c>
      <c r="C62" t="s">
        <v>245</v>
      </c>
      <c r="D62" t="s">
        <v>345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430</v>
      </c>
      <c r="AT62">
        <v>0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2.4830000000000001</v>
      </c>
      <c r="CE62" t="s">
        <v>450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503</v>
      </c>
      <c r="C63" t="s">
        <v>902</v>
      </c>
      <c r="D63" t="s">
        <v>1301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0.01</v>
      </c>
      <c r="AD63">
        <v>0</v>
      </c>
      <c r="AF63">
        <v>0</v>
      </c>
      <c r="AG63" t="s">
        <v>423</v>
      </c>
      <c r="AH63" t="s">
        <v>1652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431</v>
      </c>
      <c r="AT63">
        <v>1</v>
      </c>
      <c r="AU63">
        <v>0</v>
      </c>
      <c r="AV63" t="s">
        <v>447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504</v>
      </c>
      <c r="C64" t="s">
        <v>903</v>
      </c>
      <c r="D64" t="s">
        <v>1302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430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505</v>
      </c>
      <c r="C65" t="s">
        <v>904</v>
      </c>
      <c r="D65" t="s">
        <v>1303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421</v>
      </c>
      <c r="S65">
        <v>0</v>
      </c>
      <c r="T65">
        <v>0.01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431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506</v>
      </c>
      <c r="C66" t="s">
        <v>905</v>
      </c>
      <c r="D66" t="s">
        <v>1304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430</v>
      </c>
      <c r="AT66">
        <v>0</v>
      </c>
      <c r="AU66">
        <v>0</v>
      </c>
      <c r="AV66" t="s">
        <v>449</v>
      </c>
      <c r="AW66">
        <v>0</v>
      </c>
      <c r="AX66">
        <v>0</v>
      </c>
      <c r="AY66">
        <v>0</v>
      </c>
      <c r="CC66">
        <v>2.4140000000000001</v>
      </c>
      <c r="CE66" t="s">
        <v>450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507</v>
      </c>
      <c r="C67" t="s">
        <v>906</v>
      </c>
      <c r="D67" t="s">
        <v>1305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1650</v>
      </c>
      <c r="Y67" t="s">
        <v>422</v>
      </c>
      <c r="Z67" t="s">
        <v>421</v>
      </c>
      <c r="AA67" t="s">
        <v>421</v>
      </c>
      <c r="AB67">
        <v>0</v>
      </c>
      <c r="AC67">
        <v>0.05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L67" t="s">
        <v>1652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426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508</v>
      </c>
      <c r="C68" t="s">
        <v>907</v>
      </c>
      <c r="D68" t="s">
        <v>1306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422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1650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509</v>
      </c>
      <c r="C69" t="s">
        <v>908</v>
      </c>
      <c r="D69" t="s">
        <v>1307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2.3149999999999999</v>
      </c>
      <c r="CE69" t="s">
        <v>450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510</v>
      </c>
      <c r="C70" t="s">
        <v>909</v>
      </c>
      <c r="D70" t="s">
        <v>1308</v>
      </c>
      <c r="E70" t="s">
        <v>401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Q70" t="s">
        <v>418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430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2.5830000000000002</v>
      </c>
      <c r="CE70" t="s">
        <v>450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511</v>
      </c>
      <c r="C71" t="s">
        <v>910</v>
      </c>
      <c r="D71" t="s">
        <v>1309</v>
      </c>
      <c r="E71" t="s">
        <v>401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Q71" t="s">
        <v>423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430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450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512</v>
      </c>
      <c r="C72" t="s">
        <v>911</v>
      </c>
      <c r="D72" t="s">
        <v>1310</v>
      </c>
      <c r="E72" t="s">
        <v>401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430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2.4790000000000001</v>
      </c>
      <c r="CE72" t="s">
        <v>450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513</v>
      </c>
      <c r="C73" t="s">
        <v>912</v>
      </c>
      <c r="D73" t="s">
        <v>1311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430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2.9325000000000001</v>
      </c>
      <c r="CE73" t="s">
        <v>450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133</v>
      </c>
      <c r="C74" t="s">
        <v>233</v>
      </c>
      <c r="D74" t="s">
        <v>333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430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2.7719999999999998</v>
      </c>
      <c r="CE74" t="s">
        <v>450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514</v>
      </c>
      <c r="C75" t="s">
        <v>913</v>
      </c>
      <c r="D75" t="s">
        <v>1312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430</v>
      </c>
      <c r="AT75">
        <v>0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2.4300000000000002</v>
      </c>
      <c r="CE75" t="s">
        <v>450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515</v>
      </c>
      <c r="C76" t="s">
        <v>914</v>
      </c>
      <c r="D76" t="s">
        <v>1313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430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2.3359999999999999</v>
      </c>
      <c r="CE76" t="s">
        <v>450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516</v>
      </c>
      <c r="C77" t="s">
        <v>915</v>
      </c>
      <c r="D77" t="s">
        <v>1314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430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2.9445000000000001</v>
      </c>
      <c r="CE77" t="s">
        <v>450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154</v>
      </c>
      <c r="C78" t="s">
        <v>254</v>
      </c>
      <c r="D78" t="s">
        <v>354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423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2.8944999999999999</v>
      </c>
      <c r="CE78" t="s">
        <v>450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2.2054999999999998</v>
      </c>
      <c r="CE79" t="s">
        <v>450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517</v>
      </c>
      <c r="C80" t="s">
        <v>916</v>
      </c>
      <c r="D80" t="s">
        <v>1315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2.9999999999999997E-4</v>
      </c>
      <c r="AC80">
        <v>0.1</v>
      </c>
      <c r="AD80">
        <v>8.3000000000000001E-3</v>
      </c>
      <c r="AE80" t="s">
        <v>1653</v>
      </c>
      <c r="AF80">
        <v>0</v>
      </c>
      <c r="AG80" t="s">
        <v>1654</v>
      </c>
      <c r="AH80" t="s">
        <v>1653</v>
      </c>
      <c r="AI80" t="s">
        <v>423</v>
      </c>
      <c r="AJ80" t="s">
        <v>1654</v>
      </c>
      <c r="AK80" t="s">
        <v>423</v>
      </c>
      <c r="AL80" t="s">
        <v>1652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437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518</v>
      </c>
      <c r="C81" t="s">
        <v>917</v>
      </c>
      <c r="D81" t="s">
        <v>1316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430</v>
      </c>
      <c r="AT81">
        <v>0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2.2610000000000001</v>
      </c>
      <c r="CE81" t="s">
        <v>450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126</v>
      </c>
      <c r="C82" t="s">
        <v>226</v>
      </c>
      <c r="D82" t="s">
        <v>326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422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2.91</v>
      </c>
      <c r="CE82" t="s">
        <v>450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519</v>
      </c>
      <c r="C83" t="s">
        <v>918</v>
      </c>
      <c r="D83" t="s">
        <v>1317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430</v>
      </c>
      <c r="AT83">
        <v>0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2.8130000000000002</v>
      </c>
      <c r="CE83" t="s">
        <v>450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520</v>
      </c>
      <c r="C84" t="s">
        <v>919</v>
      </c>
      <c r="D84" t="s">
        <v>1318</v>
      </c>
      <c r="E84" t="s">
        <v>401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430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450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521</v>
      </c>
      <c r="C85" t="s">
        <v>920</v>
      </c>
      <c r="D85" t="s">
        <v>1319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445</v>
      </c>
      <c r="AW85">
        <v>0</v>
      </c>
      <c r="AX85">
        <v>0</v>
      </c>
      <c r="AY85">
        <v>0</v>
      </c>
      <c r="CC85">
        <v>2.5525000000000002</v>
      </c>
      <c r="CE85" t="s">
        <v>450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522</v>
      </c>
      <c r="C86" t="s">
        <v>921</v>
      </c>
      <c r="D86" t="s">
        <v>1320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430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174</v>
      </c>
      <c r="C87" t="s">
        <v>274</v>
      </c>
      <c r="D87" t="s">
        <v>374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2.4175</v>
      </c>
      <c r="CE87" t="s">
        <v>450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523</v>
      </c>
      <c r="C88" t="s">
        <v>922</v>
      </c>
      <c r="D88" t="s">
        <v>1321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423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434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524</v>
      </c>
      <c r="C89" t="s">
        <v>923</v>
      </c>
      <c r="D89" t="s">
        <v>1322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423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446</v>
      </c>
      <c r="AW89">
        <v>0</v>
      </c>
      <c r="AX89">
        <v>0</v>
      </c>
      <c r="AY89">
        <v>0</v>
      </c>
      <c r="CC89">
        <v>2.2850000000000001</v>
      </c>
      <c r="CE89" t="s">
        <v>450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156</v>
      </c>
      <c r="C90" t="s">
        <v>256</v>
      </c>
      <c r="D90" t="s">
        <v>356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423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2.2829999999999999</v>
      </c>
      <c r="CE90" t="s">
        <v>450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525</v>
      </c>
      <c r="C91" t="s">
        <v>924</v>
      </c>
      <c r="D91" t="s">
        <v>1323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416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423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2.4470000000000001</v>
      </c>
      <c r="CE91" t="s">
        <v>450</v>
      </c>
      <c r="CG91">
        <v>1.99918974859489</v>
      </c>
      <c r="CH91">
        <v>3.4</v>
      </c>
      <c r="CI91">
        <v>2.6995948742974449</v>
      </c>
      <c r="CJ91">
        <v>-0.18</v>
      </c>
      <c r="CK91">
        <v>2.5195948742974452</v>
      </c>
    </row>
    <row r="92" spans="1:89" x14ac:dyDescent="0.25">
      <c r="A92">
        <v>196</v>
      </c>
      <c r="B92" t="s">
        <v>526</v>
      </c>
      <c r="C92" t="s">
        <v>925</v>
      </c>
      <c r="D92" t="s">
        <v>1324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2.8534999999999999</v>
      </c>
      <c r="CE92" t="s">
        <v>450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527</v>
      </c>
      <c r="C93" t="s">
        <v>926</v>
      </c>
      <c r="D93" t="s">
        <v>1325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1.89E-2</v>
      </c>
      <c r="AC93">
        <v>7.8E-2</v>
      </c>
      <c r="AD93">
        <v>7.7799999999999994E-2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L93" t="s">
        <v>1653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446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150</v>
      </c>
      <c r="C94" t="s">
        <v>250</v>
      </c>
      <c r="D94" t="s">
        <v>350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437</v>
      </c>
      <c r="AW94">
        <v>0</v>
      </c>
      <c r="AX94">
        <v>0</v>
      </c>
      <c r="AY94">
        <v>0</v>
      </c>
      <c r="CC94">
        <v>2.3540000000000001</v>
      </c>
      <c r="CE94" t="s">
        <v>450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135</v>
      </c>
      <c r="C95" t="s">
        <v>235</v>
      </c>
      <c r="D95" t="s">
        <v>335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2.8105000000000002</v>
      </c>
      <c r="CE95" t="s">
        <v>450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528</v>
      </c>
      <c r="C96" t="s">
        <v>927</v>
      </c>
      <c r="D96" t="s">
        <v>1326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423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2.9020000000000001</v>
      </c>
      <c r="CE96" t="s">
        <v>450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529</v>
      </c>
      <c r="C97" t="s">
        <v>928</v>
      </c>
      <c r="D97" t="s">
        <v>1327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0.20399999999999999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425</v>
      </c>
      <c r="AT97">
        <v>0</v>
      </c>
      <c r="AU97">
        <v>0</v>
      </c>
      <c r="AV97" t="s">
        <v>433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530</v>
      </c>
      <c r="C98" t="s">
        <v>929</v>
      </c>
      <c r="D98" t="s">
        <v>1328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0.05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L98" t="s">
        <v>1652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423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531</v>
      </c>
      <c r="C99" t="s">
        <v>930</v>
      </c>
      <c r="D99" t="s">
        <v>1329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421</v>
      </c>
      <c r="S99">
        <v>0</v>
      </c>
      <c r="T99">
        <v>0.01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0.85699999999999998</v>
      </c>
      <c r="AD99">
        <v>3.2000000000000002E-3</v>
      </c>
      <c r="AE99" t="s">
        <v>1653</v>
      </c>
      <c r="AF99">
        <v>0</v>
      </c>
      <c r="AG99" t="s">
        <v>1654</v>
      </c>
      <c r="AH99" t="s">
        <v>1653</v>
      </c>
      <c r="AI99" t="s">
        <v>423</v>
      </c>
      <c r="AJ99" t="s">
        <v>1654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532</v>
      </c>
      <c r="C100" t="s">
        <v>931</v>
      </c>
      <c r="D100" t="s">
        <v>1330</v>
      </c>
      <c r="E100" t="s">
        <v>401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430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2.7004999999999999</v>
      </c>
      <c r="CE100" t="s">
        <v>450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136</v>
      </c>
      <c r="C101" t="s">
        <v>236</v>
      </c>
      <c r="D101" t="s">
        <v>336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430</v>
      </c>
      <c r="AT101">
        <v>0</v>
      </c>
      <c r="AU101">
        <v>0</v>
      </c>
      <c r="AV101" t="s">
        <v>446</v>
      </c>
      <c r="AW101">
        <v>0</v>
      </c>
      <c r="AX101">
        <v>0</v>
      </c>
      <c r="AY101">
        <v>0</v>
      </c>
      <c r="CC101">
        <v>2.4834999999999998</v>
      </c>
      <c r="CE101" t="s">
        <v>450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533</v>
      </c>
      <c r="C102" t="s">
        <v>932</v>
      </c>
      <c r="D102" t="s">
        <v>1331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0.05</v>
      </c>
      <c r="AD102">
        <v>0</v>
      </c>
      <c r="AE102" t="s">
        <v>1652</v>
      </c>
      <c r="AF102">
        <v>0</v>
      </c>
      <c r="AG102" t="s">
        <v>423</v>
      </c>
      <c r="AH102" t="s">
        <v>1652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431</v>
      </c>
      <c r="AT102">
        <v>1</v>
      </c>
      <c r="AU102">
        <v>0</v>
      </c>
      <c r="AV102" t="s">
        <v>437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534</v>
      </c>
      <c r="C103" t="s">
        <v>933</v>
      </c>
      <c r="D103" t="s">
        <v>1332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423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430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535</v>
      </c>
      <c r="C104" t="s">
        <v>934</v>
      </c>
      <c r="D104" t="s">
        <v>1333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421</v>
      </c>
      <c r="S104">
        <v>0.98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536</v>
      </c>
      <c r="C105" t="s">
        <v>935</v>
      </c>
      <c r="D105" t="s">
        <v>1334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424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2.8014999999999999</v>
      </c>
      <c r="CE105" t="s">
        <v>450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537</v>
      </c>
      <c r="C106" t="s">
        <v>936</v>
      </c>
      <c r="D106" t="s">
        <v>1335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431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2.2494999999999998</v>
      </c>
      <c r="CE106" t="s">
        <v>450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114</v>
      </c>
      <c r="C107" t="s">
        <v>214</v>
      </c>
      <c r="D107" t="s">
        <v>314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425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2.6619999999999999</v>
      </c>
      <c r="CE107" t="s">
        <v>450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185</v>
      </c>
      <c r="C108" t="s">
        <v>285</v>
      </c>
      <c r="D108" t="s">
        <v>385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431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2.4984999999999999</v>
      </c>
      <c r="CE108" t="s">
        <v>450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538</v>
      </c>
      <c r="C109" t="s">
        <v>937</v>
      </c>
      <c r="D109" t="s">
        <v>1336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2.8025000000000002</v>
      </c>
      <c r="CE109" t="s">
        <v>450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0.01</v>
      </c>
      <c r="AC110">
        <v>0.15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L110" t="s">
        <v>1652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429</v>
      </c>
      <c r="AT110">
        <v>0</v>
      </c>
      <c r="AU110">
        <v>0</v>
      </c>
      <c r="AV110" t="s">
        <v>433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540</v>
      </c>
      <c r="C111" t="s">
        <v>939</v>
      </c>
      <c r="D111" t="s">
        <v>1338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Q111" t="s">
        <v>423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 t="s">
        <v>1651</v>
      </c>
      <c r="AR111" t="s">
        <v>1651</v>
      </c>
      <c r="AS111" t="s">
        <v>430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450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541</v>
      </c>
      <c r="C112" t="s">
        <v>940</v>
      </c>
      <c r="D112" t="s">
        <v>1339</v>
      </c>
      <c r="E112" t="s">
        <v>401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421</v>
      </c>
      <c r="S112">
        <v>0</v>
      </c>
      <c r="T112">
        <v>0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430</v>
      </c>
      <c r="AT113">
        <v>0</v>
      </c>
      <c r="AU113">
        <v>0</v>
      </c>
      <c r="AV113" t="s">
        <v>440</v>
      </c>
      <c r="AW113">
        <v>0</v>
      </c>
      <c r="AX113">
        <v>0</v>
      </c>
      <c r="AY113">
        <v>0</v>
      </c>
      <c r="CC113">
        <v>2.9380000000000002</v>
      </c>
      <c r="CE113" t="s">
        <v>450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543</v>
      </c>
      <c r="C114" t="s">
        <v>942</v>
      </c>
      <c r="D114" t="s">
        <v>1341</v>
      </c>
      <c r="E114" t="s">
        <v>401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445</v>
      </c>
      <c r="AW114">
        <v>0</v>
      </c>
      <c r="AX114">
        <v>0</v>
      </c>
      <c r="AY114">
        <v>0</v>
      </c>
      <c r="CC114">
        <v>2.2949999999999999</v>
      </c>
      <c r="CE114" t="s">
        <v>450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422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425</v>
      </c>
      <c r="AT115">
        <v>0</v>
      </c>
      <c r="AU115">
        <v>0</v>
      </c>
      <c r="AV115" t="s">
        <v>433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545</v>
      </c>
      <c r="C116" t="s">
        <v>944</v>
      </c>
      <c r="D116" t="s">
        <v>1343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443</v>
      </c>
      <c r="AW116">
        <v>0</v>
      </c>
      <c r="AX116">
        <v>0</v>
      </c>
      <c r="AY116">
        <v>0</v>
      </c>
      <c r="CC116">
        <v>2.6240000000000001</v>
      </c>
      <c r="CE116" t="s">
        <v>450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422</v>
      </c>
      <c r="S117">
        <v>0</v>
      </c>
      <c r="T117">
        <v>0.05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0.01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431</v>
      </c>
      <c r="AT117">
        <v>1</v>
      </c>
      <c r="AU117">
        <v>0</v>
      </c>
      <c r="AV117" t="s">
        <v>433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424</v>
      </c>
      <c r="AT118">
        <v>1</v>
      </c>
      <c r="AU118">
        <v>1</v>
      </c>
      <c r="AV118" t="s">
        <v>434</v>
      </c>
      <c r="AW118">
        <v>0</v>
      </c>
      <c r="AX118">
        <v>0</v>
      </c>
      <c r="AY118">
        <v>0</v>
      </c>
      <c r="CC118">
        <v>2.5110000000000001</v>
      </c>
      <c r="CE118" t="s">
        <v>450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423</v>
      </c>
      <c r="AT119">
        <v>1</v>
      </c>
      <c r="AU119">
        <v>0</v>
      </c>
      <c r="AV119" t="s">
        <v>440</v>
      </c>
      <c r="AW119">
        <v>0</v>
      </c>
      <c r="AX119">
        <v>0</v>
      </c>
      <c r="AY119">
        <v>0</v>
      </c>
      <c r="CC119">
        <v>2.8780000000000001</v>
      </c>
      <c r="CE119" t="s">
        <v>450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Q120" t="s">
        <v>423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430</v>
      </c>
      <c r="AT120">
        <v>0</v>
      </c>
      <c r="AU120">
        <v>0</v>
      </c>
      <c r="AV120" t="s">
        <v>446</v>
      </c>
      <c r="AW120">
        <v>0</v>
      </c>
      <c r="AX120">
        <v>0</v>
      </c>
      <c r="AY120">
        <v>0</v>
      </c>
      <c r="CC120">
        <v>2.581</v>
      </c>
      <c r="CE120" t="s">
        <v>450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549</v>
      </c>
      <c r="C121" t="s">
        <v>948</v>
      </c>
      <c r="D121" t="s">
        <v>1347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423</v>
      </c>
      <c r="AI121" t="s">
        <v>423</v>
      </c>
      <c r="AJ121" t="s">
        <v>423</v>
      </c>
      <c r="AK121" t="s">
        <v>1654</v>
      </c>
      <c r="AL121" t="s">
        <v>1653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446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167</v>
      </c>
      <c r="C123" t="s">
        <v>267</v>
      </c>
      <c r="D123" t="s">
        <v>367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2.4575</v>
      </c>
      <c r="CE123" t="s">
        <v>450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551</v>
      </c>
      <c r="C124" t="s">
        <v>950</v>
      </c>
      <c r="D124" t="s">
        <v>1349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443</v>
      </c>
      <c r="AW124">
        <v>0</v>
      </c>
      <c r="AX124">
        <v>0</v>
      </c>
      <c r="AY124">
        <v>0</v>
      </c>
      <c r="CC124">
        <v>2.6819999999999999</v>
      </c>
      <c r="CE124" t="s">
        <v>450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128</v>
      </c>
      <c r="C125" t="s">
        <v>228</v>
      </c>
      <c r="D125" t="s">
        <v>328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430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2.5914999999999999</v>
      </c>
      <c r="CE125" t="s">
        <v>450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552</v>
      </c>
      <c r="C126" t="s">
        <v>951</v>
      </c>
      <c r="D126" t="s">
        <v>1350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422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432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2.2534999999999998</v>
      </c>
      <c r="CE126" t="s">
        <v>450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151</v>
      </c>
      <c r="C127" t="s">
        <v>251</v>
      </c>
      <c r="D127" t="s">
        <v>351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2.5190000000000001</v>
      </c>
      <c r="CE127" t="s">
        <v>450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121</v>
      </c>
      <c r="C128" t="s">
        <v>221</v>
      </c>
      <c r="D128" t="s">
        <v>321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450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>
        <v>0</v>
      </c>
      <c r="AC129">
        <v>0</v>
      </c>
      <c r="AD129">
        <v>0</v>
      </c>
      <c r="AF129">
        <v>0</v>
      </c>
      <c r="AG129" t="s">
        <v>423</v>
      </c>
      <c r="AI129" t="s">
        <v>423</v>
      </c>
      <c r="AJ129" t="s">
        <v>423</v>
      </c>
      <c r="AK129" t="s">
        <v>423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2.5935000000000001</v>
      </c>
      <c r="CE129" t="s">
        <v>450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554</v>
      </c>
      <c r="C130" t="s">
        <v>953</v>
      </c>
      <c r="D130" t="s">
        <v>1352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Q130" t="s">
        <v>416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2.6429999999999998</v>
      </c>
      <c r="CE130" t="s">
        <v>450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 x14ac:dyDescent="0.25">
      <c r="A131">
        <v>338</v>
      </c>
      <c r="B131" t="s">
        <v>134</v>
      </c>
      <c r="C131" t="s">
        <v>234</v>
      </c>
      <c r="D131" t="s">
        <v>334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430</v>
      </c>
      <c r="AT131">
        <v>0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2.5125000000000002</v>
      </c>
      <c r="CE131" t="s">
        <v>450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555</v>
      </c>
      <c r="C132" t="s">
        <v>954</v>
      </c>
      <c r="D132" t="s">
        <v>1353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2.7774999999999999</v>
      </c>
      <c r="CE132" t="s">
        <v>450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423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437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 t="s">
        <v>1651</v>
      </c>
      <c r="AR134" t="s">
        <v>1651</v>
      </c>
      <c r="AS134" t="s">
        <v>430</v>
      </c>
      <c r="AT134">
        <v>0</v>
      </c>
      <c r="AU134">
        <v>0</v>
      </c>
      <c r="AV134" t="s">
        <v>448</v>
      </c>
      <c r="AW134">
        <v>0</v>
      </c>
      <c r="AX134">
        <v>0</v>
      </c>
      <c r="AY134">
        <v>0</v>
      </c>
      <c r="CE134" t="s">
        <v>450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2.867</v>
      </c>
      <c r="CE135" t="s">
        <v>450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168</v>
      </c>
      <c r="C136" t="s">
        <v>268</v>
      </c>
      <c r="D136" t="s">
        <v>368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433</v>
      </c>
      <c r="AW136">
        <v>0</v>
      </c>
      <c r="AX136">
        <v>0</v>
      </c>
      <c r="AY136">
        <v>0</v>
      </c>
      <c r="CC136">
        <v>2.6675</v>
      </c>
      <c r="CE136" t="s">
        <v>450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559</v>
      </c>
      <c r="C137" t="s">
        <v>958</v>
      </c>
      <c r="D137" t="s">
        <v>1357</v>
      </c>
      <c r="E137" t="s">
        <v>402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430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2.5419999999999998</v>
      </c>
      <c r="CE137" t="s">
        <v>450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423</v>
      </c>
      <c r="R138" t="s">
        <v>422</v>
      </c>
      <c r="S138">
        <v>0</v>
      </c>
      <c r="T138">
        <v>0</v>
      </c>
      <c r="U138" t="s">
        <v>421</v>
      </c>
      <c r="V138" t="s">
        <v>421</v>
      </c>
      <c r="W138" t="s">
        <v>422</v>
      </c>
      <c r="X138" t="s">
        <v>422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433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425</v>
      </c>
      <c r="AT139">
        <v>0</v>
      </c>
      <c r="AU139">
        <v>1</v>
      </c>
      <c r="AV139" t="s">
        <v>433</v>
      </c>
      <c r="AW139">
        <v>0</v>
      </c>
      <c r="AX139">
        <v>0</v>
      </c>
      <c r="AY139">
        <v>0</v>
      </c>
      <c r="CC139">
        <v>2.97</v>
      </c>
      <c r="CE139" t="s">
        <v>450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561</v>
      </c>
      <c r="C140" t="s">
        <v>960</v>
      </c>
      <c r="D140" t="s">
        <v>1359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0.71599999999999997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1654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431</v>
      </c>
      <c r="AT140">
        <v>1</v>
      </c>
      <c r="AU140">
        <v>0</v>
      </c>
      <c r="AV140" t="s">
        <v>436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425</v>
      </c>
      <c r="AT141">
        <v>0</v>
      </c>
      <c r="AU141">
        <v>0</v>
      </c>
      <c r="AV141" t="s">
        <v>437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563</v>
      </c>
      <c r="C142" t="s">
        <v>962</v>
      </c>
      <c r="D142" t="s">
        <v>1361</v>
      </c>
      <c r="E142" t="s">
        <v>402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423</v>
      </c>
      <c r="R142" t="s">
        <v>421</v>
      </c>
      <c r="S142">
        <v>0</v>
      </c>
      <c r="T142">
        <v>0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2.887</v>
      </c>
      <c r="CE142" t="s">
        <v>450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430</v>
      </c>
      <c r="AT143">
        <v>0</v>
      </c>
      <c r="AU143">
        <v>0</v>
      </c>
      <c r="AV143" t="s">
        <v>437</v>
      </c>
      <c r="AW143">
        <v>0</v>
      </c>
      <c r="AX143">
        <v>0</v>
      </c>
      <c r="AY143">
        <v>0</v>
      </c>
      <c r="CC143">
        <v>2.6880000000000002</v>
      </c>
      <c r="CE143" t="s">
        <v>450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141</v>
      </c>
      <c r="C144" t="s">
        <v>241</v>
      </c>
      <c r="D144" t="s">
        <v>341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430</v>
      </c>
      <c r="AT144">
        <v>0</v>
      </c>
      <c r="AU144">
        <v>0</v>
      </c>
      <c r="AV144" t="s">
        <v>437</v>
      </c>
      <c r="AW144">
        <v>0</v>
      </c>
      <c r="AX144">
        <v>0</v>
      </c>
      <c r="AY144">
        <v>0</v>
      </c>
      <c r="CC144">
        <v>2.8065000000000002</v>
      </c>
      <c r="CE144" t="s">
        <v>450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421</v>
      </c>
      <c r="S145">
        <v>0</v>
      </c>
      <c r="T145">
        <v>0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426</v>
      </c>
      <c r="AT145">
        <v>1</v>
      </c>
      <c r="AU145">
        <v>0</v>
      </c>
      <c r="AV145" t="s">
        <v>437</v>
      </c>
      <c r="AW145">
        <v>0</v>
      </c>
      <c r="AX145">
        <v>0</v>
      </c>
      <c r="AY145">
        <v>0</v>
      </c>
      <c r="CC145">
        <v>2.4885000000000002</v>
      </c>
      <c r="CE145" t="s">
        <v>450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422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425</v>
      </c>
      <c r="AT146">
        <v>0</v>
      </c>
      <c r="AU146">
        <v>0</v>
      </c>
      <c r="AV146" t="s">
        <v>437</v>
      </c>
      <c r="AW146">
        <v>0</v>
      </c>
      <c r="AX146">
        <v>0</v>
      </c>
      <c r="AY146">
        <v>0</v>
      </c>
      <c r="CC146">
        <v>2.9384999999999999</v>
      </c>
      <c r="CE146" t="s">
        <v>450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172</v>
      </c>
      <c r="C147" t="s">
        <v>272</v>
      </c>
      <c r="D147" t="s">
        <v>372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2.6575000000000002</v>
      </c>
      <c r="CE147" t="s">
        <v>450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431</v>
      </c>
      <c r="AT148">
        <v>1</v>
      </c>
      <c r="AU148">
        <v>0</v>
      </c>
      <c r="AV148" t="s">
        <v>447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568</v>
      </c>
      <c r="C149" t="s">
        <v>967</v>
      </c>
      <c r="D149" t="s">
        <v>1366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0.05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569</v>
      </c>
      <c r="C150" t="s">
        <v>968</v>
      </c>
      <c r="D150" t="s">
        <v>1367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Q150" t="s">
        <v>416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430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2.2635000000000001</v>
      </c>
      <c r="CE150" t="s">
        <v>450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 x14ac:dyDescent="0.25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2.7050000000000001</v>
      </c>
      <c r="CE151" t="s">
        <v>450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1648</v>
      </c>
      <c r="R152" t="s">
        <v>421</v>
      </c>
      <c r="S152">
        <v>0</v>
      </c>
      <c r="T152">
        <v>0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2.8315000000000001</v>
      </c>
      <c r="CE152" t="s">
        <v>450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426</v>
      </c>
      <c r="AT153">
        <v>1</v>
      </c>
      <c r="AU153">
        <v>0</v>
      </c>
      <c r="AV153" t="s">
        <v>443</v>
      </c>
      <c r="AW153">
        <v>0</v>
      </c>
      <c r="AX153">
        <v>0</v>
      </c>
      <c r="AY153">
        <v>0</v>
      </c>
      <c r="CC153">
        <v>2.327</v>
      </c>
      <c r="CE153" t="s">
        <v>450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L154" t="s">
        <v>1655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437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574</v>
      </c>
      <c r="C155" t="s">
        <v>973</v>
      </c>
      <c r="D155" t="s">
        <v>1372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421</v>
      </c>
      <c r="S155">
        <v>0</v>
      </c>
      <c r="T155">
        <v>0.05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426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2.4035000000000002</v>
      </c>
      <c r="CE155" t="s">
        <v>450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430</v>
      </c>
      <c r="AT156">
        <v>0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2.4670000000000001</v>
      </c>
      <c r="CE156" t="s">
        <v>450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422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L157" t="s">
        <v>1653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449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421</v>
      </c>
      <c r="S158">
        <v>0</v>
      </c>
      <c r="T158">
        <v>0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0.05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L158" t="s">
        <v>1652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423</v>
      </c>
      <c r="AT158">
        <v>1</v>
      </c>
      <c r="AU158">
        <v>0</v>
      </c>
      <c r="AV158" t="s">
        <v>433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184</v>
      </c>
      <c r="C159" t="s">
        <v>284</v>
      </c>
      <c r="D159" t="s">
        <v>384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433</v>
      </c>
      <c r="AW159">
        <v>0</v>
      </c>
      <c r="AX159">
        <v>0</v>
      </c>
      <c r="AY159">
        <v>0</v>
      </c>
      <c r="CC159">
        <v>2.5495000000000001</v>
      </c>
      <c r="CE159" t="s">
        <v>450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425</v>
      </c>
      <c r="AT160">
        <v>0</v>
      </c>
      <c r="AU160">
        <v>0</v>
      </c>
      <c r="AV160" t="s">
        <v>438</v>
      </c>
      <c r="AW160">
        <v>0</v>
      </c>
      <c r="AX160">
        <v>0</v>
      </c>
      <c r="AY160">
        <v>0</v>
      </c>
      <c r="CC160">
        <v>2.8639999999999999</v>
      </c>
      <c r="CE160" t="s">
        <v>450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446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L162" t="s">
        <v>1653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440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581</v>
      </c>
      <c r="C163" t="s">
        <v>980</v>
      </c>
      <c r="D163" t="s">
        <v>1379</v>
      </c>
      <c r="E163" t="s">
        <v>401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422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1.9800000000000002E-2</v>
      </c>
      <c r="AC163">
        <v>0.377</v>
      </c>
      <c r="AD163">
        <v>0.1011</v>
      </c>
      <c r="AF163">
        <v>0</v>
      </c>
      <c r="AG163" t="s">
        <v>423</v>
      </c>
      <c r="AI163" t="s">
        <v>423</v>
      </c>
      <c r="AJ163" t="s">
        <v>423</v>
      </c>
      <c r="AK163" t="s">
        <v>1654</v>
      </c>
      <c r="AL163" t="s">
        <v>1653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422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423</v>
      </c>
      <c r="AI164" t="s">
        <v>423</v>
      </c>
      <c r="AJ164" t="s">
        <v>423</v>
      </c>
      <c r="AK164" t="s">
        <v>1654</v>
      </c>
      <c r="AL164" t="s">
        <v>1655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433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583</v>
      </c>
      <c r="C165" t="s">
        <v>982</v>
      </c>
      <c r="D165" t="s">
        <v>1381</v>
      </c>
      <c r="E165" t="s">
        <v>401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423</v>
      </c>
      <c r="R165" t="s">
        <v>1650</v>
      </c>
      <c r="S165">
        <v>0</v>
      </c>
      <c r="T165">
        <v>0.01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0.88600000000000001</v>
      </c>
      <c r="AD165">
        <v>5.0900000000000001E-2</v>
      </c>
      <c r="AE165" t="s">
        <v>1653</v>
      </c>
      <c r="AF165">
        <v>0</v>
      </c>
      <c r="AG165" t="s">
        <v>1654</v>
      </c>
      <c r="AH165" t="s">
        <v>1653</v>
      </c>
      <c r="AI165" t="s">
        <v>423</v>
      </c>
      <c r="AJ165" t="s">
        <v>1654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584</v>
      </c>
      <c r="C166" t="s">
        <v>983</v>
      </c>
      <c r="D166" t="s">
        <v>1382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420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450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0.02</v>
      </c>
      <c r="AC167">
        <v>0.05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423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430</v>
      </c>
      <c r="AT168">
        <v>0</v>
      </c>
      <c r="AU168">
        <v>0</v>
      </c>
      <c r="AV168" t="s">
        <v>434</v>
      </c>
      <c r="AW168">
        <v>0</v>
      </c>
      <c r="AX168">
        <v>0</v>
      </c>
      <c r="AY168">
        <v>0</v>
      </c>
      <c r="CC168">
        <v>2.7280000000000002</v>
      </c>
      <c r="CE168" t="s">
        <v>450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0.997</v>
      </c>
      <c r="AD169">
        <v>5.4999999999999997E-3</v>
      </c>
      <c r="AE169" t="s">
        <v>1653</v>
      </c>
      <c r="AF169">
        <v>0</v>
      </c>
      <c r="AG169" t="s">
        <v>1654</v>
      </c>
      <c r="AH169" t="s">
        <v>1653</v>
      </c>
      <c r="AI169" t="s">
        <v>423</v>
      </c>
      <c r="AJ169" t="s">
        <v>1654</v>
      </c>
      <c r="AK169" t="s">
        <v>1654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439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420</v>
      </c>
      <c r="R170" t="s">
        <v>422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434</v>
      </c>
      <c r="AW170">
        <v>0</v>
      </c>
      <c r="AX170">
        <v>0</v>
      </c>
      <c r="AY170">
        <v>0</v>
      </c>
      <c r="CC170">
        <v>2.5960000000000001</v>
      </c>
      <c r="CE170" t="s">
        <v>450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430</v>
      </c>
      <c r="AT171">
        <v>0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2.5325000000000002</v>
      </c>
      <c r="CE171" t="s">
        <v>450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127</v>
      </c>
      <c r="C172" t="s">
        <v>227</v>
      </c>
      <c r="D172" t="s">
        <v>327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2.6204999999999998</v>
      </c>
      <c r="CE172" t="s">
        <v>450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175</v>
      </c>
      <c r="C173" t="s">
        <v>275</v>
      </c>
      <c r="D173" t="s">
        <v>375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421</v>
      </c>
      <c r="S173">
        <v>0</v>
      </c>
      <c r="T173">
        <v>0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434</v>
      </c>
      <c r="AW173">
        <v>0</v>
      </c>
      <c r="AX173">
        <v>0</v>
      </c>
      <c r="AY173">
        <v>0</v>
      </c>
      <c r="CC173">
        <v>2.6215000000000002</v>
      </c>
      <c r="CE173" t="s">
        <v>450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421</v>
      </c>
      <c r="S174">
        <v>0</v>
      </c>
      <c r="T174">
        <v>0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430</v>
      </c>
      <c r="AT174">
        <v>0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2.5985</v>
      </c>
      <c r="CE174" t="s">
        <v>450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429</v>
      </c>
      <c r="AT175">
        <v>0</v>
      </c>
      <c r="AU175">
        <v>0</v>
      </c>
      <c r="AV175" t="s">
        <v>433</v>
      </c>
      <c r="AW175">
        <v>0</v>
      </c>
      <c r="AX175">
        <v>0</v>
      </c>
      <c r="AY175">
        <v>0</v>
      </c>
      <c r="CC175">
        <v>2.6669999999999998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140</v>
      </c>
      <c r="C176" t="s">
        <v>240</v>
      </c>
      <c r="D176" t="s">
        <v>340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430</v>
      </c>
      <c r="AT176">
        <v>0</v>
      </c>
      <c r="AU176">
        <v>0</v>
      </c>
      <c r="AV176" t="s">
        <v>445</v>
      </c>
      <c r="AW176">
        <v>0</v>
      </c>
      <c r="AX176">
        <v>0</v>
      </c>
      <c r="AY176">
        <v>0</v>
      </c>
      <c r="CC176">
        <v>2.7389999999999999</v>
      </c>
      <c r="CE176" t="s">
        <v>450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423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434</v>
      </c>
      <c r="AW177">
        <v>0</v>
      </c>
      <c r="AX177">
        <v>0</v>
      </c>
      <c r="AY177">
        <v>0</v>
      </c>
      <c r="CC177">
        <v>2.4035000000000002</v>
      </c>
      <c r="CE177" t="s">
        <v>450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3.3999999999999998E-3</v>
      </c>
      <c r="AC178">
        <v>0.05</v>
      </c>
      <c r="AD178">
        <v>0.01</v>
      </c>
      <c r="AE178" t="s">
        <v>1652</v>
      </c>
      <c r="AF178">
        <v>0</v>
      </c>
      <c r="AG178" t="s">
        <v>423</v>
      </c>
      <c r="AH178" t="s">
        <v>1652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437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423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430</v>
      </c>
      <c r="AT179">
        <v>0</v>
      </c>
      <c r="AU179">
        <v>0</v>
      </c>
      <c r="AV179" t="s">
        <v>445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180</v>
      </c>
      <c r="C180" t="s">
        <v>280</v>
      </c>
      <c r="D180" t="s">
        <v>380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425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450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Q181" t="s">
        <v>1648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424</v>
      </c>
      <c r="AT181">
        <v>1</v>
      </c>
      <c r="AU181">
        <v>0</v>
      </c>
      <c r="AV181" t="s">
        <v>434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 x14ac:dyDescent="0.25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433</v>
      </c>
      <c r="AW182">
        <v>0</v>
      </c>
      <c r="AX182">
        <v>0</v>
      </c>
      <c r="AY182">
        <v>0</v>
      </c>
      <c r="CC182">
        <v>2.7524999999999999</v>
      </c>
      <c r="CE182" t="s">
        <v>450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445</v>
      </c>
      <c r="AW183">
        <v>0</v>
      </c>
      <c r="AX183">
        <v>0</v>
      </c>
      <c r="AY183">
        <v>0</v>
      </c>
      <c r="CC183">
        <v>2.4740000000000002</v>
      </c>
      <c r="CE183" t="s">
        <v>450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421</v>
      </c>
      <c r="S184">
        <v>0</v>
      </c>
      <c r="T184">
        <v>0.01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0.01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L184" t="s">
        <v>1652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423</v>
      </c>
      <c r="AT184">
        <v>1</v>
      </c>
      <c r="AU184">
        <v>0</v>
      </c>
      <c r="AV184" t="s">
        <v>445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420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430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2.8384999999999998</v>
      </c>
      <c r="CE185" t="s">
        <v>450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423</v>
      </c>
      <c r="R186" t="s">
        <v>421</v>
      </c>
      <c r="S186">
        <v>0</v>
      </c>
      <c r="T186">
        <v>0.05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426</v>
      </c>
      <c r="AT186">
        <v>1</v>
      </c>
      <c r="AU186">
        <v>0</v>
      </c>
      <c r="AV186" t="s">
        <v>446</v>
      </c>
      <c r="AW186">
        <v>0</v>
      </c>
      <c r="AX186">
        <v>0</v>
      </c>
      <c r="AY186">
        <v>0</v>
      </c>
      <c r="CC186">
        <v>2.4055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423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425</v>
      </c>
      <c r="AT187">
        <v>0</v>
      </c>
      <c r="AU187">
        <v>0</v>
      </c>
      <c r="AV187" t="s">
        <v>434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1.06E-2</v>
      </c>
      <c r="AC188">
        <v>9.5000000000000001E-2</v>
      </c>
      <c r="AD188">
        <v>1.23E-2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L188" t="s">
        <v>1655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438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425</v>
      </c>
      <c r="AT189">
        <v>0</v>
      </c>
      <c r="AU189">
        <v>0</v>
      </c>
      <c r="AV189" t="s">
        <v>437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437</v>
      </c>
      <c r="AW190">
        <v>0</v>
      </c>
      <c r="AX190">
        <v>0</v>
      </c>
      <c r="AY190">
        <v>0</v>
      </c>
      <c r="CC190">
        <v>2.7084999999999999</v>
      </c>
      <c r="CE190" t="s">
        <v>450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437</v>
      </c>
      <c r="AW191">
        <v>0</v>
      </c>
      <c r="AX191">
        <v>0</v>
      </c>
      <c r="AY191">
        <v>0</v>
      </c>
      <c r="CC191">
        <v>2.9609999999999999</v>
      </c>
      <c r="CE191" t="s">
        <v>450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0.05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437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446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431</v>
      </c>
      <c r="AT194">
        <v>1</v>
      </c>
      <c r="AU194">
        <v>0</v>
      </c>
      <c r="AV194" t="s">
        <v>446</v>
      </c>
      <c r="AW194">
        <v>0</v>
      </c>
      <c r="AX194">
        <v>0</v>
      </c>
      <c r="AY194">
        <v>0</v>
      </c>
      <c r="CC194">
        <v>2.6105</v>
      </c>
      <c r="CE194" t="s">
        <v>450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423</v>
      </c>
      <c r="R195" t="s">
        <v>421</v>
      </c>
      <c r="S195">
        <v>0</v>
      </c>
      <c r="T195">
        <v>0.01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0.64300000000000002</v>
      </c>
      <c r="AD195">
        <v>2.06E-2</v>
      </c>
      <c r="AF195">
        <v>0</v>
      </c>
      <c r="AG195" t="s">
        <v>1654</v>
      </c>
      <c r="AI195" t="s">
        <v>423</v>
      </c>
      <c r="AJ195" t="s">
        <v>1654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449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423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139</v>
      </c>
      <c r="C197" t="s">
        <v>239</v>
      </c>
      <c r="D197" t="s">
        <v>339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430</v>
      </c>
      <c r="AT197">
        <v>0</v>
      </c>
      <c r="AU197">
        <v>0</v>
      </c>
      <c r="AV197" t="s">
        <v>447</v>
      </c>
      <c r="AW197">
        <v>0</v>
      </c>
      <c r="AX197">
        <v>0</v>
      </c>
      <c r="AY197">
        <v>0</v>
      </c>
      <c r="CC197">
        <v>2.5345</v>
      </c>
      <c r="CE197" t="s">
        <v>450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437</v>
      </c>
      <c r="AW198">
        <v>0</v>
      </c>
      <c r="AX198">
        <v>0</v>
      </c>
      <c r="AY198">
        <v>0</v>
      </c>
      <c r="CC198">
        <v>3.1044999999999998</v>
      </c>
      <c r="CE198" t="s">
        <v>450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446</v>
      </c>
      <c r="AW199">
        <v>0</v>
      </c>
      <c r="AX199">
        <v>0</v>
      </c>
      <c r="AY199">
        <v>0</v>
      </c>
      <c r="CC199">
        <v>2.875</v>
      </c>
      <c r="CE199" t="s">
        <v>450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148</v>
      </c>
      <c r="C200" t="s">
        <v>248</v>
      </c>
      <c r="D200" t="s">
        <v>348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424</v>
      </c>
      <c r="AT200">
        <v>1</v>
      </c>
      <c r="AU200">
        <v>0</v>
      </c>
      <c r="AV200" t="s">
        <v>433</v>
      </c>
      <c r="AW200">
        <v>0</v>
      </c>
      <c r="AX200">
        <v>0</v>
      </c>
      <c r="AY200">
        <v>0</v>
      </c>
      <c r="CC200">
        <v>2.641</v>
      </c>
      <c r="CE200" t="s">
        <v>450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143</v>
      </c>
      <c r="C201" t="s">
        <v>243</v>
      </c>
      <c r="D201" t="s">
        <v>343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430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450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423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429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CC202">
        <v>2.6579999999999999</v>
      </c>
      <c r="CE202" t="s">
        <v>450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0.1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446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1648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434</v>
      </c>
      <c r="AW204">
        <v>0</v>
      </c>
      <c r="AX204">
        <v>0</v>
      </c>
      <c r="AY204">
        <v>0</v>
      </c>
      <c r="CC204">
        <v>2.677</v>
      </c>
      <c r="CE204" t="s">
        <v>450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421</v>
      </c>
      <c r="S205">
        <v>0</v>
      </c>
      <c r="T205">
        <v>0.01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0.01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426</v>
      </c>
      <c r="AT205">
        <v>1</v>
      </c>
      <c r="AU205">
        <v>0</v>
      </c>
      <c r="AV205" t="s">
        <v>433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446</v>
      </c>
      <c r="AW206">
        <v>0</v>
      </c>
      <c r="AX206">
        <v>0</v>
      </c>
      <c r="AY206">
        <v>0</v>
      </c>
      <c r="CC206">
        <v>2.4805000000000001</v>
      </c>
      <c r="CE206" t="s">
        <v>450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421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430</v>
      </c>
      <c r="AT207">
        <v>0</v>
      </c>
      <c r="AU207">
        <v>0</v>
      </c>
      <c r="AV207" t="s">
        <v>439</v>
      </c>
      <c r="AW207">
        <v>0</v>
      </c>
      <c r="AX207">
        <v>0</v>
      </c>
      <c r="AY207">
        <v>0</v>
      </c>
      <c r="CC207">
        <v>2.387</v>
      </c>
      <c r="CE207" t="s">
        <v>450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423</v>
      </c>
      <c r="R208" t="s">
        <v>422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C208">
        <v>0.63600000000000001</v>
      </c>
      <c r="AF208">
        <v>0</v>
      </c>
      <c r="AG208" t="s">
        <v>1654</v>
      </c>
      <c r="AI208" t="s">
        <v>1654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448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116</v>
      </c>
      <c r="C209" t="s">
        <v>216</v>
      </c>
      <c r="D209" t="s">
        <v>316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2.9929999999999999</v>
      </c>
      <c r="CE209" t="s">
        <v>450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1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433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0.25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P211">
        <v>0</v>
      </c>
      <c r="AQ211" t="s">
        <v>1651</v>
      </c>
      <c r="AR211" t="s">
        <v>1651</v>
      </c>
      <c r="AS211" t="s">
        <v>430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450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0.05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L213" t="s">
        <v>1652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430</v>
      </c>
      <c r="AT214">
        <v>0</v>
      </c>
      <c r="AU214">
        <v>0</v>
      </c>
      <c r="AV214" t="s">
        <v>437</v>
      </c>
      <c r="AW214">
        <v>0</v>
      </c>
      <c r="AX214">
        <v>0</v>
      </c>
      <c r="AY214">
        <v>0</v>
      </c>
      <c r="CC214">
        <v>2.677</v>
      </c>
      <c r="CE214" t="s">
        <v>450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0.05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437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445</v>
      </c>
      <c r="AW216">
        <v>0</v>
      </c>
      <c r="AX216">
        <v>0</v>
      </c>
      <c r="AY216">
        <v>0</v>
      </c>
      <c r="CC216">
        <v>2.5</v>
      </c>
      <c r="CE216" t="s">
        <v>450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430</v>
      </c>
      <c r="AT217">
        <v>0</v>
      </c>
      <c r="AU217">
        <v>0</v>
      </c>
      <c r="AV217" t="s">
        <v>446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157</v>
      </c>
      <c r="C218" t="s">
        <v>257</v>
      </c>
      <c r="D218" t="s">
        <v>357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437</v>
      </c>
      <c r="AW218">
        <v>0</v>
      </c>
      <c r="AX218">
        <v>0</v>
      </c>
      <c r="AY218">
        <v>0</v>
      </c>
      <c r="CC218">
        <v>2.7614999999999998</v>
      </c>
      <c r="CE218" t="s">
        <v>450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431</v>
      </c>
      <c r="AT219">
        <v>1</v>
      </c>
      <c r="AU219">
        <v>0</v>
      </c>
      <c r="AV219" t="s">
        <v>434</v>
      </c>
      <c r="AW219">
        <v>0</v>
      </c>
      <c r="AX219">
        <v>0</v>
      </c>
      <c r="AY219">
        <v>0</v>
      </c>
      <c r="CC219">
        <v>2.7435</v>
      </c>
      <c r="CE219" t="s">
        <v>450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0.5</v>
      </c>
      <c r="AD220">
        <v>9.7000000000000003E-3</v>
      </c>
      <c r="AF220">
        <v>0</v>
      </c>
      <c r="AG220" t="s">
        <v>423</v>
      </c>
      <c r="AI220" t="s">
        <v>423</v>
      </c>
      <c r="AJ220" t="s">
        <v>423</v>
      </c>
      <c r="AK220" t="s">
        <v>1654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433</v>
      </c>
      <c r="AW221">
        <v>0</v>
      </c>
      <c r="AX221">
        <v>0</v>
      </c>
      <c r="AY221">
        <v>0</v>
      </c>
      <c r="CC221">
        <v>2.8344999999999998</v>
      </c>
      <c r="CE221" t="s">
        <v>450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434</v>
      </c>
      <c r="AW222">
        <v>0</v>
      </c>
      <c r="AX222">
        <v>0</v>
      </c>
      <c r="AY222">
        <v>0</v>
      </c>
      <c r="CC222">
        <v>2.46</v>
      </c>
      <c r="CE222" t="s">
        <v>450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450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421</v>
      </c>
      <c r="S224">
        <v>0</v>
      </c>
      <c r="T224">
        <v>0</v>
      </c>
      <c r="U224" t="s">
        <v>421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>
        <v>0</v>
      </c>
      <c r="AC224">
        <v>0</v>
      </c>
      <c r="AD224">
        <v>0</v>
      </c>
      <c r="AF224">
        <v>0</v>
      </c>
      <c r="AG224" t="s">
        <v>423</v>
      </c>
      <c r="AI224" t="s">
        <v>423</v>
      </c>
      <c r="AJ224" t="s">
        <v>423</v>
      </c>
      <c r="AK224" t="s">
        <v>423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430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Q225" t="s">
        <v>417</v>
      </c>
      <c r="R225" t="s">
        <v>422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0.05</v>
      </c>
      <c r="AC225">
        <v>0.05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L225" t="s">
        <v>1652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423</v>
      </c>
      <c r="AT225">
        <v>1</v>
      </c>
      <c r="AU225">
        <v>0</v>
      </c>
      <c r="AV225" t="s">
        <v>437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 x14ac:dyDescent="0.25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421</v>
      </c>
      <c r="S226">
        <v>0</v>
      </c>
      <c r="T226">
        <v>0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0.05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L226" t="s">
        <v>1652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446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0.01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434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420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430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2.4710000000000001</v>
      </c>
      <c r="CE229" t="s">
        <v>450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181</v>
      </c>
      <c r="C230" t="s">
        <v>281</v>
      </c>
      <c r="D230" t="s">
        <v>381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438</v>
      </c>
      <c r="AW230">
        <v>0</v>
      </c>
      <c r="AX230">
        <v>0</v>
      </c>
      <c r="AY230">
        <v>0</v>
      </c>
      <c r="CC230">
        <v>2.8319999999999999</v>
      </c>
      <c r="CE230" t="s">
        <v>450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422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0.21</v>
      </c>
      <c r="AD231">
        <v>0.1462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L231" t="s">
        <v>1653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440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430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431</v>
      </c>
      <c r="AT233">
        <v>1</v>
      </c>
      <c r="AU233">
        <v>0</v>
      </c>
      <c r="AV233" t="s">
        <v>445</v>
      </c>
      <c r="AW233">
        <v>0</v>
      </c>
      <c r="AX233">
        <v>0</v>
      </c>
      <c r="AY233">
        <v>0</v>
      </c>
      <c r="CC233">
        <v>2.89</v>
      </c>
      <c r="CE233" t="s">
        <v>450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0.25</v>
      </c>
      <c r="AD234">
        <v>0</v>
      </c>
      <c r="AF234">
        <v>0</v>
      </c>
      <c r="AG234" t="s">
        <v>1654</v>
      </c>
      <c r="AI234" t="s">
        <v>423</v>
      </c>
      <c r="AJ234" t="s">
        <v>423</v>
      </c>
      <c r="AK234" t="s">
        <v>423</v>
      </c>
      <c r="AL234" t="s">
        <v>1652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421</v>
      </c>
      <c r="S235">
        <v>0.65</v>
      </c>
      <c r="T235">
        <v>0.35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431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431</v>
      </c>
      <c r="AT237">
        <v>1</v>
      </c>
      <c r="AU237">
        <v>0</v>
      </c>
      <c r="AV237" t="s">
        <v>440</v>
      </c>
      <c r="AW237">
        <v>0</v>
      </c>
      <c r="AX237">
        <v>0</v>
      </c>
      <c r="AY237">
        <v>0</v>
      </c>
      <c r="CC237">
        <v>2.9165000000000001</v>
      </c>
      <c r="CE237" t="s">
        <v>450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430</v>
      </c>
      <c r="AT238">
        <v>0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421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2.2909999999999999</v>
      </c>
      <c r="CE239" t="s">
        <v>450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437</v>
      </c>
      <c r="AW240">
        <v>0</v>
      </c>
      <c r="AX240">
        <v>0</v>
      </c>
      <c r="AY240">
        <v>0</v>
      </c>
      <c r="CC240">
        <v>2.9325000000000001</v>
      </c>
      <c r="CE240" t="s">
        <v>450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425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2.9525000000000001</v>
      </c>
      <c r="CE241" t="s">
        <v>450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420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430</v>
      </c>
      <c r="AT242">
        <v>0</v>
      </c>
      <c r="AU242">
        <v>0</v>
      </c>
      <c r="AV242" t="s">
        <v>445</v>
      </c>
      <c r="AW242">
        <v>0</v>
      </c>
      <c r="AX242">
        <v>0</v>
      </c>
      <c r="AY242">
        <v>0</v>
      </c>
      <c r="CC242">
        <v>2.5425</v>
      </c>
      <c r="CE242" t="s">
        <v>450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426</v>
      </c>
      <c r="AT243">
        <v>1</v>
      </c>
      <c r="AU243">
        <v>1</v>
      </c>
      <c r="AV243" t="s">
        <v>435</v>
      </c>
      <c r="AW243">
        <v>0</v>
      </c>
      <c r="AX243">
        <v>0</v>
      </c>
      <c r="AY243">
        <v>0</v>
      </c>
      <c r="CC243">
        <v>2.5834999999999999</v>
      </c>
      <c r="CE243" t="s">
        <v>450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 x14ac:dyDescent="0.25">
      <c r="A244">
        <v>659</v>
      </c>
      <c r="B244" t="s">
        <v>166</v>
      </c>
      <c r="C244" t="s">
        <v>266</v>
      </c>
      <c r="D244" t="s">
        <v>366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421</v>
      </c>
      <c r="S244">
        <v>0</v>
      </c>
      <c r="T244">
        <v>0.01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432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2.6225000000000001</v>
      </c>
      <c r="CE244" t="s">
        <v>450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430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2.5165000000000002</v>
      </c>
      <c r="CE245" t="s">
        <v>450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423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0.01</v>
      </c>
      <c r="AC247">
        <v>0.1</v>
      </c>
      <c r="AD247">
        <v>0</v>
      </c>
      <c r="AE247" t="s">
        <v>1652</v>
      </c>
      <c r="AF247">
        <v>0</v>
      </c>
      <c r="AG247" t="s">
        <v>1654</v>
      </c>
      <c r="AH247" t="s">
        <v>1652</v>
      </c>
      <c r="AI247" t="s">
        <v>423</v>
      </c>
      <c r="AJ247" t="s">
        <v>423</v>
      </c>
      <c r="AK247" t="s">
        <v>423</v>
      </c>
      <c r="AL247" t="s">
        <v>1652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429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130</v>
      </c>
      <c r="C248" t="s">
        <v>230</v>
      </c>
      <c r="D248" t="s">
        <v>330</v>
      </c>
      <c r="E248" t="s">
        <v>401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430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450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420</v>
      </c>
      <c r="R249" t="s">
        <v>421</v>
      </c>
      <c r="S249">
        <v>0</v>
      </c>
      <c r="T249">
        <v>0.01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426</v>
      </c>
      <c r="AT249">
        <v>1</v>
      </c>
      <c r="AU249">
        <v>0</v>
      </c>
      <c r="AV249" t="s">
        <v>440</v>
      </c>
      <c r="AW249">
        <v>0</v>
      </c>
      <c r="AX249">
        <v>0</v>
      </c>
      <c r="AY249">
        <v>0</v>
      </c>
      <c r="CC249">
        <v>2.323</v>
      </c>
      <c r="CE249" t="s">
        <v>450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430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2.4434999999999998</v>
      </c>
      <c r="CE250" t="s">
        <v>450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430</v>
      </c>
      <c r="AT251">
        <v>0</v>
      </c>
      <c r="AU251">
        <v>0</v>
      </c>
      <c r="AV251" t="s">
        <v>434</v>
      </c>
      <c r="AW251">
        <v>0</v>
      </c>
      <c r="AX251">
        <v>0</v>
      </c>
      <c r="AY251">
        <v>0</v>
      </c>
      <c r="CC251">
        <v>2.5545</v>
      </c>
      <c r="CE251" t="s">
        <v>450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423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2.7625000000000002</v>
      </c>
      <c r="CE252" t="s">
        <v>450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429</v>
      </c>
      <c r="AT253">
        <v>0</v>
      </c>
      <c r="AU253">
        <v>0</v>
      </c>
      <c r="AV253" t="s">
        <v>433</v>
      </c>
      <c r="AW253">
        <v>0</v>
      </c>
      <c r="AX253">
        <v>0</v>
      </c>
      <c r="AY253">
        <v>0</v>
      </c>
      <c r="CC253">
        <v>2.7555000000000001</v>
      </c>
      <c r="CE253" t="s">
        <v>450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186</v>
      </c>
      <c r="C254" t="s">
        <v>286</v>
      </c>
      <c r="D254" t="s">
        <v>386</v>
      </c>
      <c r="E254" t="s">
        <v>402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420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2.6945000000000001</v>
      </c>
      <c r="CE254" t="s">
        <v>450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421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0.55600000000000005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1654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425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2.8395000000000001</v>
      </c>
      <c r="CE256" t="s">
        <v>450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421</v>
      </c>
      <c r="S257">
        <v>0</v>
      </c>
      <c r="T257">
        <v>0.01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0.13100000000000001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431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173</v>
      </c>
      <c r="C258" t="s">
        <v>273</v>
      </c>
      <c r="D258" t="s">
        <v>373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421</v>
      </c>
      <c r="S258">
        <v>0</v>
      </c>
      <c r="T258">
        <v>0.05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431</v>
      </c>
      <c r="AT258">
        <v>1</v>
      </c>
      <c r="AU258">
        <v>0</v>
      </c>
      <c r="AV258" t="s">
        <v>449</v>
      </c>
      <c r="AW258">
        <v>0</v>
      </c>
      <c r="AX258">
        <v>0</v>
      </c>
      <c r="AY258">
        <v>0</v>
      </c>
      <c r="CC258">
        <v>2.6440000000000001</v>
      </c>
      <c r="CE258" t="s">
        <v>450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4.2000000000000003E-2</v>
      </c>
      <c r="AD259">
        <v>0</v>
      </c>
      <c r="AE259" t="s">
        <v>1652</v>
      </c>
      <c r="AF259">
        <v>0</v>
      </c>
      <c r="AG259" t="s">
        <v>1654</v>
      </c>
      <c r="AH259" t="s">
        <v>1652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138</v>
      </c>
      <c r="C260" t="s">
        <v>238</v>
      </c>
      <c r="D260" t="s">
        <v>338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421</v>
      </c>
      <c r="S260">
        <v>0</v>
      </c>
      <c r="T260">
        <v>0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>
        <v>0</v>
      </c>
      <c r="AC260">
        <v>0</v>
      </c>
      <c r="AD260">
        <v>0</v>
      </c>
      <c r="AF260">
        <v>0</v>
      </c>
      <c r="AG260" t="s">
        <v>423</v>
      </c>
      <c r="AI260" t="s">
        <v>423</v>
      </c>
      <c r="AJ260" t="s">
        <v>423</v>
      </c>
      <c r="AK260" t="s">
        <v>423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430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C260">
        <v>2.4255</v>
      </c>
      <c r="CE260" t="s">
        <v>450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662</v>
      </c>
      <c r="C261" t="s">
        <v>1061</v>
      </c>
      <c r="D261" t="s">
        <v>1460</v>
      </c>
      <c r="E261" t="s">
        <v>402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430</v>
      </c>
      <c r="AT261">
        <v>0</v>
      </c>
      <c r="AU261">
        <v>0</v>
      </c>
      <c r="AV261" t="s">
        <v>443</v>
      </c>
      <c r="AW261">
        <v>0</v>
      </c>
      <c r="AX261">
        <v>0</v>
      </c>
      <c r="AY261">
        <v>0</v>
      </c>
      <c r="CC261">
        <v>2.4095</v>
      </c>
      <c r="CE261" t="s">
        <v>450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131</v>
      </c>
      <c r="C262" t="s">
        <v>231</v>
      </c>
      <c r="D262" t="s">
        <v>331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430</v>
      </c>
      <c r="AT262">
        <v>0</v>
      </c>
      <c r="AU262">
        <v>0</v>
      </c>
      <c r="AV262" t="s">
        <v>447</v>
      </c>
      <c r="AW262">
        <v>0</v>
      </c>
      <c r="AX262">
        <v>0</v>
      </c>
      <c r="AY262">
        <v>0</v>
      </c>
      <c r="CC262">
        <v>2.6284999999999998</v>
      </c>
      <c r="CE262" t="s">
        <v>450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663</v>
      </c>
      <c r="C263" t="s">
        <v>1062</v>
      </c>
      <c r="D263" t="s">
        <v>1461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433</v>
      </c>
      <c r="AW263">
        <v>0</v>
      </c>
      <c r="AX263">
        <v>0</v>
      </c>
      <c r="AY263">
        <v>0</v>
      </c>
      <c r="CC263">
        <v>2.8149999999999999</v>
      </c>
      <c r="CE263" t="s">
        <v>450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664</v>
      </c>
      <c r="C264" t="s">
        <v>1063</v>
      </c>
      <c r="D264" t="s">
        <v>1462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436</v>
      </c>
      <c r="AW264">
        <v>0</v>
      </c>
      <c r="AX264">
        <v>0</v>
      </c>
      <c r="AY264">
        <v>0</v>
      </c>
      <c r="CC264">
        <v>2.5979999999999999</v>
      </c>
      <c r="CE264" t="s">
        <v>450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665</v>
      </c>
      <c r="C265" t="s">
        <v>1064</v>
      </c>
      <c r="D265" t="s">
        <v>1463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421</v>
      </c>
      <c r="S265">
        <v>0</v>
      </c>
      <c r="T265">
        <v>0.05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431</v>
      </c>
      <c r="AT265">
        <v>1</v>
      </c>
      <c r="AU265">
        <v>0</v>
      </c>
      <c r="AV265" t="s">
        <v>438</v>
      </c>
      <c r="AW265">
        <v>0</v>
      </c>
      <c r="AX265">
        <v>0</v>
      </c>
      <c r="AY265">
        <v>0</v>
      </c>
      <c r="CC265">
        <v>2.7755000000000001</v>
      </c>
      <c r="CE265" t="s">
        <v>450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161</v>
      </c>
      <c r="C266" t="s">
        <v>261</v>
      </c>
      <c r="D266" t="s">
        <v>361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431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2.8450000000000002</v>
      </c>
      <c r="CE266" t="s">
        <v>450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436</v>
      </c>
      <c r="AW267">
        <v>0</v>
      </c>
      <c r="AX267">
        <v>0</v>
      </c>
      <c r="AY267">
        <v>0</v>
      </c>
      <c r="CC267">
        <v>2.3624999999999998</v>
      </c>
      <c r="CE267" t="s">
        <v>450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666</v>
      </c>
      <c r="C268" t="s">
        <v>1065</v>
      </c>
      <c r="D268" t="s">
        <v>1464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424</v>
      </c>
      <c r="AT268">
        <v>1</v>
      </c>
      <c r="AU268">
        <v>0</v>
      </c>
      <c r="AV268" t="s">
        <v>433</v>
      </c>
      <c r="AW268">
        <v>0</v>
      </c>
      <c r="AX268">
        <v>0</v>
      </c>
      <c r="AY268">
        <v>0</v>
      </c>
      <c r="CC268">
        <v>2.2839999999999998</v>
      </c>
      <c r="CE268" t="s">
        <v>450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437</v>
      </c>
      <c r="AW269">
        <v>0</v>
      </c>
      <c r="AX269">
        <v>0</v>
      </c>
      <c r="AY269">
        <v>0</v>
      </c>
      <c r="CC269">
        <v>2.8340000000000001</v>
      </c>
      <c r="CE269" t="s">
        <v>450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182</v>
      </c>
      <c r="C270" t="s">
        <v>282</v>
      </c>
      <c r="D270" t="s">
        <v>382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438</v>
      </c>
      <c r="AW270">
        <v>0</v>
      </c>
      <c r="AX270">
        <v>0</v>
      </c>
      <c r="AY270">
        <v>0</v>
      </c>
      <c r="CC270">
        <v>2.742</v>
      </c>
      <c r="CE270" t="s">
        <v>450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667</v>
      </c>
      <c r="C271" t="s">
        <v>1066</v>
      </c>
      <c r="D271" t="s">
        <v>1465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L271" t="s">
        <v>1652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438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668</v>
      </c>
      <c r="C272" t="s">
        <v>1067</v>
      </c>
      <c r="D272" t="s">
        <v>1466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1650</v>
      </c>
      <c r="Y272" t="s">
        <v>421</v>
      </c>
      <c r="Z272" t="s">
        <v>421</v>
      </c>
      <c r="AA272" t="s">
        <v>421</v>
      </c>
      <c r="AB272">
        <v>0</v>
      </c>
      <c r="AC272">
        <v>0.5</v>
      </c>
      <c r="AD272">
        <v>0</v>
      </c>
      <c r="AF272">
        <v>0</v>
      </c>
      <c r="AG272" t="s">
        <v>1654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669</v>
      </c>
      <c r="C273" t="s">
        <v>1068</v>
      </c>
      <c r="D273" t="s">
        <v>1467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425</v>
      </c>
      <c r="AT273">
        <v>0</v>
      </c>
      <c r="AU273">
        <v>0</v>
      </c>
      <c r="AV273" t="s">
        <v>445</v>
      </c>
      <c r="AW273">
        <v>0</v>
      </c>
      <c r="AX273">
        <v>0</v>
      </c>
      <c r="AY273">
        <v>0</v>
      </c>
      <c r="CC273">
        <v>2.738</v>
      </c>
      <c r="CE273" t="s">
        <v>450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670</v>
      </c>
      <c r="C274" t="s">
        <v>1069</v>
      </c>
      <c r="D274" t="s">
        <v>1468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0.05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426</v>
      </c>
      <c r="AT274">
        <v>1</v>
      </c>
      <c r="AU274">
        <v>0</v>
      </c>
      <c r="AV274" t="s">
        <v>446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671</v>
      </c>
      <c r="C275" t="s">
        <v>1070</v>
      </c>
      <c r="D275" t="s">
        <v>1469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Q275" t="s">
        <v>418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434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146</v>
      </c>
      <c r="C276" t="s">
        <v>246</v>
      </c>
      <c r="D276" t="s">
        <v>346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424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2.5605000000000002</v>
      </c>
      <c r="CE276" t="s">
        <v>450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672</v>
      </c>
      <c r="C277" t="s">
        <v>1071</v>
      </c>
      <c r="D277" t="s">
        <v>1470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430</v>
      </c>
      <c r="AT277">
        <v>0</v>
      </c>
      <c r="AU277">
        <v>0</v>
      </c>
      <c r="AV277" t="s">
        <v>434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673</v>
      </c>
      <c r="C278" t="s">
        <v>1072</v>
      </c>
      <c r="D278" t="s">
        <v>1471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424</v>
      </c>
      <c r="AT278">
        <v>1</v>
      </c>
      <c r="AU278">
        <v>0</v>
      </c>
      <c r="AV278" t="s">
        <v>437</v>
      </c>
      <c r="AW278">
        <v>0</v>
      </c>
      <c r="AX278">
        <v>0</v>
      </c>
      <c r="AY278">
        <v>0</v>
      </c>
      <c r="CC278">
        <v>2.8079999999999998</v>
      </c>
      <c r="CE278" t="s">
        <v>450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142</v>
      </c>
      <c r="C279" t="s">
        <v>242</v>
      </c>
      <c r="D279" t="s">
        <v>342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430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2.4409999999999998</v>
      </c>
      <c r="CE279" t="s">
        <v>450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179</v>
      </c>
      <c r="C280" t="s">
        <v>279</v>
      </c>
      <c r="D280" t="s">
        <v>379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433</v>
      </c>
      <c r="AW280">
        <v>0</v>
      </c>
      <c r="AX280">
        <v>0</v>
      </c>
      <c r="AY280">
        <v>0</v>
      </c>
      <c r="CC280">
        <v>2.7650000000000001</v>
      </c>
      <c r="CE280" t="s">
        <v>450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674</v>
      </c>
      <c r="C281" t="s">
        <v>1073</v>
      </c>
      <c r="D281" t="s">
        <v>1472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1650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675</v>
      </c>
      <c r="C282" t="s">
        <v>1074</v>
      </c>
      <c r="D282" t="s">
        <v>1473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423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434</v>
      </c>
      <c r="AW282">
        <v>0</v>
      </c>
      <c r="AX282">
        <v>0</v>
      </c>
      <c r="AY282">
        <v>0</v>
      </c>
      <c r="CC282">
        <v>2.2795000000000001</v>
      </c>
      <c r="CE282" t="s">
        <v>450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676</v>
      </c>
      <c r="C283" t="s">
        <v>1075</v>
      </c>
      <c r="D283" t="s">
        <v>1474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421</v>
      </c>
      <c r="S283">
        <v>0</v>
      </c>
      <c r="T283">
        <v>0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446</v>
      </c>
      <c r="AW283">
        <v>0</v>
      </c>
      <c r="AX283">
        <v>0</v>
      </c>
      <c r="AY283">
        <v>0</v>
      </c>
      <c r="CC283">
        <v>2.339</v>
      </c>
      <c r="CE283" t="s">
        <v>450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677</v>
      </c>
      <c r="C284" t="s">
        <v>1076</v>
      </c>
      <c r="D284" t="s">
        <v>1475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420</v>
      </c>
      <c r="R284" t="s">
        <v>421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430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450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446</v>
      </c>
      <c r="AW285">
        <v>0</v>
      </c>
      <c r="AX285">
        <v>0</v>
      </c>
      <c r="AY285">
        <v>0</v>
      </c>
      <c r="CC285">
        <v>2.9824999999999999</v>
      </c>
      <c r="CE285" t="s">
        <v>450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430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2.6655000000000002</v>
      </c>
      <c r="CE286" t="s">
        <v>450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Q287" t="s">
        <v>418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424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H288" t="s">
        <v>1652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446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152</v>
      </c>
      <c r="C289" t="s">
        <v>252</v>
      </c>
      <c r="D289" t="s">
        <v>352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433</v>
      </c>
      <c r="AW289">
        <v>0</v>
      </c>
      <c r="AX289">
        <v>0</v>
      </c>
      <c r="AY289">
        <v>0</v>
      </c>
      <c r="CC289">
        <v>2.6444999999999999</v>
      </c>
      <c r="CE289" t="s">
        <v>450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447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164</v>
      </c>
      <c r="C291" t="s">
        <v>264</v>
      </c>
      <c r="D291" t="s">
        <v>364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421</v>
      </c>
      <c r="S291">
        <v>0</v>
      </c>
      <c r="T291">
        <v>0.01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426</v>
      </c>
      <c r="AT291">
        <v>1</v>
      </c>
      <c r="AU291">
        <v>0</v>
      </c>
      <c r="AV291" t="s">
        <v>437</v>
      </c>
      <c r="AW291">
        <v>0</v>
      </c>
      <c r="AX291">
        <v>0</v>
      </c>
      <c r="AY291">
        <v>0</v>
      </c>
      <c r="CC291">
        <v>2.4750000000000001</v>
      </c>
      <c r="CE291" t="s">
        <v>450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423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430</v>
      </c>
      <c r="AT292">
        <v>0</v>
      </c>
      <c r="AU292">
        <v>0</v>
      </c>
      <c r="AV292" t="s">
        <v>434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421</v>
      </c>
      <c r="S293">
        <v>0</v>
      </c>
      <c r="T293">
        <v>0.01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433</v>
      </c>
      <c r="AW293">
        <v>0</v>
      </c>
      <c r="AX293">
        <v>0</v>
      </c>
      <c r="AY293">
        <v>0</v>
      </c>
      <c r="CC293">
        <v>2.5529999999999999</v>
      </c>
      <c r="CE293" t="s">
        <v>450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430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2.4344999999999999</v>
      </c>
      <c r="CE294" t="s">
        <v>450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430</v>
      </c>
      <c r="AT295">
        <v>0</v>
      </c>
      <c r="AU295">
        <v>0</v>
      </c>
      <c r="AV295" t="s">
        <v>448</v>
      </c>
      <c r="AW295">
        <v>0</v>
      </c>
      <c r="AX295">
        <v>0</v>
      </c>
      <c r="AY295">
        <v>0</v>
      </c>
      <c r="CC295">
        <v>2.3005</v>
      </c>
      <c r="CE295" t="s">
        <v>450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431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2.7480000000000002</v>
      </c>
      <c r="CE296" t="s">
        <v>450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430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450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422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437</v>
      </c>
      <c r="AW299">
        <v>0</v>
      </c>
      <c r="AX299">
        <v>0</v>
      </c>
      <c r="AY299">
        <v>0</v>
      </c>
      <c r="CC299">
        <v>2.2515000000000001</v>
      </c>
      <c r="CE299" t="s">
        <v>450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429</v>
      </c>
      <c r="AT300">
        <v>0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2.786</v>
      </c>
      <c r="CE300" t="s">
        <v>450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149</v>
      </c>
      <c r="C301" t="s">
        <v>249</v>
      </c>
      <c r="D301" t="s">
        <v>349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424</v>
      </c>
      <c r="AT301">
        <v>1</v>
      </c>
      <c r="AU301">
        <v>0</v>
      </c>
      <c r="AV301" t="s">
        <v>440</v>
      </c>
      <c r="AW301">
        <v>0</v>
      </c>
      <c r="AX301">
        <v>0</v>
      </c>
      <c r="AY301">
        <v>0</v>
      </c>
      <c r="CC301">
        <v>2.4015</v>
      </c>
      <c r="CE301" t="s">
        <v>450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438</v>
      </c>
      <c r="AW302">
        <v>0</v>
      </c>
      <c r="AX302">
        <v>0</v>
      </c>
      <c r="AY302">
        <v>0</v>
      </c>
      <c r="CC302">
        <v>2.6160000000000001</v>
      </c>
      <c r="CE302" t="s">
        <v>450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C303">
        <v>0.01</v>
      </c>
      <c r="AE303" t="s">
        <v>1652</v>
      </c>
      <c r="AF303">
        <v>0</v>
      </c>
      <c r="AG303" t="s">
        <v>423</v>
      </c>
      <c r="AH303" t="s">
        <v>1652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433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431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2.7955000000000001</v>
      </c>
      <c r="CE304" t="s">
        <v>450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178</v>
      </c>
      <c r="C305" t="s">
        <v>278</v>
      </c>
      <c r="D305" t="s">
        <v>378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421</v>
      </c>
      <c r="S305">
        <v>0</v>
      </c>
      <c r="T305">
        <v>0</v>
      </c>
      <c r="U305" t="s">
        <v>421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>
        <v>0</v>
      </c>
      <c r="AC305">
        <v>0</v>
      </c>
      <c r="AD305">
        <v>0</v>
      </c>
      <c r="AF305">
        <v>0</v>
      </c>
      <c r="AG305" t="s">
        <v>423</v>
      </c>
      <c r="AI305" t="s">
        <v>423</v>
      </c>
      <c r="AJ305" t="s">
        <v>423</v>
      </c>
      <c r="AK305" t="s">
        <v>423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450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421</v>
      </c>
      <c r="S306">
        <v>0</v>
      </c>
      <c r="T306">
        <v>0</v>
      </c>
      <c r="U306" t="s">
        <v>421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>
        <v>0</v>
      </c>
      <c r="AC306">
        <v>0</v>
      </c>
      <c r="AD306">
        <v>0</v>
      </c>
      <c r="AF306">
        <v>0</v>
      </c>
      <c r="AG306" t="s">
        <v>423</v>
      </c>
      <c r="AI306" t="s">
        <v>423</v>
      </c>
      <c r="AJ306" t="s">
        <v>423</v>
      </c>
      <c r="AK306" t="s">
        <v>423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439</v>
      </c>
      <c r="AW306">
        <v>0</v>
      </c>
      <c r="AX306">
        <v>0</v>
      </c>
      <c r="AY306">
        <v>0</v>
      </c>
      <c r="CC306">
        <v>2.4900000000000002</v>
      </c>
      <c r="CE306" t="s">
        <v>450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421</v>
      </c>
      <c r="S307">
        <v>0</v>
      </c>
      <c r="T307">
        <v>0</v>
      </c>
      <c r="U307" t="s">
        <v>421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>
        <v>0</v>
      </c>
      <c r="AC307">
        <v>0.01</v>
      </c>
      <c r="AD307">
        <v>0</v>
      </c>
      <c r="AF307">
        <v>0</v>
      </c>
      <c r="AG307" t="s">
        <v>423</v>
      </c>
      <c r="AI307" t="s">
        <v>423</v>
      </c>
      <c r="AJ307" t="s">
        <v>423</v>
      </c>
      <c r="AK307" t="s">
        <v>423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437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423</v>
      </c>
      <c r="R308" t="s">
        <v>421</v>
      </c>
      <c r="S308">
        <v>0</v>
      </c>
      <c r="T308">
        <v>0</v>
      </c>
      <c r="U308" t="s">
        <v>421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>
        <v>0</v>
      </c>
      <c r="AC308">
        <v>0</v>
      </c>
      <c r="AD308">
        <v>0</v>
      </c>
      <c r="AF308">
        <v>0</v>
      </c>
      <c r="AG308" t="s">
        <v>423</v>
      </c>
      <c r="AI308" t="s">
        <v>423</v>
      </c>
      <c r="AJ308" t="s">
        <v>423</v>
      </c>
      <c r="AK308" t="s">
        <v>423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430</v>
      </c>
      <c r="AT308">
        <v>0</v>
      </c>
      <c r="AU308">
        <v>0</v>
      </c>
      <c r="AV308" t="s">
        <v>437</v>
      </c>
      <c r="AW308">
        <v>0</v>
      </c>
      <c r="AX308">
        <v>0</v>
      </c>
      <c r="AY308">
        <v>0</v>
      </c>
      <c r="CC308">
        <v>2.9095</v>
      </c>
      <c r="CE308" t="s">
        <v>450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Q309" t="s">
        <v>423</v>
      </c>
      <c r="R309" t="s">
        <v>421</v>
      </c>
      <c r="S309">
        <v>0</v>
      </c>
      <c r="T309">
        <v>0</v>
      </c>
      <c r="U309" t="s">
        <v>421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>
        <v>0</v>
      </c>
      <c r="AC309">
        <v>0</v>
      </c>
      <c r="AD309">
        <v>0</v>
      </c>
      <c r="AF309">
        <v>0</v>
      </c>
      <c r="AG309" t="s">
        <v>423</v>
      </c>
      <c r="AI309" t="s">
        <v>423</v>
      </c>
      <c r="AJ309" t="s">
        <v>423</v>
      </c>
      <c r="AK309" t="s">
        <v>423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434</v>
      </c>
      <c r="AW309">
        <v>0</v>
      </c>
      <c r="AX309">
        <v>0</v>
      </c>
      <c r="AY309">
        <v>0</v>
      </c>
      <c r="CC309">
        <v>2.5844999999999998</v>
      </c>
      <c r="CE309" t="s">
        <v>450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 x14ac:dyDescent="0.25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421</v>
      </c>
      <c r="S310">
        <v>0</v>
      </c>
      <c r="T310">
        <v>0</v>
      </c>
      <c r="U310" t="s">
        <v>421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423</v>
      </c>
      <c r="AI310" t="s">
        <v>423</v>
      </c>
      <c r="AJ310" t="s">
        <v>423</v>
      </c>
      <c r="AK310" t="s">
        <v>423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421</v>
      </c>
      <c r="S311">
        <v>0</v>
      </c>
      <c r="T311">
        <v>0</v>
      </c>
      <c r="U311" t="s">
        <v>421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>
        <v>0</v>
      </c>
      <c r="AC311">
        <v>0.84899999999999998</v>
      </c>
      <c r="AD311">
        <v>0.1855</v>
      </c>
      <c r="AF311">
        <v>0</v>
      </c>
      <c r="AG311" t="s">
        <v>423</v>
      </c>
      <c r="AI311" t="s">
        <v>423</v>
      </c>
      <c r="AJ311" t="s">
        <v>423</v>
      </c>
      <c r="AK311" t="s">
        <v>423</v>
      </c>
      <c r="AL311" t="s">
        <v>1653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421</v>
      </c>
      <c r="S312">
        <v>0</v>
      </c>
      <c r="T312">
        <v>0</v>
      </c>
      <c r="U312" t="s">
        <v>421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>
        <v>0</v>
      </c>
      <c r="AC312">
        <v>0</v>
      </c>
      <c r="AD312">
        <v>0</v>
      </c>
      <c r="AF312">
        <v>0</v>
      </c>
      <c r="AG312" t="s">
        <v>423</v>
      </c>
      <c r="AI312" t="s">
        <v>423</v>
      </c>
      <c r="AJ312" t="s">
        <v>423</v>
      </c>
      <c r="AK312" t="s">
        <v>423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430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2.5739999999999998</v>
      </c>
      <c r="CE312" t="s">
        <v>450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700</v>
      </c>
      <c r="C313" t="s">
        <v>1099</v>
      </c>
      <c r="D313" t="s">
        <v>1498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421</v>
      </c>
      <c r="S313">
        <v>0</v>
      </c>
      <c r="T313">
        <v>0</v>
      </c>
      <c r="U313" t="s">
        <v>421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>
        <v>0</v>
      </c>
      <c r="AC313">
        <v>0</v>
      </c>
      <c r="AD313">
        <v>0</v>
      </c>
      <c r="AF313">
        <v>0</v>
      </c>
      <c r="AG313" t="s">
        <v>423</v>
      </c>
      <c r="AI313" t="s">
        <v>423</v>
      </c>
      <c r="AJ313" t="s">
        <v>423</v>
      </c>
      <c r="AK313" t="s">
        <v>423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425</v>
      </c>
      <c r="AT313">
        <v>0</v>
      </c>
      <c r="AU313">
        <v>0</v>
      </c>
      <c r="AV313" t="s">
        <v>437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701</v>
      </c>
      <c r="C314" t="s">
        <v>1100</v>
      </c>
      <c r="D314" t="s">
        <v>1499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421</v>
      </c>
      <c r="S314">
        <v>0</v>
      </c>
      <c r="T314">
        <v>0.01</v>
      </c>
      <c r="U314" t="s">
        <v>421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>
        <v>0</v>
      </c>
      <c r="AC314">
        <v>0.628</v>
      </c>
      <c r="AD314">
        <v>0.01</v>
      </c>
      <c r="AF314">
        <v>0</v>
      </c>
      <c r="AG314" t="s">
        <v>423</v>
      </c>
      <c r="AI314" t="s">
        <v>423</v>
      </c>
      <c r="AJ314" t="s">
        <v>423</v>
      </c>
      <c r="AK314" t="s">
        <v>1654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438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170</v>
      </c>
      <c r="C315" t="s">
        <v>270</v>
      </c>
      <c r="D315" t="s">
        <v>370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421</v>
      </c>
      <c r="S315">
        <v>0</v>
      </c>
      <c r="T315">
        <v>0</v>
      </c>
      <c r="U315" t="s">
        <v>421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>
        <v>0</v>
      </c>
      <c r="AC315">
        <v>0</v>
      </c>
      <c r="AD315">
        <v>0</v>
      </c>
      <c r="AF315">
        <v>0</v>
      </c>
      <c r="AG315" t="s">
        <v>423</v>
      </c>
      <c r="AI315" t="s">
        <v>423</v>
      </c>
      <c r="AJ315" t="s">
        <v>423</v>
      </c>
      <c r="AK315" t="s">
        <v>423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446</v>
      </c>
      <c r="AW315">
        <v>0</v>
      </c>
      <c r="AX315">
        <v>0</v>
      </c>
      <c r="AY315">
        <v>0</v>
      </c>
      <c r="CC315">
        <v>2.573</v>
      </c>
      <c r="CE315" t="s">
        <v>450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702</v>
      </c>
      <c r="C316" t="s">
        <v>1101</v>
      </c>
      <c r="D316" t="s">
        <v>1500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421</v>
      </c>
      <c r="S316">
        <v>0</v>
      </c>
      <c r="T316">
        <v>0</v>
      </c>
      <c r="U316" t="s">
        <v>421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>
        <v>0</v>
      </c>
      <c r="AC316">
        <v>0.01</v>
      </c>
      <c r="AD316">
        <v>0</v>
      </c>
      <c r="AF316">
        <v>0</v>
      </c>
      <c r="AG316" t="s">
        <v>423</v>
      </c>
      <c r="AI316" t="s">
        <v>423</v>
      </c>
      <c r="AJ316" t="s">
        <v>423</v>
      </c>
      <c r="AK316" t="s">
        <v>423</v>
      </c>
      <c r="AL316" t="s">
        <v>1652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433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162</v>
      </c>
      <c r="C317" t="s">
        <v>262</v>
      </c>
      <c r="D317" t="s">
        <v>362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421</v>
      </c>
      <c r="S317">
        <v>0</v>
      </c>
      <c r="T317">
        <v>0</v>
      </c>
      <c r="U317" t="s">
        <v>421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>
        <v>0</v>
      </c>
      <c r="AC317">
        <v>0</v>
      </c>
      <c r="AD317">
        <v>0</v>
      </c>
      <c r="AF317">
        <v>0</v>
      </c>
      <c r="AG317" t="s">
        <v>423</v>
      </c>
      <c r="AI317" t="s">
        <v>423</v>
      </c>
      <c r="AJ317" t="s">
        <v>423</v>
      </c>
      <c r="AK317" t="s">
        <v>423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431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2.2284999999999999</v>
      </c>
      <c r="CE317" t="s">
        <v>450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703</v>
      </c>
      <c r="C318" t="s">
        <v>1102</v>
      </c>
      <c r="D318" t="s">
        <v>1501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421</v>
      </c>
      <c r="S318">
        <v>0</v>
      </c>
      <c r="T318">
        <v>0</v>
      </c>
      <c r="U318" t="s">
        <v>421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>
        <v>0</v>
      </c>
      <c r="AC318">
        <v>0</v>
      </c>
      <c r="AD318">
        <v>0</v>
      </c>
      <c r="AF318">
        <v>0</v>
      </c>
      <c r="AG318" t="s">
        <v>423</v>
      </c>
      <c r="AI318" t="s">
        <v>423</v>
      </c>
      <c r="AJ318" t="s">
        <v>423</v>
      </c>
      <c r="AK318" t="s">
        <v>423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434</v>
      </c>
      <c r="AW318">
        <v>0</v>
      </c>
      <c r="AX318">
        <v>0</v>
      </c>
      <c r="AY318">
        <v>0</v>
      </c>
      <c r="CC318">
        <v>2.286</v>
      </c>
      <c r="CE318" t="s">
        <v>450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704</v>
      </c>
      <c r="C319" t="s">
        <v>1103</v>
      </c>
      <c r="D319" t="s">
        <v>1502</v>
      </c>
      <c r="E319" t="s">
        <v>402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Q319" t="s">
        <v>423</v>
      </c>
      <c r="R319" t="s">
        <v>421</v>
      </c>
      <c r="S319">
        <v>0</v>
      </c>
      <c r="T319">
        <v>0</v>
      </c>
      <c r="U319" t="s">
        <v>421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>
        <v>0</v>
      </c>
      <c r="AC319">
        <v>0.01</v>
      </c>
      <c r="AD319">
        <v>0</v>
      </c>
      <c r="AF319">
        <v>0</v>
      </c>
      <c r="AG319" t="s">
        <v>423</v>
      </c>
      <c r="AI319" t="s">
        <v>423</v>
      </c>
      <c r="AJ319" t="s">
        <v>423</v>
      </c>
      <c r="AK319" t="s">
        <v>423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443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 x14ac:dyDescent="0.25">
      <c r="A320">
        <v>960</v>
      </c>
      <c r="B320" t="s">
        <v>705</v>
      </c>
      <c r="C320" t="s">
        <v>1104</v>
      </c>
      <c r="D320" t="s">
        <v>1503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420</v>
      </c>
      <c r="R320" t="s">
        <v>421</v>
      </c>
      <c r="S320">
        <v>0</v>
      </c>
      <c r="T320">
        <v>0</v>
      </c>
      <c r="U320" t="s">
        <v>421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>
        <v>0</v>
      </c>
      <c r="AC320">
        <v>0</v>
      </c>
      <c r="AD320">
        <v>0</v>
      </c>
      <c r="AF320">
        <v>0</v>
      </c>
      <c r="AG320" t="s">
        <v>423</v>
      </c>
      <c r="AI320" t="s">
        <v>423</v>
      </c>
      <c r="AJ320" t="s">
        <v>423</v>
      </c>
      <c r="AK320" t="s">
        <v>423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430</v>
      </c>
      <c r="AT320">
        <v>0</v>
      </c>
      <c r="AU320">
        <v>0</v>
      </c>
      <c r="AV320" t="s">
        <v>445</v>
      </c>
      <c r="AW320">
        <v>0</v>
      </c>
      <c r="AX320">
        <v>0</v>
      </c>
      <c r="AY320">
        <v>0</v>
      </c>
      <c r="CC320">
        <v>2.5840000000000001</v>
      </c>
      <c r="CE320" t="s">
        <v>450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706</v>
      </c>
      <c r="C321" t="s">
        <v>1105</v>
      </c>
      <c r="D321" t="s">
        <v>1504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421</v>
      </c>
      <c r="S321">
        <v>0</v>
      </c>
      <c r="T321">
        <v>0</v>
      </c>
      <c r="U321" t="s">
        <v>421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>
        <v>0</v>
      </c>
      <c r="AC321">
        <v>0</v>
      </c>
      <c r="AD321">
        <v>0</v>
      </c>
      <c r="AF321">
        <v>0</v>
      </c>
      <c r="AG321" t="s">
        <v>423</v>
      </c>
      <c r="AI321" t="s">
        <v>423</v>
      </c>
      <c r="AJ321" t="s">
        <v>423</v>
      </c>
      <c r="AK321" t="s">
        <v>423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438</v>
      </c>
      <c r="AW321">
        <v>0</v>
      </c>
      <c r="AX321">
        <v>0</v>
      </c>
      <c r="AY321">
        <v>0</v>
      </c>
      <c r="CC321">
        <v>3.15</v>
      </c>
      <c r="CE321" t="s">
        <v>450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707</v>
      </c>
      <c r="C322" t="s">
        <v>1106</v>
      </c>
      <c r="D322" t="s">
        <v>1505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421</v>
      </c>
      <c r="S322">
        <v>0</v>
      </c>
      <c r="T322">
        <v>0</v>
      </c>
      <c r="U322" t="s">
        <v>421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>
        <v>0</v>
      </c>
      <c r="AC322">
        <v>0</v>
      </c>
      <c r="AD322">
        <v>0</v>
      </c>
      <c r="AF322">
        <v>0</v>
      </c>
      <c r="AG322" t="s">
        <v>423</v>
      </c>
      <c r="AI322" t="s">
        <v>423</v>
      </c>
      <c r="AJ322" t="s">
        <v>423</v>
      </c>
      <c r="AK322" t="s">
        <v>423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430</v>
      </c>
      <c r="AT322">
        <v>0</v>
      </c>
      <c r="AU322">
        <v>0</v>
      </c>
      <c r="AV322" t="s">
        <v>438</v>
      </c>
      <c r="AW322">
        <v>0</v>
      </c>
      <c r="AX322">
        <v>0</v>
      </c>
      <c r="AY322">
        <v>0</v>
      </c>
      <c r="CC322">
        <v>2.5369999999999999</v>
      </c>
      <c r="CE322" t="s">
        <v>450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708</v>
      </c>
      <c r="C323" t="s">
        <v>1107</v>
      </c>
      <c r="D323" t="s">
        <v>1506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Q323" t="s">
        <v>420</v>
      </c>
      <c r="R323" t="s">
        <v>421</v>
      </c>
      <c r="S323">
        <v>0</v>
      </c>
      <c r="T323">
        <v>0</v>
      </c>
      <c r="U323" t="s">
        <v>421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>
        <v>0</v>
      </c>
      <c r="AC323">
        <v>0</v>
      </c>
      <c r="AD323">
        <v>0</v>
      </c>
      <c r="AF323">
        <v>0</v>
      </c>
      <c r="AG323" t="s">
        <v>423</v>
      </c>
      <c r="AI323" t="s">
        <v>423</v>
      </c>
      <c r="AJ323" t="s">
        <v>423</v>
      </c>
      <c r="AK323" t="s">
        <v>423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430</v>
      </c>
      <c r="AT323">
        <v>0</v>
      </c>
      <c r="AU323">
        <v>0</v>
      </c>
      <c r="AV323" t="s">
        <v>434</v>
      </c>
      <c r="AW323">
        <v>0</v>
      </c>
      <c r="AX323">
        <v>0</v>
      </c>
      <c r="AY323">
        <v>0</v>
      </c>
      <c r="CC323">
        <v>2.2254999999999998</v>
      </c>
      <c r="CE323" t="s">
        <v>450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421</v>
      </c>
      <c r="S324">
        <v>0</v>
      </c>
      <c r="T324">
        <v>0</v>
      </c>
      <c r="U324" t="s">
        <v>421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>
        <v>0</v>
      </c>
      <c r="AC324">
        <v>0</v>
      </c>
      <c r="AD324">
        <v>0</v>
      </c>
      <c r="AF324">
        <v>0</v>
      </c>
      <c r="AG324" t="s">
        <v>423</v>
      </c>
      <c r="AI324" t="s">
        <v>423</v>
      </c>
      <c r="AJ324" t="s">
        <v>423</v>
      </c>
      <c r="AK324" t="s">
        <v>423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439</v>
      </c>
      <c r="AW324">
        <v>0</v>
      </c>
      <c r="AX324">
        <v>0</v>
      </c>
      <c r="AY324">
        <v>0</v>
      </c>
      <c r="CC324">
        <v>3.2919999999999998</v>
      </c>
      <c r="CE324" t="s">
        <v>450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117</v>
      </c>
      <c r="C325" t="s">
        <v>217</v>
      </c>
      <c r="D325" t="s">
        <v>317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421</v>
      </c>
      <c r="S325">
        <v>0</v>
      </c>
      <c r="T325">
        <v>0</v>
      </c>
      <c r="U325" t="s">
        <v>421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>
        <v>0</v>
      </c>
      <c r="AC325">
        <v>0</v>
      </c>
      <c r="AD325">
        <v>0</v>
      </c>
      <c r="AF325">
        <v>0</v>
      </c>
      <c r="AG325" t="s">
        <v>423</v>
      </c>
      <c r="AI325" t="s">
        <v>423</v>
      </c>
      <c r="AJ325" t="s">
        <v>423</v>
      </c>
      <c r="AK325" t="s">
        <v>423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446</v>
      </c>
      <c r="AW325">
        <v>0</v>
      </c>
      <c r="AX325">
        <v>0</v>
      </c>
      <c r="AY325">
        <v>0</v>
      </c>
      <c r="CC325">
        <v>2.9754999999999998</v>
      </c>
      <c r="CE325" t="s">
        <v>450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709</v>
      </c>
      <c r="C326" t="s">
        <v>1108</v>
      </c>
      <c r="D326" t="s">
        <v>1507</v>
      </c>
      <c r="E326" t="s">
        <v>402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421</v>
      </c>
      <c r="S326">
        <v>0</v>
      </c>
      <c r="T326">
        <v>0</v>
      </c>
      <c r="U326" t="s">
        <v>421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>
        <v>0</v>
      </c>
      <c r="AC326">
        <v>0</v>
      </c>
      <c r="AD326">
        <v>0</v>
      </c>
      <c r="AF326">
        <v>0</v>
      </c>
      <c r="AG326" t="s">
        <v>423</v>
      </c>
      <c r="AI326" t="s">
        <v>423</v>
      </c>
      <c r="AJ326" t="s">
        <v>423</v>
      </c>
      <c r="AK326" t="s">
        <v>423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443</v>
      </c>
      <c r="AW326">
        <v>0</v>
      </c>
      <c r="AX326">
        <v>0</v>
      </c>
      <c r="AY326">
        <v>0</v>
      </c>
      <c r="CC326">
        <v>2.5165000000000002</v>
      </c>
      <c r="CE326" t="s">
        <v>450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115</v>
      </c>
      <c r="C327" t="s">
        <v>215</v>
      </c>
      <c r="D327" t="s">
        <v>315</v>
      </c>
      <c r="E327" t="s">
        <v>402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421</v>
      </c>
      <c r="S327">
        <v>0</v>
      </c>
      <c r="T327">
        <v>0</v>
      </c>
      <c r="U327" t="s">
        <v>421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>
        <v>0</v>
      </c>
      <c r="AC327">
        <v>0</v>
      </c>
      <c r="AD327">
        <v>0</v>
      </c>
      <c r="AF327">
        <v>0</v>
      </c>
      <c r="AG327" t="s">
        <v>423</v>
      </c>
      <c r="AI327" t="s">
        <v>423</v>
      </c>
      <c r="AJ327" t="s">
        <v>423</v>
      </c>
      <c r="AK327" t="s">
        <v>423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443</v>
      </c>
      <c r="AW327">
        <v>0</v>
      </c>
      <c r="AX327">
        <v>0</v>
      </c>
      <c r="AY327">
        <v>0</v>
      </c>
      <c r="CC327">
        <v>2.7254999999999998</v>
      </c>
      <c r="CE327" t="s">
        <v>450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710</v>
      </c>
      <c r="C328" t="s">
        <v>1109</v>
      </c>
      <c r="D328" t="s">
        <v>1508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421</v>
      </c>
      <c r="S328">
        <v>0</v>
      </c>
      <c r="T328">
        <v>0.01</v>
      </c>
      <c r="U328" t="s">
        <v>421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>
        <v>0</v>
      </c>
      <c r="AC328">
        <v>0.71499999999999997</v>
      </c>
      <c r="AD328">
        <v>1.89E-2</v>
      </c>
      <c r="AF328">
        <v>0</v>
      </c>
      <c r="AG328" t="s">
        <v>1654</v>
      </c>
      <c r="AI328" t="s">
        <v>423</v>
      </c>
      <c r="AJ328" t="s">
        <v>1654</v>
      </c>
      <c r="AK328" t="s">
        <v>1654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444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421</v>
      </c>
      <c r="S329">
        <v>0</v>
      </c>
      <c r="T329">
        <v>0</v>
      </c>
      <c r="U329" t="s">
        <v>421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>
        <v>0</v>
      </c>
      <c r="AC329">
        <v>0</v>
      </c>
      <c r="AD329">
        <v>0</v>
      </c>
      <c r="AF329">
        <v>0</v>
      </c>
      <c r="AG329" t="s">
        <v>423</v>
      </c>
      <c r="AI329" t="s">
        <v>423</v>
      </c>
      <c r="AJ329" t="s">
        <v>423</v>
      </c>
      <c r="AK329" t="s">
        <v>423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425</v>
      </c>
      <c r="AT329">
        <v>0</v>
      </c>
      <c r="AU329">
        <v>0</v>
      </c>
      <c r="AV329" t="s">
        <v>433</v>
      </c>
      <c r="AW329">
        <v>0</v>
      </c>
      <c r="AX329">
        <v>0</v>
      </c>
      <c r="AY329">
        <v>0</v>
      </c>
      <c r="CC329">
        <v>2.7315</v>
      </c>
      <c r="CE329" t="s">
        <v>450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124</v>
      </c>
      <c r="C330" t="s">
        <v>224</v>
      </c>
      <c r="D330" t="s">
        <v>324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421</v>
      </c>
      <c r="S330">
        <v>0</v>
      </c>
      <c r="T330">
        <v>0</v>
      </c>
      <c r="U330" t="s">
        <v>421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>
        <v>0</v>
      </c>
      <c r="AC330">
        <v>0</v>
      </c>
      <c r="AD330">
        <v>0</v>
      </c>
      <c r="AF330">
        <v>0</v>
      </c>
      <c r="AG330" t="s">
        <v>423</v>
      </c>
      <c r="AI330" t="s">
        <v>423</v>
      </c>
      <c r="AJ330" t="s">
        <v>423</v>
      </c>
      <c r="AK330" t="s">
        <v>423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438</v>
      </c>
      <c r="AW330">
        <v>0</v>
      </c>
      <c r="AX330">
        <v>0</v>
      </c>
      <c r="AY330">
        <v>0</v>
      </c>
      <c r="CC330">
        <v>2.6475</v>
      </c>
      <c r="CE330" t="s">
        <v>450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171</v>
      </c>
      <c r="C331" t="s">
        <v>271</v>
      </c>
      <c r="D331" t="s">
        <v>371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421</v>
      </c>
      <c r="S331">
        <v>0</v>
      </c>
      <c r="T331">
        <v>0</v>
      </c>
      <c r="U331" t="s">
        <v>421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>
        <v>0</v>
      </c>
      <c r="AC331">
        <v>0</v>
      </c>
      <c r="AD331">
        <v>0</v>
      </c>
      <c r="AF331">
        <v>0</v>
      </c>
      <c r="AG331" t="s">
        <v>423</v>
      </c>
      <c r="AI331" t="s">
        <v>423</v>
      </c>
      <c r="AJ331" t="s">
        <v>423</v>
      </c>
      <c r="AK331" t="s">
        <v>423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439</v>
      </c>
      <c r="AW331">
        <v>0</v>
      </c>
      <c r="AX331">
        <v>0</v>
      </c>
      <c r="AY331">
        <v>0</v>
      </c>
      <c r="CC331">
        <v>2.8050000000000002</v>
      </c>
      <c r="CE331" t="s">
        <v>450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711</v>
      </c>
      <c r="C332" t="s">
        <v>1110</v>
      </c>
      <c r="D332" t="s">
        <v>1509</v>
      </c>
      <c r="E332" t="s">
        <v>402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421</v>
      </c>
      <c r="S332">
        <v>0</v>
      </c>
      <c r="T332">
        <v>0</v>
      </c>
      <c r="U332" t="s">
        <v>421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423</v>
      </c>
      <c r="AI332" t="s">
        <v>423</v>
      </c>
      <c r="AJ332" t="s">
        <v>423</v>
      </c>
      <c r="AK332" t="s">
        <v>423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443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712</v>
      </c>
      <c r="C333" t="s">
        <v>1111</v>
      </c>
      <c r="D333" t="s">
        <v>1510</v>
      </c>
      <c r="E333" t="s">
        <v>402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421</v>
      </c>
      <c r="S333">
        <v>0</v>
      </c>
      <c r="T333">
        <v>0</v>
      </c>
      <c r="U333" t="s">
        <v>421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>
        <v>0</v>
      </c>
      <c r="AC333">
        <v>0</v>
      </c>
      <c r="AD333">
        <v>0</v>
      </c>
      <c r="AF333">
        <v>0</v>
      </c>
      <c r="AG333" t="s">
        <v>423</v>
      </c>
      <c r="AI333" t="s">
        <v>423</v>
      </c>
      <c r="AJ333" t="s">
        <v>423</v>
      </c>
      <c r="AK333" t="s">
        <v>423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431</v>
      </c>
      <c r="AT333">
        <v>1</v>
      </c>
      <c r="AU333">
        <v>0</v>
      </c>
      <c r="AV333" t="s">
        <v>443</v>
      </c>
      <c r="AW333">
        <v>0</v>
      </c>
      <c r="AX333">
        <v>0</v>
      </c>
      <c r="AY333">
        <v>0</v>
      </c>
      <c r="CC333">
        <v>2.589</v>
      </c>
      <c r="CE333" t="s">
        <v>450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713</v>
      </c>
      <c r="C334" t="s">
        <v>1112</v>
      </c>
      <c r="D334" t="s">
        <v>1511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421</v>
      </c>
      <c r="S334">
        <v>0</v>
      </c>
      <c r="T334">
        <v>0</v>
      </c>
      <c r="U334" t="s">
        <v>421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>
        <v>0</v>
      </c>
      <c r="AC334">
        <v>0</v>
      </c>
      <c r="AD334">
        <v>0</v>
      </c>
      <c r="AF334">
        <v>0</v>
      </c>
      <c r="AG334" t="s">
        <v>423</v>
      </c>
      <c r="AI334" t="s">
        <v>423</v>
      </c>
      <c r="AJ334" t="s">
        <v>423</v>
      </c>
      <c r="AK334" t="s">
        <v>423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430</v>
      </c>
      <c r="AT334">
        <v>0</v>
      </c>
      <c r="AU334">
        <v>0</v>
      </c>
      <c r="AV334" t="s">
        <v>446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421</v>
      </c>
      <c r="S335">
        <v>0</v>
      </c>
      <c r="T335">
        <v>0</v>
      </c>
      <c r="U335" t="s">
        <v>421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>
        <v>0</v>
      </c>
      <c r="AC335">
        <v>0</v>
      </c>
      <c r="AD335">
        <v>0</v>
      </c>
      <c r="AF335">
        <v>0</v>
      </c>
      <c r="AG335" t="s">
        <v>423</v>
      </c>
      <c r="AI335" t="s">
        <v>423</v>
      </c>
      <c r="AJ335" t="s">
        <v>423</v>
      </c>
      <c r="AK335" t="s">
        <v>423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425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3.0135000000000001</v>
      </c>
      <c r="CE335" t="s">
        <v>450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715</v>
      </c>
      <c r="C336" t="s">
        <v>1114</v>
      </c>
      <c r="D336" t="s">
        <v>1513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421</v>
      </c>
      <c r="S336">
        <v>0</v>
      </c>
      <c r="T336">
        <v>0</v>
      </c>
      <c r="U336" t="s">
        <v>421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>
        <v>0</v>
      </c>
      <c r="AC336">
        <v>0</v>
      </c>
      <c r="AD336">
        <v>0</v>
      </c>
      <c r="AF336">
        <v>0</v>
      </c>
      <c r="AG336" t="s">
        <v>423</v>
      </c>
      <c r="AI336" t="s">
        <v>423</v>
      </c>
      <c r="AJ336" t="s">
        <v>423</v>
      </c>
      <c r="AK336" t="s">
        <v>423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433</v>
      </c>
      <c r="AW336">
        <v>0</v>
      </c>
      <c r="AX336">
        <v>0</v>
      </c>
      <c r="AY336">
        <v>0</v>
      </c>
      <c r="CC336">
        <v>2.4889999999999999</v>
      </c>
      <c r="CE336" t="s">
        <v>450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155</v>
      </c>
      <c r="C337" t="s">
        <v>255</v>
      </c>
      <c r="D337" t="s">
        <v>355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421</v>
      </c>
      <c r="S337">
        <v>0</v>
      </c>
      <c r="T337">
        <v>0</v>
      </c>
      <c r="U337" t="s">
        <v>421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>
        <v>0</v>
      </c>
      <c r="AC337">
        <v>0</v>
      </c>
      <c r="AD337">
        <v>0</v>
      </c>
      <c r="AF337">
        <v>0</v>
      </c>
      <c r="AG337" t="s">
        <v>423</v>
      </c>
      <c r="AI337" t="s">
        <v>423</v>
      </c>
      <c r="AJ337" t="s">
        <v>423</v>
      </c>
      <c r="AK337" t="s">
        <v>423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423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2.5165000000000002</v>
      </c>
      <c r="CE337" t="s">
        <v>450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716</v>
      </c>
      <c r="C338" t="s">
        <v>1115</v>
      </c>
      <c r="D338" t="s">
        <v>1514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422</v>
      </c>
      <c r="S338">
        <v>0</v>
      </c>
      <c r="T338">
        <v>0</v>
      </c>
      <c r="U338" t="s">
        <v>421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>
        <v>0</v>
      </c>
      <c r="AC338">
        <v>0</v>
      </c>
      <c r="AD338">
        <v>0</v>
      </c>
      <c r="AF338">
        <v>0</v>
      </c>
      <c r="AG338" t="s">
        <v>423</v>
      </c>
      <c r="AI338" t="s">
        <v>423</v>
      </c>
      <c r="AJ338" t="s">
        <v>423</v>
      </c>
      <c r="AK338" t="s">
        <v>423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445</v>
      </c>
      <c r="AW338">
        <v>0</v>
      </c>
      <c r="AX338">
        <v>0</v>
      </c>
      <c r="AY338">
        <v>0</v>
      </c>
      <c r="CC338">
        <v>2.9184999999999999</v>
      </c>
      <c r="CE338" t="s">
        <v>450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421</v>
      </c>
      <c r="S339">
        <v>0</v>
      </c>
      <c r="T339">
        <v>0</v>
      </c>
      <c r="U339" t="s">
        <v>421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>
        <v>0</v>
      </c>
      <c r="AC339">
        <v>0</v>
      </c>
      <c r="AD339">
        <v>0</v>
      </c>
      <c r="AF339">
        <v>0</v>
      </c>
      <c r="AG339" t="s">
        <v>423</v>
      </c>
      <c r="AI339" t="s">
        <v>423</v>
      </c>
      <c r="AJ339" t="s">
        <v>423</v>
      </c>
      <c r="AK339" t="s">
        <v>423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430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2.7385000000000002</v>
      </c>
      <c r="CE339" t="s">
        <v>450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718</v>
      </c>
      <c r="C340" t="s">
        <v>1117</v>
      </c>
      <c r="D340" t="s">
        <v>1516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422</v>
      </c>
      <c r="S340">
        <v>0</v>
      </c>
      <c r="T340">
        <v>0</v>
      </c>
      <c r="U340" t="s">
        <v>421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>
        <v>0</v>
      </c>
      <c r="AC340">
        <v>0</v>
      </c>
      <c r="AD340">
        <v>0</v>
      </c>
      <c r="AF340">
        <v>0</v>
      </c>
      <c r="AG340" t="s">
        <v>423</v>
      </c>
      <c r="AI340" t="s">
        <v>423</v>
      </c>
      <c r="AJ340" t="s">
        <v>423</v>
      </c>
      <c r="AK340" t="s">
        <v>423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437</v>
      </c>
      <c r="AW340">
        <v>0</v>
      </c>
      <c r="AX340">
        <v>0</v>
      </c>
      <c r="AY340">
        <v>0</v>
      </c>
      <c r="CC340">
        <v>2.3530000000000002</v>
      </c>
      <c r="CE340" t="s">
        <v>450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719</v>
      </c>
      <c r="C341" t="s">
        <v>1118</v>
      </c>
      <c r="D341" t="s">
        <v>1517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Q341" t="s">
        <v>423</v>
      </c>
      <c r="R341" t="s">
        <v>421</v>
      </c>
      <c r="S341">
        <v>0</v>
      </c>
      <c r="T341">
        <v>0</v>
      </c>
      <c r="U341" t="s">
        <v>421</v>
      </c>
      <c r="V341" t="s">
        <v>421</v>
      </c>
      <c r="W341" t="s">
        <v>421</v>
      </c>
      <c r="X341" t="s">
        <v>422</v>
      </c>
      <c r="Y341" t="s">
        <v>421</v>
      </c>
      <c r="Z341" t="s">
        <v>421</v>
      </c>
      <c r="AA341" t="s">
        <v>421</v>
      </c>
      <c r="AB341">
        <v>0</v>
      </c>
      <c r="AC341">
        <v>0</v>
      </c>
      <c r="AD341">
        <v>0</v>
      </c>
      <c r="AF341">
        <v>0</v>
      </c>
      <c r="AG341" t="s">
        <v>423</v>
      </c>
      <c r="AI341" t="s">
        <v>423</v>
      </c>
      <c r="AJ341" t="s">
        <v>423</v>
      </c>
      <c r="AK341" t="s">
        <v>423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437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421</v>
      </c>
      <c r="S342">
        <v>0</v>
      </c>
      <c r="T342">
        <v>0</v>
      </c>
      <c r="U342" t="s">
        <v>421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>
        <v>0</v>
      </c>
      <c r="AC342">
        <v>0</v>
      </c>
      <c r="AD342">
        <v>0</v>
      </c>
      <c r="AF342">
        <v>0</v>
      </c>
      <c r="AG342" t="s">
        <v>423</v>
      </c>
      <c r="AI342" t="s">
        <v>423</v>
      </c>
      <c r="AJ342" t="s">
        <v>423</v>
      </c>
      <c r="AK342" t="s">
        <v>423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426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2.6524999999999999</v>
      </c>
      <c r="CE342" t="s">
        <v>450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721</v>
      </c>
      <c r="C343" t="s">
        <v>1120</v>
      </c>
      <c r="D343" t="s">
        <v>1519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421</v>
      </c>
      <c r="S343">
        <v>0</v>
      </c>
      <c r="T343">
        <v>0</v>
      </c>
      <c r="U343" t="s">
        <v>421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>
        <v>0</v>
      </c>
      <c r="AC343">
        <v>0</v>
      </c>
      <c r="AD343">
        <v>0</v>
      </c>
      <c r="AF343">
        <v>0</v>
      </c>
      <c r="AG343" t="s">
        <v>423</v>
      </c>
      <c r="AI343" t="s">
        <v>423</v>
      </c>
      <c r="AJ343" t="s">
        <v>423</v>
      </c>
      <c r="AK343" t="s">
        <v>423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425</v>
      </c>
      <c r="AT343">
        <v>0</v>
      </c>
      <c r="AU343">
        <v>0</v>
      </c>
      <c r="AV343" t="s">
        <v>445</v>
      </c>
      <c r="AW343">
        <v>0</v>
      </c>
      <c r="AX343">
        <v>0</v>
      </c>
      <c r="AY343">
        <v>0</v>
      </c>
      <c r="CC343">
        <v>2.3879999999999999</v>
      </c>
      <c r="CE343" t="s">
        <v>450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421</v>
      </c>
      <c r="S344">
        <v>0</v>
      </c>
      <c r="T344">
        <v>0</v>
      </c>
      <c r="U344" t="s">
        <v>421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>
        <v>0</v>
      </c>
      <c r="AC344">
        <v>0</v>
      </c>
      <c r="AD344">
        <v>0</v>
      </c>
      <c r="AF344">
        <v>0</v>
      </c>
      <c r="AG344" t="s">
        <v>423</v>
      </c>
      <c r="AI344" t="s">
        <v>423</v>
      </c>
      <c r="AJ344" t="s">
        <v>423</v>
      </c>
      <c r="AK344" t="s">
        <v>423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430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2.6019999999999999</v>
      </c>
      <c r="CE344" t="s">
        <v>450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421</v>
      </c>
      <c r="S345">
        <v>0</v>
      </c>
      <c r="T345">
        <v>0</v>
      </c>
      <c r="U345" t="s">
        <v>421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>
        <v>0.01</v>
      </c>
      <c r="AC345">
        <v>0.05</v>
      </c>
      <c r="AD345">
        <v>0</v>
      </c>
      <c r="AF345">
        <v>0</v>
      </c>
      <c r="AG345" t="s">
        <v>423</v>
      </c>
      <c r="AI345" t="s">
        <v>423</v>
      </c>
      <c r="AJ345" t="s">
        <v>423</v>
      </c>
      <c r="AK345" t="s">
        <v>423</v>
      </c>
      <c r="AL345" t="s">
        <v>1652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421</v>
      </c>
      <c r="S346">
        <v>0</v>
      </c>
      <c r="T346">
        <v>0</v>
      </c>
      <c r="U346" t="s">
        <v>421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>
        <v>0</v>
      </c>
      <c r="AC346">
        <v>0</v>
      </c>
      <c r="AD346">
        <v>0</v>
      </c>
      <c r="AF346">
        <v>0</v>
      </c>
      <c r="AG346" t="s">
        <v>423</v>
      </c>
      <c r="AI346" t="s">
        <v>423</v>
      </c>
      <c r="AJ346" t="s">
        <v>423</v>
      </c>
      <c r="AK346" t="s">
        <v>423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424</v>
      </c>
      <c r="AT346">
        <v>1</v>
      </c>
      <c r="AU346">
        <v>0</v>
      </c>
      <c r="AV346" t="s">
        <v>446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421</v>
      </c>
      <c r="S347">
        <v>0</v>
      </c>
      <c r="T347">
        <v>0</v>
      </c>
      <c r="U347" t="s">
        <v>421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>
        <v>0</v>
      </c>
      <c r="AC347">
        <v>0</v>
      </c>
      <c r="AD347">
        <v>0</v>
      </c>
      <c r="AF347">
        <v>0</v>
      </c>
      <c r="AG347" t="s">
        <v>423</v>
      </c>
      <c r="AI347" t="s">
        <v>423</v>
      </c>
      <c r="AJ347" t="s">
        <v>423</v>
      </c>
      <c r="AK347" t="s">
        <v>423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429</v>
      </c>
      <c r="AT347">
        <v>0</v>
      </c>
      <c r="AU347">
        <v>0</v>
      </c>
      <c r="AV347" t="s">
        <v>433</v>
      </c>
      <c r="AW347">
        <v>0</v>
      </c>
      <c r="AX347">
        <v>0</v>
      </c>
      <c r="AY347">
        <v>0</v>
      </c>
      <c r="CC347">
        <v>2.9195000000000002</v>
      </c>
      <c r="CE347" t="s">
        <v>450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421</v>
      </c>
      <c r="S348">
        <v>0</v>
      </c>
      <c r="T348">
        <v>0</v>
      </c>
      <c r="U348" t="s">
        <v>421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>
        <v>0</v>
      </c>
      <c r="AC348">
        <v>0</v>
      </c>
      <c r="AD348">
        <v>0</v>
      </c>
      <c r="AF348">
        <v>0</v>
      </c>
      <c r="AG348" t="s">
        <v>423</v>
      </c>
      <c r="AI348" t="s">
        <v>423</v>
      </c>
      <c r="AJ348" t="s">
        <v>423</v>
      </c>
      <c r="AK348" t="s">
        <v>423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437</v>
      </c>
      <c r="AW348">
        <v>0</v>
      </c>
      <c r="AX348">
        <v>0</v>
      </c>
      <c r="AY348">
        <v>0</v>
      </c>
      <c r="CC348">
        <v>2.673</v>
      </c>
      <c r="CE348" t="s">
        <v>450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421</v>
      </c>
      <c r="S349">
        <v>0</v>
      </c>
      <c r="T349">
        <v>0</v>
      </c>
      <c r="U349" t="s">
        <v>421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>
        <v>0</v>
      </c>
      <c r="AC349">
        <v>0</v>
      </c>
      <c r="AD349">
        <v>0</v>
      </c>
      <c r="AF349">
        <v>0</v>
      </c>
      <c r="AG349" t="s">
        <v>423</v>
      </c>
      <c r="AI349" t="s">
        <v>423</v>
      </c>
      <c r="AJ349" t="s">
        <v>423</v>
      </c>
      <c r="AK349" t="s">
        <v>423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445</v>
      </c>
      <c r="AW349">
        <v>0</v>
      </c>
      <c r="AX349">
        <v>0</v>
      </c>
      <c r="AY349">
        <v>0</v>
      </c>
      <c r="CC349">
        <v>2.9390000000000001</v>
      </c>
      <c r="CE349" t="s">
        <v>450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421</v>
      </c>
      <c r="S350">
        <v>0</v>
      </c>
      <c r="T350">
        <v>0</v>
      </c>
      <c r="U350" t="s">
        <v>421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>
        <v>0</v>
      </c>
      <c r="AC350">
        <v>0</v>
      </c>
      <c r="AD350">
        <v>0</v>
      </c>
      <c r="AF350">
        <v>0</v>
      </c>
      <c r="AG350" t="s">
        <v>423</v>
      </c>
      <c r="AI350" t="s">
        <v>423</v>
      </c>
      <c r="AJ350" t="s">
        <v>423</v>
      </c>
      <c r="AK350" t="s">
        <v>423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430</v>
      </c>
      <c r="AT350">
        <v>0</v>
      </c>
      <c r="AU350">
        <v>0</v>
      </c>
      <c r="AV350" t="s">
        <v>444</v>
      </c>
      <c r="AW350">
        <v>0</v>
      </c>
      <c r="AX350">
        <v>0</v>
      </c>
      <c r="AY350">
        <v>0</v>
      </c>
      <c r="CC350">
        <v>2.7985000000000002</v>
      </c>
      <c r="CE350" t="s">
        <v>450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421</v>
      </c>
      <c r="S351">
        <v>0</v>
      </c>
      <c r="T351">
        <v>0</v>
      </c>
      <c r="U351" t="s">
        <v>421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>
        <v>0</v>
      </c>
      <c r="AC351">
        <v>0</v>
      </c>
      <c r="AD351">
        <v>0</v>
      </c>
      <c r="AF351">
        <v>0</v>
      </c>
      <c r="AG351" t="s">
        <v>423</v>
      </c>
      <c r="AI351" t="s">
        <v>423</v>
      </c>
      <c r="AJ351" t="s">
        <v>423</v>
      </c>
      <c r="AK351" t="s">
        <v>423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429</v>
      </c>
      <c r="AT351">
        <v>0</v>
      </c>
      <c r="AU351">
        <v>0</v>
      </c>
      <c r="AV351" t="s">
        <v>445</v>
      </c>
      <c r="AW351">
        <v>0</v>
      </c>
      <c r="AX351">
        <v>0</v>
      </c>
      <c r="AY351">
        <v>0</v>
      </c>
      <c r="CC351">
        <v>2.7349999999999999</v>
      </c>
      <c r="CE351" t="s">
        <v>450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423</v>
      </c>
      <c r="R352" t="s">
        <v>421</v>
      </c>
      <c r="S352">
        <v>0</v>
      </c>
      <c r="T352">
        <v>0</v>
      </c>
      <c r="U352" t="s">
        <v>421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>
        <v>0</v>
      </c>
      <c r="AC352">
        <v>0</v>
      </c>
      <c r="AD352">
        <v>0</v>
      </c>
      <c r="AF352">
        <v>0</v>
      </c>
      <c r="AG352" t="s">
        <v>423</v>
      </c>
      <c r="AI352" t="s">
        <v>423</v>
      </c>
      <c r="AJ352" t="s">
        <v>423</v>
      </c>
      <c r="AK352" t="s">
        <v>423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437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421</v>
      </c>
      <c r="S353">
        <v>0</v>
      </c>
      <c r="T353">
        <v>0</v>
      </c>
      <c r="U353" t="s">
        <v>421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>
        <v>0</v>
      </c>
      <c r="AC353">
        <v>0</v>
      </c>
      <c r="AD353">
        <v>0</v>
      </c>
      <c r="AF353">
        <v>0</v>
      </c>
      <c r="AG353" t="s">
        <v>423</v>
      </c>
      <c r="AI353" t="s">
        <v>423</v>
      </c>
      <c r="AJ353" t="s">
        <v>423</v>
      </c>
      <c r="AK353" t="s">
        <v>423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2.8740000000000001</v>
      </c>
      <c r="CE353" t="s">
        <v>450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421</v>
      </c>
      <c r="S354">
        <v>0</v>
      </c>
      <c r="T354">
        <v>0</v>
      </c>
      <c r="U354" t="s">
        <v>421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>
        <v>0</v>
      </c>
      <c r="AC354">
        <v>0</v>
      </c>
      <c r="AD354">
        <v>0</v>
      </c>
      <c r="AF354">
        <v>0</v>
      </c>
      <c r="AG354" t="s">
        <v>423</v>
      </c>
      <c r="AI354" t="s">
        <v>423</v>
      </c>
      <c r="AJ354" t="s">
        <v>423</v>
      </c>
      <c r="AK354" t="s">
        <v>423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2.7679999999999998</v>
      </c>
      <c r="CE354" t="s">
        <v>450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421</v>
      </c>
      <c r="S355">
        <v>0</v>
      </c>
      <c r="T355">
        <v>0</v>
      </c>
      <c r="U355" t="s">
        <v>421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>
        <v>0</v>
      </c>
      <c r="AC355">
        <v>0</v>
      </c>
      <c r="AD355">
        <v>0</v>
      </c>
      <c r="AF355">
        <v>0</v>
      </c>
      <c r="AG355" t="s">
        <v>423</v>
      </c>
      <c r="AI355" t="s">
        <v>423</v>
      </c>
      <c r="AJ355" t="s">
        <v>423</v>
      </c>
      <c r="AK355" t="s">
        <v>423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440</v>
      </c>
      <c r="AW355">
        <v>0</v>
      </c>
      <c r="AX355">
        <v>0</v>
      </c>
      <c r="AY355">
        <v>0</v>
      </c>
      <c r="CC355">
        <v>2.9060000000000001</v>
      </c>
      <c r="CE355" t="s">
        <v>450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159</v>
      </c>
      <c r="C356" t="s">
        <v>259</v>
      </c>
      <c r="D356" t="s">
        <v>359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40301030</v>
      </c>
      <c r="N356">
        <v>4030</v>
      </c>
      <c r="O356">
        <v>1.9831746989669301</v>
      </c>
      <c r="P356">
        <v>1.5</v>
      </c>
      <c r="Q356" t="s">
        <v>416</v>
      </c>
      <c r="R356" t="s">
        <v>421</v>
      </c>
      <c r="S356">
        <v>0</v>
      </c>
      <c r="T356">
        <v>0</v>
      </c>
      <c r="U356" t="s">
        <v>421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>
        <v>0</v>
      </c>
      <c r="AC356">
        <v>0</v>
      </c>
      <c r="AD356">
        <v>0</v>
      </c>
      <c r="AF356">
        <v>0</v>
      </c>
      <c r="AG356" t="s">
        <v>423</v>
      </c>
      <c r="AI356" t="s">
        <v>423</v>
      </c>
      <c r="AJ356" t="s">
        <v>423</v>
      </c>
      <c r="AK356" t="s">
        <v>423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429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2.8845000000000001</v>
      </c>
      <c r="CE356" t="s">
        <v>450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422</v>
      </c>
      <c r="S357">
        <v>0</v>
      </c>
      <c r="T357">
        <v>0</v>
      </c>
      <c r="U357" t="s">
        <v>421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>
        <v>0</v>
      </c>
      <c r="AC357">
        <v>0</v>
      </c>
      <c r="AD357">
        <v>0</v>
      </c>
      <c r="AF357">
        <v>0</v>
      </c>
      <c r="AG357" t="s">
        <v>423</v>
      </c>
      <c r="AI357" t="s">
        <v>423</v>
      </c>
      <c r="AJ357" t="s">
        <v>423</v>
      </c>
      <c r="AK357" t="s">
        <v>423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433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421</v>
      </c>
      <c r="S358">
        <v>0</v>
      </c>
      <c r="T358">
        <v>0</v>
      </c>
      <c r="U358" t="s">
        <v>421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>
        <v>0</v>
      </c>
      <c r="AC358">
        <v>0</v>
      </c>
      <c r="AD358">
        <v>0</v>
      </c>
      <c r="AF358">
        <v>0</v>
      </c>
      <c r="AG358" t="s">
        <v>423</v>
      </c>
      <c r="AI358" t="s">
        <v>423</v>
      </c>
      <c r="AJ358" t="s">
        <v>423</v>
      </c>
      <c r="AK358" t="s">
        <v>423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450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421</v>
      </c>
      <c r="S359">
        <v>0</v>
      </c>
      <c r="T359">
        <v>0</v>
      </c>
      <c r="U359" t="s">
        <v>421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>
        <v>0</v>
      </c>
      <c r="AC359">
        <v>0</v>
      </c>
      <c r="AD359">
        <v>0</v>
      </c>
      <c r="AF359">
        <v>0</v>
      </c>
      <c r="AG359" t="s">
        <v>423</v>
      </c>
      <c r="AI359" t="s">
        <v>423</v>
      </c>
      <c r="AJ359" t="s">
        <v>423</v>
      </c>
      <c r="AK359" t="s">
        <v>423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425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422</v>
      </c>
      <c r="S360">
        <v>0</v>
      </c>
      <c r="T360">
        <v>0</v>
      </c>
      <c r="U360" t="s">
        <v>421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>
        <v>0</v>
      </c>
      <c r="AC360">
        <v>0.93600000000000005</v>
      </c>
      <c r="AD360">
        <v>1.18E-2</v>
      </c>
      <c r="AE360" t="s">
        <v>1653</v>
      </c>
      <c r="AF360">
        <v>0</v>
      </c>
      <c r="AG360" t="s">
        <v>1654</v>
      </c>
      <c r="AH360" t="s">
        <v>1653</v>
      </c>
      <c r="AI360" t="s">
        <v>423</v>
      </c>
      <c r="AJ360" t="s">
        <v>1654</v>
      </c>
      <c r="AK360" t="s">
        <v>423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440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183</v>
      </c>
      <c r="C361" t="s">
        <v>283</v>
      </c>
      <c r="D361" t="s">
        <v>383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421</v>
      </c>
      <c r="S361">
        <v>0</v>
      </c>
      <c r="T361">
        <v>0</v>
      </c>
      <c r="U361" t="s">
        <v>421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>
        <v>0</v>
      </c>
      <c r="AC361">
        <v>0</v>
      </c>
      <c r="AD361">
        <v>0</v>
      </c>
      <c r="AF361">
        <v>0</v>
      </c>
      <c r="AG361" t="s">
        <v>423</v>
      </c>
      <c r="AI361" t="s">
        <v>423</v>
      </c>
      <c r="AJ361" t="s">
        <v>423</v>
      </c>
      <c r="AK361" t="s">
        <v>423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431</v>
      </c>
      <c r="AT361">
        <v>1</v>
      </c>
      <c r="AU361">
        <v>0</v>
      </c>
      <c r="AV361" t="s">
        <v>433</v>
      </c>
      <c r="AW361">
        <v>0</v>
      </c>
      <c r="AX361">
        <v>0</v>
      </c>
      <c r="AY361">
        <v>0</v>
      </c>
      <c r="CC361">
        <v>2.6669999999999998</v>
      </c>
      <c r="CE361" t="s">
        <v>450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1649</v>
      </c>
      <c r="R362" t="s">
        <v>422</v>
      </c>
      <c r="S362">
        <v>0</v>
      </c>
      <c r="T362">
        <v>0</v>
      </c>
      <c r="U362" t="s">
        <v>421</v>
      </c>
      <c r="V362" t="s">
        <v>421</v>
      </c>
      <c r="W362" t="s">
        <v>421</v>
      </c>
      <c r="X362" t="s">
        <v>421</v>
      </c>
      <c r="Y362" t="s">
        <v>421</v>
      </c>
      <c r="Z362" t="s">
        <v>1650</v>
      </c>
      <c r="AA362" t="s">
        <v>421</v>
      </c>
      <c r="AB362">
        <v>0</v>
      </c>
      <c r="AC362">
        <v>0</v>
      </c>
      <c r="AD362">
        <v>0</v>
      </c>
      <c r="AF362">
        <v>0</v>
      </c>
      <c r="AG362" t="s">
        <v>423</v>
      </c>
      <c r="AI362" t="s">
        <v>423</v>
      </c>
      <c r="AJ362" t="s">
        <v>423</v>
      </c>
      <c r="AK362" t="s">
        <v>423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437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423</v>
      </c>
      <c r="R363" t="s">
        <v>421</v>
      </c>
      <c r="S363">
        <v>0</v>
      </c>
      <c r="T363">
        <v>0</v>
      </c>
      <c r="U363" t="s">
        <v>421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>
        <v>0</v>
      </c>
      <c r="AC363">
        <v>0</v>
      </c>
      <c r="AD363">
        <v>0</v>
      </c>
      <c r="AF363">
        <v>0</v>
      </c>
      <c r="AG363" t="s">
        <v>423</v>
      </c>
      <c r="AI363" t="s">
        <v>423</v>
      </c>
      <c r="AJ363" t="s">
        <v>423</v>
      </c>
      <c r="AK363" t="s">
        <v>423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425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2.4870000000000001</v>
      </c>
      <c r="CE363" t="s">
        <v>450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421</v>
      </c>
      <c r="S364">
        <v>0</v>
      </c>
      <c r="T364">
        <v>0</v>
      </c>
      <c r="U364" t="s">
        <v>421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>
        <v>0</v>
      </c>
      <c r="AC364">
        <v>0</v>
      </c>
      <c r="AD364">
        <v>0</v>
      </c>
      <c r="AF364">
        <v>0</v>
      </c>
      <c r="AG364" t="s">
        <v>423</v>
      </c>
      <c r="AI364" t="s">
        <v>423</v>
      </c>
      <c r="AJ364" t="s">
        <v>423</v>
      </c>
      <c r="AK364" t="s">
        <v>423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430</v>
      </c>
      <c r="AT364">
        <v>0</v>
      </c>
      <c r="AU364">
        <v>0</v>
      </c>
      <c r="AV364" t="s">
        <v>443</v>
      </c>
      <c r="AW364">
        <v>0</v>
      </c>
      <c r="AX364">
        <v>0</v>
      </c>
      <c r="AY364">
        <v>0</v>
      </c>
      <c r="CC364">
        <v>2.5219999999999998</v>
      </c>
      <c r="CE364" t="s">
        <v>450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422</v>
      </c>
      <c r="S365">
        <v>0</v>
      </c>
      <c r="T365">
        <v>0</v>
      </c>
      <c r="U365" t="s">
        <v>421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>
        <v>6.7999999999999996E-3</v>
      </c>
      <c r="AC365">
        <v>0.01</v>
      </c>
      <c r="AD365">
        <v>1.32E-2</v>
      </c>
      <c r="AF365">
        <v>0</v>
      </c>
      <c r="AG365" t="s">
        <v>423</v>
      </c>
      <c r="AI365" t="s">
        <v>423</v>
      </c>
      <c r="AJ365" t="s">
        <v>423</v>
      </c>
      <c r="AK365" t="s">
        <v>423</v>
      </c>
      <c r="AL365" t="s">
        <v>1653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423</v>
      </c>
      <c r="R366" t="s">
        <v>421</v>
      </c>
      <c r="S366">
        <v>0</v>
      </c>
      <c r="T366">
        <v>0</v>
      </c>
      <c r="U366" t="s">
        <v>421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>
        <v>0</v>
      </c>
      <c r="AC366">
        <v>0</v>
      </c>
      <c r="AD366">
        <v>0</v>
      </c>
      <c r="AF366">
        <v>0</v>
      </c>
      <c r="AG366" t="s">
        <v>423</v>
      </c>
      <c r="AI366" t="s">
        <v>423</v>
      </c>
      <c r="AJ366" t="s">
        <v>423</v>
      </c>
      <c r="AK366" t="s">
        <v>423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446</v>
      </c>
      <c r="AW366">
        <v>0</v>
      </c>
      <c r="AX366">
        <v>0</v>
      </c>
      <c r="AY366">
        <v>0</v>
      </c>
      <c r="CC366">
        <v>2.5230000000000001</v>
      </c>
      <c r="CE366" t="s">
        <v>450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742</v>
      </c>
      <c r="C367" t="s">
        <v>1141</v>
      </c>
      <c r="D367" t="s">
        <v>1540</v>
      </c>
      <c r="E367" t="s">
        <v>402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414</v>
      </c>
      <c r="K367">
        <v>13834313.1880618</v>
      </c>
      <c r="AT367">
        <v>0</v>
      </c>
      <c r="AU367">
        <v>0</v>
      </c>
      <c r="AV367" t="s">
        <v>443</v>
      </c>
      <c r="AW367">
        <v>0</v>
      </c>
      <c r="AX367">
        <v>0</v>
      </c>
      <c r="AY367">
        <v>0</v>
      </c>
      <c r="CE367" t="s">
        <v>450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 x14ac:dyDescent="0.25">
      <c r="A368">
        <v>1122</v>
      </c>
      <c r="B368" t="s">
        <v>743</v>
      </c>
      <c r="C368" t="s">
        <v>1142</v>
      </c>
      <c r="D368" t="s">
        <v>1541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421</v>
      </c>
      <c r="S368">
        <v>0</v>
      </c>
      <c r="T368">
        <v>0</v>
      </c>
      <c r="U368" t="s">
        <v>421</v>
      </c>
      <c r="V368" t="s">
        <v>421</v>
      </c>
      <c r="W368" t="s">
        <v>421</v>
      </c>
      <c r="X368" t="s">
        <v>1650</v>
      </c>
      <c r="Y368" t="s">
        <v>421</v>
      </c>
      <c r="Z368" t="s">
        <v>421</v>
      </c>
      <c r="AA368" t="s">
        <v>421</v>
      </c>
      <c r="AB368">
        <v>0</v>
      </c>
      <c r="AC368">
        <v>0.05</v>
      </c>
      <c r="AD368">
        <v>0</v>
      </c>
      <c r="AE368" t="s">
        <v>1652</v>
      </c>
      <c r="AF368">
        <v>0</v>
      </c>
      <c r="AG368" t="s">
        <v>423</v>
      </c>
      <c r="AH368" t="s">
        <v>1652</v>
      </c>
      <c r="AI368" t="s">
        <v>423</v>
      </c>
      <c r="AJ368" t="s">
        <v>423</v>
      </c>
      <c r="AK368" t="s">
        <v>423</v>
      </c>
      <c r="AL368" t="s">
        <v>1652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744</v>
      </c>
      <c r="C369" t="s">
        <v>1143</v>
      </c>
      <c r="D369" t="s">
        <v>1542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421</v>
      </c>
      <c r="S369">
        <v>0</v>
      </c>
      <c r="T369">
        <v>0</v>
      </c>
      <c r="U369" t="s">
        <v>421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>
        <v>0</v>
      </c>
      <c r="AC369">
        <v>0.70299999999999996</v>
      </c>
      <c r="AD369">
        <v>0</v>
      </c>
      <c r="AF369">
        <v>0</v>
      </c>
      <c r="AG369" t="s">
        <v>423</v>
      </c>
      <c r="AI369" t="s">
        <v>423</v>
      </c>
      <c r="AJ369" t="s">
        <v>423</v>
      </c>
      <c r="AK369" t="s">
        <v>423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421</v>
      </c>
      <c r="S370">
        <v>0</v>
      </c>
      <c r="T370">
        <v>0</v>
      </c>
      <c r="U370" t="s">
        <v>421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>
        <v>0</v>
      </c>
      <c r="AC370">
        <v>0</v>
      </c>
      <c r="AD370">
        <v>0</v>
      </c>
      <c r="AF370">
        <v>0</v>
      </c>
      <c r="AG370" t="s">
        <v>423</v>
      </c>
      <c r="AI370" t="s">
        <v>423</v>
      </c>
      <c r="AJ370" t="s">
        <v>423</v>
      </c>
      <c r="AK370" t="s">
        <v>423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443</v>
      </c>
      <c r="AW370">
        <v>0</v>
      </c>
      <c r="AX370">
        <v>0</v>
      </c>
      <c r="AY370">
        <v>0</v>
      </c>
      <c r="CC370">
        <v>2.4295</v>
      </c>
      <c r="CE370" t="s">
        <v>450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746</v>
      </c>
      <c r="C371" t="s">
        <v>1145</v>
      </c>
      <c r="D371" t="s">
        <v>1544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421</v>
      </c>
      <c r="S371">
        <v>0</v>
      </c>
      <c r="T371">
        <v>0</v>
      </c>
      <c r="U371" t="s">
        <v>421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>
        <v>0</v>
      </c>
      <c r="AC371">
        <v>0</v>
      </c>
      <c r="AD371">
        <v>0</v>
      </c>
      <c r="AF371">
        <v>0</v>
      </c>
      <c r="AG371" t="s">
        <v>423</v>
      </c>
      <c r="AI371" t="s">
        <v>423</v>
      </c>
      <c r="AJ371" t="s">
        <v>423</v>
      </c>
      <c r="AK371" t="s">
        <v>423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431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421</v>
      </c>
      <c r="S372">
        <v>0</v>
      </c>
      <c r="T372">
        <v>0</v>
      </c>
      <c r="U372" t="s">
        <v>421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423</v>
      </c>
      <c r="AI372" t="s">
        <v>423</v>
      </c>
      <c r="AJ372" t="s">
        <v>423</v>
      </c>
      <c r="AK372" t="s">
        <v>1654</v>
      </c>
      <c r="AL372" t="s">
        <v>1655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437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165</v>
      </c>
      <c r="C373" t="s">
        <v>265</v>
      </c>
      <c r="D373" t="s">
        <v>365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422</v>
      </c>
      <c r="S373">
        <v>0</v>
      </c>
      <c r="T373">
        <v>0.01</v>
      </c>
      <c r="U373" t="s">
        <v>421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>
        <v>0</v>
      </c>
      <c r="AC373">
        <v>0</v>
      </c>
      <c r="AD373">
        <v>0</v>
      </c>
      <c r="AF373">
        <v>0</v>
      </c>
      <c r="AG373" t="s">
        <v>423</v>
      </c>
      <c r="AI373" t="s">
        <v>423</v>
      </c>
      <c r="AJ373" t="s">
        <v>423</v>
      </c>
      <c r="AK373" t="s">
        <v>423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426</v>
      </c>
      <c r="AT373">
        <v>1</v>
      </c>
      <c r="AU373">
        <v>0</v>
      </c>
      <c r="AV373" t="s">
        <v>436</v>
      </c>
      <c r="AW373">
        <v>0</v>
      </c>
      <c r="AX373">
        <v>0</v>
      </c>
      <c r="AY373">
        <v>0</v>
      </c>
      <c r="CC373">
        <v>2.4125000000000001</v>
      </c>
      <c r="CE373" t="s">
        <v>450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421</v>
      </c>
      <c r="S374">
        <v>0</v>
      </c>
      <c r="T374">
        <v>0</v>
      </c>
      <c r="U374" t="s">
        <v>421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>
        <v>0</v>
      </c>
      <c r="AC374">
        <v>0</v>
      </c>
      <c r="AD374">
        <v>0</v>
      </c>
      <c r="AF374">
        <v>0</v>
      </c>
      <c r="AG374" t="s">
        <v>423</v>
      </c>
      <c r="AI374" t="s">
        <v>423</v>
      </c>
      <c r="AJ374" t="s">
        <v>423</v>
      </c>
      <c r="AK374" t="s">
        <v>423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434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421</v>
      </c>
      <c r="S375">
        <v>0</v>
      </c>
      <c r="T375">
        <v>0</v>
      </c>
      <c r="U375" t="s">
        <v>421</v>
      </c>
      <c r="V375" t="s">
        <v>421</v>
      </c>
      <c r="W375" t="s">
        <v>421</v>
      </c>
      <c r="X375" t="s">
        <v>1650</v>
      </c>
      <c r="Y375" t="s">
        <v>421</v>
      </c>
      <c r="Z375" t="s">
        <v>421</v>
      </c>
      <c r="AA375" t="s">
        <v>421</v>
      </c>
      <c r="AB375">
        <v>0</v>
      </c>
      <c r="AC375">
        <v>0</v>
      </c>
      <c r="AD375">
        <v>0</v>
      </c>
      <c r="AF375">
        <v>0</v>
      </c>
      <c r="AG375" t="s">
        <v>423</v>
      </c>
      <c r="AI375" t="s">
        <v>423</v>
      </c>
      <c r="AJ375" t="s">
        <v>423</v>
      </c>
      <c r="AK375" t="s">
        <v>423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433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421</v>
      </c>
      <c r="S376">
        <v>0</v>
      </c>
      <c r="T376">
        <v>0</v>
      </c>
      <c r="U376" t="s">
        <v>421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>
        <v>0</v>
      </c>
      <c r="AC376">
        <v>0</v>
      </c>
      <c r="AD376">
        <v>0</v>
      </c>
      <c r="AF376">
        <v>0</v>
      </c>
      <c r="AG376" t="s">
        <v>423</v>
      </c>
      <c r="AI376" t="s">
        <v>423</v>
      </c>
      <c r="AJ376" t="s">
        <v>423</v>
      </c>
      <c r="AK376" t="s">
        <v>423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425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2.8580000000000001</v>
      </c>
      <c r="CE376" t="s">
        <v>450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421</v>
      </c>
      <c r="S377">
        <v>0</v>
      </c>
      <c r="T377">
        <v>0</v>
      </c>
      <c r="U377" t="s">
        <v>421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>
        <v>0</v>
      </c>
      <c r="AC377">
        <v>0.05</v>
      </c>
      <c r="AD377">
        <v>0</v>
      </c>
      <c r="AE377" t="s">
        <v>1652</v>
      </c>
      <c r="AF377">
        <v>0</v>
      </c>
      <c r="AG377" t="s">
        <v>423</v>
      </c>
      <c r="AH377" t="s">
        <v>1652</v>
      </c>
      <c r="AI377" t="s">
        <v>423</v>
      </c>
      <c r="AJ377" t="s">
        <v>423</v>
      </c>
      <c r="AK377" t="s">
        <v>423</v>
      </c>
      <c r="AL377" t="s">
        <v>1652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433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751</v>
      </c>
      <c r="C378" t="s">
        <v>1150</v>
      </c>
      <c r="D378" t="s">
        <v>1549</v>
      </c>
      <c r="E378" t="s">
        <v>401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422</v>
      </c>
      <c r="S378">
        <v>0</v>
      </c>
      <c r="T378">
        <v>0</v>
      </c>
      <c r="U378" t="s">
        <v>421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>
        <v>0</v>
      </c>
      <c r="AC378">
        <v>1</v>
      </c>
      <c r="AD378">
        <v>0</v>
      </c>
      <c r="AF378">
        <v>0</v>
      </c>
      <c r="AG378" t="s">
        <v>1654</v>
      </c>
      <c r="AI378" t="s">
        <v>423</v>
      </c>
      <c r="AJ378" t="s">
        <v>423</v>
      </c>
      <c r="AK378" t="s">
        <v>423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421</v>
      </c>
      <c r="S379">
        <v>0</v>
      </c>
      <c r="T379">
        <v>0</v>
      </c>
      <c r="U379" t="s">
        <v>421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>
        <v>0</v>
      </c>
      <c r="AC379">
        <v>0</v>
      </c>
      <c r="AD379">
        <v>0</v>
      </c>
      <c r="AF379">
        <v>0</v>
      </c>
      <c r="AG379" t="s">
        <v>423</v>
      </c>
      <c r="AI379" t="s">
        <v>423</v>
      </c>
      <c r="AJ379" t="s">
        <v>423</v>
      </c>
      <c r="AK379" t="s">
        <v>423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439</v>
      </c>
      <c r="AW379">
        <v>0</v>
      </c>
      <c r="AX379">
        <v>0</v>
      </c>
      <c r="AY379">
        <v>0</v>
      </c>
      <c r="CC379">
        <v>2.5505</v>
      </c>
      <c r="CE379" t="s">
        <v>450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421</v>
      </c>
      <c r="S380">
        <v>0</v>
      </c>
      <c r="T380">
        <v>0</v>
      </c>
      <c r="U380" t="s">
        <v>421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>
        <v>0</v>
      </c>
      <c r="AC380">
        <v>0</v>
      </c>
      <c r="AD380">
        <v>0</v>
      </c>
      <c r="AF380">
        <v>0</v>
      </c>
      <c r="AG380" t="s">
        <v>423</v>
      </c>
      <c r="AI380" t="s">
        <v>423</v>
      </c>
      <c r="AJ380" t="s">
        <v>423</v>
      </c>
      <c r="AK380" t="s">
        <v>423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430</v>
      </c>
      <c r="AT380">
        <v>0</v>
      </c>
      <c r="AU380">
        <v>0</v>
      </c>
      <c r="AV380" t="s">
        <v>438</v>
      </c>
      <c r="AW380">
        <v>0</v>
      </c>
      <c r="AX380">
        <v>0</v>
      </c>
      <c r="AY380">
        <v>0</v>
      </c>
      <c r="CC380">
        <v>2.875</v>
      </c>
      <c r="CE380" t="s">
        <v>450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1649</v>
      </c>
      <c r="R381" t="s">
        <v>421</v>
      </c>
      <c r="S381">
        <v>0</v>
      </c>
      <c r="T381">
        <v>0</v>
      </c>
      <c r="U381" t="s">
        <v>421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>
        <v>0</v>
      </c>
      <c r="AC381">
        <v>0</v>
      </c>
      <c r="AD381">
        <v>0</v>
      </c>
      <c r="AF381">
        <v>0</v>
      </c>
      <c r="AG381" t="s">
        <v>423</v>
      </c>
      <c r="AI381" t="s">
        <v>423</v>
      </c>
      <c r="AJ381" t="s">
        <v>423</v>
      </c>
      <c r="AK381" t="s">
        <v>423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446</v>
      </c>
      <c r="AW381">
        <v>0</v>
      </c>
      <c r="AX381">
        <v>0</v>
      </c>
      <c r="AY381">
        <v>0</v>
      </c>
      <c r="CC381">
        <v>2.7965</v>
      </c>
      <c r="CE381" t="s">
        <v>450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420</v>
      </c>
      <c r="R382" t="s">
        <v>421</v>
      </c>
      <c r="S382">
        <v>0</v>
      </c>
      <c r="T382">
        <v>0</v>
      </c>
      <c r="U382" t="s">
        <v>421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>
        <v>6.3E-2</v>
      </c>
      <c r="AC382">
        <v>0.1</v>
      </c>
      <c r="AD382">
        <v>0</v>
      </c>
      <c r="AF382">
        <v>0</v>
      </c>
      <c r="AG382" t="s">
        <v>423</v>
      </c>
      <c r="AI382" t="s">
        <v>423</v>
      </c>
      <c r="AJ382" t="s">
        <v>423</v>
      </c>
      <c r="AK382" t="s">
        <v>423</v>
      </c>
      <c r="AL382" t="s">
        <v>1652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434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119</v>
      </c>
      <c r="C383" t="s">
        <v>219</v>
      </c>
      <c r="D383" t="s">
        <v>319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421</v>
      </c>
      <c r="S383">
        <v>0</v>
      </c>
      <c r="T383">
        <v>0</v>
      </c>
      <c r="U383" t="s">
        <v>421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>
        <v>0</v>
      </c>
      <c r="AC383">
        <v>0</v>
      </c>
      <c r="AD383">
        <v>0</v>
      </c>
      <c r="AF383">
        <v>0</v>
      </c>
      <c r="AG383" t="s">
        <v>423</v>
      </c>
      <c r="AI383" t="s">
        <v>423</v>
      </c>
      <c r="AJ383" t="s">
        <v>423</v>
      </c>
      <c r="AK383" t="s">
        <v>423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433</v>
      </c>
      <c r="AW383">
        <v>0</v>
      </c>
      <c r="AX383">
        <v>0</v>
      </c>
      <c r="AY383">
        <v>0</v>
      </c>
      <c r="CC383">
        <v>2.8769999999999998</v>
      </c>
      <c r="CE383" t="s">
        <v>450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108</v>
      </c>
      <c r="C384" t="s">
        <v>208</v>
      </c>
      <c r="D384" t="s">
        <v>308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421</v>
      </c>
      <c r="S384">
        <v>0</v>
      </c>
      <c r="T384">
        <v>0</v>
      </c>
      <c r="U384" t="s">
        <v>421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>
        <v>0</v>
      </c>
      <c r="AC384">
        <v>0</v>
      </c>
      <c r="AD384">
        <v>0</v>
      </c>
      <c r="AF384">
        <v>0</v>
      </c>
      <c r="AG384" t="s">
        <v>423</v>
      </c>
      <c r="AI384" t="s">
        <v>423</v>
      </c>
      <c r="AJ384" t="s">
        <v>423</v>
      </c>
      <c r="AK384" t="s">
        <v>423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425</v>
      </c>
      <c r="AT384">
        <v>0</v>
      </c>
      <c r="AU384">
        <v>0</v>
      </c>
      <c r="AV384" t="s">
        <v>437</v>
      </c>
      <c r="AW384">
        <v>0</v>
      </c>
      <c r="AX384">
        <v>0</v>
      </c>
      <c r="AY384">
        <v>0</v>
      </c>
      <c r="CC384">
        <v>3.0409999999999999</v>
      </c>
      <c r="CE384" t="s">
        <v>450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423</v>
      </c>
      <c r="R385" t="s">
        <v>421</v>
      </c>
      <c r="S385">
        <v>0</v>
      </c>
      <c r="T385">
        <v>0</v>
      </c>
      <c r="U385" t="s">
        <v>421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>
        <v>0</v>
      </c>
      <c r="AC385">
        <v>0</v>
      </c>
      <c r="AD385">
        <v>0</v>
      </c>
      <c r="AF385">
        <v>0</v>
      </c>
      <c r="AG385" t="s">
        <v>423</v>
      </c>
      <c r="AI385" t="s">
        <v>423</v>
      </c>
      <c r="AJ385" t="s">
        <v>423</v>
      </c>
      <c r="AK385" t="s">
        <v>423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437</v>
      </c>
      <c r="AW385">
        <v>0</v>
      </c>
      <c r="AX385">
        <v>0</v>
      </c>
      <c r="AY385">
        <v>0</v>
      </c>
      <c r="CC385">
        <v>2.68</v>
      </c>
      <c r="CE385" t="s">
        <v>450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423</v>
      </c>
      <c r="R386" t="s">
        <v>421</v>
      </c>
      <c r="S386">
        <v>0</v>
      </c>
      <c r="T386">
        <v>0</v>
      </c>
      <c r="U386" t="s">
        <v>421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>
        <v>0</v>
      </c>
      <c r="AC386">
        <v>0</v>
      </c>
      <c r="AD386">
        <v>0</v>
      </c>
      <c r="AF386">
        <v>0</v>
      </c>
      <c r="AG386" t="s">
        <v>423</v>
      </c>
      <c r="AI386" t="s">
        <v>423</v>
      </c>
      <c r="AJ386" t="s">
        <v>423</v>
      </c>
      <c r="AK386" t="s">
        <v>423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433</v>
      </c>
      <c r="AW386">
        <v>0</v>
      </c>
      <c r="AX386">
        <v>0</v>
      </c>
      <c r="AY386">
        <v>0</v>
      </c>
      <c r="CC386">
        <v>2.6815000000000002</v>
      </c>
      <c r="CE386" t="s">
        <v>450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Q387" t="s">
        <v>415</v>
      </c>
      <c r="R387" t="s">
        <v>421</v>
      </c>
      <c r="S387">
        <v>0</v>
      </c>
      <c r="T387">
        <v>0</v>
      </c>
      <c r="U387" t="s">
        <v>421</v>
      </c>
      <c r="V387" t="s">
        <v>421</v>
      </c>
      <c r="W387" t="s">
        <v>421</v>
      </c>
      <c r="X387" t="s">
        <v>1650</v>
      </c>
      <c r="Y387" t="s">
        <v>421</v>
      </c>
      <c r="Z387" t="s">
        <v>421</v>
      </c>
      <c r="AA387" t="s">
        <v>421</v>
      </c>
      <c r="AB387">
        <v>0</v>
      </c>
      <c r="AC387">
        <v>0.01</v>
      </c>
      <c r="AD387">
        <v>0</v>
      </c>
      <c r="AF387">
        <v>0</v>
      </c>
      <c r="AG387" t="s">
        <v>423</v>
      </c>
      <c r="AI387" t="s">
        <v>423</v>
      </c>
      <c r="AJ387" t="s">
        <v>423</v>
      </c>
      <c r="AK387" t="s">
        <v>423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437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421</v>
      </c>
      <c r="S388">
        <v>0</v>
      </c>
      <c r="T388">
        <v>0</v>
      </c>
      <c r="U388" t="s">
        <v>421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>
        <v>0</v>
      </c>
      <c r="AC388">
        <v>0</v>
      </c>
      <c r="AD388">
        <v>0</v>
      </c>
      <c r="AF388">
        <v>0</v>
      </c>
      <c r="AG388" t="s">
        <v>423</v>
      </c>
      <c r="AI388" t="s">
        <v>423</v>
      </c>
      <c r="AJ388" t="s">
        <v>423</v>
      </c>
      <c r="AK388" t="s">
        <v>423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446</v>
      </c>
      <c r="AW388">
        <v>0</v>
      </c>
      <c r="AX388">
        <v>0</v>
      </c>
      <c r="AY388">
        <v>0</v>
      </c>
      <c r="CC388">
        <v>2.4315000000000002</v>
      </c>
      <c r="CE388" t="s">
        <v>450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421</v>
      </c>
      <c r="S389">
        <v>0</v>
      </c>
      <c r="T389">
        <v>0</v>
      </c>
      <c r="U389" t="s">
        <v>421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>
        <v>0</v>
      </c>
      <c r="AC389">
        <v>0.05</v>
      </c>
      <c r="AD389">
        <v>0</v>
      </c>
      <c r="AF389">
        <v>0</v>
      </c>
      <c r="AG389" t="s">
        <v>423</v>
      </c>
      <c r="AI389" t="s">
        <v>423</v>
      </c>
      <c r="AJ389" t="s">
        <v>423</v>
      </c>
      <c r="AK389" t="s">
        <v>423</v>
      </c>
      <c r="AL389" t="s">
        <v>1652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433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421</v>
      </c>
      <c r="S390">
        <v>0</v>
      </c>
      <c r="T390">
        <v>0</v>
      </c>
      <c r="U390" t="s">
        <v>421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>
        <v>0</v>
      </c>
      <c r="AC390">
        <v>0</v>
      </c>
      <c r="AD390">
        <v>0</v>
      </c>
      <c r="AF390">
        <v>0</v>
      </c>
      <c r="AG390" t="s">
        <v>423</v>
      </c>
      <c r="AI390" t="s">
        <v>423</v>
      </c>
      <c r="AJ390" t="s">
        <v>423</v>
      </c>
      <c r="AK390" t="s">
        <v>423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430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421</v>
      </c>
      <c r="S391">
        <v>0</v>
      </c>
      <c r="T391">
        <v>0</v>
      </c>
      <c r="U391" t="s">
        <v>421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>
        <v>0</v>
      </c>
      <c r="AC391">
        <v>0</v>
      </c>
      <c r="AD391">
        <v>0</v>
      </c>
      <c r="AF391">
        <v>0</v>
      </c>
      <c r="AG391" t="s">
        <v>423</v>
      </c>
      <c r="AI391" t="s">
        <v>423</v>
      </c>
      <c r="AJ391" t="s">
        <v>423</v>
      </c>
      <c r="AK391" t="s">
        <v>423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430</v>
      </c>
      <c r="AT391">
        <v>0</v>
      </c>
      <c r="AU391">
        <v>0</v>
      </c>
      <c r="AV391" t="s">
        <v>433</v>
      </c>
      <c r="AW391">
        <v>0</v>
      </c>
      <c r="AX391">
        <v>0</v>
      </c>
      <c r="AY391">
        <v>0</v>
      </c>
      <c r="CC391">
        <v>2.73</v>
      </c>
      <c r="CE391" t="s">
        <v>450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423</v>
      </c>
      <c r="R392" t="s">
        <v>421</v>
      </c>
      <c r="S392">
        <v>0</v>
      </c>
      <c r="T392">
        <v>0</v>
      </c>
      <c r="U392" t="s">
        <v>421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>
        <v>0</v>
      </c>
      <c r="AC392">
        <v>0</v>
      </c>
      <c r="AD392">
        <v>0</v>
      </c>
      <c r="AF392">
        <v>0</v>
      </c>
      <c r="AG392" t="s">
        <v>423</v>
      </c>
      <c r="AI392" t="s">
        <v>423</v>
      </c>
      <c r="AJ392" t="s">
        <v>423</v>
      </c>
      <c r="AK392" t="s">
        <v>423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425</v>
      </c>
      <c r="AT392">
        <v>0</v>
      </c>
      <c r="AU392">
        <v>0</v>
      </c>
      <c r="AV392" t="s">
        <v>437</v>
      </c>
      <c r="AW392">
        <v>0</v>
      </c>
      <c r="AX392">
        <v>0</v>
      </c>
      <c r="AY392">
        <v>0</v>
      </c>
      <c r="CC392">
        <v>2.6040000000000001</v>
      </c>
      <c r="CE392" t="s">
        <v>450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Q393" t="s">
        <v>423</v>
      </c>
      <c r="R393" t="s">
        <v>421</v>
      </c>
      <c r="S393">
        <v>0</v>
      </c>
      <c r="T393">
        <v>0</v>
      </c>
      <c r="U393" t="s">
        <v>421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>
        <v>0</v>
      </c>
      <c r="AC393">
        <v>0</v>
      </c>
      <c r="AD393">
        <v>0</v>
      </c>
      <c r="AF393">
        <v>0</v>
      </c>
      <c r="AG393" t="s">
        <v>423</v>
      </c>
      <c r="AI393" t="s">
        <v>423</v>
      </c>
      <c r="AJ393" t="s">
        <v>423</v>
      </c>
      <c r="AK393" t="s">
        <v>423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434</v>
      </c>
      <c r="AW393">
        <v>0</v>
      </c>
      <c r="AX393">
        <v>0</v>
      </c>
      <c r="AY393">
        <v>0</v>
      </c>
      <c r="CC393">
        <v>2.2475000000000001</v>
      </c>
      <c r="CE393" t="s">
        <v>450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422</v>
      </c>
      <c r="S394">
        <v>0</v>
      </c>
      <c r="T394">
        <v>0</v>
      </c>
      <c r="U394" t="s">
        <v>421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>
        <v>0</v>
      </c>
      <c r="AC394">
        <v>0</v>
      </c>
      <c r="AD394">
        <v>0</v>
      </c>
      <c r="AF394">
        <v>0</v>
      </c>
      <c r="AG394" t="s">
        <v>423</v>
      </c>
      <c r="AI394" t="s">
        <v>423</v>
      </c>
      <c r="AJ394" t="s">
        <v>423</v>
      </c>
      <c r="AK394" t="s">
        <v>423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434</v>
      </c>
      <c r="AW394">
        <v>0</v>
      </c>
      <c r="AX394">
        <v>0</v>
      </c>
      <c r="AY394">
        <v>0</v>
      </c>
      <c r="CC394">
        <v>2.3439999999999999</v>
      </c>
      <c r="CE394" t="s">
        <v>450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421</v>
      </c>
      <c r="S395">
        <v>0</v>
      </c>
      <c r="T395">
        <v>0</v>
      </c>
      <c r="U395" t="s">
        <v>421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>
        <v>0</v>
      </c>
      <c r="AC395">
        <v>0</v>
      </c>
      <c r="AD395">
        <v>0</v>
      </c>
      <c r="AF395">
        <v>0</v>
      </c>
      <c r="AG395" t="s">
        <v>423</v>
      </c>
      <c r="AI395" t="s">
        <v>423</v>
      </c>
      <c r="AJ395" t="s">
        <v>423</v>
      </c>
      <c r="AK395" t="s">
        <v>423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424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450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421</v>
      </c>
      <c r="S396">
        <v>0</v>
      </c>
      <c r="T396">
        <v>0</v>
      </c>
      <c r="U396" t="s">
        <v>421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>
        <v>0</v>
      </c>
      <c r="AC396">
        <v>0</v>
      </c>
      <c r="AD396">
        <v>0</v>
      </c>
      <c r="AF396">
        <v>0</v>
      </c>
      <c r="AG396" t="s">
        <v>423</v>
      </c>
      <c r="AI396" t="s">
        <v>423</v>
      </c>
      <c r="AJ396" t="s">
        <v>423</v>
      </c>
      <c r="AK396" t="s">
        <v>423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427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450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421</v>
      </c>
      <c r="S397">
        <v>0</v>
      </c>
      <c r="T397">
        <v>0</v>
      </c>
      <c r="U397" t="s">
        <v>421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>
        <v>0</v>
      </c>
      <c r="AC397">
        <v>0</v>
      </c>
      <c r="AD397">
        <v>0</v>
      </c>
      <c r="AF397">
        <v>0</v>
      </c>
      <c r="AG397" t="s">
        <v>423</v>
      </c>
      <c r="AI397" t="s">
        <v>423</v>
      </c>
      <c r="AJ397" t="s">
        <v>423</v>
      </c>
      <c r="AK397" t="s">
        <v>423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446</v>
      </c>
      <c r="AW397">
        <v>0</v>
      </c>
      <c r="AX397">
        <v>0</v>
      </c>
      <c r="AY397">
        <v>0</v>
      </c>
      <c r="CC397">
        <v>2.1720000000000002</v>
      </c>
      <c r="CE397" t="s">
        <v>450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421</v>
      </c>
      <c r="S398">
        <v>0</v>
      </c>
      <c r="T398">
        <v>0</v>
      </c>
      <c r="U398" t="s">
        <v>421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>
        <v>0.05</v>
      </c>
      <c r="AC398">
        <v>0.2</v>
      </c>
      <c r="AD398">
        <v>0</v>
      </c>
      <c r="AE398" t="s">
        <v>1652</v>
      </c>
      <c r="AF398">
        <v>0</v>
      </c>
      <c r="AG398" t="s">
        <v>423</v>
      </c>
      <c r="AH398" t="s">
        <v>1652</v>
      </c>
      <c r="AI398" t="s">
        <v>423</v>
      </c>
      <c r="AJ398" t="s">
        <v>423</v>
      </c>
      <c r="AK398" t="s">
        <v>423</v>
      </c>
      <c r="AL398" t="s">
        <v>1652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429</v>
      </c>
      <c r="AT398">
        <v>0</v>
      </c>
      <c r="AU398">
        <v>0</v>
      </c>
      <c r="AV398" t="s">
        <v>446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423</v>
      </c>
      <c r="R399" t="s">
        <v>1650</v>
      </c>
      <c r="S399">
        <v>0</v>
      </c>
      <c r="T399">
        <v>0.01</v>
      </c>
      <c r="U399" t="s">
        <v>421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>
        <v>0</v>
      </c>
      <c r="AC399">
        <v>1</v>
      </c>
      <c r="AD399">
        <v>0</v>
      </c>
      <c r="AE399" t="s">
        <v>1653</v>
      </c>
      <c r="AF399">
        <v>0</v>
      </c>
      <c r="AG399" t="s">
        <v>1654</v>
      </c>
      <c r="AH399" t="s">
        <v>1653</v>
      </c>
      <c r="AI399" t="s">
        <v>423</v>
      </c>
      <c r="AJ399" t="s">
        <v>1654</v>
      </c>
      <c r="AK399" t="s">
        <v>1654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421</v>
      </c>
      <c r="S400">
        <v>0</v>
      </c>
      <c r="T400">
        <v>0</v>
      </c>
      <c r="U400" t="s">
        <v>421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>
        <v>0</v>
      </c>
      <c r="AC400">
        <v>0</v>
      </c>
      <c r="AD400">
        <v>0</v>
      </c>
      <c r="AF400">
        <v>0</v>
      </c>
      <c r="AG400" t="s">
        <v>423</v>
      </c>
      <c r="AI400" t="s">
        <v>423</v>
      </c>
      <c r="AJ400" t="s">
        <v>423</v>
      </c>
      <c r="AK400" t="s">
        <v>423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2.806</v>
      </c>
      <c r="CE400" t="s">
        <v>450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421</v>
      </c>
      <c r="S401">
        <v>0</v>
      </c>
      <c r="T401">
        <v>0</v>
      </c>
      <c r="U401" t="s">
        <v>421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>
        <v>0</v>
      </c>
      <c r="AC401">
        <v>0.05</v>
      </c>
      <c r="AD401">
        <v>0</v>
      </c>
      <c r="AF401">
        <v>0</v>
      </c>
      <c r="AG401" t="s">
        <v>423</v>
      </c>
      <c r="AH401" t="s">
        <v>1652</v>
      </c>
      <c r="AI401" t="s">
        <v>423</v>
      </c>
      <c r="AJ401" t="s">
        <v>423</v>
      </c>
      <c r="AK401" t="s">
        <v>423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437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421</v>
      </c>
      <c r="S402">
        <v>0</v>
      </c>
      <c r="T402">
        <v>0</v>
      </c>
      <c r="U402" t="s">
        <v>421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>
        <v>0</v>
      </c>
      <c r="AC402">
        <v>0.39</v>
      </c>
      <c r="AD402">
        <v>0</v>
      </c>
      <c r="AF402">
        <v>0</v>
      </c>
      <c r="AG402" t="s">
        <v>423</v>
      </c>
      <c r="AH402" t="s">
        <v>1652</v>
      </c>
      <c r="AI402" t="s">
        <v>423</v>
      </c>
      <c r="AJ402" t="s">
        <v>423</v>
      </c>
      <c r="AK402" t="s">
        <v>423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437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421</v>
      </c>
      <c r="S403">
        <v>0</v>
      </c>
      <c r="T403">
        <v>0</v>
      </c>
      <c r="U403" t="s">
        <v>421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>
        <v>0</v>
      </c>
      <c r="AC403">
        <v>0</v>
      </c>
      <c r="AD403">
        <v>0</v>
      </c>
      <c r="AF403">
        <v>0</v>
      </c>
      <c r="AG403" t="s">
        <v>423</v>
      </c>
      <c r="AI403" t="s">
        <v>423</v>
      </c>
      <c r="AJ403" t="s">
        <v>423</v>
      </c>
      <c r="AK403" t="s">
        <v>423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437</v>
      </c>
      <c r="AW403">
        <v>0</v>
      </c>
      <c r="AX403">
        <v>0</v>
      </c>
      <c r="AY403">
        <v>0</v>
      </c>
      <c r="CC403">
        <v>2.9</v>
      </c>
      <c r="CE403" t="s">
        <v>450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421</v>
      </c>
      <c r="S404">
        <v>0</v>
      </c>
      <c r="T404">
        <v>0</v>
      </c>
      <c r="U404" t="s">
        <v>421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>
        <v>0</v>
      </c>
      <c r="AC404">
        <v>0</v>
      </c>
      <c r="AD404">
        <v>0</v>
      </c>
      <c r="AF404">
        <v>0</v>
      </c>
      <c r="AG404" t="s">
        <v>423</v>
      </c>
      <c r="AI404" t="s">
        <v>423</v>
      </c>
      <c r="AJ404" t="s">
        <v>423</v>
      </c>
      <c r="AK404" t="s">
        <v>423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446</v>
      </c>
      <c r="AW404">
        <v>0</v>
      </c>
      <c r="AX404">
        <v>0</v>
      </c>
      <c r="AY404">
        <v>0</v>
      </c>
      <c r="CC404">
        <v>2.7654999999999998</v>
      </c>
      <c r="CE404" t="s">
        <v>450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177</v>
      </c>
      <c r="C405" t="s">
        <v>277</v>
      </c>
      <c r="D405" t="s">
        <v>377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421</v>
      </c>
      <c r="S405">
        <v>0</v>
      </c>
      <c r="T405">
        <v>0</v>
      </c>
      <c r="U405" t="s">
        <v>421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>
        <v>0</v>
      </c>
      <c r="AC405">
        <v>0</v>
      </c>
      <c r="AD405">
        <v>0</v>
      </c>
      <c r="AF405">
        <v>0</v>
      </c>
      <c r="AG405" t="s">
        <v>423</v>
      </c>
      <c r="AI405" t="s">
        <v>423</v>
      </c>
      <c r="AJ405" t="s">
        <v>423</v>
      </c>
      <c r="AK405" t="s">
        <v>423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446</v>
      </c>
      <c r="AW405">
        <v>0</v>
      </c>
      <c r="AX405">
        <v>0</v>
      </c>
      <c r="AY405">
        <v>0</v>
      </c>
      <c r="CC405">
        <v>2.8140000000000001</v>
      </c>
      <c r="CE405" t="s">
        <v>450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775</v>
      </c>
      <c r="C406" t="s">
        <v>1174</v>
      </c>
      <c r="D406" t="s">
        <v>1573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421</v>
      </c>
      <c r="S406">
        <v>0</v>
      </c>
      <c r="T406">
        <v>0</v>
      </c>
      <c r="U406" t="s">
        <v>421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>
        <v>0</v>
      </c>
      <c r="AC406">
        <v>0</v>
      </c>
      <c r="AD406">
        <v>0</v>
      </c>
      <c r="AF406">
        <v>0</v>
      </c>
      <c r="AG406" t="s">
        <v>423</v>
      </c>
      <c r="AI406" t="s">
        <v>423</v>
      </c>
      <c r="AJ406" t="s">
        <v>423</v>
      </c>
      <c r="AK406" t="s">
        <v>423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430</v>
      </c>
      <c r="AT406">
        <v>0</v>
      </c>
      <c r="AU406">
        <v>0</v>
      </c>
      <c r="AV406" t="s">
        <v>434</v>
      </c>
      <c r="AW406">
        <v>0</v>
      </c>
      <c r="AX406">
        <v>0</v>
      </c>
      <c r="AY406">
        <v>0</v>
      </c>
      <c r="CC406">
        <v>2.3895</v>
      </c>
      <c r="CE406" t="s">
        <v>450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776</v>
      </c>
      <c r="C407" t="s">
        <v>1175</v>
      </c>
      <c r="D407" t="s">
        <v>1574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421</v>
      </c>
      <c r="S407">
        <v>0</v>
      </c>
      <c r="T407">
        <v>0</v>
      </c>
      <c r="U407" t="s">
        <v>421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>
        <v>0</v>
      </c>
      <c r="AC407">
        <v>0.05</v>
      </c>
      <c r="AD407">
        <v>0</v>
      </c>
      <c r="AF407">
        <v>0</v>
      </c>
      <c r="AG407" t="s">
        <v>423</v>
      </c>
      <c r="AI407" t="s">
        <v>423</v>
      </c>
      <c r="AJ407" t="s">
        <v>423</v>
      </c>
      <c r="AK407" t="s">
        <v>423</v>
      </c>
      <c r="AL407" t="s">
        <v>1652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423</v>
      </c>
      <c r="AT407">
        <v>1</v>
      </c>
      <c r="AU407">
        <v>0</v>
      </c>
      <c r="AV407" t="s">
        <v>434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777</v>
      </c>
      <c r="C408" t="s">
        <v>1176</v>
      </c>
      <c r="D408" t="s">
        <v>1575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421</v>
      </c>
      <c r="S408">
        <v>0</v>
      </c>
      <c r="T408">
        <v>0</v>
      </c>
      <c r="U408" t="s">
        <v>421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>
        <v>0</v>
      </c>
      <c r="AC408">
        <v>0.02</v>
      </c>
      <c r="AD408">
        <v>0</v>
      </c>
      <c r="AF408">
        <v>0</v>
      </c>
      <c r="AG408" t="s">
        <v>423</v>
      </c>
      <c r="AI408" t="s">
        <v>423</v>
      </c>
      <c r="AJ408" t="s">
        <v>423</v>
      </c>
      <c r="AK408" t="s">
        <v>423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434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421</v>
      </c>
      <c r="S409">
        <v>0</v>
      </c>
      <c r="T409">
        <v>0</v>
      </c>
      <c r="U409" t="s">
        <v>421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>
        <v>0</v>
      </c>
      <c r="AC409">
        <v>0</v>
      </c>
      <c r="AD409">
        <v>0</v>
      </c>
      <c r="AF409">
        <v>0</v>
      </c>
      <c r="AG409" t="s">
        <v>423</v>
      </c>
      <c r="AI409" t="s">
        <v>423</v>
      </c>
      <c r="AJ409" t="s">
        <v>423</v>
      </c>
      <c r="AK409" t="s">
        <v>423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450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421</v>
      </c>
      <c r="S410">
        <v>0</v>
      </c>
      <c r="T410">
        <v>0</v>
      </c>
      <c r="U410" t="s">
        <v>421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>
        <v>0</v>
      </c>
      <c r="AC410">
        <v>0.217</v>
      </c>
      <c r="AD410">
        <v>0</v>
      </c>
      <c r="AF410">
        <v>0</v>
      </c>
      <c r="AG410" t="s">
        <v>423</v>
      </c>
      <c r="AH410" t="s">
        <v>1652</v>
      </c>
      <c r="AI410" t="s">
        <v>423</v>
      </c>
      <c r="AJ410" t="s">
        <v>423</v>
      </c>
      <c r="AK410" t="s">
        <v>423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421</v>
      </c>
      <c r="S411">
        <v>0</v>
      </c>
      <c r="T411">
        <v>0</v>
      </c>
      <c r="U411" t="s">
        <v>421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>
        <v>0</v>
      </c>
      <c r="AC411">
        <v>0.73299999999999998</v>
      </c>
      <c r="AD411">
        <v>0</v>
      </c>
      <c r="AF411">
        <v>0</v>
      </c>
      <c r="AG411" t="s">
        <v>423</v>
      </c>
      <c r="AI411" t="s">
        <v>423</v>
      </c>
      <c r="AJ411" t="s">
        <v>423</v>
      </c>
      <c r="AK411" t="s">
        <v>1654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132</v>
      </c>
      <c r="C412" t="s">
        <v>232</v>
      </c>
      <c r="D412" t="s">
        <v>332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421</v>
      </c>
      <c r="S412">
        <v>0</v>
      </c>
      <c r="T412">
        <v>0</v>
      </c>
      <c r="U412" t="s">
        <v>421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>
        <v>0</v>
      </c>
      <c r="AC412">
        <v>0</v>
      </c>
      <c r="AD412">
        <v>0</v>
      </c>
      <c r="AF412">
        <v>0</v>
      </c>
      <c r="AG412" t="s">
        <v>423</v>
      </c>
      <c r="AI412" t="s">
        <v>423</v>
      </c>
      <c r="AJ412" t="s">
        <v>423</v>
      </c>
      <c r="AK412" t="s">
        <v>423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430</v>
      </c>
      <c r="AT412">
        <v>0</v>
      </c>
      <c r="AU412">
        <v>0</v>
      </c>
      <c r="AV412" t="s">
        <v>433</v>
      </c>
      <c r="AW412">
        <v>0</v>
      </c>
      <c r="AX412">
        <v>0</v>
      </c>
      <c r="AY412">
        <v>0</v>
      </c>
      <c r="CC412">
        <v>2.8195000000000001</v>
      </c>
      <c r="CE412" t="s">
        <v>450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781</v>
      </c>
      <c r="C413" t="s">
        <v>1180</v>
      </c>
      <c r="D413" t="s">
        <v>1579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421</v>
      </c>
      <c r="S413">
        <v>0</v>
      </c>
      <c r="T413">
        <v>0</v>
      </c>
      <c r="U413" t="s">
        <v>421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>
        <v>0</v>
      </c>
      <c r="AC413">
        <v>0</v>
      </c>
      <c r="AD413">
        <v>0</v>
      </c>
      <c r="AF413">
        <v>0</v>
      </c>
      <c r="AG413" t="s">
        <v>423</v>
      </c>
      <c r="AI413" t="s">
        <v>423</v>
      </c>
      <c r="AJ413" t="s">
        <v>423</v>
      </c>
      <c r="AK413" t="s">
        <v>423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432</v>
      </c>
      <c r="AT413">
        <v>0</v>
      </c>
      <c r="AU413">
        <v>0</v>
      </c>
      <c r="AV413" t="s">
        <v>433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782</v>
      </c>
      <c r="C414" t="s">
        <v>1181</v>
      </c>
      <c r="D414" t="s">
        <v>1580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423</v>
      </c>
      <c r="R414" t="s">
        <v>421</v>
      </c>
      <c r="S414">
        <v>0</v>
      </c>
      <c r="T414">
        <v>0</v>
      </c>
      <c r="U414" t="s">
        <v>421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>
        <v>0</v>
      </c>
      <c r="AC414">
        <v>0</v>
      </c>
      <c r="AD414">
        <v>0</v>
      </c>
      <c r="AF414">
        <v>0</v>
      </c>
      <c r="AG414" t="s">
        <v>423</v>
      </c>
      <c r="AI414" t="s">
        <v>423</v>
      </c>
      <c r="AJ414" t="s">
        <v>423</v>
      </c>
      <c r="AK414" t="s">
        <v>423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430</v>
      </c>
      <c r="AT414">
        <v>0</v>
      </c>
      <c r="AU414">
        <v>0</v>
      </c>
      <c r="AV414" t="s">
        <v>447</v>
      </c>
      <c r="AW414">
        <v>0</v>
      </c>
      <c r="AX414">
        <v>0</v>
      </c>
      <c r="AY414">
        <v>0</v>
      </c>
      <c r="CC414">
        <v>2.194</v>
      </c>
      <c r="CE414" t="s">
        <v>450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123</v>
      </c>
      <c r="C415" t="s">
        <v>223</v>
      </c>
      <c r="D415" t="s">
        <v>323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421</v>
      </c>
      <c r="S415">
        <v>0</v>
      </c>
      <c r="T415">
        <v>0</v>
      </c>
      <c r="U415" t="s">
        <v>421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>
        <v>0</v>
      </c>
      <c r="AC415">
        <v>0</v>
      </c>
      <c r="AD415">
        <v>0</v>
      </c>
      <c r="AF415">
        <v>0</v>
      </c>
      <c r="AG415" t="s">
        <v>423</v>
      </c>
      <c r="AI415" t="s">
        <v>423</v>
      </c>
      <c r="AJ415" t="s">
        <v>423</v>
      </c>
      <c r="AK415" t="s">
        <v>423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446</v>
      </c>
      <c r="AW415">
        <v>0</v>
      </c>
      <c r="AX415">
        <v>0</v>
      </c>
      <c r="AY415">
        <v>0</v>
      </c>
      <c r="CC415">
        <v>3.0710000000000002</v>
      </c>
      <c r="CE415" t="s">
        <v>450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783</v>
      </c>
      <c r="C416" t="s">
        <v>1182</v>
      </c>
      <c r="D416" t="s">
        <v>1581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423</v>
      </c>
      <c r="R416" t="s">
        <v>421</v>
      </c>
      <c r="S416">
        <v>0</v>
      </c>
      <c r="T416">
        <v>0</v>
      </c>
      <c r="U416" t="s">
        <v>421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>
        <v>0</v>
      </c>
      <c r="AC416">
        <v>0</v>
      </c>
      <c r="AD416">
        <v>0</v>
      </c>
      <c r="AF416">
        <v>0</v>
      </c>
      <c r="AG416" t="s">
        <v>423</v>
      </c>
      <c r="AI416" t="s">
        <v>423</v>
      </c>
      <c r="AJ416" t="s">
        <v>423</v>
      </c>
      <c r="AK416" t="s">
        <v>423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430</v>
      </c>
      <c r="AT416">
        <v>0</v>
      </c>
      <c r="AU416">
        <v>0</v>
      </c>
      <c r="AV416" t="s">
        <v>439</v>
      </c>
      <c r="AW416">
        <v>0</v>
      </c>
      <c r="AX416">
        <v>0</v>
      </c>
      <c r="AY416">
        <v>0</v>
      </c>
      <c r="CC416">
        <v>2.6505000000000001</v>
      </c>
      <c r="CE416" t="s">
        <v>450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421</v>
      </c>
      <c r="S417">
        <v>0</v>
      </c>
      <c r="T417">
        <v>0</v>
      </c>
      <c r="U417" t="s">
        <v>421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>
        <v>0</v>
      </c>
      <c r="AC417">
        <v>0</v>
      </c>
      <c r="AD417">
        <v>0</v>
      </c>
      <c r="AF417">
        <v>0</v>
      </c>
      <c r="AG417" t="s">
        <v>423</v>
      </c>
      <c r="AI417" t="s">
        <v>423</v>
      </c>
      <c r="AJ417" t="s">
        <v>423</v>
      </c>
      <c r="AK417" t="s">
        <v>423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2.4355000000000002</v>
      </c>
      <c r="CE417" t="s">
        <v>450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785</v>
      </c>
      <c r="C418" t="s">
        <v>1184</v>
      </c>
      <c r="D418" t="s">
        <v>1583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421</v>
      </c>
      <c r="S418">
        <v>0</v>
      </c>
      <c r="T418">
        <v>0</v>
      </c>
      <c r="U418" t="s">
        <v>421</v>
      </c>
      <c r="V418" t="s">
        <v>421</v>
      </c>
      <c r="W418" t="s">
        <v>421</v>
      </c>
      <c r="X418" t="s">
        <v>422</v>
      </c>
      <c r="Y418" t="s">
        <v>421</v>
      </c>
      <c r="Z418" t="s">
        <v>421</v>
      </c>
      <c r="AA418" t="s">
        <v>421</v>
      </c>
      <c r="AB418">
        <v>0</v>
      </c>
      <c r="AC418">
        <v>5.1999999999999998E-2</v>
      </c>
      <c r="AD418">
        <v>0</v>
      </c>
      <c r="AF418">
        <v>0</v>
      </c>
      <c r="AG418" t="s">
        <v>423</v>
      </c>
      <c r="AI418" t="s">
        <v>423</v>
      </c>
      <c r="AJ418" t="s">
        <v>423</v>
      </c>
      <c r="AK418" t="s">
        <v>423</v>
      </c>
      <c r="AL418" t="s">
        <v>1652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429</v>
      </c>
      <c r="AT418">
        <v>0</v>
      </c>
      <c r="AU418">
        <v>0</v>
      </c>
      <c r="AV418" t="s">
        <v>433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421</v>
      </c>
      <c r="S419">
        <v>0</v>
      </c>
      <c r="T419">
        <v>0</v>
      </c>
      <c r="U419" t="s">
        <v>421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>
        <v>0</v>
      </c>
      <c r="AC419">
        <v>0.06</v>
      </c>
      <c r="AD419">
        <v>0</v>
      </c>
      <c r="AF419">
        <v>0</v>
      </c>
      <c r="AG419" t="s">
        <v>423</v>
      </c>
      <c r="AI419" t="s">
        <v>423</v>
      </c>
      <c r="AJ419" t="s">
        <v>423</v>
      </c>
      <c r="AK419" t="s">
        <v>423</v>
      </c>
      <c r="AL419" t="s">
        <v>1652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429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787</v>
      </c>
      <c r="C420" t="s">
        <v>1186</v>
      </c>
      <c r="D420" t="s">
        <v>1585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421</v>
      </c>
      <c r="S420">
        <v>0</v>
      </c>
      <c r="T420">
        <v>0</v>
      </c>
      <c r="U420" t="s">
        <v>421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>
        <v>0</v>
      </c>
      <c r="AC420">
        <v>0.1</v>
      </c>
      <c r="AD420">
        <v>0</v>
      </c>
      <c r="AF420">
        <v>0</v>
      </c>
      <c r="AG420" t="s">
        <v>423</v>
      </c>
      <c r="AI420" t="s">
        <v>423</v>
      </c>
      <c r="AJ420" t="s">
        <v>423</v>
      </c>
      <c r="AK420" t="s">
        <v>423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434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421</v>
      </c>
      <c r="S421">
        <v>0</v>
      </c>
      <c r="T421">
        <v>0</v>
      </c>
      <c r="U421" t="s">
        <v>421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423</v>
      </c>
      <c r="AI421" t="s">
        <v>423</v>
      </c>
      <c r="AJ421" t="s">
        <v>423</v>
      </c>
      <c r="AK421" t="s">
        <v>423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421</v>
      </c>
      <c r="S422">
        <v>0</v>
      </c>
      <c r="T422">
        <v>0</v>
      </c>
      <c r="U422" t="s">
        <v>421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>
        <v>0</v>
      </c>
      <c r="AC422">
        <v>0</v>
      </c>
      <c r="AD422">
        <v>0</v>
      </c>
      <c r="AF422">
        <v>0</v>
      </c>
      <c r="AG422" t="s">
        <v>423</v>
      </c>
      <c r="AI422" t="s">
        <v>423</v>
      </c>
      <c r="AJ422" t="s">
        <v>423</v>
      </c>
      <c r="AK422" t="s">
        <v>423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430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2.3140000000000001</v>
      </c>
      <c r="CE422" t="s">
        <v>450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790</v>
      </c>
      <c r="C423" t="s">
        <v>1189</v>
      </c>
      <c r="D423" t="s">
        <v>1588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421</v>
      </c>
      <c r="S423">
        <v>0</v>
      </c>
      <c r="T423">
        <v>0</v>
      </c>
      <c r="U423" t="s">
        <v>421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>
        <v>0</v>
      </c>
      <c r="AC423">
        <v>0</v>
      </c>
      <c r="AD423">
        <v>0</v>
      </c>
      <c r="AF423">
        <v>0</v>
      </c>
      <c r="AG423" t="s">
        <v>423</v>
      </c>
      <c r="AI423" t="s">
        <v>423</v>
      </c>
      <c r="AJ423" t="s">
        <v>423</v>
      </c>
      <c r="AK423" t="s">
        <v>423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430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2.6015000000000001</v>
      </c>
      <c r="CE423" t="s">
        <v>450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423</v>
      </c>
      <c r="R424" t="s">
        <v>422</v>
      </c>
      <c r="S424">
        <v>0</v>
      </c>
      <c r="T424">
        <v>0</v>
      </c>
      <c r="U424" t="s">
        <v>421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>
        <v>0</v>
      </c>
      <c r="AC424">
        <v>0</v>
      </c>
      <c r="AD424">
        <v>0</v>
      </c>
      <c r="AF424">
        <v>0</v>
      </c>
      <c r="AG424" t="s">
        <v>423</v>
      </c>
      <c r="AI424" t="s">
        <v>423</v>
      </c>
      <c r="AJ424" t="s">
        <v>423</v>
      </c>
      <c r="AK424" t="s">
        <v>423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445</v>
      </c>
      <c r="AW424">
        <v>0</v>
      </c>
      <c r="AX424">
        <v>0</v>
      </c>
      <c r="AY424">
        <v>0</v>
      </c>
      <c r="CC424">
        <v>2.4239999999999999</v>
      </c>
      <c r="CE424" t="s">
        <v>450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421</v>
      </c>
      <c r="S425">
        <v>0</v>
      </c>
      <c r="T425">
        <v>0</v>
      </c>
      <c r="U425" t="s">
        <v>421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>
        <v>0</v>
      </c>
      <c r="AC425">
        <v>0</v>
      </c>
      <c r="AD425">
        <v>0</v>
      </c>
      <c r="AF425">
        <v>0</v>
      </c>
      <c r="AG425" t="s">
        <v>423</v>
      </c>
      <c r="AI425" t="s">
        <v>423</v>
      </c>
      <c r="AJ425" t="s">
        <v>423</v>
      </c>
      <c r="AK425" t="s">
        <v>423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445</v>
      </c>
      <c r="AW425">
        <v>0</v>
      </c>
      <c r="AX425">
        <v>0</v>
      </c>
      <c r="AY425">
        <v>0</v>
      </c>
      <c r="CC425">
        <v>2.8845000000000001</v>
      </c>
      <c r="CE425" t="s">
        <v>450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422</v>
      </c>
      <c r="S426">
        <v>0</v>
      </c>
      <c r="T426">
        <v>0</v>
      </c>
      <c r="U426" t="s">
        <v>421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>
        <v>0</v>
      </c>
      <c r="AC426">
        <v>0</v>
      </c>
      <c r="AD426">
        <v>0</v>
      </c>
      <c r="AF426">
        <v>0</v>
      </c>
      <c r="AG426" t="s">
        <v>423</v>
      </c>
      <c r="AI426" t="s">
        <v>423</v>
      </c>
      <c r="AJ426" t="s">
        <v>423</v>
      </c>
      <c r="AK426" t="s">
        <v>423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438</v>
      </c>
      <c r="AW426">
        <v>0</v>
      </c>
      <c r="AX426">
        <v>0</v>
      </c>
      <c r="AY426">
        <v>0</v>
      </c>
      <c r="CC426">
        <v>2.8610000000000002</v>
      </c>
      <c r="CE426" t="s">
        <v>450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793</v>
      </c>
      <c r="C427" t="s">
        <v>1192</v>
      </c>
      <c r="D427" t="s">
        <v>1591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421</v>
      </c>
      <c r="S427">
        <v>0</v>
      </c>
      <c r="T427">
        <v>0</v>
      </c>
      <c r="U427" t="s">
        <v>421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>
        <v>0</v>
      </c>
      <c r="AC427">
        <v>0</v>
      </c>
      <c r="AD427">
        <v>0</v>
      </c>
      <c r="AF427">
        <v>0</v>
      </c>
      <c r="AG427" t="s">
        <v>423</v>
      </c>
      <c r="AI427" t="s">
        <v>423</v>
      </c>
      <c r="AJ427" t="s">
        <v>423</v>
      </c>
      <c r="AK427" t="s">
        <v>423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430</v>
      </c>
      <c r="AT427">
        <v>0</v>
      </c>
      <c r="AU427">
        <v>0</v>
      </c>
      <c r="AV427" t="s">
        <v>439</v>
      </c>
      <c r="AW427">
        <v>0</v>
      </c>
      <c r="AX427">
        <v>0</v>
      </c>
      <c r="AY427">
        <v>0</v>
      </c>
      <c r="CC427">
        <v>2.8094999999999999</v>
      </c>
      <c r="CE427" t="s">
        <v>450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794</v>
      </c>
      <c r="C428" t="s">
        <v>1193</v>
      </c>
      <c r="D428" t="s">
        <v>1592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422</v>
      </c>
      <c r="S428">
        <v>0</v>
      </c>
      <c r="T428">
        <v>0</v>
      </c>
      <c r="U428" t="s">
        <v>421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>
        <v>0</v>
      </c>
      <c r="AC428">
        <v>0.05</v>
      </c>
      <c r="AD428">
        <v>0</v>
      </c>
      <c r="AF428">
        <v>0</v>
      </c>
      <c r="AG428" t="s">
        <v>423</v>
      </c>
      <c r="AI428" t="s">
        <v>423</v>
      </c>
      <c r="AJ428" t="s">
        <v>423</v>
      </c>
      <c r="AK428" t="s">
        <v>423</v>
      </c>
      <c r="AL428" t="s">
        <v>1652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423</v>
      </c>
      <c r="AT428">
        <v>1</v>
      </c>
      <c r="AU428">
        <v>0</v>
      </c>
      <c r="AV428" t="s">
        <v>444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125</v>
      </c>
      <c r="C429" t="s">
        <v>225</v>
      </c>
      <c r="D429" t="s">
        <v>325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421</v>
      </c>
      <c r="S429">
        <v>0</v>
      </c>
      <c r="T429">
        <v>0</v>
      </c>
      <c r="U429" t="s">
        <v>421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>
        <v>0</v>
      </c>
      <c r="AC429">
        <v>0</v>
      </c>
      <c r="AD429">
        <v>0</v>
      </c>
      <c r="AF429">
        <v>0</v>
      </c>
      <c r="AG429" t="s">
        <v>423</v>
      </c>
      <c r="AI429" t="s">
        <v>423</v>
      </c>
      <c r="AJ429" t="s">
        <v>423</v>
      </c>
      <c r="AK429" t="s">
        <v>423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446</v>
      </c>
      <c r="AW429">
        <v>0</v>
      </c>
      <c r="AX429">
        <v>0</v>
      </c>
      <c r="AY429">
        <v>0</v>
      </c>
      <c r="CC429">
        <v>2.5329999999999999</v>
      </c>
      <c r="CE429" t="s">
        <v>450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795</v>
      </c>
      <c r="C430" t="s">
        <v>1194</v>
      </c>
      <c r="D430" t="s">
        <v>1593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422</v>
      </c>
      <c r="S430">
        <v>0</v>
      </c>
      <c r="T430">
        <v>0</v>
      </c>
      <c r="U430" t="s">
        <v>421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>
        <v>0</v>
      </c>
      <c r="AC430">
        <v>0.82399999999999995</v>
      </c>
      <c r="AD430">
        <v>0</v>
      </c>
      <c r="AF430">
        <v>0</v>
      </c>
      <c r="AG430" t="s">
        <v>1654</v>
      </c>
      <c r="AI430" t="s">
        <v>423</v>
      </c>
      <c r="AJ430" t="s">
        <v>423</v>
      </c>
      <c r="AK430" t="s">
        <v>423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435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796</v>
      </c>
      <c r="C431" t="s">
        <v>1195</v>
      </c>
      <c r="D431" t="s">
        <v>1594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1651</v>
      </c>
      <c r="S431" t="s">
        <v>1651</v>
      </c>
      <c r="T431" t="s">
        <v>1651</v>
      </c>
      <c r="U431" t="s">
        <v>421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C431">
        <v>0</v>
      </c>
      <c r="AQ431" t="s">
        <v>1651</v>
      </c>
      <c r="AR431" t="s">
        <v>1651</v>
      </c>
      <c r="AS431" t="s">
        <v>425</v>
      </c>
      <c r="AT431">
        <v>0</v>
      </c>
      <c r="AU431">
        <v>0</v>
      </c>
      <c r="AV431" t="s">
        <v>446</v>
      </c>
      <c r="AW431">
        <v>0</v>
      </c>
      <c r="AX431">
        <v>0</v>
      </c>
      <c r="AY431">
        <v>0</v>
      </c>
      <c r="CE431" t="s">
        <v>450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421</v>
      </c>
      <c r="S432">
        <v>0</v>
      </c>
      <c r="T432">
        <v>0</v>
      </c>
      <c r="U432" t="s">
        <v>421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>
        <v>0</v>
      </c>
      <c r="AC432">
        <v>0</v>
      </c>
      <c r="AD432">
        <v>0</v>
      </c>
      <c r="AF432">
        <v>0</v>
      </c>
      <c r="AG432" t="s">
        <v>423</v>
      </c>
      <c r="AI432" t="s">
        <v>423</v>
      </c>
      <c r="AJ432" t="s">
        <v>423</v>
      </c>
      <c r="AK432" t="s">
        <v>423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434</v>
      </c>
      <c r="AW432">
        <v>0</v>
      </c>
      <c r="AX432">
        <v>0</v>
      </c>
      <c r="AY432">
        <v>0</v>
      </c>
      <c r="CC432">
        <v>2.6435</v>
      </c>
      <c r="CE432" t="s">
        <v>450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797</v>
      </c>
      <c r="C433" t="s">
        <v>1196</v>
      </c>
      <c r="D433" t="s">
        <v>1595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421</v>
      </c>
      <c r="S433">
        <v>0</v>
      </c>
      <c r="T433">
        <v>0</v>
      </c>
      <c r="U433" t="s">
        <v>421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>
        <v>0</v>
      </c>
      <c r="AC433">
        <v>0</v>
      </c>
      <c r="AD433">
        <v>0</v>
      </c>
      <c r="AF433">
        <v>0</v>
      </c>
      <c r="AG433" t="s">
        <v>423</v>
      </c>
      <c r="AI433" t="s">
        <v>423</v>
      </c>
      <c r="AJ433" t="s">
        <v>423</v>
      </c>
      <c r="AK433" t="s">
        <v>423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430</v>
      </c>
      <c r="AT433">
        <v>0</v>
      </c>
      <c r="AU433">
        <v>0</v>
      </c>
      <c r="AV433" t="s">
        <v>434</v>
      </c>
      <c r="AW433">
        <v>0</v>
      </c>
      <c r="AX433">
        <v>0</v>
      </c>
      <c r="AY433">
        <v>0</v>
      </c>
      <c r="CC433">
        <v>2.4994999999999998</v>
      </c>
      <c r="CE433" t="s">
        <v>450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798</v>
      </c>
      <c r="C434" t="s">
        <v>1197</v>
      </c>
      <c r="D434" t="s">
        <v>1596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421</v>
      </c>
      <c r="S434">
        <v>0</v>
      </c>
      <c r="T434">
        <v>0</v>
      </c>
      <c r="U434" t="s">
        <v>421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>
        <v>0</v>
      </c>
      <c r="AC434">
        <v>0</v>
      </c>
      <c r="AD434">
        <v>0</v>
      </c>
      <c r="AF434">
        <v>0</v>
      </c>
      <c r="AG434" t="s">
        <v>423</v>
      </c>
      <c r="AI434" t="s">
        <v>423</v>
      </c>
      <c r="AJ434" t="s">
        <v>423</v>
      </c>
      <c r="AK434" t="s">
        <v>423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446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799</v>
      </c>
      <c r="C435" t="s">
        <v>1198</v>
      </c>
      <c r="D435" t="s">
        <v>1597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Q435" t="s">
        <v>418</v>
      </c>
      <c r="R435" t="s">
        <v>421</v>
      </c>
      <c r="S435">
        <v>0</v>
      </c>
      <c r="T435">
        <v>0</v>
      </c>
      <c r="U435" t="s">
        <v>421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>
        <v>0</v>
      </c>
      <c r="AC435">
        <v>0</v>
      </c>
      <c r="AD435">
        <v>0</v>
      </c>
      <c r="AF435">
        <v>0</v>
      </c>
      <c r="AG435" t="s">
        <v>423</v>
      </c>
      <c r="AI435" t="s">
        <v>423</v>
      </c>
      <c r="AJ435" t="s">
        <v>423</v>
      </c>
      <c r="AK435" t="s">
        <v>423</v>
      </c>
      <c r="AL435" t="s">
        <v>1652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429</v>
      </c>
      <c r="AT435">
        <v>0</v>
      </c>
      <c r="AU435">
        <v>0</v>
      </c>
      <c r="AV435" t="s">
        <v>434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 x14ac:dyDescent="0.25">
      <c r="A436">
        <v>1306</v>
      </c>
      <c r="B436" t="s">
        <v>800</v>
      </c>
      <c r="C436" t="s">
        <v>1199</v>
      </c>
      <c r="D436" t="s">
        <v>1598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421</v>
      </c>
      <c r="S436">
        <v>0</v>
      </c>
      <c r="T436">
        <v>0</v>
      </c>
      <c r="U436" t="s">
        <v>421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>
        <v>0</v>
      </c>
      <c r="AC436">
        <v>0</v>
      </c>
      <c r="AD436">
        <v>0</v>
      </c>
      <c r="AF436">
        <v>0</v>
      </c>
      <c r="AG436" t="s">
        <v>423</v>
      </c>
      <c r="AI436" t="s">
        <v>423</v>
      </c>
      <c r="AJ436" t="s">
        <v>423</v>
      </c>
      <c r="AK436" t="s">
        <v>423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430</v>
      </c>
      <c r="AT436">
        <v>0</v>
      </c>
      <c r="AU436">
        <v>0</v>
      </c>
      <c r="AV436" t="s">
        <v>434</v>
      </c>
      <c r="AW436">
        <v>0</v>
      </c>
      <c r="AX436">
        <v>0</v>
      </c>
      <c r="AY436">
        <v>0</v>
      </c>
      <c r="CC436">
        <v>2.7919999999999998</v>
      </c>
      <c r="CE436" t="s">
        <v>450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801</v>
      </c>
      <c r="C437" t="s">
        <v>1200</v>
      </c>
      <c r="D437" t="s">
        <v>1599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421</v>
      </c>
      <c r="S437">
        <v>0</v>
      </c>
      <c r="T437">
        <v>0</v>
      </c>
      <c r="U437" t="s">
        <v>421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>
        <v>0</v>
      </c>
      <c r="AC437">
        <v>0</v>
      </c>
      <c r="AD437">
        <v>0</v>
      </c>
      <c r="AF437">
        <v>0</v>
      </c>
      <c r="AG437" t="s">
        <v>423</v>
      </c>
      <c r="AI437" t="s">
        <v>423</v>
      </c>
      <c r="AJ437" t="s">
        <v>423</v>
      </c>
      <c r="AK437" t="s">
        <v>423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429</v>
      </c>
      <c r="AT437">
        <v>0</v>
      </c>
      <c r="AU437">
        <v>0</v>
      </c>
      <c r="AV437" t="s">
        <v>434</v>
      </c>
      <c r="AW437">
        <v>0</v>
      </c>
      <c r="AX437">
        <v>0</v>
      </c>
      <c r="AY437">
        <v>0</v>
      </c>
      <c r="CC437">
        <v>2.7925</v>
      </c>
      <c r="CE437" t="s">
        <v>450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802</v>
      </c>
      <c r="C438" t="s">
        <v>1201</v>
      </c>
      <c r="D438" t="s">
        <v>1600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421</v>
      </c>
      <c r="S438">
        <v>0</v>
      </c>
      <c r="T438">
        <v>0</v>
      </c>
      <c r="U438" t="s">
        <v>421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>
        <v>0</v>
      </c>
      <c r="AC438">
        <v>0</v>
      </c>
      <c r="AD438">
        <v>0</v>
      </c>
      <c r="AF438">
        <v>0</v>
      </c>
      <c r="AG438" t="s">
        <v>423</v>
      </c>
      <c r="AI438" t="s">
        <v>423</v>
      </c>
      <c r="AJ438" t="s">
        <v>423</v>
      </c>
      <c r="AK438" t="s">
        <v>423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430</v>
      </c>
      <c r="AT438">
        <v>0</v>
      </c>
      <c r="AU438">
        <v>0</v>
      </c>
      <c r="AV438" t="s">
        <v>446</v>
      </c>
      <c r="AW438">
        <v>0</v>
      </c>
      <c r="AX438">
        <v>0</v>
      </c>
      <c r="AY438">
        <v>0</v>
      </c>
      <c r="CC438">
        <v>2.2570000000000001</v>
      </c>
      <c r="CE438" t="s">
        <v>450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803</v>
      </c>
      <c r="C439" t="s">
        <v>1202</v>
      </c>
      <c r="D439" t="s">
        <v>1601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423</v>
      </c>
      <c r="R439" t="s">
        <v>421</v>
      </c>
      <c r="S439">
        <v>0</v>
      </c>
      <c r="T439">
        <v>0</v>
      </c>
      <c r="U439" t="s">
        <v>421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>
        <v>0</v>
      </c>
      <c r="AC439">
        <v>0</v>
      </c>
      <c r="AD439">
        <v>0</v>
      </c>
      <c r="AF439">
        <v>0</v>
      </c>
      <c r="AG439" t="s">
        <v>423</v>
      </c>
      <c r="AI439" t="s">
        <v>423</v>
      </c>
      <c r="AJ439" t="s">
        <v>423</v>
      </c>
      <c r="AK439" t="s">
        <v>423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424</v>
      </c>
      <c r="AT439">
        <v>1</v>
      </c>
      <c r="AU439">
        <v>0</v>
      </c>
      <c r="AV439" t="s">
        <v>446</v>
      </c>
      <c r="AW439">
        <v>0</v>
      </c>
      <c r="AX439">
        <v>0</v>
      </c>
      <c r="AY439">
        <v>0</v>
      </c>
      <c r="CC439">
        <v>2.4394999999999998</v>
      </c>
      <c r="CE439" t="s">
        <v>450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804</v>
      </c>
      <c r="C440" t="s">
        <v>1203</v>
      </c>
      <c r="D440" t="s">
        <v>1602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421</v>
      </c>
      <c r="S440">
        <v>0</v>
      </c>
      <c r="T440">
        <v>0</v>
      </c>
      <c r="U440" t="s">
        <v>421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>
        <v>0</v>
      </c>
      <c r="AC440">
        <v>0</v>
      </c>
      <c r="AD440">
        <v>0</v>
      </c>
      <c r="AF440">
        <v>0</v>
      </c>
      <c r="AG440" t="s">
        <v>423</v>
      </c>
      <c r="AI440" t="s">
        <v>423</v>
      </c>
      <c r="AJ440" t="s">
        <v>423</v>
      </c>
      <c r="AK440" t="s">
        <v>423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430</v>
      </c>
      <c r="AT440">
        <v>0</v>
      </c>
      <c r="AU440">
        <v>0</v>
      </c>
      <c r="AV440" t="s">
        <v>446</v>
      </c>
      <c r="AW440">
        <v>0</v>
      </c>
      <c r="AX440">
        <v>0</v>
      </c>
      <c r="AY440">
        <v>0</v>
      </c>
      <c r="CC440">
        <v>2.7854999999999999</v>
      </c>
      <c r="CE440" t="s">
        <v>450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805</v>
      </c>
      <c r="C441" t="s">
        <v>1204</v>
      </c>
      <c r="D441" t="s">
        <v>1603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421</v>
      </c>
      <c r="S441">
        <v>0</v>
      </c>
      <c r="T441">
        <v>0</v>
      </c>
      <c r="U441" t="s">
        <v>421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>
        <v>0</v>
      </c>
      <c r="AC441">
        <v>0</v>
      </c>
      <c r="AD441">
        <v>0</v>
      </c>
      <c r="AF441">
        <v>0</v>
      </c>
      <c r="AG441" t="s">
        <v>423</v>
      </c>
      <c r="AI441" t="s">
        <v>423</v>
      </c>
      <c r="AJ441" t="s">
        <v>423</v>
      </c>
      <c r="AK441" t="s">
        <v>423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425</v>
      </c>
      <c r="AT441">
        <v>0</v>
      </c>
      <c r="AU441">
        <v>0</v>
      </c>
      <c r="AV441" t="s">
        <v>446</v>
      </c>
      <c r="AW441">
        <v>0</v>
      </c>
      <c r="AX441">
        <v>0</v>
      </c>
      <c r="AY441">
        <v>0</v>
      </c>
      <c r="CC441">
        <v>2.63</v>
      </c>
      <c r="CE441" t="s">
        <v>450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806</v>
      </c>
      <c r="C442" t="s">
        <v>1205</v>
      </c>
      <c r="D442" t="s">
        <v>1604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421</v>
      </c>
      <c r="S442">
        <v>0</v>
      </c>
      <c r="T442">
        <v>0</v>
      </c>
      <c r="U442" t="s">
        <v>421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>
        <v>0</v>
      </c>
      <c r="AC442">
        <v>0</v>
      </c>
      <c r="AD442">
        <v>0</v>
      </c>
      <c r="AF442">
        <v>0</v>
      </c>
      <c r="AG442" t="s">
        <v>423</v>
      </c>
      <c r="AI442" t="s">
        <v>423</v>
      </c>
      <c r="AJ442" t="s">
        <v>423</v>
      </c>
      <c r="AK442" t="s">
        <v>423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430</v>
      </c>
      <c r="AT442">
        <v>0</v>
      </c>
      <c r="AU442">
        <v>0</v>
      </c>
      <c r="AV442" t="s">
        <v>446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Q443" t="s">
        <v>423</v>
      </c>
      <c r="R443" t="s">
        <v>421</v>
      </c>
      <c r="S443">
        <v>0</v>
      </c>
      <c r="T443">
        <v>0</v>
      </c>
      <c r="U443" t="s">
        <v>421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>
        <v>0</v>
      </c>
      <c r="AC443">
        <v>0</v>
      </c>
      <c r="AD443">
        <v>0</v>
      </c>
      <c r="AF443">
        <v>0</v>
      </c>
      <c r="AG443" t="s">
        <v>423</v>
      </c>
      <c r="AI443" t="s">
        <v>423</v>
      </c>
      <c r="AJ443" t="s">
        <v>423</v>
      </c>
      <c r="AK443" t="s">
        <v>423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430</v>
      </c>
      <c r="AT443">
        <v>0</v>
      </c>
      <c r="AU443">
        <v>0</v>
      </c>
      <c r="AV443" t="s">
        <v>443</v>
      </c>
      <c r="AW443">
        <v>0</v>
      </c>
      <c r="AX443">
        <v>0</v>
      </c>
      <c r="AY443">
        <v>0</v>
      </c>
      <c r="CC443">
        <v>2.2450000000000001</v>
      </c>
      <c r="CE443" t="s">
        <v>450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808</v>
      </c>
      <c r="C444" t="s">
        <v>1207</v>
      </c>
      <c r="D444" t="s">
        <v>1606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Q444" t="s">
        <v>420</v>
      </c>
      <c r="R444" t="s">
        <v>421</v>
      </c>
      <c r="S444">
        <v>0</v>
      </c>
      <c r="T444">
        <v>0</v>
      </c>
      <c r="U444" t="s">
        <v>421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>
        <v>0</v>
      </c>
      <c r="AC444">
        <v>6.0999999999999999E-2</v>
      </c>
      <c r="AD444">
        <v>0</v>
      </c>
      <c r="AE444" t="s">
        <v>1652</v>
      </c>
      <c r="AF444">
        <v>0</v>
      </c>
      <c r="AG444" t="s">
        <v>423</v>
      </c>
      <c r="AH444" t="s">
        <v>1652</v>
      </c>
      <c r="AI444" t="s">
        <v>423</v>
      </c>
      <c r="AJ444" t="s">
        <v>423</v>
      </c>
      <c r="AK444" t="s">
        <v>423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447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421</v>
      </c>
      <c r="S445">
        <v>0</v>
      </c>
      <c r="T445">
        <v>0</v>
      </c>
      <c r="U445" t="s">
        <v>421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>
        <v>0</v>
      </c>
      <c r="AC445">
        <v>0</v>
      </c>
      <c r="AD445">
        <v>0</v>
      </c>
      <c r="AF445">
        <v>0</v>
      </c>
      <c r="AG445" t="s">
        <v>423</v>
      </c>
      <c r="AI445" t="s">
        <v>423</v>
      </c>
      <c r="AJ445" t="s">
        <v>423</v>
      </c>
      <c r="AK445" t="s">
        <v>423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437</v>
      </c>
      <c r="AW445">
        <v>0</v>
      </c>
      <c r="AX445">
        <v>0</v>
      </c>
      <c r="AY445">
        <v>0</v>
      </c>
      <c r="CC445">
        <v>2.8235000000000001</v>
      </c>
      <c r="CE445" t="s">
        <v>450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809</v>
      </c>
      <c r="C446" t="s">
        <v>1208</v>
      </c>
      <c r="D446" t="s">
        <v>1607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421</v>
      </c>
      <c r="S446">
        <v>0</v>
      </c>
      <c r="T446">
        <v>0</v>
      </c>
      <c r="U446" t="s">
        <v>421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>
        <v>0</v>
      </c>
      <c r="AC446">
        <v>0</v>
      </c>
      <c r="AD446">
        <v>0</v>
      </c>
      <c r="AF446">
        <v>0</v>
      </c>
      <c r="AG446" t="s">
        <v>423</v>
      </c>
      <c r="AI446" t="s">
        <v>423</v>
      </c>
      <c r="AJ446" t="s">
        <v>423</v>
      </c>
      <c r="AK446" t="s">
        <v>423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430</v>
      </c>
      <c r="AT446">
        <v>0</v>
      </c>
      <c r="AU446">
        <v>0</v>
      </c>
      <c r="AV446" t="s">
        <v>437</v>
      </c>
      <c r="AW446">
        <v>0</v>
      </c>
      <c r="AX446">
        <v>0</v>
      </c>
      <c r="AY446">
        <v>0</v>
      </c>
      <c r="CC446">
        <v>2.391</v>
      </c>
      <c r="CE446" t="s">
        <v>450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153</v>
      </c>
      <c r="C447" t="s">
        <v>253</v>
      </c>
      <c r="D447" t="s">
        <v>353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421</v>
      </c>
      <c r="S447">
        <v>0</v>
      </c>
      <c r="T447">
        <v>0</v>
      </c>
      <c r="U447" t="s">
        <v>421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>
        <v>0</v>
      </c>
      <c r="AC447">
        <v>0</v>
      </c>
      <c r="AD447">
        <v>0</v>
      </c>
      <c r="AF447">
        <v>0</v>
      </c>
      <c r="AG447" t="s">
        <v>423</v>
      </c>
      <c r="AI447" t="s">
        <v>423</v>
      </c>
      <c r="AJ447" t="s">
        <v>423</v>
      </c>
      <c r="AK447" t="s">
        <v>423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423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450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810</v>
      </c>
      <c r="C448" t="s">
        <v>1209</v>
      </c>
      <c r="D448" t="s">
        <v>1608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421</v>
      </c>
      <c r="S448">
        <v>0</v>
      </c>
      <c r="T448">
        <v>0</v>
      </c>
      <c r="U448" t="s">
        <v>421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>
        <v>0</v>
      </c>
      <c r="AC448">
        <v>1</v>
      </c>
      <c r="AD448">
        <v>0</v>
      </c>
      <c r="AF448">
        <v>0</v>
      </c>
      <c r="AG448" t="s">
        <v>1654</v>
      </c>
      <c r="AI448" t="s">
        <v>423</v>
      </c>
      <c r="AJ448" t="s">
        <v>423</v>
      </c>
      <c r="AK448" t="s">
        <v>423</v>
      </c>
      <c r="AL448" t="s">
        <v>1652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423</v>
      </c>
      <c r="AT448">
        <v>1</v>
      </c>
      <c r="AU448">
        <v>0</v>
      </c>
      <c r="AV448" t="s">
        <v>445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811</v>
      </c>
      <c r="C449" t="s">
        <v>1210</v>
      </c>
      <c r="D449" t="s">
        <v>1609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421</v>
      </c>
      <c r="S449">
        <v>0</v>
      </c>
      <c r="T449">
        <v>0</v>
      </c>
      <c r="U449" t="s">
        <v>421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>
        <v>0</v>
      </c>
      <c r="AC449">
        <v>0</v>
      </c>
      <c r="AD449">
        <v>0</v>
      </c>
      <c r="AF449">
        <v>0</v>
      </c>
      <c r="AG449" t="s">
        <v>423</v>
      </c>
      <c r="AI449" t="s">
        <v>423</v>
      </c>
      <c r="AJ449" t="s">
        <v>423</v>
      </c>
      <c r="AK449" t="s">
        <v>423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425</v>
      </c>
      <c r="AT449">
        <v>0</v>
      </c>
      <c r="AU449">
        <v>0</v>
      </c>
      <c r="AV449" t="s">
        <v>434</v>
      </c>
      <c r="AW449">
        <v>0</v>
      </c>
      <c r="AX449">
        <v>0</v>
      </c>
      <c r="AY449">
        <v>0</v>
      </c>
      <c r="CC449">
        <v>2.8105000000000002</v>
      </c>
      <c r="CE449" t="s">
        <v>450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421</v>
      </c>
      <c r="S450">
        <v>0</v>
      </c>
      <c r="T450">
        <v>0</v>
      </c>
      <c r="U450" t="s">
        <v>421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>
        <v>0</v>
      </c>
      <c r="AC450">
        <v>0</v>
      </c>
      <c r="AD450">
        <v>0</v>
      </c>
      <c r="AF450">
        <v>0</v>
      </c>
      <c r="AG450" t="s">
        <v>423</v>
      </c>
      <c r="AI450" t="s">
        <v>423</v>
      </c>
      <c r="AJ450" t="s">
        <v>423</v>
      </c>
      <c r="AK450" t="s">
        <v>423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425</v>
      </c>
      <c r="AT450">
        <v>0</v>
      </c>
      <c r="AU450">
        <v>0</v>
      </c>
      <c r="AV450" t="s">
        <v>440</v>
      </c>
      <c r="AW450">
        <v>0</v>
      </c>
      <c r="AX450">
        <v>0</v>
      </c>
      <c r="AY450">
        <v>0</v>
      </c>
      <c r="CC450">
        <v>2.9940000000000002</v>
      </c>
      <c r="CE450" t="s">
        <v>450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812</v>
      </c>
      <c r="C451" t="s">
        <v>1211</v>
      </c>
      <c r="D451" t="s">
        <v>1610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Q451" t="s">
        <v>417</v>
      </c>
      <c r="R451" t="s">
        <v>421</v>
      </c>
      <c r="S451">
        <v>0</v>
      </c>
      <c r="T451">
        <v>0</v>
      </c>
      <c r="U451" t="s">
        <v>421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>
        <v>0</v>
      </c>
      <c r="AC451">
        <v>0</v>
      </c>
      <c r="AD451">
        <v>0</v>
      </c>
      <c r="AF451">
        <v>0</v>
      </c>
      <c r="AG451" t="s">
        <v>423</v>
      </c>
      <c r="AI451" t="s">
        <v>423</v>
      </c>
      <c r="AJ451" t="s">
        <v>423</v>
      </c>
      <c r="AK451" t="s">
        <v>423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425</v>
      </c>
      <c r="AT451">
        <v>0</v>
      </c>
      <c r="AU451">
        <v>0</v>
      </c>
      <c r="AV451" t="s">
        <v>444</v>
      </c>
      <c r="AW451">
        <v>0</v>
      </c>
      <c r="AX451">
        <v>0</v>
      </c>
      <c r="AY451">
        <v>0</v>
      </c>
      <c r="CC451">
        <v>2.5430000000000001</v>
      </c>
      <c r="CE451" t="s">
        <v>450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 x14ac:dyDescent="0.25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421</v>
      </c>
      <c r="S452">
        <v>0</v>
      </c>
      <c r="T452">
        <v>0</v>
      </c>
      <c r="U452" t="s">
        <v>421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>
        <v>0</v>
      </c>
      <c r="AC452">
        <v>0</v>
      </c>
      <c r="AD452">
        <v>0</v>
      </c>
      <c r="AF452">
        <v>0</v>
      </c>
      <c r="AG452" t="s">
        <v>423</v>
      </c>
      <c r="AI452" t="s">
        <v>423</v>
      </c>
      <c r="AJ452" t="s">
        <v>423</v>
      </c>
      <c r="AK452" t="s">
        <v>423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425</v>
      </c>
      <c r="AT452">
        <v>0</v>
      </c>
      <c r="AU452">
        <v>0</v>
      </c>
      <c r="AV452" t="s">
        <v>439</v>
      </c>
      <c r="AW452">
        <v>0</v>
      </c>
      <c r="AX452">
        <v>0</v>
      </c>
      <c r="AY452">
        <v>0</v>
      </c>
      <c r="CC452">
        <v>2.6355</v>
      </c>
      <c r="CE452" t="s">
        <v>450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813</v>
      </c>
      <c r="C453" t="s">
        <v>1212</v>
      </c>
      <c r="D453" t="s">
        <v>1611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421</v>
      </c>
      <c r="S453">
        <v>0</v>
      </c>
      <c r="T453">
        <v>0</v>
      </c>
      <c r="U453" t="s">
        <v>421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>
        <v>0</v>
      </c>
      <c r="AC453">
        <v>0</v>
      </c>
      <c r="AD453">
        <v>0</v>
      </c>
      <c r="AF453">
        <v>0</v>
      </c>
      <c r="AG453" t="s">
        <v>423</v>
      </c>
      <c r="AI453" t="s">
        <v>423</v>
      </c>
      <c r="AJ453" t="s">
        <v>423</v>
      </c>
      <c r="AK453" t="s">
        <v>423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425</v>
      </c>
      <c r="AT453">
        <v>0</v>
      </c>
      <c r="AU453">
        <v>0</v>
      </c>
      <c r="AV453" t="s">
        <v>433</v>
      </c>
      <c r="AW453">
        <v>0</v>
      </c>
      <c r="AX453">
        <v>0</v>
      </c>
      <c r="AY453">
        <v>0</v>
      </c>
      <c r="CC453">
        <v>2.4895</v>
      </c>
      <c r="CE453" t="s">
        <v>450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814</v>
      </c>
      <c r="C454" t="s">
        <v>1213</v>
      </c>
      <c r="D454" t="s">
        <v>1612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421</v>
      </c>
      <c r="S454">
        <v>0</v>
      </c>
      <c r="T454">
        <v>0</v>
      </c>
      <c r="U454" t="s">
        <v>421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>
        <v>0</v>
      </c>
      <c r="AC454">
        <v>0</v>
      </c>
      <c r="AD454">
        <v>0</v>
      </c>
      <c r="AF454">
        <v>0</v>
      </c>
      <c r="AG454" t="s">
        <v>423</v>
      </c>
      <c r="AI454" t="s">
        <v>423</v>
      </c>
      <c r="AJ454" t="s">
        <v>423</v>
      </c>
      <c r="AK454" t="s">
        <v>423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425</v>
      </c>
      <c r="AT454">
        <v>0</v>
      </c>
      <c r="AU454">
        <v>0</v>
      </c>
      <c r="AV454" t="s">
        <v>434</v>
      </c>
      <c r="AW454">
        <v>0</v>
      </c>
      <c r="AX454">
        <v>0</v>
      </c>
      <c r="AY454">
        <v>0</v>
      </c>
      <c r="CC454">
        <v>2.8725000000000001</v>
      </c>
      <c r="CE454" t="s">
        <v>450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815</v>
      </c>
      <c r="C455" t="s">
        <v>1214</v>
      </c>
      <c r="D455" t="s">
        <v>1613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421</v>
      </c>
      <c r="S455">
        <v>0</v>
      </c>
      <c r="T455">
        <v>0</v>
      </c>
      <c r="U455" t="s">
        <v>421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>
        <v>0</v>
      </c>
      <c r="AC455">
        <v>0</v>
      </c>
      <c r="AD455">
        <v>0</v>
      </c>
      <c r="AF455">
        <v>0</v>
      </c>
      <c r="AG455" t="s">
        <v>423</v>
      </c>
      <c r="AI455" t="s">
        <v>423</v>
      </c>
      <c r="AJ455" t="s">
        <v>423</v>
      </c>
      <c r="AK455" t="s">
        <v>423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425</v>
      </c>
      <c r="AT455">
        <v>0</v>
      </c>
      <c r="AU455">
        <v>0</v>
      </c>
      <c r="AV455" t="s">
        <v>446</v>
      </c>
      <c r="AW455">
        <v>0</v>
      </c>
      <c r="AX455">
        <v>0</v>
      </c>
      <c r="AY455">
        <v>0</v>
      </c>
      <c r="CC455">
        <v>3.0034999999999998</v>
      </c>
      <c r="CE455" t="s">
        <v>450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816</v>
      </c>
      <c r="C456" t="s">
        <v>1215</v>
      </c>
      <c r="D456" t="s">
        <v>1614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421</v>
      </c>
      <c r="S456">
        <v>0</v>
      </c>
      <c r="T456">
        <v>0</v>
      </c>
      <c r="U456" t="s">
        <v>421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>
        <v>0</v>
      </c>
      <c r="AC456">
        <v>0.94799999999999995</v>
      </c>
      <c r="AD456">
        <v>6.0000000000000001E-3</v>
      </c>
      <c r="AE456" t="s">
        <v>1652</v>
      </c>
      <c r="AF456">
        <v>0</v>
      </c>
      <c r="AG456" t="s">
        <v>1654</v>
      </c>
      <c r="AH456" t="s">
        <v>1652</v>
      </c>
      <c r="AI456" t="s">
        <v>423</v>
      </c>
      <c r="AJ456" t="s">
        <v>423</v>
      </c>
      <c r="AK456" t="s">
        <v>423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435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421</v>
      </c>
      <c r="S457">
        <v>0</v>
      </c>
      <c r="T457">
        <v>0</v>
      </c>
      <c r="U457" t="s">
        <v>421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>
        <v>0</v>
      </c>
      <c r="AC457">
        <v>0</v>
      </c>
      <c r="AD457">
        <v>0</v>
      </c>
      <c r="AF457">
        <v>0</v>
      </c>
      <c r="AG457" t="s">
        <v>423</v>
      </c>
      <c r="AI457" t="s">
        <v>423</v>
      </c>
      <c r="AJ457" t="s">
        <v>423</v>
      </c>
      <c r="AK457" t="s">
        <v>423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3.0110000000000001</v>
      </c>
      <c r="CE457" t="s">
        <v>450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817</v>
      </c>
      <c r="C458" t="s">
        <v>1216</v>
      </c>
      <c r="D458" t="s">
        <v>1615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421</v>
      </c>
      <c r="S458">
        <v>0</v>
      </c>
      <c r="T458">
        <v>0.05</v>
      </c>
      <c r="U458" t="s">
        <v>421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>
        <v>0</v>
      </c>
      <c r="AC458">
        <v>9.9000000000000005E-2</v>
      </c>
      <c r="AD458">
        <v>0</v>
      </c>
      <c r="AF458">
        <v>0</v>
      </c>
      <c r="AG458" t="s">
        <v>423</v>
      </c>
      <c r="AI458" t="s">
        <v>423</v>
      </c>
      <c r="AJ458" t="s">
        <v>423</v>
      </c>
      <c r="AK458" t="s">
        <v>423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431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818</v>
      </c>
      <c r="C459" t="s">
        <v>1217</v>
      </c>
      <c r="D459" t="s">
        <v>1616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421</v>
      </c>
      <c r="S459">
        <v>0</v>
      </c>
      <c r="T459">
        <v>0</v>
      </c>
      <c r="U459" t="s">
        <v>421</v>
      </c>
      <c r="V459" t="s">
        <v>421</v>
      </c>
      <c r="W459" t="s">
        <v>421</v>
      </c>
      <c r="X459" t="s">
        <v>1650</v>
      </c>
      <c r="Y459" t="s">
        <v>421</v>
      </c>
      <c r="Z459" t="s">
        <v>421</v>
      </c>
      <c r="AA459" t="s">
        <v>421</v>
      </c>
      <c r="AB459">
        <v>0</v>
      </c>
      <c r="AC459">
        <v>0</v>
      </c>
      <c r="AD459">
        <v>0</v>
      </c>
      <c r="AF459">
        <v>0</v>
      </c>
      <c r="AG459" t="s">
        <v>423</v>
      </c>
      <c r="AI459" t="s">
        <v>423</v>
      </c>
      <c r="AJ459" t="s">
        <v>423</v>
      </c>
      <c r="AK459" t="s">
        <v>423</v>
      </c>
      <c r="AL459" t="s">
        <v>1652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433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819</v>
      </c>
      <c r="C460" t="s">
        <v>1218</v>
      </c>
      <c r="D460" t="s">
        <v>1617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Q460" t="s">
        <v>418</v>
      </c>
      <c r="R460" t="s">
        <v>421</v>
      </c>
      <c r="S460">
        <v>0</v>
      </c>
      <c r="T460">
        <v>0</v>
      </c>
      <c r="U460" t="s">
        <v>421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>
        <v>0</v>
      </c>
      <c r="AC460">
        <v>0</v>
      </c>
      <c r="AD460">
        <v>0</v>
      </c>
      <c r="AF460">
        <v>0</v>
      </c>
      <c r="AG460" t="s">
        <v>423</v>
      </c>
      <c r="AI460" t="s">
        <v>423</v>
      </c>
      <c r="AJ460" t="s">
        <v>423</v>
      </c>
      <c r="AK460" t="s">
        <v>423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434</v>
      </c>
      <c r="AW460">
        <v>0</v>
      </c>
      <c r="AX460">
        <v>0</v>
      </c>
      <c r="AY460">
        <v>0</v>
      </c>
      <c r="CC460">
        <v>2.8969999999999998</v>
      </c>
      <c r="CE460" t="s">
        <v>450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 x14ac:dyDescent="0.25">
      <c r="A461">
        <v>1372</v>
      </c>
      <c r="B461" t="s">
        <v>820</v>
      </c>
      <c r="C461" t="s">
        <v>1219</v>
      </c>
      <c r="D461" t="s">
        <v>1618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421</v>
      </c>
      <c r="S461">
        <v>0</v>
      </c>
      <c r="T461">
        <v>0</v>
      </c>
      <c r="U461" t="s">
        <v>421</v>
      </c>
      <c r="V461" t="s">
        <v>421</v>
      </c>
      <c r="W461" t="s">
        <v>421</v>
      </c>
      <c r="X461" t="s">
        <v>422</v>
      </c>
      <c r="Y461" t="s">
        <v>421</v>
      </c>
      <c r="Z461" t="s">
        <v>421</v>
      </c>
      <c r="AA461" t="s">
        <v>421</v>
      </c>
      <c r="AB461">
        <v>0</v>
      </c>
      <c r="AC461">
        <v>0.05</v>
      </c>
      <c r="AD461">
        <v>0</v>
      </c>
      <c r="AF461">
        <v>0</v>
      </c>
      <c r="AG461" t="s">
        <v>423</v>
      </c>
      <c r="AI461" t="s">
        <v>423</v>
      </c>
      <c r="AJ461" t="s">
        <v>423</v>
      </c>
      <c r="AK461" t="s">
        <v>423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437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821</v>
      </c>
      <c r="C462" t="s">
        <v>1220</v>
      </c>
      <c r="D462" t="s">
        <v>1619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421</v>
      </c>
      <c r="S462">
        <v>0</v>
      </c>
      <c r="T462">
        <v>0</v>
      </c>
      <c r="U462" t="s">
        <v>421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>
        <v>0.01</v>
      </c>
      <c r="AC462">
        <v>0.01</v>
      </c>
      <c r="AD462">
        <v>0</v>
      </c>
      <c r="AF462">
        <v>0</v>
      </c>
      <c r="AG462" t="s">
        <v>423</v>
      </c>
      <c r="AI462" t="s">
        <v>423</v>
      </c>
      <c r="AJ462" t="s">
        <v>423</v>
      </c>
      <c r="AK462" t="s">
        <v>423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439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822</v>
      </c>
      <c r="C463" t="s">
        <v>1221</v>
      </c>
      <c r="D463" t="s">
        <v>1620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420</v>
      </c>
      <c r="R463" t="s">
        <v>1650</v>
      </c>
      <c r="S463">
        <v>0</v>
      </c>
      <c r="T463">
        <v>0.01</v>
      </c>
      <c r="U463" t="s">
        <v>421</v>
      </c>
      <c r="V463" t="s">
        <v>421</v>
      </c>
      <c r="W463" t="s">
        <v>421</v>
      </c>
      <c r="X463" t="s">
        <v>422</v>
      </c>
      <c r="Y463" t="s">
        <v>421</v>
      </c>
      <c r="Z463" t="s">
        <v>421</v>
      </c>
      <c r="AA463" t="s">
        <v>421</v>
      </c>
      <c r="AB463">
        <v>0</v>
      </c>
      <c r="AC463">
        <v>0.89500000000000002</v>
      </c>
      <c r="AD463">
        <v>4.7999999999999996E-3</v>
      </c>
      <c r="AE463" t="s">
        <v>1653</v>
      </c>
      <c r="AF463">
        <v>0</v>
      </c>
      <c r="AG463" t="s">
        <v>1654</v>
      </c>
      <c r="AH463" t="s">
        <v>1653</v>
      </c>
      <c r="AI463" t="s">
        <v>423</v>
      </c>
      <c r="AJ463" t="s">
        <v>1654</v>
      </c>
      <c r="AK463" t="s">
        <v>1654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433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823</v>
      </c>
      <c r="C464" t="s">
        <v>1222</v>
      </c>
      <c r="D464" t="s">
        <v>1621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421</v>
      </c>
      <c r="S464">
        <v>0</v>
      </c>
      <c r="T464">
        <v>0</v>
      </c>
      <c r="U464" t="s">
        <v>421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>
        <v>0</v>
      </c>
      <c r="AC464">
        <v>0.01</v>
      </c>
      <c r="AD464">
        <v>0</v>
      </c>
      <c r="AF464">
        <v>0</v>
      </c>
      <c r="AG464" t="s">
        <v>1654</v>
      </c>
      <c r="AI464" t="s">
        <v>423</v>
      </c>
      <c r="AJ464" t="s">
        <v>423</v>
      </c>
      <c r="AK464" t="s">
        <v>423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434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824</v>
      </c>
      <c r="C465" t="s">
        <v>1223</v>
      </c>
      <c r="D465" t="s">
        <v>1622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421</v>
      </c>
      <c r="S465">
        <v>0</v>
      </c>
      <c r="T465">
        <v>0</v>
      </c>
      <c r="U465" t="s">
        <v>421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>
        <v>0</v>
      </c>
      <c r="AC465">
        <v>0</v>
      </c>
      <c r="AD465">
        <v>0</v>
      </c>
      <c r="AF465">
        <v>0</v>
      </c>
      <c r="AG465" t="s">
        <v>423</v>
      </c>
      <c r="AI465" t="s">
        <v>423</v>
      </c>
      <c r="AJ465" t="s">
        <v>423</v>
      </c>
      <c r="AK465" t="s">
        <v>423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424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2.3260000000000001</v>
      </c>
      <c r="CE465" t="s">
        <v>450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420</v>
      </c>
      <c r="R466" t="s">
        <v>421</v>
      </c>
      <c r="S466">
        <v>0</v>
      </c>
      <c r="T466">
        <v>0</v>
      </c>
      <c r="U466" t="s">
        <v>421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>
        <v>0</v>
      </c>
      <c r="AC466">
        <v>0</v>
      </c>
      <c r="AD466">
        <v>0</v>
      </c>
      <c r="AF466">
        <v>0</v>
      </c>
      <c r="AG466" t="s">
        <v>423</v>
      </c>
      <c r="AI466" t="s">
        <v>423</v>
      </c>
      <c r="AJ466" t="s">
        <v>423</v>
      </c>
      <c r="AK466" t="s">
        <v>423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430</v>
      </c>
      <c r="AT466">
        <v>0</v>
      </c>
      <c r="AU466">
        <v>0</v>
      </c>
      <c r="AV466" t="s">
        <v>443</v>
      </c>
      <c r="AW466">
        <v>0</v>
      </c>
      <c r="AX466">
        <v>0</v>
      </c>
      <c r="AY466">
        <v>0</v>
      </c>
      <c r="CC466">
        <v>2.5649999999999999</v>
      </c>
      <c r="CE466" t="s">
        <v>450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163</v>
      </c>
      <c r="C467" t="s">
        <v>263</v>
      </c>
      <c r="D467" t="s">
        <v>363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421</v>
      </c>
      <c r="S467">
        <v>0</v>
      </c>
      <c r="T467">
        <v>0.01</v>
      </c>
      <c r="U467" t="s">
        <v>421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>
        <v>0</v>
      </c>
      <c r="AC467">
        <v>0</v>
      </c>
      <c r="AD467">
        <v>0</v>
      </c>
      <c r="AF467">
        <v>0</v>
      </c>
      <c r="AG467" t="s">
        <v>423</v>
      </c>
      <c r="AI467" t="s">
        <v>423</v>
      </c>
      <c r="AJ467" t="s">
        <v>423</v>
      </c>
      <c r="AK467" t="s">
        <v>423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437</v>
      </c>
      <c r="AW467">
        <v>0</v>
      </c>
      <c r="AX467">
        <v>0</v>
      </c>
      <c r="AY467">
        <v>0</v>
      </c>
      <c r="CC467">
        <v>2.7605</v>
      </c>
      <c r="CE467" t="s">
        <v>450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826</v>
      </c>
      <c r="C468" t="s">
        <v>1225</v>
      </c>
      <c r="D468" t="s">
        <v>1624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422</v>
      </c>
      <c r="S468">
        <v>0</v>
      </c>
      <c r="T468">
        <v>0</v>
      </c>
      <c r="U468" t="s">
        <v>421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>
        <v>0</v>
      </c>
      <c r="AC468">
        <v>0</v>
      </c>
      <c r="AD468">
        <v>0</v>
      </c>
      <c r="AF468">
        <v>0</v>
      </c>
      <c r="AG468" t="s">
        <v>423</v>
      </c>
      <c r="AI468" t="s">
        <v>423</v>
      </c>
      <c r="AJ468" t="s">
        <v>423</v>
      </c>
      <c r="AK468" t="s">
        <v>423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430</v>
      </c>
      <c r="AT468">
        <v>0</v>
      </c>
      <c r="AU468">
        <v>0</v>
      </c>
      <c r="AV468" t="s">
        <v>446</v>
      </c>
      <c r="AW468">
        <v>0</v>
      </c>
      <c r="AX468">
        <v>0</v>
      </c>
      <c r="AY468">
        <v>0</v>
      </c>
      <c r="CC468">
        <v>2.3759999999999999</v>
      </c>
      <c r="CE468" t="s">
        <v>450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120</v>
      </c>
      <c r="C469" t="s">
        <v>220</v>
      </c>
      <c r="D469" t="s">
        <v>320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421</v>
      </c>
      <c r="S469">
        <v>0</v>
      </c>
      <c r="T469">
        <v>0</v>
      </c>
      <c r="U469" t="s">
        <v>421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>
        <v>0</v>
      </c>
      <c r="AC469">
        <v>0</v>
      </c>
      <c r="AD469">
        <v>0</v>
      </c>
      <c r="AF469">
        <v>0</v>
      </c>
      <c r="AG469" t="s">
        <v>423</v>
      </c>
      <c r="AI469" t="s">
        <v>423</v>
      </c>
      <c r="AJ469" t="s">
        <v>423</v>
      </c>
      <c r="AK469" t="s">
        <v>423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429</v>
      </c>
      <c r="AT469">
        <v>0</v>
      </c>
      <c r="AU469">
        <v>0</v>
      </c>
      <c r="AV469" t="s">
        <v>447</v>
      </c>
      <c r="AW469">
        <v>0</v>
      </c>
      <c r="AX469">
        <v>0</v>
      </c>
      <c r="AY469">
        <v>0</v>
      </c>
      <c r="CC469">
        <v>2.7610000000000001</v>
      </c>
      <c r="CE469" t="s">
        <v>450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827</v>
      </c>
      <c r="C470" t="s">
        <v>1226</v>
      </c>
      <c r="D470" t="s">
        <v>1625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421</v>
      </c>
      <c r="S470">
        <v>0</v>
      </c>
      <c r="T470">
        <v>0</v>
      </c>
      <c r="U470" t="s">
        <v>421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>
        <v>0</v>
      </c>
      <c r="AC470">
        <v>0</v>
      </c>
      <c r="AD470">
        <v>0</v>
      </c>
      <c r="AF470">
        <v>0</v>
      </c>
      <c r="AG470" t="s">
        <v>423</v>
      </c>
      <c r="AI470" t="s">
        <v>423</v>
      </c>
      <c r="AJ470" t="s">
        <v>423</v>
      </c>
      <c r="AK470" t="s">
        <v>423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425</v>
      </c>
      <c r="AT470">
        <v>0</v>
      </c>
      <c r="AU470">
        <v>0</v>
      </c>
      <c r="AV470" t="s">
        <v>445</v>
      </c>
      <c r="AW470">
        <v>0</v>
      </c>
      <c r="AX470">
        <v>0</v>
      </c>
      <c r="AY470">
        <v>0</v>
      </c>
      <c r="CC470">
        <v>2.6315</v>
      </c>
      <c r="CE470" t="s">
        <v>450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147</v>
      </c>
      <c r="C471" t="s">
        <v>247</v>
      </c>
      <c r="D471" t="s">
        <v>347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421</v>
      </c>
      <c r="S471">
        <v>0</v>
      </c>
      <c r="T471">
        <v>0</v>
      </c>
      <c r="U471" t="s">
        <v>421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>
        <v>0</v>
      </c>
      <c r="AC471">
        <v>0</v>
      </c>
      <c r="AD471">
        <v>0</v>
      </c>
      <c r="AF471">
        <v>0</v>
      </c>
      <c r="AG471" t="s">
        <v>423</v>
      </c>
      <c r="AI471" t="s">
        <v>423</v>
      </c>
      <c r="AJ471" t="s">
        <v>423</v>
      </c>
      <c r="AK471" t="s">
        <v>423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424</v>
      </c>
      <c r="AT471">
        <v>1</v>
      </c>
      <c r="AU471">
        <v>0</v>
      </c>
      <c r="AV471" t="s">
        <v>433</v>
      </c>
      <c r="AW471">
        <v>0</v>
      </c>
      <c r="AX471">
        <v>0</v>
      </c>
      <c r="AY471">
        <v>0</v>
      </c>
      <c r="CC471">
        <v>2.8889999999999998</v>
      </c>
      <c r="CE471" t="s">
        <v>450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137</v>
      </c>
      <c r="C472" t="s">
        <v>237</v>
      </c>
      <c r="D472" t="s">
        <v>337</v>
      </c>
      <c r="E472" t="s">
        <v>401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421</v>
      </c>
      <c r="S472">
        <v>0</v>
      </c>
      <c r="T472">
        <v>0</v>
      </c>
      <c r="U472" t="s">
        <v>421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>
        <v>0</v>
      </c>
      <c r="AC472">
        <v>0</v>
      </c>
      <c r="AD472">
        <v>0</v>
      </c>
      <c r="AF472">
        <v>0</v>
      </c>
      <c r="AG472" t="s">
        <v>423</v>
      </c>
      <c r="AI472" t="s">
        <v>423</v>
      </c>
      <c r="AJ472" t="s">
        <v>423</v>
      </c>
      <c r="AK472" t="s">
        <v>423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430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2.7105000000000001</v>
      </c>
      <c r="CE472" t="s">
        <v>450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828</v>
      </c>
      <c r="C473" t="s">
        <v>1227</v>
      </c>
      <c r="D473" t="s">
        <v>1626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421</v>
      </c>
      <c r="S473">
        <v>0</v>
      </c>
      <c r="T473">
        <v>0</v>
      </c>
      <c r="U473" t="s">
        <v>421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>
        <v>0</v>
      </c>
      <c r="AC473">
        <v>0</v>
      </c>
      <c r="AD473">
        <v>0</v>
      </c>
      <c r="AF473">
        <v>0</v>
      </c>
      <c r="AG473" t="s">
        <v>423</v>
      </c>
      <c r="AI473" t="s">
        <v>423</v>
      </c>
      <c r="AJ473" t="s">
        <v>423</v>
      </c>
      <c r="AK473" t="s">
        <v>423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2.7320000000000002</v>
      </c>
      <c r="CE473" t="s">
        <v>450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829</v>
      </c>
      <c r="C474" t="s">
        <v>1228</v>
      </c>
      <c r="D474" t="s">
        <v>1627</v>
      </c>
      <c r="E474" t="s">
        <v>401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421</v>
      </c>
      <c r="S474">
        <v>0</v>
      </c>
      <c r="T474">
        <v>0</v>
      </c>
      <c r="U474" t="s">
        <v>421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>
        <v>0</v>
      </c>
      <c r="AC474">
        <v>0</v>
      </c>
      <c r="AD474">
        <v>0</v>
      </c>
      <c r="AF474">
        <v>0</v>
      </c>
      <c r="AG474" t="s">
        <v>423</v>
      </c>
      <c r="AI474" t="s">
        <v>423</v>
      </c>
      <c r="AJ474" t="s">
        <v>423</v>
      </c>
      <c r="AK474" t="s">
        <v>423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430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2.2280000000000002</v>
      </c>
      <c r="CE474" t="s">
        <v>450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830</v>
      </c>
      <c r="C475" t="s">
        <v>1229</v>
      </c>
      <c r="D475" t="s">
        <v>1628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421</v>
      </c>
      <c r="S475">
        <v>0</v>
      </c>
      <c r="T475">
        <v>0</v>
      </c>
      <c r="U475" t="s">
        <v>421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>
        <v>0</v>
      </c>
      <c r="AC475">
        <v>0</v>
      </c>
      <c r="AD475">
        <v>0</v>
      </c>
      <c r="AF475">
        <v>0</v>
      </c>
      <c r="AG475" t="s">
        <v>423</v>
      </c>
      <c r="AI475" t="s">
        <v>423</v>
      </c>
      <c r="AJ475" t="s">
        <v>423</v>
      </c>
      <c r="AK475" t="s">
        <v>423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424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2.4830000000000001</v>
      </c>
      <c r="CE475" t="s">
        <v>450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421</v>
      </c>
      <c r="S476">
        <v>0</v>
      </c>
      <c r="T476">
        <v>0</v>
      </c>
      <c r="U476" t="s">
        <v>421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>
        <v>0</v>
      </c>
      <c r="AC476">
        <v>0</v>
      </c>
      <c r="AD476">
        <v>0</v>
      </c>
      <c r="AF476">
        <v>0</v>
      </c>
      <c r="AG476" t="s">
        <v>423</v>
      </c>
      <c r="AI476" t="s">
        <v>423</v>
      </c>
      <c r="AJ476" t="s">
        <v>423</v>
      </c>
      <c r="AK476" t="s">
        <v>423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427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2.6760000000000002</v>
      </c>
      <c r="CE476" t="s">
        <v>450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831</v>
      </c>
      <c r="C477" t="s">
        <v>1230</v>
      </c>
      <c r="D477" t="s">
        <v>1629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421</v>
      </c>
      <c r="S477">
        <v>0</v>
      </c>
      <c r="T477">
        <v>0</v>
      </c>
      <c r="U477" t="s">
        <v>421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C477">
        <v>2E-3</v>
      </c>
      <c r="AD477">
        <v>2.9999999999999997E-4</v>
      </c>
      <c r="AF477">
        <v>0</v>
      </c>
      <c r="AG477" t="s">
        <v>423</v>
      </c>
      <c r="AI477" t="s">
        <v>423</v>
      </c>
      <c r="AJ477" t="s">
        <v>423</v>
      </c>
      <c r="AK477" t="s">
        <v>423</v>
      </c>
      <c r="AL477" t="s">
        <v>1653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438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832</v>
      </c>
      <c r="C478" t="s">
        <v>1231</v>
      </c>
      <c r="D478" t="s">
        <v>1630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421</v>
      </c>
      <c r="S478">
        <v>0</v>
      </c>
      <c r="T478">
        <v>0</v>
      </c>
      <c r="U478" t="s">
        <v>421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>
        <v>0</v>
      </c>
      <c r="AC478">
        <v>0.73299999999999998</v>
      </c>
      <c r="AD478">
        <v>0</v>
      </c>
      <c r="AE478" t="s">
        <v>1652</v>
      </c>
      <c r="AF478">
        <v>0</v>
      </c>
      <c r="AG478" t="s">
        <v>423</v>
      </c>
      <c r="AH478" t="s">
        <v>1652</v>
      </c>
      <c r="AI478" t="s">
        <v>423</v>
      </c>
      <c r="AJ478" t="s">
        <v>423</v>
      </c>
      <c r="AK478" t="s">
        <v>423</v>
      </c>
      <c r="AL478" t="s">
        <v>1652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433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833</v>
      </c>
      <c r="C479" t="s">
        <v>1232</v>
      </c>
      <c r="D479" t="s">
        <v>1631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421</v>
      </c>
      <c r="S479">
        <v>0</v>
      </c>
      <c r="T479">
        <v>0</v>
      </c>
      <c r="U479" t="s">
        <v>421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>
        <v>0</v>
      </c>
      <c r="AC479">
        <v>0.05</v>
      </c>
      <c r="AD479">
        <v>0</v>
      </c>
      <c r="AF479">
        <v>0</v>
      </c>
      <c r="AG479" t="s">
        <v>423</v>
      </c>
      <c r="AI479" t="s">
        <v>423</v>
      </c>
      <c r="AJ479" t="s">
        <v>423</v>
      </c>
      <c r="AK479" t="s">
        <v>423</v>
      </c>
      <c r="AL479" t="s">
        <v>1652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438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834</v>
      </c>
      <c r="C480" t="s">
        <v>1233</v>
      </c>
      <c r="D480" t="s">
        <v>1632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421</v>
      </c>
      <c r="S480">
        <v>0</v>
      </c>
      <c r="T480">
        <v>0</v>
      </c>
      <c r="U480" t="s">
        <v>421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>
        <v>0</v>
      </c>
      <c r="AC480">
        <v>0</v>
      </c>
      <c r="AD480">
        <v>0</v>
      </c>
      <c r="AF480">
        <v>0</v>
      </c>
      <c r="AG480" t="s">
        <v>423</v>
      </c>
      <c r="AI480" t="s">
        <v>423</v>
      </c>
      <c r="AJ480" t="s">
        <v>423</v>
      </c>
      <c r="AK480" t="s">
        <v>423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446</v>
      </c>
      <c r="AW480">
        <v>0</v>
      </c>
      <c r="AX480">
        <v>0</v>
      </c>
      <c r="AY480">
        <v>0</v>
      </c>
      <c r="CC480">
        <v>2.6185</v>
      </c>
      <c r="CE480" t="s">
        <v>450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835</v>
      </c>
      <c r="C481" t="s">
        <v>1234</v>
      </c>
      <c r="D481" t="s">
        <v>1633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421</v>
      </c>
      <c r="S481">
        <v>0</v>
      </c>
      <c r="T481">
        <v>0</v>
      </c>
      <c r="U481" t="s">
        <v>421</v>
      </c>
      <c r="V481" t="s">
        <v>421</v>
      </c>
      <c r="W481" t="s">
        <v>421</v>
      </c>
      <c r="X481" t="s">
        <v>1650</v>
      </c>
      <c r="Y481" t="s">
        <v>421</v>
      </c>
      <c r="Z481" t="s">
        <v>421</v>
      </c>
      <c r="AA481" t="s">
        <v>421</v>
      </c>
      <c r="AB481">
        <v>4.1999999999999997E-3</v>
      </c>
      <c r="AC481">
        <v>0.35099999999999998</v>
      </c>
      <c r="AD481">
        <v>5.3E-3</v>
      </c>
      <c r="AE481" t="s">
        <v>1652</v>
      </c>
      <c r="AF481">
        <v>0</v>
      </c>
      <c r="AG481" t="s">
        <v>423</v>
      </c>
      <c r="AH481" t="s">
        <v>1652</v>
      </c>
      <c r="AI481" t="s">
        <v>423</v>
      </c>
      <c r="AJ481" t="s">
        <v>423</v>
      </c>
      <c r="AK481" t="s">
        <v>1654</v>
      </c>
      <c r="AL481" t="s">
        <v>1652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427</v>
      </c>
      <c r="AT481">
        <v>1</v>
      </c>
      <c r="AU481">
        <v>0</v>
      </c>
      <c r="AV481" t="s">
        <v>433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836</v>
      </c>
      <c r="C482" t="s">
        <v>1235</v>
      </c>
      <c r="D482" t="s">
        <v>1634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421</v>
      </c>
      <c r="S482">
        <v>0</v>
      </c>
      <c r="T482">
        <v>0</v>
      </c>
      <c r="U482" t="s">
        <v>421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423</v>
      </c>
      <c r="AI482" t="s">
        <v>423</v>
      </c>
      <c r="AJ482" t="s">
        <v>423</v>
      </c>
      <c r="AK482" t="s">
        <v>423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444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421</v>
      </c>
      <c r="S483">
        <v>0</v>
      </c>
      <c r="T483">
        <v>0</v>
      </c>
      <c r="U483" t="s">
        <v>421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>
        <v>0</v>
      </c>
      <c r="AC483">
        <v>0</v>
      </c>
      <c r="AD483">
        <v>0</v>
      </c>
      <c r="AF483">
        <v>0</v>
      </c>
      <c r="AG483" t="s">
        <v>423</v>
      </c>
      <c r="AI483" t="s">
        <v>423</v>
      </c>
      <c r="AJ483" t="s">
        <v>423</v>
      </c>
      <c r="AK483" t="s">
        <v>423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443</v>
      </c>
      <c r="AW483">
        <v>0</v>
      </c>
      <c r="AX483">
        <v>0</v>
      </c>
      <c r="AY483">
        <v>0</v>
      </c>
      <c r="CC483">
        <v>2.7635000000000001</v>
      </c>
      <c r="CE483" t="s">
        <v>450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837</v>
      </c>
      <c r="C484" t="s">
        <v>1236</v>
      </c>
      <c r="D484" t="s">
        <v>1635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421</v>
      </c>
      <c r="S484">
        <v>0</v>
      </c>
      <c r="T484">
        <v>0</v>
      </c>
      <c r="U484" t="s">
        <v>421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>
        <v>0</v>
      </c>
      <c r="AC484">
        <v>0.1</v>
      </c>
      <c r="AD484">
        <v>0</v>
      </c>
      <c r="AF484">
        <v>0</v>
      </c>
      <c r="AG484" t="s">
        <v>423</v>
      </c>
      <c r="AH484" t="s">
        <v>1652</v>
      </c>
      <c r="AI484" t="s">
        <v>423</v>
      </c>
      <c r="AJ484" t="s">
        <v>423</v>
      </c>
      <c r="AK484" t="s">
        <v>423</v>
      </c>
      <c r="AL484" t="s">
        <v>1652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423</v>
      </c>
      <c r="AT484">
        <v>1</v>
      </c>
      <c r="AU484">
        <v>0</v>
      </c>
      <c r="AV484" t="s">
        <v>433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111</v>
      </c>
      <c r="C485" t="s">
        <v>211</v>
      </c>
      <c r="D485" t="s">
        <v>311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421</v>
      </c>
      <c r="S485">
        <v>0</v>
      </c>
      <c r="T485">
        <v>0</v>
      </c>
      <c r="U485" t="s">
        <v>421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>
        <v>0</v>
      </c>
      <c r="AC485">
        <v>0</v>
      </c>
      <c r="AD485">
        <v>0</v>
      </c>
      <c r="AF485">
        <v>0</v>
      </c>
      <c r="AG485" t="s">
        <v>423</v>
      </c>
      <c r="AI485" t="s">
        <v>423</v>
      </c>
      <c r="AJ485" t="s">
        <v>423</v>
      </c>
      <c r="AK485" t="s">
        <v>423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425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2.9529999999999998</v>
      </c>
      <c r="CE485" t="s">
        <v>450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838</v>
      </c>
      <c r="C486" t="s">
        <v>1237</v>
      </c>
      <c r="D486" t="s">
        <v>1636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422</v>
      </c>
      <c r="S486">
        <v>0</v>
      </c>
      <c r="T486">
        <v>0</v>
      </c>
      <c r="U486" t="s">
        <v>421</v>
      </c>
      <c r="V486" t="s">
        <v>421</v>
      </c>
      <c r="W486" t="s">
        <v>421</v>
      </c>
      <c r="X486" t="s">
        <v>422</v>
      </c>
      <c r="Y486" t="s">
        <v>421</v>
      </c>
      <c r="Z486" t="s">
        <v>421</v>
      </c>
      <c r="AA486" t="s">
        <v>421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423</v>
      </c>
      <c r="AI486" t="s">
        <v>423</v>
      </c>
      <c r="AJ486" t="s">
        <v>423</v>
      </c>
      <c r="AK486" t="s">
        <v>423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437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839</v>
      </c>
      <c r="C487" t="s">
        <v>1238</v>
      </c>
      <c r="D487" t="s">
        <v>1637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423</v>
      </c>
      <c r="R487" t="s">
        <v>421</v>
      </c>
      <c r="S487">
        <v>0</v>
      </c>
      <c r="T487">
        <v>0</v>
      </c>
      <c r="U487" t="s">
        <v>421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>
        <v>0</v>
      </c>
      <c r="AC487">
        <v>0</v>
      </c>
      <c r="AD487">
        <v>0</v>
      </c>
      <c r="AF487">
        <v>0</v>
      </c>
      <c r="AG487" t="s">
        <v>423</v>
      </c>
      <c r="AI487" t="s">
        <v>423</v>
      </c>
      <c r="AJ487" t="s">
        <v>423</v>
      </c>
      <c r="AK487" t="s">
        <v>423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434</v>
      </c>
      <c r="AW487">
        <v>0</v>
      </c>
      <c r="AX487">
        <v>0</v>
      </c>
      <c r="AY487">
        <v>0</v>
      </c>
      <c r="CC487">
        <v>2.8654999999999999</v>
      </c>
      <c r="CE487" t="s">
        <v>450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840</v>
      </c>
      <c r="C488" t="s">
        <v>1239</v>
      </c>
      <c r="D488" t="s">
        <v>1638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421</v>
      </c>
      <c r="S488">
        <v>0</v>
      </c>
      <c r="T488">
        <v>0</v>
      </c>
      <c r="U488" t="s">
        <v>421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>
        <v>0</v>
      </c>
      <c r="AC488">
        <v>0</v>
      </c>
      <c r="AD488">
        <v>0</v>
      </c>
      <c r="AF488">
        <v>0</v>
      </c>
      <c r="AG488" t="s">
        <v>423</v>
      </c>
      <c r="AI488" t="s">
        <v>423</v>
      </c>
      <c r="AJ488" t="s">
        <v>423</v>
      </c>
      <c r="AK488" t="s">
        <v>423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424</v>
      </c>
      <c r="AT488">
        <v>1</v>
      </c>
      <c r="AU488">
        <v>0</v>
      </c>
      <c r="AV488" t="s">
        <v>437</v>
      </c>
      <c r="AW488">
        <v>0</v>
      </c>
      <c r="AX488">
        <v>0</v>
      </c>
      <c r="AY488">
        <v>0</v>
      </c>
      <c r="CC488">
        <v>2.6230000000000002</v>
      </c>
      <c r="CE488" t="s">
        <v>450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841</v>
      </c>
      <c r="C489" t="s">
        <v>1240</v>
      </c>
      <c r="D489" t="s">
        <v>1639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421</v>
      </c>
      <c r="S489">
        <v>0</v>
      </c>
      <c r="T489">
        <v>0</v>
      </c>
      <c r="U489" t="s">
        <v>421</v>
      </c>
      <c r="V489" t="s">
        <v>421</v>
      </c>
      <c r="W489" t="s">
        <v>421</v>
      </c>
      <c r="X489" t="s">
        <v>1650</v>
      </c>
      <c r="Y489" t="s">
        <v>421</v>
      </c>
      <c r="Z489" t="s">
        <v>421</v>
      </c>
      <c r="AA489" t="s">
        <v>421</v>
      </c>
      <c r="AB489">
        <v>0</v>
      </c>
      <c r="AC489">
        <v>0.15</v>
      </c>
      <c r="AD489">
        <v>0</v>
      </c>
      <c r="AF489">
        <v>0</v>
      </c>
      <c r="AG489" t="s">
        <v>423</v>
      </c>
      <c r="AI489" t="s">
        <v>423</v>
      </c>
      <c r="AJ489" t="s">
        <v>423</v>
      </c>
      <c r="AK489" t="s">
        <v>423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438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842</v>
      </c>
      <c r="C490" t="s">
        <v>1241</v>
      </c>
      <c r="D490" t="s">
        <v>1640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421</v>
      </c>
      <c r="S490">
        <v>0</v>
      </c>
      <c r="T490">
        <v>0</v>
      </c>
      <c r="U490" t="s">
        <v>421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>
        <v>0</v>
      </c>
      <c r="AC490">
        <v>0</v>
      </c>
      <c r="AD490">
        <v>0</v>
      </c>
      <c r="AF490">
        <v>0</v>
      </c>
      <c r="AG490" t="s">
        <v>423</v>
      </c>
      <c r="AI490" t="s">
        <v>423</v>
      </c>
      <c r="AJ490" t="s">
        <v>423</v>
      </c>
      <c r="AK490" t="s">
        <v>423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424</v>
      </c>
      <c r="AT490">
        <v>1</v>
      </c>
      <c r="AU490">
        <v>0</v>
      </c>
      <c r="AV490" t="s">
        <v>447</v>
      </c>
      <c r="AW490">
        <v>0</v>
      </c>
      <c r="AX490">
        <v>0</v>
      </c>
      <c r="AY490">
        <v>0</v>
      </c>
      <c r="CC490">
        <v>2.4049999999999998</v>
      </c>
      <c r="CE490" t="s">
        <v>450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843</v>
      </c>
      <c r="C491" t="s">
        <v>1242</v>
      </c>
      <c r="D491" t="s">
        <v>1641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421</v>
      </c>
      <c r="S491">
        <v>0</v>
      </c>
      <c r="T491">
        <v>0</v>
      </c>
      <c r="U491" t="s">
        <v>421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>
        <v>0.06</v>
      </c>
      <c r="AC491">
        <v>0.14000000000000001</v>
      </c>
      <c r="AD491">
        <v>0</v>
      </c>
      <c r="AF491">
        <v>0</v>
      </c>
      <c r="AG491" t="s">
        <v>423</v>
      </c>
      <c r="AH491" t="s">
        <v>1652</v>
      </c>
      <c r="AI491" t="s">
        <v>423</v>
      </c>
      <c r="AJ491" t="s">
        <v>423</v>
      </c>
      <c r="AK491" t="s">
        <v>423</v>
      </c>
      <c r="AL491" t="s">
        <v>1652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844</v>
      </c>
      <c r="C492" t="s">
        <v>1243</v>
      </c>
      <c r="D492" t="s">
        <v>1642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421</v>
      </c>
      <c r="S492">
        <v>0</v>
      </c>
      <c r="T492">
        <v>0</v>
      </c>
      <c r="U492" t="s">
        <v>421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>
        <v>0</v>
      </c>
      <c r="AC492">
        <v>0</v>
      </c>
      <c r="AD492">
        <v>0</v>
      </c>
      <c r="AF492">
        <v>0</v>
      </c>
      <c r="AG492" t="s">
        <v>423</v>
      </c>
      <c r="AI492" t="s">
        <v>423</v>
      </c>
      <c r="AJ492" t="s">
        <v>423</v>
      </c>
      <c r="AK492" t="s">
        <v>423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432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450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421</v>
      </c>
      <c r="S493">
        <v>0</v>
      </c>
      <c r="T493">
        <v>0</v>
      </c>
      <c r="U493" t="s">
        <v>421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>
        <v>0</v>
      </c>
      <c r="AC493">
        <v>0</v>
      </c>
      <c r="AD493">
        <v>0</v>
      </c>
      <c r="AF493">
        <v>0</v>
      </c>
      <c r="AG493" t="s">
        <v>423</v>
      </c>
      <c r="AI493" t="s">
        <v>423</v>
      </c>
      <c r="AJ493" t="s">
        <v>423</v>
      </c>
      <c r="AK493" t="s">
        <v>423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444</v>
      </c>
      <c r="AW493">
        <v>0</v>
      </c>
      <c r="AX493">
        <v>0</v>
      </c>
      <c r="AY493">
        <v>0</v>
      </c>
      <c r="CC493">
        <v>2.956</v>
      </c>
      <c r="CE493" t="s">
        <v>450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845</v>
      </c>
      <c r="C494" t="s">
        <v>1244</v>
      </c>
      <c r="D494" t="s">
        <v>1643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421</v>
      </c>
      <c r="S494">
        <v>0</v>
      </c>
      <c r="T494">
        <v>0</v>
      </c>
      <c r="U494" t="s">
        <v>421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>
        <v>0</v>
      </c>
      <c r="AC494">
        <v>0</v>
      </c>
      <c r="AD494">
        <v>0</v>
      </c>
      <c r="AF494">
        <v>0</v>
      </c>
      <c r="AG494" t="s">
        <v>423</v>
      </c>
      <c r="AI494" t="s">
        <v>423</v>
      </c>
      <c r="AJ494" t="s">
        <v>423</v>
      </c>
      <c r="AK494" t="s">
        <v>423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430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158</v>
      </c>
      <c r="C495" t="s">
        <v>258</v>
      </c>
      <c r="D495" t="s">
        <v>358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421</v>
      </c>
      <c r="S495">
        <v>0</v>
      </c>
      <c r="T495">
        <v>0</v>
      </c>
      <c r="U495" t="s">
        <v>421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>
        <v>0</v>
      </c>
      <c r="AC495">
        <v>0</v>
      </c>
      <c r="AD495">
        <v>0</v>
      </c>
      <c r="AF495">
        <v>0</v>
      </c>
      <c r="AG495" t="s">
        <v>423</v>
      </c>
      <c r="AI495" t="s">
        <v>423</v>
      </c>
      <c r="AJ495" t="s">
        <v>423</v>
      </c>
      <c r="AK495" t="s">
        <v>423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429</v>
      </c>
      <c r="AT495">
        <v>0</v>
      </c>
      <c r="AU495">
        <v>0</v>
      </c>
      <c r="AV495" t="s">
        <v>445</v>
      </c>
      <c r="AW495">
        <v>0</v>
      </c>
      <c r="AX495">
        <v>0</v>
      </c>
      <c r="AY495">
        <v>0</v>
      </c>
      <c r="CC495">
        <v>2.895</v>
      </c>
      <c r="CE495" t="s">
        <v>450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160</v>
      </c>
      <c r="C496" t="s">
        <v>260</v>
      </c>
      <c r="D496" t="s">
        <v>360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421</v>
      </c>
      <c r="S496">
        <v>0</v>
      </c>
      <c r="T496">
        <v>0</v>
      </c>
      <c r="U496" t="s">
        <v>421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>
        <v>0</v>
      </c>
      <c r="AC496">
        <v>0</v>
      </c>
      <c r="AD496">
        <v>0</v>
      </c>
      <c r="AF496">
        <v>0</v>
      </c>
      <c r="AG496" t="s">
        <v>423</v>
      </c>
      <c r="AI496" t="s">
        <v>423</v>
      </c>
      <c r="AJ496" t="s">
        <v>423</v>
      </c>
      <c r="AK496" t="s">
        <v>423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429</v>
      </c>
      <c r="AT496">
        <v>0</v>
      </c>
      <c r="AU496">
        <v>0</v>
      </c>
      <c r="AV496" t="s">
        <v>448</v>
      </c>
      <c r="AW496">
        <v>0</v>
      </c>
      <c r="AX496">
        <v>0</v>
      </c>
      <c r="AY496">
        <v>0</v>
      </c>
      <c r="CC496">
        <v>2.6545000000000001</v>
      </c>
      <c r="CE496" t="s">
        <v>450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846</v>
      </c>
      <c r="C497" t="s">
        <v>1245</v>
      </c>
      <c r="D497" t="s">
        <v>1644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421</v>
      </c>
      <c r="S497">
        <v>0</v>
      </c>
      <c r="T497">
        <v>0</v>
      </c>
      <c r="U497" t="s">
        <v>421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>
        <v>0</v>
      </c>
      <c r="AC497">
        <v>0</v>
      </c>
      <c r="AD497">
        <v>0</v>
      </c>
      <c r="AF497">
        <v>0</v>
      </c>
      <c r="AG497" t="s">
        <v>423</v>
      </c>
      <c r="AI497" t="s">
        <v>423</v>
      </c>
      <c r="AJ497" t="s">
        <v>423</v>
      </c>
      <c r="AK497" t="s">
        <v>423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439</v>
      </c>
      <c r="AW497">
        <v>0</v>
      </c>
      <c r="AX497">
        <v>0</v>
      </c>
      <c r="AY497">
        <v>0</v>
      </c>
      <c r="CC497">
        <v>3.1114999999999999</v>
      </c>
      <c r="CE497" t="s">
        <v>450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847</v>
      </c>
      <c r="C498" t="s">
        <v>1246</v>
      </c>
      <c r="D498" t="s">
        <v>1645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421</v>
      </c>
      <c r="S498">
        <v>0</v>
      </c>
      <c r="T498">
        <v>0</v>
      </c>
      <c r="U498" t="s">
        <v>421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>
        <v>0</v>
      </c>
      <c r="AC498">
        <v>0</v>
      </c>
      <c r="AD498">
        <v>0</v>
      </c>
      <c r="AF498">
        <v>0</v>
      </c>
      <c r="AG498" t="s">
        <v>423</v>
      </c>
      <c r="AI498" t="s">
        <v>423</v>
      </c>
      <c r="AJ498" t="s">
        <v>423</v>
      </c>
      <c r="AK498" t="s">
        <v>423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431</v>
      </c>
      <c r="AT498">
        <v>1</v>
      </c>
      <c r="AU498">
        <v>0</v>
      </c>
      <c r="AV498" t="s">
        <v>437</v>
      </c>
      <c r="AW498">
        <v>0</v>
      </c>
      <c r="AX498">
        <v>0</v>
      </c>
      <c r="AY498">
        <v>0</v>
      </c>
      <c r="CC498">
        <v>2.843</v>
      </c>
      <c r="CE498" t="s">
        <v>450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Q499" t="s">
        <v>423</v>
      </c>
      <c r="R499" t="s">
        <v>421</v>
      </c>
      <c r="S499">
        <v>0</v>
      </c>
      <c r="T499">
        <v>0</v>
      </c>
      <c r="U499" t="s">
        <v>421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>
        <v>0</v>
      </c>
      <c r="AC499">
        <v>0</v>
      </c>
      <c r="AD499">
        <v>0</v>
      </c>
      <c r="AF499">
        <v>0</v>
      </c>
      <c r="AG499" t="s">
        <v>423</v>
      </c>
      <c r="AI499" t="s">
        <v>423</v>
      </c>
      <c r="AJ499" t="s">
        <v>423</v>
      </c>
      <c r="AK499" t="s">
        <v>423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429</v>
      </c>
      <c r="AT499">
        <v>0</v>
      </c>
      <c r="AU499">
        <v>0</v>
      </c>
      <c r="AV499" t="s">
        <v>443</v>
      </c>
      <c r="AW499">
        <v>0</v>
      </c>
      <c r="AX499">
        <v>0</v>
      </c>
      <c r="AY499">
        <v>0</v>
      </c>
      <c r="CC499">
        <v>2.3195000000000001</v>
      </c>
      <c r="CE499" t="s">
        <v>450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849</v>
      </c>
      <c r="C500" t="s">
        <v>1248</v>
      </c>
      <c r="D500" t="s">
        <v>1647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421</v>
      </c>
      <c r="S500">
        <v>0</v>
      </c>
      <c r="T500">
        <v>0</v>
      </c>
      <c r="U500" t="s">
        <v>421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>
        <v>0</v>
      </c>
      <c r="AC500">
        <v>0</v>
      </c>
      <c r="AD500">
        <v>0</v>
      </c>
      <c r="AF500">
        <v>0</v>
      </c>
      <c r="AG500" t="s">
        <v>423</v>
      </c>
      <c r="AI500" t="s">
        <v>423</v>
      </c>
      <c r="AJ500" t="s">
        <v>423</v>
      </c>
      <c r="AK500" t="s">
        <v>423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430</v>
      </c>
      <c r="AT500">
        <v>0</v>
      </c>
      <c r="AU500">
        <v>0</v>
      </c>
      <c r="AV500" t="s">
        <v>446</v>
      </c>
      <c r="AW500">
        <v>0</v>
      </c>
      <c r="AX500">
        <v>0</v>
      </c>
      <c r="AY500">
        <v>0</v>
      </c>
      <c r="CC500">
        <v>2.6509999999999998</v>
      </c>
      <c r="CE500" t="s">
        <v>450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14</v>
      </c>
      <c r="C2">
        <v>4.6204620462046202E-2</v>
      </c>
      <c r="D2">
        <v>4.0198019801980198</v>
      </c>
      <c r="E2">
        <v>5</v>
      </c>
      <c r="F2">
        <v>5</v>
      </c>
      <c r="G2">
        <v>5</v>
      </c>
      <c r="H2">
        <v>0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5</v>
      </c>
      <c r="H3">
        <v>0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13</v>
      </c>
      <c r="H4">
        <v>0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10</v>
      </c>
      <c r="H5">
        <v>3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4</v>
      </c>
      <c r="H6">
        <v>3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4</v>
      </c>
      <c r="H7">
        <v>4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6</v>
      </c>
      <c r="H10">
        <v>0</v>
      </c>
    </row>
    <row r="11" spans="1:8" x14ac:dyDescent="0.25">
      <c r="A11">
        <v>4030</v>
      </c>
      <c r="B11">
        <v>8</v>
      </c>
      <c r="C11">
        <v>2.6402640264026399E-2</v>
      </c>
      <c r="D11">
        <v>2.2970297029702968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1.65016501650165E-2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9</v>
      </c>
      <c r="H17">
        <v>0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453</v>
      </c>
      <c r="C2" t="s">
        <v>852</v>
      </c>
      <c r="D2" t="s">
        <v>1251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434</v>
      </c>
      <c r="AW2">
        <v>0</v>
      </c>
      <c r="AX2">
        <v>0</v>
      </c>
      <c r="AY2">
        <v>0</v>
      </c>
      <c r="CC2">
        <v>2.7869999999999999</v>
      </c>
      <c r="CE2" t="s">
        <v>450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458</v>
      </c>
      <c r="C3" t="s">
        <v>857</v>
      </c>
      <c r="D3" t="s">
        <v>1256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430</v>
      </c>
      <c r="AT3">
        <v>0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2.5865</v>
      </c>
      <c r="CE3" t="s">
        <v>450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459</v>
      </c>
      <c r="C4" t="s">
        <v>858</v>
      </c>
      <c r="D4" t="s">
        <v>1257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430</v>
      </c>
      <c r="AT4">
        <v>0</v>
      </c>
      <c r="AU4">
        <v>0</v>
      </c>
      <c r="AV4" t="s">
        <v>441</v>
      </c>
      <c r="AW4">
        <v>0</v>
      </c>
      <c r="AX4">
        <v>0</v>
      </c>
      <c r="AY4">
        <v>0</v>
      </c>
      <c r="CC4">
        <v>2.65</v>
      </c>
      <c r="CE4" t="s">
        <v>450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461</v>
      </c>
      <c r="C5" t="s">
        <v>860</v>
      </c>
      <c r="D5" t="s">
        <v>1259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421</v>
      </c>
      <c r="S5">
        <v>0</v>
      </c>
      <c r="T5">
        <v>0.01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432</v>
      </c>
      <c r="AT5">
        <v>0</v>
      </c>
      <c r="AU5">
        <v>0</v>
      </c>
      <c r="AV5" t="s">
        <v>433</v>
      </c>
      <c r="AW5">
        <v>0</v>
      </c>
      <c r="AX5">
        <v>0</v>
      </c>
      <c r="AY5">
        <v>0</v>
      </c>
      <c r="CC5">
        <v>2.8855</v>
      </c>
      <c r="CE5" t="s">
        <v>450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466</v>
      </c>
      <c r="C6" t="s">
        <v>865</v>
      </c>
      <c r="D6" t="s">
        <v>1264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437</v>
      </c>
      <c r="AW6">
        <v>0</v>
      </c>
      <c r="AX6">
        <v>0</v>
      </c>
      <c r="AY6">
        <v>0</v>
      </c>
      <c r="CC6">
        <v>2.5505</v>
      </c>
      <c r="CE6" t="s">
        <v>450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144</v>
      </c>
      <c r="C7" t="s">
        <v>244</v>
      </c>
      <c r="D7" t="s">
        <v>344</v>
      </c>
      <c r="E7" t="s">
        <v>400</v>
      </c>
      <c r="F7">
        <v>306304700</v>
      </c>
      <c r="G7">
        <v>33.850409999999997</v>
      </c>
      <c r="H7" t="s">
        <v>410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430</v>
      </c>
      <c r="AT7">
        <v>0</v>
      </c>
      <c r="AU7">
        <v>0</v>
      </c>
      <c r="AV7" t="s">
        <v>441</v>
      </c>
      <c r="AW7">
        <v>0</v>
      </c>
      <c r="AX7">
        <v>0</v>
      </c>
      <c r="AY7">
        <v>0</v>
      </c>
      <c r="CC7">
        <v>2.29</v>
      </c>
      <c r="CE7" t="s">
        <v>450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467</v>
      </c>
      <c r="C8" t="s">
        <v>866</v>
      </c>
      <c r="D8" t="s">
        <v>1265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421</v>
      </c>
      <c r="S8">
        <v>0</v>
      </c>
      <c r="T8">
        <v>0.05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426</v>
      </c>
      <c r="AT8">
        <v>1</v>
      </c>
      <c r="AU8">
        <v>0</v>
      </c>
      <c r="AV8" t="s">
        <v>433</v>
      </c>
      <c r="AW8">
        <v>0</v>
      </c>
      <c r="AX8">
        <v>0</v>
      </c>
      <c r="AY8">
        <v>0</v>
      </c>
      <c r="CC8">
        <v>2.6555</v>
      </c>
      <c r="CE8" t="s">
        <v>450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469</v>
      </c>
      <c r="C9" t="s">
        <v>868</v>
      </c>
      <c r="D9" t="s">
        <v>1267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424</v>
      </c>
      <c r="AT9">
        <v>1</v>
      </c>
      <c r="AU9">
        <v>0</v>
      </c>
      <c r="AV9" t="s">
        <v>447</v>
      </c>
      <c r="AW9">
        <v>0</v>
      </c>
      <c r="AX9">
        <v>0</v>
      </c>
      <c r="AY9">
        <v>0</v>
      </c>
      <c r="CC9">
        <v>2.1905000000000001</v>
      </c>
      <c r="CE9" t="s">
        <v>450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470</v>
      </c>
      <c r="C10" t="s">
        <v>869</v>
      </c>
      <c r="D10" t="s">
        <v>1268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430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450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471</v>
      </c>
      <c r="C11" t="s">
        <v>870</v>
      </c>
      <c r="D11" t="s">
        <v>1269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421</v>
      </c>
      <c r="S11">
        <v>0</v>
      </c>
      <c r="T11">
        <v>0.05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426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3.044</v>
      </c>
      <c r="CE11" t="s">
        <v>450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472</v>
      </c>
      <c r="C12" t="s">
        <v>871</v>
      </c>
      <c r="D12" t="s">
        <v>1270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430</v>
      </c>
      <c r="AT12">
        <v>0</v>
      </c>
      <c r="AU12">
        <v>0</v>
      </c>
      <c r="AV12" t="s">
        <v>447</v>
      </c>
      <c r="AW12">
        <v>0</v>
      </c>
      <c r="AX12">
        <v>0</v>
      </c>
      <c r="AY12">
        <v>0</v>
      </c>
      <c r="CC12">
        <v>2.5745</v>
      </c>
      <c r="CE12" t="s">
        <v>450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129</v>
      </c>
      <c r="C13" t="s">
        <v>229</v>
      </c>
      <c r="D13" t="s">
        <v>329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430</v>
      </c>
      <c r="AT13">
        <v>0</v>
      </c>
      <c r="AU13">
        <v>0</v>
      </c>
      <c r="AV13" t="s">
        <v>436</v>
      </c>
      <c r="AW13">
        <v>0</v>
      </c>
      <c r="AX13">
        <v>0</v>
      </c>
      <c r="AY13">
        <v>0</v>
      </c>
      <c r="CC13">
        <v>2.8275000000000001</v>
      </c>
      <c r="CE13" t="s">
        <v>450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478</v>
      </c>
      <c r="C14" t="s">
        <v>877</v>
      </c>
      <c r="D14" t="s">
        <v>1276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423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2.9830000000000001</v>
      </c>
      <c r="CE14" t="s">
        <v>450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480</v>
      </c>
      <c r="C15" t="s">
        <v>879</v>
      </c>
      <c r="D15" t="s">
        <v>1278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430</v>
      </c>
      <c r="AT15">
        <v>0</v>
      </c>
      <c r="AU15">
        <v>0</v>
      </c>
      <c r="AV15" t="s">
        <v>437</v>
      </c>
      <c r="AW15">
        <v>0</v>
      </c>
      <c r="AX15">
        <v>0</v>
      </c>
      <c r="AY15">
        <v>0</v>
      </c>
      <c r="CC15">
        <v>2.6154999999999999</v>
      </c>
      <c r="CE15" t="s">
        <v>450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481</v>
      </c>
      <c r="C16" t="s">
        <v>880</v>
      </c>
      <c r="D16" t="s">
        <v>1279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Q16" t="s">
        <v>416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424</v>
      </c>
      <c r="AT16">
        <v>1</v>
      </c>
      <c r="AU16">
        <v>0</v>
      </c>
      <c r="AV16" t="s">
        <v>446</v>
      </c>
      <c r="AW16">
        <v>0</v>
      </c>
      <c r="AX16">
        <v>0</v>
      </c>
      <c r="AY16">
        <v>0</v>
      </c>
      <c r="CC16">
        <v>2.1930000000000001</v>
      </c>
      <c r="CE16" t="s">
        <v>450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2.8210000000000002</v>
      </c>
      <c r="CE17" t="s">
        <v>450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122</v>
      </c>
      <c r="C18" t="s">
        <v>222</v>
      </c>
      <c r="D18" t="s">
        <v>322</v>
      </c>
      <c r="E18" t="s">
        <v>402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2.69</v>
      </c>
      <c r="CE18" t="s">
        <v>450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484</v>
      </c>
      <c r="C19" t="s">
        <v>883</v>
      </c>
      <c r="D19" t="s">
        <v>1282</v>
      </c>
      <c r="E19" t="s">
        <v>401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431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2.4649999999999999</v>
      </c>
      <c r="CE19" t="s">
        <v>450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485</v>
      </c>
      <c r="C20" t="s">
        <v>884</v>
      </c>
      <c r="D20" t="s">
        <v>1283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430</v>
      </c>
      <c r="AT20">
        <v>0</v>
      </c>
      <c r="AU20">
        <v>0</v>
      </c>
      <c r="AV20" t="s">
        <v>433</v>
      </c>
      <c r="AW20">
        <v>0</v>
      </c>
      <c r="AX20">
        <v>0</v>
      </c>
      <c r="AY20">
        <v>0</v>
      </c>
      <c r="CC20">
        <v>2.3450000000000002</v>
      </c>
      <c r="CE20" t="s">
        <v>450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488</v>
      </c>
      <c r="C21" t="s">
        <v>887</v>
      </c>
      <c r="D21" t="s">
        <v>1286</v>
      </c>
      <c r="E21" t="s">
        <v>400</v>
      </c>
      <c r="F21">
        <v>985856700</v>
      </c>
      <c r="G21">
        <v>22.002770000000002</v>
      </c>
      <c r="H21" t="s">
        <v>410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2.75</v>
      </c>
      <c r="CE21" t="s">
        <v>450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492</v>
      </c>
      <c r="C22" t="s">
        <v>891</v>
      </c>
      <c r="D22" t="s">
        <v>1290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423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429</v>
      </c>
      <c r="AT22">
        <v>0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2.6715</v>
      </c>
      <c r="CE22" t="s">
        <v>450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106</v>
      </c>
      <c r="C23" t="s">
        <v>206</v>
      </c>
      <c r="D23" t="s">
        <v>306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445</v>
      </c>
      <c r="AW23">
        <v>0</v>
      </c>
      <c r="AX23">
        <v>0</v>
      </c>
      <c r="AY23">
        <v>0</v>
      </c>
      <c r="CC23">
        <v>2.8325</v>
      </c>
      <c r="CE23" t="s">
        <v>450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495</v>
      </c>
      <c r="C24" t="s">
        <v>894</v>
      </c>
      <c r="D24" t="s">
        <v>1293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3.1164999999999998</v>
      </c>
      <c r="CE24" t="s">
        <v>450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496</v>
      </c>
      <c r="C25" t="s">
        <v>895</v>
      </c>
      <c r="D25" t="s">
        <v>1294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430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2.6684999999999999</v>
      </c>
      <c r="CE25" t="s">
        <v>450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176</v>
      </c>
      <c r="C26" t="s">
        <v>276</v>
      </c>
      <c r="D26" t="s">
        <v>376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2.4990000000000001</v>
      </c>
      <c r="CE26" t="s">
        <v>450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497</v>
      </c>
      <c r="C27" t="s">
        <v>896</v>
      </c>
      <c r="D27" t="s">
        <v>1295</v>
      </c>
      <c r="E27" t="s">
        <v>400</v>
      </c>
      <c r="F27">
        <v>728033000</v>
      </c>
      <c r="G27">
        <v>23.102900000000002</v>
      </c>
      <c r="H27" t="s">
        <v>410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431</v>
      </c>
      <c r="AT27">
        <v>1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2.4470000000000001</v>
      </c>
      <c r="CE27" t="s">
        <v>450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450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500</v>
      </c>
      <c r="C29" t="s">
        <v>899</v>
      </c>
      <c r="D29" t="s">
        <v>1298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Q29" t="s">
        <v>423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430</v>
      </c>
      <c r="AT29">
        <v>0</v>
      </c>
      <c r="AU29">
        <v>0</v>
      </c>
      <c r="AV29" t="s">
        <v>434</v>
      </c>
      <c r="AW29">
        <v>0</v>
      </c>
      <c r="AX29">
        <v>0</v>
      </c>
      <c r="AY29">
        <v>0</v>
      </c>
      <c r="CC29">
        <v>2.4165000000000001</v>
      </c>
      <c r="CE29" t="s">
        <v>450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 x14ac:dyDescent="0.25">
      <c r="A30">
        <v>143</v>
      </c>
      <c r="B30" t="s">
        <v>501</v>
      </c>
      <c r="C30" t="s">
        <v>900</v>
      </c>
      <c r="D30" t="s">
        <v>1299</v>
      </c>
      <c r="E30" t="s">
        <v>400</v>
      </c>
      <c r="F30">
        <v>2677649400</v>
      </c>
      <c r="G30">
        <v>6.0277909999999997</v>
      </c>
      <c r="H30" t="s">
        <v>410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430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2.7725</v>
      </c>
      <c r="CE30" t="s">
        <v>450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145</v>
      </c>
      <c r="C31" t="s">
        <v>245</v>
      </c>
      <c r="D31" t="s">
        <v>345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2.4830000000000001</v>
      </c>
      <c r="CE31" t="s">
        <v>450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506</v>
      </c>
      <c r="C32" t="s">
        <v>905</v>
      </c>
      <c r="D32" t="s">
        <v>1304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430</v>
      </c>
      <c r="AT32">
        <v>0</v>
      </c>
      <c r="AU32">
        <v>0</v>
      </c>
      <c r="AV32" t="s">
        <v>449</v>
      </c>
      <c r="AW32">
        <v>0</v>
      </c>
      <c r="AX32">
        <v>0</v>
      </c>
      <c r="AY32">
        <v>0</v>
      </c>
      <c r="CC32">
        <v>2.4140000000000001</v>
      </c>
      <c r="CE32" t="s">
        <v>450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509</v>
      </c>
      <c r="C33" t="s">
        <v>908</v>
      </c>
      <c r="D33" t="s">
        <v>1307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2.3149999999999999</v>
      </c>
      <c r="CE33" t="s">
        <v>450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510</v>
      </c>
      <c r="C34" t="s">
        <v>909</v>
      </c>
      <c r="D34" t="s">
        <v>1308</v>
      </c>
      <c r="E34" t="s">
        <v>401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Q34" t="s">
        <v>418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2.5830000000000002</v>
      </c>
      <c r="CE34" t="s">
        <v>450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511</v>
      </c>
      <c r="C35" t="s">
        <v>910</v>
      </c>
      <c r="D35" t="s">
        <v>1309</v>
      </c>
      <c r="E35" t="s">
        <v>401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430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2.4055</v>
      </c>
      <c r="CE35" t="s">
        <v>450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512</v>
      </c>
      <c r="C36" t="s">
        <v>911</v>
      </c>
      <c r="D36" t="s">
        <v>1310</v>
      </c>
      <c r="E36" t="s">
        <v>401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430</v>
      </c>
      <c r="AT36">
        <v>0</v>
      </c>
      <c r="AU36">
        <v>0</v>
      </c>
      <c r="AV36" t="s">
        <v>442</v>
      </c>
      <c r="AW36">
        <v>0</v>
      </c>
      <c r="AX36">
        <v>0</v>
      </c>
      <c r="AY36">
        <v>0</v>
      </c>
      <c r="CC36">
        <v>2.4790000000000001</v>
      </c>
      <c r="CE36" t="s">
        <v>450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513</v>
      </c>
      <c r="C37" t="s">
        <v>912</v>
      </c>
      <c r="D37" t="s">
        <v>1311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430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2.9325000000000001</v>
      </c>
      <c r="CE37" t="s">
        <v>450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133</v>
      </c>
      <c r="C38" t="s">
        <v>233</v>
      </c>
      <c r="D38" t="s">
        <v>333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430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2.7719999999999998</v>
      </c>
      <c r="CE38" t="s">
        <v>450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514</v>
      </c>
      <c r="C39" t="s">
        <v>913</v>
      </c>
      <c r="D39" t="s">
        <v>1312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2.4300000000000002</v>
      </c>
      <c r="CE39" t="s">
        <v>450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515</v>
      </c>
      <c r="C40" t="s">
        <v>914</v>
      </c>
      <c r="D40" t="s">
        <v>1313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430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2.3359999999999999</v>
      </c>
      <c r="CE40" t="s">
        <v>450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516</v>
      </c>
      <c r="C41" t="s">
        <v>915</v>
      </c>
      <c r="D41" t="s">
        <v>1314</v>
      </c>
      <c r="E41" t="s">
        <v>400</v>
      </c>
      <c r="F41">
        <v>14406017000</v>
      </c>
      <c r="G41">
        <v>3.6727690000000002</v>
      </c>
      <c r="H41" t="s">
        <v>410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2.9445000000000001</v>
      </c>
      <c r="CE41" t="s">
        <v>450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154</v>
      </c>
      <c r="C42" t="s">
        <v>254</v>
      </c>
      <c r="D42" t="s">
        <v>354</v>
      </c>
      <c r="E42" t="s">
        <v>400</v>
      </c>
      <c r="F42">
        <v>1450318700</v>
      </c>
      <c r="G42">
        <v>5.1331730000000002</v>
      </c>
      <c r="H42" t="s">
        <v>410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423</v>
      </c>
      <c r="AT42">
        <v>1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2.8944999999999999</v>
      </c>
      <c r="CE42" t="s">
        <v>450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169</v>
      </c>
      <c r="C43" t="s">
        <v>269</v>
      </c>
      <c r="D43" t="s">
        <v>369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446</v>
      </c>
      <c r="AW43">
        <v>0</v>
      </c>
      <c r="AX43">
        <v>0</v>
      </c>
      <c r="AY43">
        <v>0</v>
      </c>
      <c r="CC43">
        <v>2.2054999999999998</v>
      </c>
      <c r="CE43" t="s">
        <v>450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518</v>
      </c>
      <c r="C44" t="s">
        <v>917</v>
      </c>
      <c r="D44" t="s">
        <v>1316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430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2.2610000000000001</v>
      </c>
      <c r="CE44" t="s">
        <v>450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126</v>
      </c>
      <c r="C45" t="s">
        <v>226</v>
      </c>
      <c r="D45" t="s">
        <v>326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422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2.91</v>
      </c>
      <c r="CE45" t="s">
        <v>450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519</v>
      </c>
      <c r="C46" t="s">
        <v>918</v>
      </c>
      <c r="D46" t="s">
        <v>1317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430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2.8130000000000002</v>
      </c>
      <c r="CE46" t="s">
        <v>450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520</v>
      </c>
      <c r="C47" t="s">
        <v>919</v>
      </c>
      <c r="D47" t="s">
        <v>1318</v>
      </c>
      <c r="E47" t="s">
        <v>401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2.3565</v>
      </c>
      <c r="CE47" t="s">
        <v>450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521</v>
      </c>
      <c r="C48" t="s">
        <v>920</v>
      </c>
      <c r="D48" t="s">
        <v>1319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2.5525000000000002</v>
      </c>
      <c r="CE48" t="s">
        <v>450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174</v>
      </c>
      <c r="C49" t="s">
        <v>274</v>
      </c>
      <c r="D49" t="s">
        <v>374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437</v>
      </c>
      <c r="AW49">
        <v>0</v>
      </c>
      <c r="AX49">
        <v>0</v>
      </c>
      <c r="AY49">
        <v>0</v>
      </c>
      <c r="CC49">
        <v>2.4175</v>
      </c>
      <c r="CE49" t="s">
        <v>450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524</v>
      </c>
      <c r="C50" t="s">
        <v>923</v>
      </c>
      <c r="D50" t="s">
        <v>1322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423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446</v>
      </c>
      <c r="AW50">
        <v>0</v>
      </c>
      <c r="AX50">
        <v>0</v>
      </c>
      <c r="AY50">
        <v>0</v>
      </c>
      <c r="CC50">
        <v>2.2850000000000001</v>
      </c>
      <c r="CE50" t="s">
        <v>450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156</v>
      </c>
      <c r="C51" t="s">
        <v>256</v>
      </c>
      <c r="D51" t="s">
        <v>356</v>
      </c>
      <c r="E51" t="s">
        <v>400</v>
      </c>
      <c r="F51">
        <v>118657364</v>
      </c>
      <c r="G51">
        <v>28.04748</v>
      </c>
      <c r="H51" t="s">
        <v>410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2.2829999999999999</v>
      </c>
      <c r="CE51" t="s">
        <v>450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525</v>
      </c>
      <c r="C52" t="s">
        <v>924</v>
      </c>
      <c r="D52" t="s">
        <v>1323</v>
      </c>
      <c r="E52" t="s">
        <v>400</v>
      </c>
      <c r="F52">
        <v>100455185</v>
      </c>
      <c r="G52">
        <v>45.141939999999998</v>
      </c>
      <c r="H52" t="s">
        <v>410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2.4470000000000001</v>
      </c>
      <c r="CE52" t="s">
        <v>450</v>
      </c>
      <c r="CG52">
        <v>1.99918974859489</v>
      </c>
      <c r="CH52">
        <v>3.4</v>
      </c>
      <c r="CI52">
        <v>2.6995948742974449</v>
      </c>
      <c r="CJ52">
        <v>-0.18</v>
      </c>
      <c r="CK52">
        <v>2.5195948742974452</v>
      </c>
    </row>
    <row r="53" spans="1:89" x14ac:dyDescent="0.25">
      <c r="A53">
        <v>196</v>
      </c>
      <c r="B53" t="s">
        <v>526</v>
      </c>
      <c r="C53" t="s">
        <v>925</v>
      </c>
      <c r="D53" t="s">
        <v>1324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433</v>
      </c>
      <c r="AW53">
        <v>0</v>
      </c>
      <c r="AX53">
        <v>0</v>
      </c>
      <c r="AY53">
        <v>0</v>
      </c>
      <c r="CC53">
        <v>2.8534999999999999</v>
      </c>
      <c r="CE53" t="s">
        <v>450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150</v>
      </c>
      <c r="C54" t="s">
        <v>250</v>
      </c>
      <c r="D54" t="s">
        <v>350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2.3540000000000001</v>
      </c>
      <c r="CE54" t="s">
        <v>450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135</v>
      </c>
      <c r="C55" t="s">
        <v>235</v>
      </c>
      <c r="D55" t="s">
        <v>335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2.8105000000000002</v>
      </c>
      <c r="CE55" t="s">
        <v>450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528</v>
      </c>
      <c r="C56" t="s">
        <v>927</v>
      </c>
      <c r="D56" t="s">
        <v>1326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423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434</v>
      </c>
      <c r="AW56">
        <v>0</v>
      </c>
      <c r="AX56">
        <v>0</v>
      </c>
      <c r="AY56">
        <v>0</v>
      </c>
      <c r="CC56">
        <v>2.9020000000000001</v>
      </c>
      <c r="CE56" t="s">
        <v>450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532</v>
      </c>
      <c r="C57" t="s">
        <v>931</v>
      </c>
      <c r="D57" t="s">
        <v>1330</v>
      </c>
      <c r="E57" t="s">
        <v>401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430</v>
      </c>
      <c r="AT57">
        <v>0</v>
      </c>
      <c r="AU57">
        <v>0</v>
      </c>
      <c r="AV57" t="s">
        <v>442</v>
      </c>
      <c r="AW57">
        <v>0</v>
      </c>
      <c r="AX57">
        <v>0</v>
      </c>
      <c r="AY57">
        <v>0</v>
      </c>
      <c r="CC57">
        <v>2.7004999999999999</v>
      </c>
      <c r="CE57" t="s">
        <v>450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136</v>
      </c>
      <c r="C58" t="s">
        <v>236</v>
      </c>
      <c r="D58" t="s">
        <v>336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430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2.4834999999999998</v>
      </c>
      <c r="CE58" t="s">
        <v>450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536</v>
      </c>
      <c r="C59" t="s">
        <v>935</v>
      </c>
      <c r="D59" t="s">
        <v>1334</v>
      </c>
      <c r="E59" t="s">
        <v>400</v>
      </c>
      <c r="F59">
        <v>999154240</v>
      </c>
      <c r="G59">
        <v>4.3884629999999998</v>
      </c>
      <c r="H59" t="s">
        <v>410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424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2.8014999999999999</v>
      </c>
      <c r="CE59" t="s">
        <v>450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537</v>
      </c>
      <c r="C60" t="s">
        <v>936</v>
      </c>
      <c r="D60" t="s">
        <v>1335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431</v>
      </c>
      <c r="AT60">
        <v>1</v>
      </c>
      <c r="AU60">
        <v>0</v>
      </c>
      <c r="AV60" t="s">
        <v>442</v>
      </c>
      <c r="AW60">
        <v>0</v>
      </c>
      <c r="AX60">
        <v>0</v>
      </c>
      <c r="AY60">
        <v>0</v>
      </c>
      <c r="CC60">
        <v>2.2494999999999998</v>
      </c>
      <c r="CE60" t="s">
        <v>450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114</v>
      </c>
      <c r="C61" t="s">
        <v>214</v>
      </c>
      <c r="D61" t="s">
        <v>314</v>
      </c>
      <c r="E61" t="s">
        <v>400</v>
      </c>
      <c r="F61">
        <v>9956837000</v>
      </c>
      <c r="G61">
        <v>1.820668</v>
      </c>
      <c r="H61" t="s">
        <v>410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425</v>
      </c>
      <c r="AT61">
        <v>0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2.6619999999999999</v>
      </c>
      <c r="CE61" t="s">
        <v>450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185</v>
      </c>
      <c r="C62" t="s">
        <v>285</v>
      </c>
      <c r="D62" t="s">
        <v>385</v>
      </c>
      <c r="E62" t="s">
        <v>400</v>
      </c>
      <c r="F62">
        <v>329765630</v>
      </c>
      <c r="G62">
        <v>40.693019999999997</v>
      </c>
      <c r="H62" t="s">
        <v>410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431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2.4984999999999999</v>
      </c>
      <c r="CE62" t="s">
        <v>450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538</v>
      </c>
      <c r="C63" t="s">
        <v>937</v>
      </c>
      <c r="D63" t="s">
        <v>1336</v>
      </c>
      <c r="E63" t="s">
        <v>400</v>
      </c>
      <c r="F63">
        <v>358583600</v>
      </c>
      <c r="G63">
        <v>12.85107</v>
      </c>
      <c r="H63" t="s">
        <v>410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2.8025000000000002</v>
      </c>
      <c r="CE63" t="s">
        <v>450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540</v>
      </c>
      <c r="C64" t="s">
        <v>939</v>
      </c>
      <c r="D64" t="s">
        <v>1338</v>
      </c>
      <c r="E64" t="s">
        <v>400</v>
      </c>
      <c r="F64">
        <v>219421900</v>
      </c>
      <c r="G64">
        <v>14.77328</v>
      </c>
      <c r="H64" t="s">
        <v>410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Q64" t="s">
        <v>423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 t="s">
        <v>1651</v>
      </c>
      <c r="AR64" t="s">
        <v>1651</v>
      </c>
      <c r="AS64" t="s">
        <v>430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450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430</v>
      </c>
      <c r="AT65">
        <v>0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2.9380000000000002</v>
      </c>
      <c r="CE65" t="s">
        <v>450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543</v>
      </c>
      <c r="C66" t="s">
        <v>942</v>
      </c>
      <c r="D66" t="s">
        <v>1341</v>
      </c>
      <c r="E66" t="s">
        <v>401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2.2949999999999999</v>
      </c>
      <c r="CE66" t="s">
        <v>450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545</v>
      </c>
      <c r="C67" t="s">
        <v>944</v>
      </c>
      <c r="D67" t="s">
        <v>1343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2.6240000000000001</v>
      </c>
      <c r="CE67" t="s">
        <v>450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423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2.8780000000000001</v>
      </c>
      <c r="CE68" t="s">
        <v>450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Q69" t="s">
        <v>423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2.581</v>
      </c>
      <c r="CE69" t="s">
        <v>450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167</v>
      </c>
      <c r="C70" t="s">
        <v>267</v>
      </c>
      <c r="D70" t="s">
        <v>367</v>
      </c>
      <c r="E70" t="s">
        <v>400</v>
      </c>
      <c r="F70">
        <v>362188870</v>
      </c>
      <c r="G70">
        <v>39.991840000000003</v>
      </c>
      <c r="H70" t="s">
        <v>410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2.4575</v>
      </c>
      <c r="CE70" t="s">
        <v>450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551</v>
      </c>
      <c r="C71" t="s">
        <v>950</v>
      </c>
      <c r="D71" t="s">
        <v>1349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2.6819999999999999</v>
      </c>
      <c r="CE71" t="s">
        <v>450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128</v>
      </c>
      <c r="C72" t="s">
        <v>228</v>
      </c>
      <c r="D72" t="s">
        <v>328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430</v>
      </c>
      <c r="AT72">
        <v>0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2.5914999999999999</v>
      </c>
      <c r="CE72" t="s">
        <v>450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552</v>
      </c>
      <c r="C73" t="s">
        <v>951</v>
      </c>
      <c r="D73" t="s">
        <v>1350</v>
      </c>
      <c r="E73" t="s">
        <v>400</v>
      </c>
      <c r="F73">
        <v>1697430200</v>
      </c>
      <c r="G73">
        <v>33.77787</v>
      </c>
      <c r="H73" t="s">
        <v>410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422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432</v>
      </c>
      <c r="AT73">
        <v>0</v>
      </c>
      <c r="AU73">
        <v>0</v>
      </c>
      <c r="AV73" t="s">
        <v>441</v>
      </c>
      <c r="AW73">
        <v>0</v>
      </c>
      <c r="AX73">
        <v>0</v>
      </c>
      <c r="AY73">
        <v>0</v>
      </c>
      <c r="CC73">
        <v>2.2534999999999998</v>
      </c>
      <c r="CE73" t="s">
        <v>450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151</v>
      </c>
      <c r="C74" t="s">
        <v>251</v>
      </c>
      <c r="D74" t="s">
        <v>351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2.5190000000000001</v>
      </c>
      <c r="CE74" t="s">
        <v>450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121</v>
      </c>
      <c r="C75" t="s">
        <v>221</v>
      </c>
      <c r="D75" t="s">
        <v>321</v>
      </c>
      <c r="E75" t="s">
        <v>400</v>
      </c>
      <c r="F75">
        <v>2049789600</v>
      </c>
      <c r="G75">
        <v>2.9909249999999998</v>
      </c>
      <c r="H75" t="s">
        <v>410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2.8935</v>
      </c>
      <c r="CE75" t="s">
        <v>450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437</v>
      </c>
      <c r="AW76">
        <v>0</v>
      </c>
      <c r="AX76">
        <v>0</v>
      </c>
      <c r="AY76">
        <v>0</v>
      </c>
      <c r="CC76">
        <v>2.5935000000000001</v>
      </c>
      <c r="CE76" t="s">
        <v>450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554</v>
      </c>
      <c r="C77" t="s">
        <v>953</v>
      </c>
      <c r="D77" t="s">
        <v>1352</v>
      </c>
      <c r="E77" t="s">
        <v>400</v>
      </c>
      <c r="F77">
        <v>54295612</v>
      </c>
      <c r="G77">
        <v>59.60089</v>
      </c>
      <c r="H77" t="s">
        <v>410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Q77" t="s">
        <v>416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2.6429999999999998</v>
      </c>
      <c r="CE77" t="s">
        <v>450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 x14ac:dyDescent="0.25">
      <c r="A78">
        <v>338</v>
      </c>
      <c r="B78" t="s">
        <v>134</v>
      </c>
      <c r="C78" t="s">
        <v>234</v>
      </c>
      <c r="D78" t="s">
        <v>334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430</v>
      </c>
      <c r="AT78">
        <v>0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2.5125000000000002</v>
      </c>
      <c r="CE78" t="s">
        <v>450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555</v>
      </c>
      <c r="C79" t="s">
        <v>954</v>
      </c>
      <c r="D79" t="s">
        <v>1353</v>
      </c>
      <c r="E79" t="s">
        <v>400</v>
      </c>
      <c r="F79">
        <v>139635440</v>
      </c>
      <c r="G79">
        <v>38.625729999999997</v>
      </c>
      <c r="H79" t="s">
        <v>410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441</v>
      </c>
      <c r="AW79">
        <v>0</v>
      </c>
      <c r="AX79">
        <v>0</v>
      </c>
      <c r="AY79">
        <v>0</v>
      </c>
      <c r="CC79">
        <v>2.7774999999999999</v>
      </c>
      <c r="CE79" t="s">
        <v>450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 t="s">
        <v>1651</v>
      </c>
      <c r="AR80" t="s">
        <v>1651</v>
      </c>
      <c r="AS80" t="s">
        <v>430</v>
      </c>
      <c r="AT80">
        <v>0</v>
      </c>
      <c r="AU80">
        <v>0</v>
      </c>
      <c r="AV80" t="s">
        <v>448</v>
      </c>
      <c r="AW80">
        <v>0</v>
      </c>
      <c r="AX80">
        <v>0</v>
      </c>
      <c r="AY80">
        <v>0</v>
      </c>
      <c r="CE80" t="s">
        <v>450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437</v>
      </c>
      <c r="AW81">
        <v>0</v>
      </c>
      <c r="AX81">
        <v>0</v>
      </c>
      <c r="AY81">
        <v>0</v>
      </c>
      <c r="CC81">
        <v>2.867</v>
      </c>
      <c r="CE81" t="s">
        <v>450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168</v>
      </c>
      <c r="C82" t="s">
        <v>268</v>
      </c>
      <c r="D82" t="s">
        <v>368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433</v>
      </c>
      <c r="AW82">
        <v>0</v>
      </c>
      <c r="AX82">
        <v>0</v>
      </c>
      <c r="AY82">
        <v>0</v>
      </c>
      <c r="CC82">
        <v>2.6675</v>
      </c>
      <c r="CE82" t="s">
        <v>450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559</v>
      </c>
      <c r="C83" t="s">
        <v>958</v>
      </c>
      <c r="D83" t="s">
        <v>1357</v>
      </c>
      <c r="E83" t="s">
        <v>402</v>
      </c>
      <c r="F83">
        <v>862184630</v>
      </c>
      <c r="G83">
        <v>31.647870000000001</v>
      </c>
      <c r="H83" t="s">
        <v>411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430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2.5419999999999998</v>
      </c>
      <c r="CE83" t="s">
        <v>450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563</v>
      </c>
      <c r="C84" t="s">
        <v>962</v>
      </c>
      <c r="D84" t="s">
        <v>1361</v>
      </c>
      <c r="E84" t="s">
        <v>402</v>
      </c>
      <c r="F84">
        <v>221089800</v>
      </c>
      <c r="G84">
        <v>35.655799999999999</v>
      </c>
      <c r="H84" t="s">
        <v>411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423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443</v>
      </c>
      <c r="AW84">
        <v>0</v>
      </c>
      <c r="AX84">
        <v>0</v>
      </c>
      <c r="AY84">
        <v>0</v>
      </c>
      <c r="CC84">
        <v>2.887</v>
      </c>
      <c r="CE84" t="s">
        <v>450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430</v>
      </c>
      <c r="AT85">
        <v>0</v>
      </c>
      <c r="AU85">
        <v>0</v>
      </c>
      <c r="AV85" t="s">
        <v>437</v>
      </c>
      <c r="AW85">
        <v>0</v>
      </c>
      <c r="AX85">
        <v>0</v>
      </c>
      <c r="AY85">
        <v>0</v>
      </c>
      <c r="CC85">
        <v>2.6880000000000002</v>
      </c>
      <c r="CE85" t="s">
        <v>450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141</v>
      </c>
      <c r="C86" t="s">
        <v>241</v>
      </c>
      <c r="D86" t="s">
        <v>341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430</v>
      </c>
      <c r="AT86">
        <v>0</v>
      </c>
      <c r="AU86">
        <v>0</v>
      </c>
      <c r="AV86" t="s">
        <v>437</v>
      </c>
      <c r="AW86">
        <v>0</v>
      </c>
      <c r="AX86">
        <v>0</v>
      </c>
      <c r="AY86">
        <v>0</v>
      </c>
      <c r="CC86">
        <v>2.8065000000000002</v>
      </c>
      <c r="CE86" t="s">
        <v>450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426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2.4885000000000002</v>
      </c>
      <c r="CE87" t="s">
        <v>450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422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425</v>
      </c>
      <c r="AT88">
        <v>0</v>
      </c>
      <c r="AU88">
        <v>0</v>
      </c>
      <c r="AV88" t="s">
        <v>437</v>
      </c>
      <c r="AW88">
        <v>0</v>
      </c>
      <c r="AX88">
        <v>0</v>
      </c>
      <c r="AY88">
        <v>0</v>
      </c>
      <c r="CC88">
        <v>2.9384999999999999</v>
      </c>
      <c r="CE88" t="s">
        <v>450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172</v>
      </c>
      <c r="C89" t="s">
        <v>272</v>
      </c>
      <c r="D89" t="s">
        <v>372</v>
      </c>
      <c r="E89" t="s">
        <v>400</v>
      </c>
      <c r="F89">
        <v>2225173800</v>
      </c>
      <c r="G89">
        <v>26.475850000000001</v>
      </c>
      <c r="H89" t="s">
        <v>410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441</v>
      </c>
      <c r="AW89">
        <v>0</v>
      </c>
      <c r="AX89">
        <v>0</v>
      </c>
      <c r="AY89">
        <v>0</v>
      </c>
      <c r="CC89">
        <v>2.6575000000000002</v>
      </c>
      <c r="CE89" t="s">
        <v>450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569</v>
      </c>
      <c r="C90" t="s">
        <v>968</v>
      </c>
      <c r="D90" t="s">
        <v>1367</v>
      </c>
      <c r="E90" t="s">
        <v>400</v>
      </c>
      <c r="F90">
        <v>1311388200</v>
      </c>
      <c r="G90">
        <v>3.1891919999999998</v>
      </c>
      <c r="H90" t="s">
        <v>410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430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2.2635000000000001</v>
      </c>
      <c r="CE90" t="s">
        <v>450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 x14ac:dyDescent="0.25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430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2.7050000000000001</v>
      </c>
      <c r="CE91" t="s">
        <v>450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446</v>
      </c>
      <c r="AW92">
        <v>0</v>
      </c>
      <c r="AX92">
        <v>0</v>
      </c>
      <c r="AY92">
        <v>0</v>
      </c>
      <c r="CC92">
        <v>2.8315000000000001</v>
      </c>
      <c r="CE92" t="s">
        <v>450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572</v>
      </c>
      <c r="C93" t="s">
        <v>971</v>
      </c>
      <c r="D93" t="s">
        <v>1370</v>
      </c>
      <c r="E93" t="s">
        <v>402</v>
      </c>
      <c r="F93">
        <v>240444520</v>
      </c>
      <c r="G93">
        <v>193.42599999999999</v>
      </c>
      <c r="H93" t="s">
        <v>411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426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CC93">
        <v>2.327</v>
      </c>
      <c r="CE93" t="s">
        <v>450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574</v>
      </c>
      <c r="C94" t="s">
        <v>973</v>
      </c>
      <c r="D94" t="s">
        <v>1372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421</v>
      </c>
      <c r="S94">
        <v>0</v>
      </c>
      <c r="T94">
        <v>0.05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426</v>
      </c>
      <c r="AT94">
        <v>1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2.4035000000000002</v>
      </c>
      <c r="CE94" t="s">
        <v>450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2.4670000000000001</v>
      </c>
      <c r="CE95" t="s">
        <v>450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184</v>
      </c>
      <c r="C96" t="s">
        <v>284</v>
      </c>
      <c r="D96" t="s">
        <v>384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2.5495000000000001</v>
      </c>
      <c r="CE96" t="s">
        <v>450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425</v>
      </c>
      <c r="AT97">
        <v>0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2.8639999999999999</v>
      </c>
      <c r="CE97" t="s">
        <v>450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584</v>
      </c>
      <c r="C98" t="s">
        <v>983</v>
      </c>
      <c r="D98" t="s">
        <v>1382</v>
      </c>
      <c r="E98" t="s">
        <v>400</v>
      </c>
      <c r="F98">
        <v>639307000</v>
      </c>
      <c r="G98">
        <v>8.9220009999999998</v>
      </c>
      <c r="H98" t="s">
        <v>410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420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450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423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430</v>
      </c>
      <c r="AT99">
        <v>0</v>
      </c>
      <c r="AU99">
        <v>0</v>
      </c>
      <c r="AV99" t="s">
        <v>434</v>
      </c>
      <c r="AW99">
        <v>0</v>
      </c>
      <c r="AX99">
        <v>0</v>
      </c>
      <c r="AY99">
        <v>0</v>
      </c>
      <c r="CC99">
        <v>2.7280000000000002</v>
      </c>
      <c r="CE99" t="s">
        <v>450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420</v>
      </c>
      <c r="R100" t="s">
        <v>422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434</v>
      </c>
      <c r="AW100">
        <v>0</v>
      </c>
      <c r="AX100">
        <v>0</v>
      </c>
      <c r="AY100">
        <v>0</v>
      </c>
      <c r="CC100">
        <v>2.5960000000000001</v>
      </c>
      <c r="CE100" t="s">
        <v>450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430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2.5325000000000002</v>
      </c>
      <c r="CE101" t="s">
        <v>450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127</v>
      </c>
      <c r="C102" t="s">
        <v>227</v>
      </c>
      <c r="D102" t="s">
        <v>327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</v>
      </c>
      <c r="AD102">
        <v>0</v>
      </c>
      <c r="AF102">
        <v>0</v>
      </c>
      <c r="AG102" t="s">
        <v>423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433</v>
      </c>
      <c r="AW102">
        <v>0</v>
      </c>
      <c r="AX102">
        <v>0</v>
      </c>
      <c r="AY102">
        <v>0</v>
      </c>
      <c r="CC102">
        <v>2.6204999999999998</v>
      </c>
      <c r="CE102" t="s">
        <v>450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175</v>
      </c>
      <c r="C103" t="s">
        <v>275</v>
      </c>
      <c r="D103" t="s">
        <v>375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434</v>
      </c>
      <c r="AW103">
        <v>0</v>
      </c>
      <c r="AX103">
        <v>0</v>
      </c>
      <c r="AY103">
        <v>0</v>
      </c>
      <c r="CC103">
        <v>2.6215000000000002</v>
      </c>
      <c r="CE103" t="s">
        <v>450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421</v>
      </c>
      <c r="S104">
        <v>0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430</v>
      </c>
      <c r="AT104">
        <v>0</v>
      </c>
      <c r="AU104">
        <v>0</v>
      </c>
      <c r="AV104" t="s">
        <v>433</v>
      </c>
      <c r="AW104">
        <v>0</v>
      </c>
      <c r="AX104">
        <v>0</v>
      </c>
      <c r="AY104">
        <v>0</v>
      </c>
      <c r="CC104">
        <v>2.5985</v>
      </c>
      <c r="CE104" t="s">
        <v>450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429</v>
      </c>
      <c r="AT105">
        <v>0</v>
      </c>
      <c r="AU105">
        <v>0</v>
      </c>
      <c r="AV105" t="s">
        <v>433</v>
      </c>
      <c r="AW105">
        <v>0</v>
      </c>
      <c r="AX105">
        <v>0</v>
      </c>
      <c r="AY105">
        <v>0</v>
      </c>
      <c r="CC105">
        <v>2.6669999999999998</v>
      </c>
      <c r="CE105" t="s">
        <v>450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140</v>
      </c>
      <c r="C106" t="s">
        <v>240</v>
      </c>
      <c r="D106" t="s">
        <v>340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430</v>
      </c>
      <c r="AT106">
        <v>0</v>
      </c>
      <c r="AU106">
        <v>0</v>
      </c>
      <c r="AV106" t="s">
        <v>445</v>
      </c>
      <c r="AW106">
        <v>0</v>
      </c>
      <c r="AX106">
        <v>0</v>
      </c>
      <c r="AY106">
        <v>0</v>
      </c>
      <c r="CC106">
        <v>2.7389999999999999</v>
      </c>
      <c r="CE106" t="s">
        <v>450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423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434</v>
      </c>
      <c r="AW107">
        <v>0</v>
      </c>
      <c r="AX107">
        <v>0</v>
      </c>
      <c r="AY107">
        <v>0</v>
      </c>
      <c r="CC107">
        <v>2.4035000000000002</v>
      </c>
      <c r="CE107" t="s">
        <v>450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180</v>
      </c>
      <c r="C108" t="s">
        <v>280</v>
      </c>
      <c r="D108" t="s">
        <v>380</v>
      </c>
      <c r="E108" t="s">
        <v>400</v>
      </c>
      <c r="F108">
        <v>919566160</v>
      </c>
      <c r="G108">
        <v>46.387149999999998</v>
      </c>
      <c r="H108" t="s">
        <v>410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425</v>
      </c>
      <c r="AT108">
        <v>0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2.8365</v>
      </c>
      <c r="CE108" t="s">
        <v>450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433</v>
      </c>
      <c r="AW109">
        <v>0</v>
      </c>
      <c r="AX109">
        <v>0</v>
      </c>
      <c r="AY109">
        <v>0</v>
      </c>
      <c r="CC109">
        <v>2.7524999999999999</v>
      </c>
      <c r="CE109" t="s">
        <v>450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</v>
      </c>
      <c r="AC110">
        <v>0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445</v>
      </c>
      <c r="AW110">
        <v>0</v>
      </c>
      <c r="AX110">
        <v>0</v>
      </c>
      <c r="AY110">
        <v>0</v>
      </c>
      <c r="CC110">
        <v>2.4740000000000002</v>
      </c>
      <c r="CE110" t="s">
        <v>450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420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430</v>
      </c>
      <c r="AT111">
        <v>0</v>
      </c>
      <c r="AU111">
        <v>0</v>
      </c>
      <c r="AV111" t="s">
        <v>442</v>
      </c>
      <c r="AW111">
        <v>0</v>
      </c>
      <c r="AX111">
        <v>0</v>
      </c>
      <c r="AY111">
        <v>0</v>
      </c>
      <c r="CC111">
        <v>2.8384999999999998</v>
      </c>
      <c r="CE111" t="s">
        <v>450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423</v>
      </c>
      <c r="R112" t="s">
        <v>421</v>
      </c>
      <c r="S112">
        <v>0</v>
      </c>
      <c r="T112">
        <v>0.05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426</v>
      </c>
      <c r="AT112">
        <v>1</v>
      </c>
      <c r="AU112">
        <v>0</v>
      </c>
      <c r="AV112" t="s">
        <v>446</v>
      </c>
      <c r="AW112">
        <v>0</v>
      </c>
      <c r="AX112">
        <v>0</v>
      </c>
      <c r="AY112">
        <v>0</v>
      </c>
      <c r="CC112">
        <v>2.4055</v>
      </c>
      <c r="CE112" t="s">
        <v>450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437</v>
      </c>
      <c r="AW113">
        <v>0</v>
      </c>
      <c r="AX113">
        <v>0</v>
      </c>
      <c r="AY113">
        <v>0</v>
      </c>
      <c r="CC113">
        <v>2.7084999999999999</v>
      </c>
      <c r="CE113" t="s">
        <v>450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437</v>
      </c>
      <c r="AW114">
        <v>0</v>
      </c>
      <c r="AX114">
        <v>0</v>
      </c>
      <c r="AY114">
        <v>0</v>
      </c>
      <c r="CC114">
        <v>2.9609999999999999</v>
      </c>
      <c r="CE114" t="s">
        <v>450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431</v>
      </c>
      <c r="AT115">
        <v>1</v>
      </c>
      <c r="AU115">
        <v>0</v>
      </c>
      <c r="AV115" t="s">
        <v>446</v>
      </c>
      <c r="AW115">
        <v>0</v>
      </c>
      <c r="AX115">
        <v>0</v>
      </c>
      <c r="AY115">
        <v>0</v>
      </c>
      <c r="CC115">
        <v>2.6105</v>
      </c>
      <c r="CE115" t="s">
        <v>450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139</v>
      </c>
      <c r="C116" t="s">
        <v>239</v>
      </c>
      <c r="D116" t="s">
        <v>339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430</v>
      </c>
      <c r="AT116">
        <v>0</v>
      </c>
      <c r="AU116">
        <v>0</v>
      </c>
      <c r="AV116" t="s">
        <v>447</v>
      </c>
      <c r="AW116">
        <v>0</v>
      </c>
      <c r="AX116">
        <v>0</v>
      </c>
      <c r="AY116">
        <v>0</v>
      </c>
      <c r="CC116">
        <v>2.5345</v>
      </c>
      <c r="CE116" t="s">
        <v>450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421</v>
      </c>
      <c r="S117">
        <v>0</v>
      </c>
      <c r="T117">
        <v>0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437</v>
      </c>
      <c r="AW117">
        <v>0</v>
      </c>
      <c r="AX117">
        <v>0</v>
      </c>
      <c r="AY117">
        <v>0</v>
      </c>
      <c r="CC117">
        <v>3.1044999999999998</v>
      </c>
      <c r="CE117" t="s">
        <v>450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446</v>
      </c>
      <c r="AW118">
        <v>0</v>
      </c>
      <c r="AX118">
        <v>0</v>
      </c>
      <c r="AY118">
        <v>0</v>
      </c>
      <c r="CC118">
        <v>2.875</v>
      </c>
      <c r="CE118" t="s">
        <v>450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148</v>
      </c>
      <c r="C119" t="s">
        <v>248</v>
      </c>
      <c r="D119" t="s">
        <v>348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424</v>
      </c>
      <c r="AT119">
        <v>1</v>
      </c>
      <c r="AU119">
        <v>0</v>
      </c>
      <c r="AV119" t="s">
        <v>433</v>
      </c>
      <c r="AW119">
        <v>0</v>
      </c>
      <c r="AX119">
        <v>0</v>
      </c>
      <c r="AY119">
        <v>0</v>
      </c>
      <c r="CC119">
        <v>2.641</v>
      </c>
      <c r="CE119" t="s">
        <v>450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143</v>
      </c>
      <c r="C120" t="s">
        <v>243</v>
      </c>
      <c r="D120" t="s">
        <v>343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430</v>
      </c>
      <c r="AT120">
        <v>0</v>
      </c>
      <c r="AU120">
        <v>0</v>
      </c>
      <c r="AV120" t="s">
        <v>442</v>
      </c>
      <c r="AW120">
        <v>0</v>
      </c>
      <c r="AX120">
        <v>0</v>
      </c>
      <c r="AY120">
        <v>0</v>
      </c>
      <c r="CC120">
        <v>2.794</v>
      </c>
      <c r="CE120" t="s">
        <v>450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212.19220000000001</v>
      </c>
      <c r="H121" t="s">
        <v>411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423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</v>
      </c>
      <c r="AD121">
        <v>0</v>
      </c>
      <c r="AF121">
        <v>0</v>
      </c>
      <c r="AG121" t="s">
        <v>423</v>
      </c>
      <c r="AI121" t="s">
        <v>423</v>
      </c>
      <c r="AJ121" t="s">
        <v>423</v>
      </c>
      <c r="AK121" t="s">
        <v>423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429</v>
      </c>
      <c r="AT121">
        <v>0</v>
      </c>
      <c r="AU121">
        <v>0</v>
      </c>
      <c r="AV121" t="s">
        <v>443</v>
      </c>
      <c r="AW121">
        <v>0</v>
      </c>
      <c r="AX121">
        <v>0</v>
      </c>
      <c r="AY121">
        <v>0</v>
      </c>
      <c r="CC121">
        <v>2.6579999999999999</v>
      </c>
      <c r="CE121" t="s">
        <v>450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1648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434</v>
      </c>
      <c r="AW122">
        <v>0</v>
      </c>
      <c r="AX122">
        <v>0</v>
      </c>
      <c r="AY122">
        <v>0</v>
      </c>
      <c r="CC122">
        <v>2.677</v>
      </c>
      <c r="CE122" t="s">
        <v>450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2.4805000000000001</v>
      </c>
      <c r="CE123" t="s">
        <v>450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430</v>
      </c>
      <c r="AT124">
        <v>0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2.387</v>
      </c>
      <c r="CE124" t="s">
        <v>450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116</v>
      </c>
      <c r="C125" t="s">
        <v>216</v>
      </c>
      <c r="D125" t="s">
        <v>316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441</v>
      </c>
      <c r="AW125">
        <v>0</v>
      </c>
      <c r="AX125">
        <v>0</v>
      </c>
      <c r="AY125">
        <v>0</v>
      </c>
      <c r="CC125">
        <v>2.9929999999999999</v>
      </c>
      <c r="CE125" t="s">
        <v>450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421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2.5985</v>
      </c>
      <c r="CE126" t="s">
        <v>450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430</v>
      </c>
      <c r="AT127">
        <v>0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2.677</v>
      </c>
      <c r="CE127" t="s">
        <v>450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445</v>
      </c>
      <c r="AW128">
        <v>0</v>
      </c>
      <c r="AX128">
        <v>0</v>
      </c>
      <c r="AY128">
        <v>0</v>
      </c>
      <c r="CC128">
        <v>2.5</v>
      </c>
      <c r="CE128" t="s">
        <v>450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157</v>
      </c>
      <c r="C129" t="s">
        <v>257</v>
      </c>
      <c r="D129" t="s">
        <v>357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2.7614999999999998</v>
      </c>
      <c r="CE129" t="s">
        <v>450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627</v>
      </c>
      <c r="C130" t="s">
        <v>1026</v>
      </c>
      <c r="D130" t="s">
        <v>1425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431</v>
      </c>
      <c r="AT130">
        <v>1</v>
      </c>
      <c r="AU130">
        <v>0</v>
      </c>
      <c r="AV130" t="s">
        <v>434</v>
      </c>
      <c r="AW130">
        <v>0</v>
      </c>
      <c r="AX130">
        <v>0</v>
      </c>
      <c r="AY130">
        <v>0</v>
      </c>
      <c r="CC130">
        <v>2.7435</v>
      </c>
      <c r="CE130" t="s">
        <v>450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629</v>
      </c>
      <c r="C131" t="s">
        <v>1028</v>
      </c>
      <c r="D131" t="s">
        <v>1427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2.8344999999999998</v>
      </c>
      <c r="CE131" t="s">
        <v>450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630</v>
      </c>
      <c r="C132" t="s">
        <v>1029</v>
      </c>
      <c r="D132" t="s">
        <v>1428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434</v>
      </c>
      <c r="AW132">
        <v>0</v>
      </c>
      <c r="AX132">
        <v>0</v>
      </c>
      <c r="AY132">
        <v>0</v>
      </c>
      <c r="CC132">
        <v>2.46</v>
      </c>
      <c r="CE132" t="s">
        <v>450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631</v>
      </c>
      <c r="C133" t="s">
        <v>1030</v>
      </c>
      <c r="D133" t="s">
        <v>1429</v>
      </c>
      <c r="E133" t="s">
        <v>400</v>
      </c>
      <c r="F133">
        <v>221886460</v>
      </c>
      <c r="G133">
        <v>27.926590000000001</v>
      </c>
      <c r="H133" t="s">
        <v>410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441</v>
      </c>
      <c r="AW133">
        <v>0</v>
      </c>
      <c r="AX133">
        <v>0</v>
      </c>
      <c r="AY133">
        <v>0</v>
      </c>
      <c r="CC133">
        <v>2.4055</v>
      </c>
      <c r="CE133" t="s">
        <v>450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637</v>
      </c>
      <c r="C134" t="s">
        <v>1036</v>
      </c>
      <c r="D134" t="s">
        <v>1435</v>
      </c>
      <c r="E134" t="s">
        <v>400</v>
      </c>
      <c r="F134">
        <v>17822174000</v>
      </c>
      <c r="G134">
        <v>10.708819999999999</v>
      </c>
      <c r="H134" t="s">
        <v>410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420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430</v>
      </c>
      <c r="AT134">
        <v>0</v>
      </c>
      <c r="AU134">
        <v>0</v>
      </c>
      <c r="AV134" t="s">
        <v>441</v>
      </c>
      <c r="AW134">
        <v>0</v>
      </c>
      <c r="AX134">
        <v>0</v>
      </c>
      <c r="AY134">
        <v>0</v>
      </c>
      <c r="CC134">
        <v>2.4710000000000001</v>
      </c>
      <c r="CE134" t="s">
        <v>450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181</v>
      </c>
      <c r="C135" t="s">
        <v>281</v>
      </c>
      <c r="D135" t="s">
        <v>381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438</v>
      </c>
      <c r="AW135">
        <v>0</v>
      </c>
      <c r="AX135">
        <v>0</v>
      </c>
      <c r="AY135">
        <v>0</v>
      </c>
      <c r="CC135">
        <v>2.8319999999999999</v>
      </c>
      <c r="CE135" t="s">
        <v>450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640</v>
      </c>
      <c r="C136" t="s">
        <v>1039</v>
      </c>
      <c r="D136" t="s">
        <v>1438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431</v>
      </c>
      <c r="AT136">
        <v>1</v>
      </c>
      <c r="AU136">
        <v>0</v>
      </c>
      <c r="AV136" t="s">
        <v>445</v>
      </c>
      <c r="AW136">
        <v>0</v>
      </c>
      <c r="AX136">
        <v>0</v>
      </c>
      <c r="AY136">
        <v>0</v>
      </c>
      <c r="CC136">
        <v>2.89</v>
      </c>
      <c r="CE136" t="s">
        <v>450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644</v>
      </c>
      <c r="C137" t="s">
        <v>1043</v>
      </c>
      <c r="D137" t="s">
        <v>1442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431</v>
      </c>
      <c r="AT137">
        <v>1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2.9165000000000001</v>
      </c>
      <c r="CE137" t="s">
        <v>450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646</v>
      </c>
      <c r="C138" t="s">
        <v>1045</v>
      </c>
      <c r="D138" t="s">
        <v>1444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421</v>
      </c>
      <c r="S138">
        <v>0</v>
      </c>
      <c r="T138">
        <v>0</v>
      </c>
      <c r="U138" t="s">
        <v>421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434</v>
      </c>
      <c r="AW138">
        <v>0</v>
      </c>
      <c r="AX138">
        <v>0</v>
      </c>
      <c r="AY138">
        <v>0</v>
      </c>
      <c r="CC138">
        <v>2.2909999999999999</v>
      </c>
      <c r="CE138" t="s">
        <v>450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647</v>
      </c>
      <c r="C139" t="s">
        <v>1046</v>
      </c>
      <c r="D139" t="s">
        <v>1445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437</v>
      </c>
      <c r="AW139">
        <v>0</v>
      </c>
      <c r="AX139">
        <v>0</v>
      </c>
      <c r="AY139">
        <v>0</v>
      </c>
      <c r="CC139">
        <v>2.9325000000000001</v>
      </c>
      <c r="CE139" t="s">
        <v>450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648</v>
      </c>
      <c r="C140" t="s">
        <v>1047</v>
      </c>
      <c r="D140" t="s">
        <v>1446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423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425</v>
      </c>
      <c r="AT140">
        <v>0</v>
      </c>
      <c r="AU140">
        <v>0</v>
      </c>
      <c r="AV140" t="s">
        <v>441</v>
      </c>
      <c r="AW140">
        <v>0</v>
      </c>
      <c r="AX140">
        <v>0</v>
      </c>
      <c r="AY140">
        <v>0</v>
      </c>
      <c r="CC140">
        <v>2.9525000000000001</v>
      </c>
      <c r="CE140" t="s">
        <v>450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649</v>
      </c>
      <c r="C141" t="s">
        <v>1048</v>
      </c>
      <c r="D141" t="s">
        <v>1447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420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430</v>
      </c>
      <c r="AT141">
        <v>0</v>
      </c>
      <c r="AU141">
        <v>0</v>
      </c>
      <c r="AV141" t="s">
        <v>445</v>
      </c>
      <c r="AW141">
        <v>0</v>
      </c>
      <c r="AX141">
        <v>0</v>
      </c>
      <c r="AY141">
        <v>0</v>
      </c>
      <c r="CC141">
        <v>2.5425</v>
      </c>
      <c r="CE141" t="s">
        <v>450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166</v>
      </c>
      <c r="C142" t="s">
        <v>266</v>
      </c>
      <c r="D142" t="s">
        <v>366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421</v>
      </c>
      <c r="S142">
        <v>0</v>
      </c>
      <c r="T142">
        <v>0.01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432</v>
      </c>
      <c r="AT142">
        <v>0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2.6225000000000001</v>
      </c>
      <c r="CE142" t="s">
        <v>450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650</v>
      </c>
      <c r="C143" t="s">
        <v>1049</v>
      </c>
      <c r="D143" t="s">
        <v>1448</v>
      </c>
      <c r="E143" t="s">
        <v>400</v>
      </c>
      <c r="F143">
        <v>290636470</v>
      </c>
      <c r="G143">
        <v>28.9421</v>
      </c>
      <c r="H143" t="s">
        <v>410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430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2.5165000000000002</v>
      </c>
      <c r="CE143" t="s">
        <v>450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130</v>
      </c>
      <c r="C144" t="s">
        <v>230</v>
      </c>
      <c r="D144" t="s">
        <v>330</v>
      </c>
      <c r="E144" t="s">
        <v>401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430</v>
      </c>
      <c r="AT144">
        <v>0</v>
      </c>
      <c r="AU144">
        <v>0</v>
      </c>
      <c r="AV144" t="s">
        <v>442</v>
      </c>
      <c r="AW144">
        <v>0</v>
      </c>
      <c r="AX144">
        <v>0</v>
      </c>
      <c r="AY144">
        <v>0</v>
      </c>
      <c r="CC144">
        <v>2.7605</v>
      </c>
      <c r="CE144" t="s">
        <v>450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653</v>
      </c>
      <c r="C145" t="s">
        <v>1052</v>
      </c>
      <c r="D145" t="s">
        <v>1451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420</v>
      </c>
      <c r="R145" t="s">
        <v>421</v>
      </c>
      <c r="S145">
        <v>0</v>
      </c>
      <c r="T145">
        <v>0.01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426</v>
      </c>
      <c r="AT145">
        <v>1</v>
      </c>
      <c r="AU145">
        <v>0</v>
      </c>
      <c r="AV145" t="s">
        <v>440</v>
      </c>
      <c r="AW145">
        <v>0</v>
      </c>
      <c r="AX145">
        <v>0</v>
      </c>
      <c r="AY145">
        <v>0</v>
      </c>
      <c r="CC145">
        <v>2.323</v>
      </c>
      <c r="CE145" t="s">
        <v>450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654</v>
      </c>
      <c r="C146" t="s">
        <v>1053</v>
      </c>
      <c r="D146" t="s">
        <v>1452</v>
      </c>
      <c r="E146" t="s">
        <v>400</v>
      </c>
      <c r="F146">
        <v>645162300</v>
      </c>
      <c r="G146">
        <v>6.4678449999999996</v>
      </c>
      <c r="H146" t="s">
        <v>410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421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430</v>
      </c>
      <c r="AT146">
        <v>0</v>
      </c>
      <c r="AU146">
        <v>0</v>
      </c>
      <c r="AV146" t="s">
        <v>441</v>
      </c>
      <c r="AW146">
        <v>0</v>
      </c>
      <c r="AX146">
        <v>0</v>
      </c>
      <c r="AY146">
        <v>0</v>
      </c>
      <c r="CC146">
        <v>2.4434999999999998</v>
      </c>
      <c r="CE146" t="s">
        <v>450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655</v>
      </c>
      <c r="C147" t="s">
        <v>1054</v>
      </c>
      <c r="D147" t="s">
        <v>1453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430</v>
      </c>
      <c r="AT147">
        <v>0</v>
      </c>
      <c r="AU147">
        <v>0</v>
      </c>
      <c r="AV147" t="s">
        <v>434</v>
      </c>
      <c r="AW147">
        <v>0</v>
      </c>
      <c r="AX147">
        <v>0</v>
      </c>
      <c r="AY147">
        <v>0</v>
      </c>
      <c r="CC147">
        <v>2.5545</v>
      </c>
      <c r="CE147" t="s">
        <v>450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656</v>
      </c>
      <c r="C148" t="s">
        <v>1055</v>
      </c>
      <c r="D148" t="s">
        <v>1454</v>
      </c>
      <c r="E148" t="s">
        <v>401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423</v>
      </c>
      <c r="AT148">
        <v>1</v>
      </c>
      <c r="AU148">
        <v>0</v>
      </c>
      <c r="AV148" t="s">
        <v>442</v>
      </c>
      <c r="AW148">
        <v>0</v>
      </c>
      <c r="AX148">
        <v>0</v>
      </c>
      <c r="AY148">
        <v>0</v>
      </c>
      <c r="CC148">
        <v>2.7625000000000002</v>
      </c>
      <c r="CE148" t="s">
        <v>450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657</v>
      </c>
      <c r="C149" t="s">
        <v>1056</v>
      </c>
      <c r="D149" t="s">
        <v>1455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429</v>
      </c>
      <c r="AT149">
        <v>0</v>
      </c>
      <c r="AU149">
        <v>0</v>
      </c>
      <c r="AV149" t="s">
        <v>433</v>
      </c>
      <c r="AW149">
        <v>0</v>
      </c>
      <c r="AX149">
        <v>0</v>
      </c>
      <c r="AY149">
        <v>0</v>
      </c>
      <c r="CC149">
        <v>2.7555000000000001</v>
      </c>
      <c r="CE149" t="s">
        <v>450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186</v>
      </c>
      <c r="C150" t="s">
        <v>286</v>
      </c>
      <c r="D150" t="s">
        <v>386</v>
      </c>
      <c r="E150" t="s">
        <v>402</v>
      </c>
      <c r="F150">
        <v>185668230</v>
      </c>
      <c r="G150">
        <v>22.72052</v>
      </c>
      <c r="H150" t="s">
        <v>411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420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443</v>
      </c>
      <c r="AW150">
        <v>0</v>
      </c>
      <c r="AX150">
        <v>0</v>
      </c>
      <c r="AY150">
        <v>0</v>
      </c>
      <c r="CC150">
        <v>2.6945000000000001</v>
      </c>
      <c r="CE150" t="s">
        <v>450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659</v>
      </c>
      <c r="C151" t="s">
        <v>1058</v>
      </c>
      <c r="D151" t="s">
        <v>1457</v>
      </c>
      <c r="E151" t="s">
        <v>400</v>
      </c>
      <c r="F151">
        <v>3753739700</v>
      </c>
      <c r="G151">
        <v>0.90852080000000002</v>
      </c>
      <c r="H151" t="s">
        <v>410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425</v>
      </c>
      <c r="AT151">
        <v>0</v>
      </c>
      <c r="AU151">
        <v>0</v>
      </c>
      <c r="AV151" t="s">
        <v>441</v>
      </c>
      <c r="AW151">
        <v>0</v>
      </c>
      <c r="AX151">
        <v>0</v>
      </c>
      <c r="AY151">
        <v>0</v>
      </c>
      <c r="CC151">
        <v>2.8395000000000001</v>
      </c>
      <c r="CE151" t="s">
        <v>450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173</v>
      </c>
      <c r="C152" t="s">
        <v>273</v>
      </c>
      <c r="D152" t="s">
        <v>373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421</v>
      </c>
      <c r="S152">
        <v>0</v>
      </c>
      <c r="T152">
        <v>0.05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431</v>
      </c>
      <c r="AT152">
        <v>1</v>
      </c>
      <c r="AU152">
        <v>0</v>
      </c>
      <c r="AV152" t="s">
        <v>449</v>
      </c>
      <c r="AW152">
        <v>0</v>
      </c>
      <c r="AX152">
        <v>0</v>
      </c>
      <c r="AY152">
        <v>0</v>
      </c>
      <c r="CC152">
        <v>2.6440000000000001</v>
      </c>
      <c r="CE152" t="s">
        <v>450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138</v>
      </c>
      <c r="C153" t="s">
        <v>238</v>
      </c>
      <c r="D153" t="s">
        <v>338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430</v>
      </c>
      <c r="AT153">
        <v>0</v>
      </c>
      <c r="AU153">
        <v>0</v>
      </c>
      <c r="AV153" t="s">
        <v>446</v>
      </c>
      <c r="AW153">
        <v>0</v>
      </c>
      <c r="AX153">
        <v>0</v>
      </c>
      <c r="AY153">
        <v>0</v>
      </c>
      <c r="CC153">
        <v>2.4255</v>
      </c>
      <c r="CE153" t="s">
        <v>450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662</v>
      </c>
      <c r="C154" t="s">
        <v>1061</v>
      </c>
      <c r="D154" t="s">
        <v>1460</v>
      </c>
      <c r="E154" t="s">
        <v>402</v>
      </c>
      <c r="F154">
        <v>64272095</v>
      </c>
      <c r="G154">
        <v>73.523319999999998</v>
      </c>
      <c r="H154" t="s">
        <v>411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</v>
      </c>
      <c r="AC154">
        <v>0</v>
      </c>
      <c r="AD154">
        <v>0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430</v>
      </c>
      <c r="AT154">
        <v>0</v>
      </c>
      <c r="AU154">
        <v>0</v>
      </c>
      <c r="AV154" t="s">
        <v>443</v>
      </c>
      <c r="AW154">
        <v>0</v>
      </c>
      <c r="AX154">
        <v>0</v>
      </c>
      <c r="AY154">
        <v>0</v>
      </c>
      <c r="CC154">
        <v>2.4095</v>
      </c>
      <c r="CE154" t="s">
        <v>450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131</v>
      </c>
      <c r="C155" t="s">
        <v>231</v>
      </c>
      <c r="D155" t="s">
        <v>331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421</v>
      </c>
      <c r="S155">
        <v>0</v>
      </c>
      <c r="T155">
        <v>0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430</v>
      </c>
      <c r="AT155">
        <v>0</v>
      </c>
      <c r="AU155">
        <v>0</v>
      </c>
      <c r="AV155" t="s">
        <v>447</v>
      </c>
      <c r="AW155">
        <v>0</v>
      </c>
      <c r="AX155">
        <v>0</v>
      </c>
      <c r="AY155">
        <v>0</v>
      </c>
      <c r="CC155">
        <v>2.6284999999999998</v>
      </c>
      <c r="CE155" t="s">
        <v>450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663</v>
      </c>
      <c r="C156" t="s">
        <v>1062</v>
      </c>
      <c r="D156" t="s">
        <v>1461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2.8149999999999999</v>
      </c>
      <c r="CE156" t="s">
        <v>450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664</v>
      </c>
      <c r="C157" t="s">
        <v>1063</v>
      </c>
      <c r="D157" t="s">
        <v>1462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421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</v>
      </c>
      <c r="AC157">
        <v>0</v>
      </c>
      <c r="AD157">
        <v>0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436</v>
      </c>
      <c r="AW157">
        <v>0</v>
      </c>
      <c r="AX157">
        <v>0</v>
      </c>
      <c r="AY157">
        <v>0</v>
      </c>
      <c r="CC157">
        <v>2.5979999999999999</v>
      </c>
      <c r="CE157" t="s">
        <v>450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665</v>
      </c>
      <c r="C158" t="s">
        <v>1064</v>
      </c>
      <c r="D158" t="s">
        <v>1463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421</v>
      </c>
      <c r="S158">
        <v>0</v>
      </c>
      <c r="T158">
        <v>0.05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431</v>
      </c>
      <c r="AT158">
        <v>1</v>
      </c>
      <c r="AU158">
        <v>0</v>
      </c>
      <c r="AV158" t="s">
        <v>438</v>
      </c>
      <c r="AW158">
        <v>0</v>
      </c>
      <c r="AX158">
        <v>0</v>
      </c>
      <c r="AY158">
        <v>0</v>
      </c>
      <c r="CC158">
        <v>2.7755000000000001</v>
      </c>
      <c r="CE158" t="s">
        <v>450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161</v>
      </c>
      <c r="C159" t="s">
        <v>261</v>
      </c>
      <c r="D159" t="s">
        <v>361</v>
      </c>
      <c r="E159" t="s">
        <v>400</v>
      </c>
      <c r="F159">
        <v>1788668100</v>
      </c>
      <c r="G159">
        <v>2.9667460000000001</v>
      </c>
      <c r="H159" t="s">
        <v>410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431</v>
      </c>
      <c r="AT159">
        <v>1</v>
      </c>
      <c r="AU159">
        <v>0</v>
      </c>
      <c r="AV159" t="s">
        <v>441</v>
      </c>
      <c r="AW159">
        <v>0</v>
      </c>
      <c r="AX159">
        <v>0</v>
      </c>
      <c r="AY159">
        <v>0</v>
      </c>
      <c r="CC159">
        <v>2.8450000000000002</v>
      </c>
      <c r="CE159" t="s">
        <v>450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666</v>
      </c>
      <c r="C160" t="s">
        <v>1065</v>
      </c>
      <c r="D160" t="s">
        <v>1464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424</v>
      </c>
      <c r="AT160">
        <v>1</v>
      </c>
      <c r="AU160">
        <v>0</v>
      </c>
      <c r="AV160" t="s">
        <v>433</v>
      </c>
      <c r="AW160">
        <v>0</v>
      </c>
      <c r="AX160">
        <v>0</v>
      </c>
      <c r="AY160">
        <v>0</v>
      </c>
      <c r="CC160">
        <v>2.2839999999999998</v>
      </c>
      <c r="CE160" t="s">
        <v>450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182</v>
      </c>
      <c r="C161" t="s">
        <v>282</v>
      </c>
      <c r="D161" t="s">
        <v>382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438</v>
      </c>
      <c r="AW161">
        <v>0</v>
      </c>
      <c r="AX161">
        <v>0</v>
      </c>
      <c r="AY161">
        <v>0</v>
      </c>
      <c r="CC161">
        <v>2.742</v>
      </c>
      <c r="CE161" t="s">
        <v>450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669</v>
      </c>
      <c r="C162" t="s">
        <v>1068</v>
      </c>
      <c r="D162" t="s">
        <v>1467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</v>
      </c>
      <c r="AC162">
        <v>0</v>
      </c>
      <c r="AD162">
        <v>0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425</v>
      </c>
      <c r="AT162">
        <v>0</v>
      </c>
      <c r="AU162">
        <v>0</v>
      </c>
      <c r="AV162" t="s">
        <v>445</v>
      </c>
      <c r="AW162">
        <v>0</v>
      </c>
      <c r="AX162">
        <v>0</v>
      </c>
      <c r="AY162">
        <v>0</v>
      </c>
      <c r="CC162">
        <v>2.738</v>
      </c>
      <c r="CE162" t="s">
        <v>450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146</v>
      </c>
      <c r="C163" t="s">
        <v>246</v>
      </c>
      <c r="D163" t="s">
        <v>346</v>
      </c>
      <c r="E163" t="s">
        <v>400</v>
      </c>
      <c r="F163">
        <v>744937900</v>
      </c>
      <c r="G163">
        <v>6.8970200000000004</v>
      </c>
      <c r="H163" t="s">
        <v>410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</v>
      </c>
      <c r="AC163">
        <v>0</v>
      </c>
      <c r="AD163">
        <v>0</v>
      </c>
      <c r="AF163">
        <v>0</v>
      </c>
      <c r="AG163" t="s">
        <v>423</v>
      </c>
      <c r="AI163" t="s">
        <v>423</v>
      </c>
      <c r="AJ163" t="s">
        <v>423</v>
      </c>
      <c r="AK163" t="s">
        <v>423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424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CC163">
        <v>2.5605000000000002</v>
      </c>
      <c r="CE163" t="s">
        <v>450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673</v>
      </c>
      <c r="C164" t="s">
        <v>1072</v>
      </c>
      <c r="D164" t="s">
        <v>1471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421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</v>
      </c>
      <c r="AC164">
        <v>0</v>
      </c>
      <c r="AD164">
        <v>0</v>
      </c>
      <c r="AF164">
        <v>0</v>
      </c>
      <c r="AG164" t="s">
        <v>423</v>
      </c>
      <c r="AI164" t="s">
        <v>423</v>
      </c>
      <c r="AJ164" t="s">
        <v>423</v>
      </c>
      <c r="AK164" t="s">
        <v>423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424</v>
      </c>
      <c r="AT164">
        <v>1</v>
      </c>
      <c r="AU164">
        <v>0</v>
      </c>
      <c r="AV164" t="s">
        <v>437</v>
      </c>
      <c r="AW164">
        <v>0</v>
      </c>
      <c r="AX164">
        <v>0</v>
      </c>
      <c r="AY164">
        <v>0</v>
      </c>
      <c r="CC164">
        <v>2.8079999999999998</v>
      </c>
      <c r="CE164" t="s">
        <v>450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142</v>
      </c>
      <c r="C165" t="s">
        <v>242</v>
      </c>
      <c r="D165" t="s">
        <v>342</v>
      </c>
      <c r="E165" t="s">
        <v>400</v>
      </c>
      <c r="F165">
        <v>5893244000</v>
      </c>
      <c r="G165">
        <v>2.8784939999999999</v>
      </c>
      <c r="H165" t="s">
        <v>410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421</v>
      </c>
      <c r="S165">
        <v>0</v>
      </c>
      <c r="T165">
        <v>0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</v>
      </c>
      <c r="AD165">
        <v>0</v>
      </c>
      <c r="AF165">
        <v>0</v>
      </c>
      <c r="AG165" t="s">
        <v>423</v>
      </c>
      <c r="AI165" t="s">
        <v>423</v>
      </c>
      <c r="AJ165" t="s">
        <v>423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430</v>
      </c>
      <c r="AT165">
        <v>0</v>
      </c>
      <c r="AU165">
        <v>0</v>
      </c>
      <c r="AV165" t="s">
        <v>441</v>
      </c>
      <c r="AW165">
        <v>0</v>
      </c>
      <c r="AX165">
        <v>0</v>
      </c>
      <c r="AY165">
        <v>0</v>
      </c>
      <c r="CC165">
        <v>2.4409999999999998</v>
      </c>
      <c r="CE165" t="s">
        <v>450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179</v>
      </c>
      <c r="C166" t="s">
        <v>279</v>
      </c>
      <c r="D166" t="s">
        <v>379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433</v>
      </c>
      <c r="AW166">
        <v>0</v>
      </c>
      <c r="AX166">
        <v>0</v>
      </c>
      <c r="AY166">
        <v>0</v>
      </c>
      <c r="CC166">
        <v>2.7650000000000001</v>
      </c>
      <c r="CE166" t="s">
        <v>450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675</v>
      </c>
      <c r="C167" t="s">
        <v>1074</v>
      </c>
      <c r="D167" t="s">
        <v>1473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423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</v>
      </c>
      <c r="AC167">
        <v>0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CC167">
        <v>2.2795000000000001</v>
      </c>
      <c r="CE167" t="s">
        <v>450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676</v>
      </c>
      <c r="C168" t="s">
        <v>1075</v>
      </c>
      <c r="D168" t="s">
        <v>1474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446</v>
      </c>
      <c r="AW168">
        <v>0</v>
      </c>
      <c r="AX168">
        <v>0</v>
      </c>
      <c r="AY168">
        <v>0</v>
      </c>
      <c r="CC168">
        <v>2.339</v>
      </c>
      <c r="CE168" t="s">
        <v>450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677</v>
      </c>
      <c r="C169" t="s">
        <v>1076</v>
      </c>
      <c r="D169" t="s">
        <v>1475</v>
      </c>
      <c r="E169" t="s">
        <v>400</v>
      </c>
      <c r="F169">
        <v>60745742000</v>
      </c>
      <c r="G169">
        <v>0.81240979999999996</v>
      </c>
      <c r="H169" t="s">
        <v>410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420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</v>
      </c>
      <c r="AD169">
        <v>0</v>
      </c>
      <c r="AF169">
        <v>0</v>
      </c>
      <c r="AG169" t="s">
        <v>423</v>
      </c>
      <c r="AI169" t="s">
        <v>423</v>
      </c>
      <c r="AJ169" t="s">
        <v>423</v>
      </c>
      <c r="AK169" t="s">
        <v>423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430</v>
      </c>
      <c r="AT169">
        <v>0</v>
      </c>
      <c r="AU169">
        <v>0</v>
      </c>
      <c r="AV169" t="s">
        <v>441</v>
      </c>
      <c r="AW169">
        <v>0</v>
      </c>
      <c r="AX169">
        <v>0</v>
      </c>
      <c r="AY169">
        <v>0</v>
      </c>
      <c r="CC169">
        <v>2.907</v>
      </c>
      <c r="CE169" t="s">
        <v>450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109</v>
      </c>
      <c r="C170" t="s">
        <v>209</v>
      </c>
      <c r="D170" t="s">
        <v>309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421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446</v>
      </c>
      <c r="AW170">
        <v>0</v>
      </c>
      <c r="AX170">
        <v>0</v>
      </c>
      <c r="AY170">
        <v>0</v>
      </c>
      <c r="CC170">
        <v>2.9824999999999999</v>
      </c>
      <c r="CE170" t="s">
        <v>450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678</v>
      </c>
      <c r="C171" t="s">
        <v>1077</v>
      </c>
      <c r="D171" t="s">
        <v>1476</v>
      </c>
      <c r="E171" t="s">
        <v>400</v>
      </c>
      <c r="F171">
        <v>531451840</v>
      </c>
      <c r="G171">
        <v>140.05609999999999</v>
      </c>
      <c r="H171" t="s">
        <v>410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430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2.6655000000000002</v>
      </c>
      <c r="CE171" t="s">
        <v>450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152</v>
      </c>
      <c r="C172" t="s">
        <v>252</v>
      </c>
      <c r="D172" t="s">
        <v>352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2.6444999999999999</v>
      </c>
      <c r="CE172" t="s">
        <v>450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164</v>
      </c>
      <c r="C173" t="s">
        <v>264</v>
      </c>
      <c r="D173" t="s">
        <v>364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421</v>
      </c>
      <c r="S173">
        <v>0</v>
      </c>
      <c r="T173">
        <v>0.01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426</v>
      </c>
      <c r="AT173">
        <v>1</v>
      </c>
      <c r="AU173">
        <v>0</v>
      </c>
      <c r="AV173" t="s">
        <v>437</v>
      </c>
      <c r="AW173">
        <v>0</v>
      </c>
      <c r="AX173">
        <v>0</v>
      </c>
      <c r="AY173">
        <v>0</v>
      </c>
      <c r="CC173">
        <v>2.4750000000000001</v>
      </c>
      <c r="CE173" t="s">
        <v>450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683</v>
      </c>
      <c r="C174" t="s">
        <v>1082</v>
      </c>
      <c r="D174" t="s">
        <v>1481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421</v>
      </c>
      <c r="S174">
        <v>0</v>
      </c>
      <c r="T174">
        <v>0.01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2.5529999999999999</v>
      </c>
      <c r="CE174" t="s">
        <v>450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684</v>
      </c>
      <c r="C175" t="s">
        <v>1083</v>
      </c>
      <c r="D175" t="s">
        <v>1482</v>
      </c>
      <c r="E175" t="s">
        <v>400</v>
      </c>
      <c r="F175">
        <v>2403869600</v>
      </c>
      <c r="G175">
        <v>2.5291090000000001</v>
      </c>
      <c r="H175" t="s">
        <v>410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430</v>
      </c>
      <c r="AT175">
        <v>0</v>
      </c>
      <c r="AU175">
        <v>0</v>
      </c>
      <c r="AV175" t="s">
        <v>441</v>
      </c>
      <c r="AW175">
        <v>0</v>
      </c>
      <c r="AX175">
        <v>0</v>
      </c>
      <c r="AY175">
        <v>0</v>
      </c>
      <c r="CC175">
        <v>2.4344999999999999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685</v>
      </c>
      <c r="C176" t="s">
        <v>1084</v>
      </c>
      <c r="D176" t="s">
        <v>1483</v>
      </c>
      <c r="E176" t="s">
        <v>400</v>
      </c>
      <c r="F176">
        <v>1189933100</v>
      </c>
      <c r="G176">
        <v>2.5653769999999998</v>
      </c>
      <c r="H176" t="s">
        <v>410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430</v>
      </c>
      <c r="AT176">
        <v>0</v>
      </c>
      <c r="AU176">
        <v>0</v>
      </c>
      <c r="AV176" t="s">
        <v>448</v>
      </c>
      <c r="AW176">
        <v>0</v>
      </c>
      <c r="AX176">
        <v>0</v>
      </c>
      <c r="AY176">
        <v>0</v>
      </c>
      <c r="CC176">
        <v>2.3005</v>
      </c>
      <c r="CE176" t="s">
        <v>450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686</v>
      </c>
      <c r="C177" t="s">
        <v>1085</v>
      </c>
      <c r="D177" t="s">
        <v>1484</v>
      </c>
      <c r="E177" t="s">
        <v>400</v>
      </c>
      <c r="F177">
        <v>2051666300</v>
      </c>
      <c r="G177">
        <v>4.1841520000000001</v>
      </c>
      <c r="H177" t="s">
        <v>410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431</v>
      </c>
      <c r="AT177">
        <v>1</v>
      </c>
      <c r="AU177">
        <v>0</v>
      </c>
      <c r="AV177" t="s">
        <v>441</v>
      </c>
      <c r="AW177">
        <v>0</v>
      </c>
      <c r="AX177">
        <v>0</v>
      </c>
      <c r="AY177">
        <v>0</v>
      </c>
      <c r="CC177">
        <v>2.7480000000000002</v>
      </c>
      <c r="CE177" t="s">
        <v>450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687</v>
      </c>
      <c r="C178" t="s">
        <v>1086</v>
      </c>
      <c r="D178" t="s">
        <v>1485</v>
      </c>
      <c r="E178" t="s">
        <v>401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</v>
      </c>
      <c r="AC178">
        <v>0</v>
      </c>
      <c r="AD178">
        <v>0</v>
      </c>
      <c r="AF178">
        <v>0</v>
      </c>
      <c r="AG178" t="s">
        <v>423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430</v>
      </c>
      <c r="AT178">
        <v>0</v>
      </c>
      <c r="AU178">
        <v>0</v>
      </c>
      <c r="AV178" t="s">
        <v>442</v>
      </c>
      <c r="AW178">
        <v>0</v>
      </c>
      <c r="AX178">
        <v>0</v>
      </c>
      <c r="AY178">
        <v>0</v>
      </c>
      <c r="CC178">
        <v>2.601</v>
      </c>
      <c r="CE178" t="s">
        <v>450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689</v>
      </c>
      <c r="C179" t="s">
        <v>1088</v>
      </c>
      <c r="D179" t="s">
        <v>1487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437</v>
      </c>
      <c r="AW179">
        <v>0</v>
      </c>
      <c r="AX179">
        <v>0</v>
      </c>
      <c r="AY179">
        <v>0</v>
      </c>
      <c r="CC179">
        <v>2.2515000000000001</v>
      </c>
      <c r="CE179" t="s">
        <v>450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690</v>
      </c>
      <c r="C180" t="s">
        <v>1089</v>
      </c>
      <c r="D180" t="s">
        <v>1488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429</v>
      </c>
      <c r="AT180">
        <v>0</v>
      </c>
      <c r="AU180">
        <v>0</v>
      </c>
      <c r="AV180" t="s">
        <v>437</v>
      </c>
      <c r="AW180">
        <v>0</v>
      </c>
      <c r="AX180">
        <v>0</v>
      </c>
      <c r="AY180">
        <v>0</v>
      </c>
      <c r="CC180">
        <v>2.786</v>
      </c>
      <c r="CE180" t="s">
        <v>450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149</v>
      </c>
      <c r="C181" t="s">
        <v>249</v>
      </c>
      <c r="D181" t="s">
        <v>349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424</v>
      </c>
      <c r="AT181">
        <v>1</v>
      </c>
      <c r="AU181">
        <v>0</v>
      </c>
      <c r="AV181" t="s">
        <v>440</v>
      </c>
      <c r="AW181">
        <v>0</v>
      </c>
      <c r="AX181">
        <v>0</v>
      </c>
      <c r="AY181">
        <v>0</v>
      </c>
      <c r="CC181">
        <v>2.4015</v>
      </c>
      <c r="CE181" t="s">
        <v>450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692</v>
      </c>
      <c r="C182" t="s">
        <v>1091</v>
      </c>
      <c r="D182" t="s">
        <v>1490</v>
      </c>
      <c r="E182" t="s">
        <v>401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431</v>
      </c>
      <c r="AT182">
        <v>1</v>
      </c>
      <c r="AU182">
        <v>0</v>
      </c>
      <c r="AV182" t="s">
        <v>442</v>
      </c>
      <c r="AW182">
        <v>0</v>
      </c>
      <c r="AX182">
        <v>0</v>
      </c>
      <c r="AY182">
        <v>0</v>
      </c>
      <c r="CC182">
        <v>2.7955000000000001</v>
      </c>
      <c r="CE182" t="s">
        <v>450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178</v>
      </c>
      <c r="C183" t="s">
        <v>278</v>
      </c>
      <c r="D183" t="s">
        <v>378</v>
      </c>
      <c r="E183" t="s">
        <v>400</v>
      </c>
      <c r="F183">
        <v>441412540</v>
      </c>
      <c r="G183">
        <v>14.978809999999999</v>
      </c>
      <c r="H183" t="s">
        <v>410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2.84</v>
      </c>
      <c r="CE183" t="s">
        <v>450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693</v>
      </c>
      <c r="C184" t="s">
        <v>1092</v>
      </c>
      <c r="D184" t="s">
        <v>1491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421</v>
      </c>
      <c r="S184">
        <v>0</v>
      </c>
      <c r="T184">
        <v>0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439</v>
      </c>
      <c r="AW184">
        <v>0</v>
      </c>
      <c r="AX184">
        <v>0</v>
      </c>
      <c r="AY184">
        <v>0</v>
      </c>
      <c r="CC184">
        <v>2.4900000000000002</v>
      </c>
      <c r="CE184" t="s">
        <v>450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695</v>
      </c>
      <c r="C185" t="s">
        <v>1094</v>
      </c>
      <c r="D185" t="s">
        <v>1493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423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430</v>
      </c>
      <c r="AT185">
        <v>0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2.9095</v>
      </c>
      <c r="CE185" t="s">
        <v>450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696</v>
      </c>
      <c r="C186" t="s">
        <v>1095</v>
      </c>
      <c r="D186" t="s">
        <v>1494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Q186" t="s">
        <v>423</v>
      </c>
      <c r="R186" t="s">
        <v>421</v>
      </c>
      <c r="S186">
        <v>0</v>
      </c>
      <c r="T186">
        <v>0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434</v>
      </c>
      <c r="AW186">
        <v>0</v>
      </c>
      <c r="AX186">
        <v>0</v>
      </c>
      <c r="AY186">
        <v>0</v>
      </c>
      <c r="CC186">
        <v>2.5844999999999998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919</v>
      </c>
      <c r="B187" t="s">
        <v>699</v>
      </c>
      <c r="C187" t="s">
        <v>1098</v>
      </c>
      <c r="D187" t="s">
        <v>1497</v>
      </c>
      <c r="E187" t="s">
        <v>400</v>
      </c>
      <c r="F187">
        <v>8058562000</v>
      </c>
      <c r="G187">
        <v>5.4620050000000004</v>
      </c>
      <c r="H187" t="s">
        <v>410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430</v>
      </c>
      <c r="AT187">
        <v>0</v>
      </c>
      <c r="AU187">
        <v>0</v>
      </c>
      <c r="AV187" t="s">
        <v>441</v>
      </c>
      <c r="AW187">
        <v>0</v>
      </c>
      <c r="AX187">
        <v>0</v>
      </c>
      <c r="AY187">
        <v>0</v>
      </c>
      <c r="CC187">
        <v>2.5739999999999998</v>
      </c>
      <c r="CE187" t="s">
        <v>450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170</v>
      </c>
      <c r="C188" t="s">
        <v>270</v>
      </c>
      <c r="D188" t="s">
        <v>370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</v>
      </c>
      <c r="AC188">
        <v>0</v>
      </c>
      <c r="AD188">
        <v>0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446</v>
      </c>
      <c r="AW188">
        <v>0</v>
      </c>
      <c r="AX188">
        <v>0</v>
      </c>
      <c r="AY188">
        <v>0</v>
      </c>
      <c r="CC188">
        <v>2.573</v>
      </c>
      <c r="CE188" t="s">
        <v>450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162</v>
      </c>
      <c r="C189" t="s">
        <v>262</v>
      </c>
      <c r="D189" t="s">
        <v>362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431</v>
      </c>
      <c r="AT189">
        <v>1</v>
      </c>
      <c r="AU189">
        <v>0</v>
      </c>
      <c r="AV189" t="s">
        <v>441</v>
      </c>
      <c r="AW189">
        <v>0</v>
      </c>
      <c r="AX189">
        <v>0</v>
      </c>
      <c r="AY189">
        <v>0</v>
      </c>
      <c r="CC189">
        <v>2.2284999999999999</v>
      </c>
      <c r="CE189" t="s">
        <v>450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703</v>
      </c>
      <c r="C190" t="s">
        <v>1102</v>
      </c>
      <c r="D190" t="s">
        <v>1501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434</v>
      </c>
      <c r="AW190">
        <v>0</v>
      </c>
      <c r="AX190">
        <v>0</v>
      </c>
      <c r="AY190">
        <v>0</v>
      </c>
      <c r="CC190">
        <v>2.286</v>
      </c>
      <c r="CE190" t="s">
        <v>450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705</v>
      </c>
      <c r="C191" t="s">
        <v>1104</v>
      </c>
      <c r="D191" t="s">
        <v>1503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420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430</v>
      </c>
      <c r="AT191">
        <v>0</v>
      </c>
      <c r="AU191">
        <v>0</v>
      </c>
      <c r="AV191" t="s">
        <v>445</v>
      </c>
      <c r="AW191">
        <v>0</v>
      </c>
      <c r="AX191">
        <v>0</v>
      </c>
      <c r="AY191">
        <v>0</v>
      </c>
      <c r="CC191">
        <v>2.5840000000000001</v>
      </c>
      <c r="CE191" t="s">
        <v>450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706</v>
      </c>
      <c r="C192" t="s">
        <v>1105</v>
      </c>
      <c r="D192" t="s">
        <v>1504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438</v>
      </c>
      <c r="AW192">
        <v>0</v>
      </c>
      <c r="AX192">
        <v>0</v>
      </c>
      <c r="AY192">
        <v>0</v>
      </c>
      <c r="CC192">
        <v>3.15</v>
      </c>
      <c r="CE192" t="s">
        <v>450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707</v>
      </c>
      <c r="C193" t="s">
        <v>1106</v>
      </c>
      <c r="D193" t="s">
        <v>1505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430</v>
      </c>
      <c r="AT193">
        <v>0</v>
      </c>
      <c r="AU193">
        <v>0</v>
      </c>
      <c r="AV193" t="s">
        <v>438</v>
      </c>
      <c r="AW193">
        <v>0</v>
      </c>
      <c r="AX193">
        <v>0</v>
      </c>
      <c r="AY193">
        <v>0</v>
      </c>
      <c r="CC193">
        <v>2.5369999999999999</v>
      </c>
      <c r="CE193" t="s">
        <v>450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708</v>
      </c>
      <c r="C194" t="s">
        <v>1107</v>
      </c>
      <c r="D194" t="s">
        <v>1506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Q194" t="s">
        <v>420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430</v>
      </c>
      <c r="AT194">
        <v>0</v>
      </c>
      <c r="AU194">
        <v>0</v>
      </c>
      <c r="AV194" t="s">
        <v>434</v>
      </c>
      <c r="AW194">
        <v>0</v>
      </c>
      <c r="AX194">
        <v>0</v>
      </c>
      <c r="AY194">
        <v>0</v>
      </c>
      <c r="CC194">
        <v>2.2254999999999998</v>
      </c>
      <c r="CE194" t="s">
        <v>450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 x14ac:dyDescent="0.25">
      <c r="A195">
        <v>974</v>
      </c>
      <c r="B195" t="s">
        <v>117</v>
      </c>
      <c r="C195" t="s">
        <v>217</v>
      </c>
      <c r="D195" t="s">
        <v>317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421</v>
      </c>
      <c r="S195">
        <v>0</v>
      </c>
      <c r="T195">
        <v>0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</v>
      </c>
      <c r="AD195">
        <v>0</v>
      </c>
      <c r="AF195">
        <v>0</v>
      </c>
      <c r="AG195" t="s">
        <v>423</v>
      </c>
      <c r="AI195" t="s">
        <v>423</v>
      </c>
      <c r="AJ195" t="s">
        <v>423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CC195">
        <v>2.9754999999999998</v>
      </c>
      <c r="CE195" t="s">
        <v>450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709</v>
      </c>
      <c r="C196" t="s">
        <v>1108</v>
      </c>
      <c r="D196" t="s">
        <v>1507</v>
      </c>
      <c r="E196" t="s">
        <v>402</v>
      </c>
      <c r="F196">
        <v>3390128000</v>
      </c>
      <c r="G196">
        <v>84.447940000000003</v>
      </c>
      <c r="H196" t="s">
        <v>411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443</v>
      </c>
      <c r="AW196">
        <v>0</v>
      </c>
      <c r="AX196">
        <v>0</v>
      </c>
      <c r="AY196">
        <v>0</v>
      </c>
      <c r="CC196">
        <v>2.5165000000000002</v>
      </c>
      <c r="CE196" t="s">
        <v>450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115</v>
      </c>
      <c r="C197" t="s">
        <v>215</v>
      </c>
      <c r="D197" t="s">
        <v>315</v>
      </c>
      <c r="E197" t="s">
        <v>402</v>
      </c>
      <c r="F197">
        <v>414555050</v>
      </c>
      <c r="G197">
        <v>53.644550000000002</v>
      </c>
      <c r="H197" t="s">
        <v>411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443</v>
      </c>
      <c r="AW197">
        <v>0</v>
      </c>
      <c r="AX197">
        <v>0</v>
      </c>
      <c r="AY197">
        <v>0</v>
      </c>
      <c r="CC197">
        <v>2.7254999999999998</v>
      </c>
      <c r="CE197" t="s">
        <v>450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425</v>
      </c>
      <c r="AT198">
        <v>0</v>
      </c>
      <c r="AU198">
        <v>0</v>
      </c>
      <c r="AV198" t="s">
        <v>433</v>
      </c>
      <c r="AW198">
        <v>0</v>
      </c>
      <c r="AX198">
        <v>0</v>
      </c>
      <c r="AY198">
        <v>0</v>
      </c>
      <c r="CC198">
        <v>2.7315</v>
      </c>
      <c r="CE198" t="s">
        <v>450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124</v>
      </c>
      <c r="C199" t="s">
        <v>224</v>
      </c>
      <c r="D199" t="s">
        <v>324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438</v>
      </c>
      <c r="AW199">
        <v>0</v>
      </c>
      <c r="AX199">
        <v>0</v>
      </c>
      <c r="AY199">
        <v>0</v>
      </c>
      <c r="CC199">
        <v>2.6475</v>
      </c>
      <c r="CE199" t="s">
        <v>450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171</v>
      </c>
      <c r="C200" t="s">
        <v>271</v>
      </c>
      <c r="D200" t="s">
        <v>371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439</v>
      </c>
      <c r="AW200">
        <v>0</v>
      </c>
      <c r="AX200">
        <v>0</v>
      </c>
      <c r="AY200">
        <v>0</v>
      </c>
      <c r="CC200">
        <v>2.8050000000000002</v>
      </c>
      <c r="CE200" t="s">
        <v>450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712</v>
      </c>
      <c r="C201" t="s">
        <v>1111</v>
      </c>
      <c r="D201" t="s">
        <v>1510</v>
      </c>
      <c r="E201" t="s">
        <v>402</v>
      </c>
      <c r="F201">
        <v>82000000</v>
      </c>
      <c r="G201">
        <v>171.24170000000001</v>
      </c>
      <c r="H201" t="s">
        <v>411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431</v>
      </c>
      <c r="AT201">
        <v>1</v>
      </c>
      <c r="AU201">
        <v>0</v>
      </c>
      <c r="AV201" t="s">
        <v>443</v>
      </c>
      <c r="AW201">
        <v>0</v>
      </c>
      <c r="AX201">
        <v>0</v>
      </c>
      <c r="AY201">
        <v>0</v>
      </c>
      <c r="CC201">
        <v>2.589</v>
      </c>
      <c r="CE201" t="s">
        <v>450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714</v>
      </c>
      <c r="C202" t="s">
        <v>1113</v>
      </c>
      <c r="D202" t="s">
        <v>1512</v>
      </c>
      <c r="E202" t="s">
        <v>400</v>
      </c>
      <c r="F202">
        <v>666554440</v>
      </c>
      <c r="G202">
        <v>16.417449999999999</v>
      </c>
      <c r="H202" t="s">
        <v>410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425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3.0135000000000001</v>
      </c>
      <c r="CE202" t="s">
        <v>450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715</v>
      </c>
      <c r="C203" t="s">
        <v>1114</v>
      </c>
      <c r="D203" t="s">
        <v>1513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433</v>
      </c>
      <c r="AW203">
        <v>0</v>
      </c>
      <c r="AX203">
        <v>0</v>
      </c>
      <c r="AY203">
        <v>0</v>
      </c>
      <c r="CC203">
        <v>2.4889999999999999</v>
      </c>
      <c r="CE203" t="s">
        <v>450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155</v>
      </c>
      <c r="C204" t="s">
        <v>255</v>
      </c>
      <c r="D204" t="s">
        <v>355</v>
      </c>
      <c r="E204" t="s">
        <v>400</v>
      </c>
      <c r="F204">
        <v>319915900</v>
      </c>
      <c r="G204">
        <v>14.61008</v>
      </c>
      <c r="H204" t="s">
        <v>410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423</v>
      </c>
      <c r="AT204">
        <v>1</v>
      </c>
      <c r="AU204">
        <v>0</v>
      </c>
      <c r="AV204" t="s">
        <v>441</v>
      </c>
      <c r="AW204">
        <v>0</v>
      </c>
      <c r="AX204">
        <v>0</v>
      </c>
      <c r="AY204">
        <v>0</v>
      </c>
      <c r="CC204">
        <v>2.5165000000000002</v>
      </c>
      <c r="CE204" t="s">
        <v>450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716</v>
      </c>
      <c r="C205" t="s">
        <v>1115</v>
      </c>
      <c r="D205" t="s">
        <v>1514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422</v>
      </c>
      <c r="S205">
        <v>0</v>
      </c>
      <c r="T205">
        <v>0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445</v>
      </c>
      <c r="AW205">
        <v>0</v>
      </c>
      <c r="AX205">
        <v>0</v>
      </c>
      <c r="AY205">
        <v>0</v>
      </c>
      <c r="CC205">
        <v>2.9184999999999999</v>
      </c>
      <c r="CE205" t="s">
        <v>450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717</v>
      </c>
      <c r="C206" t="s">
        <v>1116</v>
      </c>
      <c r="D206" t="s">
        <v>1515</v>
      </c>
      <c r="E206" t="s">
        <v>400</v>
      </c>
      <c r="F206">
        <v>1003123170</v>
      </c>
      <c r="G206">
        <v>6.1172519999999997</v>
      </c>
      <c r="H206" t="s">
        <v>410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430</v>
      </c>
      <c r="AT206">
        <v>0</v>
      </c>
      <c r="AU206">
        <v>0</v>
      </c>
      <c r="AV206" t="s">
        <v>441</v>
      </c>
      <c r="AW206">
        <v>0</v>
      </c>
      <c r="AX206">
        <v>0</v>
      </c>
      <c r="AY206">
        <v>0</v>
      </c>
      <c r="CC206">
        <v>2.7385000000000002</v>
      </c>
      <c r="CE206" t="s">
        <v>450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718</v>
      </c>
      <c r="C207" t="s">
        <v>1117</v>
      </c>
      <c r="D207" t="s">
        <v>1516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422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2.3530000000000002</v>
      </c>
      <c r="CE207" t="s">
        <v>450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720</v>
      </c>
      <c r="C208" t="s">
        <v>1119</v>
      </c>
      <c r="D208" t="s">
        <v>1518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421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>
        <v>0</v>
      </c>
      <c r="AC208">
        <v>0</v>
      </c>
      <c r="AD208">
        <v>0</v>
      </c>
      <c r="AF208">
        <v>0</v>
      </c>
      <c r="AG208" t="s">
        <v>423</v>
      </c>
      <c r="AI208" t="s">
        <v>423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426</v>
      </c>
      <c r="AT208">
        <v>1</v>
      </c>
      <c r="AU208">
        <v>0</v>
      </c>
      <c r="AV208" t="s">
        <v>442</v>
      </c>
      <c r="AW208">
        <v>0</v>
      </c>
      <c r="AX208">
        <v>0</v>
      </c>
      <c r="AY208">
        <v>0</v>
      </c>
      <c r="CC208">
        <v>2.6524999999999999</v>
      </c>
      <c r="CE208" t="s">
        <v>450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721</v>
      </c>
      <c r="C209" t="s">
        <v>1120</v>
      </c>
      <c r="D209" t="s">
        <v>1519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425</v>
      </c>
      <c r="AT209">
        <v>0</v>
      </c>
      <c r="AU209">
        <v>0</v>
      </c>
      <c r="AV209" t="s">
        <v>445</v>
      </c>
      <c r="AW209">
        <v>0</v>
      </c>
      <c r="AX209">
        <v>0</v>
      </c>
      <c r="AY209">
        <v>0</v>
      </c>
      <c r="CC209">
        <v>2.3879999999999999</v>
      </c>
      <c r="CE209" t="s">
        <v>450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722</v>
      </c>
      <c r="C210" t="s">
        <v>1121</v>
      </c>
      <c r="D210" t="s">
        <v>1520</v>
      </c>
      <c r="E210" t="s">
        <v>400</v>
      </c>
      <c r="F210">
        <v>2635357200</v>
      </c>
      <c r="G210">
        <v>8.6487789999999993</v>
      </c>
      <c r="H210" t="s">
        <v>410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0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430</v>
      </c>
      <c r="AT210">
        <v>0</v>
      </c>
      <c r="AU210">
        <v>0</v>
      </c>
      <c r="AV210" t="s">
        <v>441</v>
      </c>
      <c r="AW210">
        <v>0</v>
      </c>
      <c r="AX210">
        <v>0</v>
      </c>
      <c r="AY210">
        <v>0</v>
      </c>
      <c r="CC210">
        <v>2.6019999999999999</v>
      </c>
      <c r="CE210" t="s">
        <v>450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429</v>
      </c>
      <c r="AT211">
        <v>0</v>
      </c>
      <c r="AU211">
        <v>0</v>
      </c>
      <c r="AV211" t="s">
        <v>433</v>
      </c>
      <c r="AW211">
        <v>0</v>
      </c>
      <c r="AX211">
        <v>0</v>
      </c>
      <c r="AY211">
        <v>0</v>
      </c>
      <c r="CC211">
        <v>2.9195000000000002</v>
      </c>
      <c r="CE211" t="s">
        <v>450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437</v>
      </c>
      <c r="AW212">
        <v>0</v>
      </c>
      <c r="AX212">
        <v>0</v>
      </c>
      <c r="AY212">
        <v>0</v>
      </c>
      <c r="CC212">
        <v>2.673</v>
      </c>
      <c r="CE212" t="s">
        <v>450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445</v>
      </c>
      <c r="AW213">
        <v>0</v>
      </c>
      <c r="AX213">
        <v>0</v>
      </c>
      <c r="AY213">
        <v>0</v>
      </c>
      <c r="CC213">
        <v>2.9390000000000001</v>
      </c>
      <c r="CE213" t="s">
        <v>450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430</v>
      </c>
      <c r="AT214">
        <v>0</v>
      </c>
      <c r="AU214">
        <v>0</v>
      </c>
      <c r="AV214" t="s">
        <v>444</v>
      </c>
      <c r="AW214">
        <v>0</v>
      </c>
      <c r="AX214">
        <v>0</v>
      </c>
      <c r="AY214">
        <v>0</v>
      </c>
      <c r="CC214">
        <v>2.7985000000000002</v>
      </c>
      <c r="CE214" t="s">
        <v>450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429</v>
      </c>
      <c r="AT215">
        <v>0</v>
      </c>
      <c r="AU215">
        <v>0</v>
      </c>
      <c r="AV215" t="s">
        <v>445</v>
      </c>
      <c r="AW215">
        <v>0</v>
      </c>
      <c r="AX215">
        <v>0</v>
      </c>
      <c r="AY215">
        <v>0</v>
      </c>
      <c r="CC215">
        <v>2.7349999999999999</v>
      </c>
      <c r="CE215" t="s">
        <v>450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441</v>
      </c>
      <c r="AW216">
        <v>0</v>
      </c>
      <c r="AX216">
        <v>0</v>
      </c>
      <c r="AY216">
        <v>0</v>
      </c>
      <c r="CC216">
        <v>2.8740000000000001</v>
      </c>
      <c r="CE216" t="s">
        <v>450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442</v>
      </c>
      <c r="AW217">
        <v>0</v>
      </c>
      <c r="AX217">
        <v>0</v>
      </c>
      <c r="AY217">
        <v>0</v>
      </c>
      <c r="CC217">
        <v>2.7679999999999998</v>
      </c>
      <c r="CE217" t="s">
        <v>450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159</v>
      </c>
      <c r="C218" t="s">
        <v>259</v>
      </c>
      <c r="D218" t="s">
        <v>359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40301030</v>
      </c>
      <c r="N218">
        <v>4030</v>
      </c>
      <c r="O218">
        <v>1.9831746989669301</v>
      </c>
      <c r="P218">
        <v>1.5</v>
      </c>
      <c r="Q218" t="s">
        <v>416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>
        <v>0</v>
      </c>
      <c r="AC218">
        <v>0</v>
      </c>
      <c r="AD218">
        <v>0</v>
      </c>
      <c r="AF218">
        <v>0</v>
      </c>
      <c r="AG218" t="s">
        <v>423</v>
      </c>
      <c r="AI218" t="s">
        <v>423</v>
      </c>
      <c r="AJ218" t="s">
        <v>423</v>
      </c>
      <c r="AK218" t="s">
        <v>423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429</v>
      </c>
      <c r="AT218">
        <v>0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2.8845000000000001</v>
      </c>
      <c r="CE218" t="s">
        <v>450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4.8551149999999996</v>
      </c>
      <c r="H219" t="s">
        <v>410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441</v>
      </c>
      <c r="AW219">
        <v>0</v>
      </c>
      <c r="AX219">
        <v>0</v>
      </c>
      <c r="AY219">
        <v>0</v>
      </c>
      <c r="CC219">
        <v>2.72</v>
      </c>
      <c r="CE219" t="s">
        <v>450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183</v>
      </c>
      <c r="C220" t="s">
        <v>283</v>
      </c>
      <c r="D220" t="s">
        <v>383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</v>
      </c>
      <c r="AD220">
        <v>0</v>
      </c>
      <c r="AF220">
        <v>0</v>
      </c>
      <c r="AG220" t="s">
        <v>423</v>
      </c>
      <c r="AI220" t="s">
        <v>423</v>
      </c>
      <c r="AJ220" t="s">
        <v>423</v>
      </c>
      <c r="AK220" t="s">
        <v>423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431</v>
      </c>
      <c r="AT220">
        <v>1</v>
      </c>
      <c r="AU220">
        <v>0</v>
      </c>
      <c r="AV220" t="s">
        <v>433</v>
      </c>
      <c r="AW220">
        <v>0</v>
      </c>
      <c r="AX220">
        <v>0</v>
      </c>
      <c r="AY220">
        <v>0</v>
      </c>
      <c r="CC220">
        <v>2.6669999999999998</v>
      </c>
      <c r="CE220" t="s">
        <v>450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7.8943979999999998</v>
      </c>
      <c r="H221" t="s">
        <v>410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423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425</v>
      </c>
      <c r="AT221">
        <v>0</v>
      </c>
      <c r="AU221">
        <v>0</v>
      </c>
      <c r="AV221" t="s">
        <v>441</v>
      </c>
      <c r="AW221">
        <v>0</v>
      </c>
      <c r="AX221">
        <v>0</v>
      </c>
      <c r="AY221">
        <v>0</v>
      </c>
      <c r="CC221">
        <v>2.4870000000000001</v>
      </c>
      <c r="CE221" t="s">
        <v>450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430</v>
      </c>
      <c r="AT222">
        <v>0</v>
      </c>
      <c r="AU222">
        <v>0</v>
      </c>
      <c r="AV222" t="s">
        <v>443</v>
      </c>
      <c r="AW222">
        <v>0</v>
      </c>
      <c r="AX222">
        <v>0</v>
      </c>
      <c r="AY222">
        <v>0</v>
      </c>
      <c r="CC222">
        <v>2.5219999999999998</v>
      </c>
      <c r="CE222" t="s">
        <v>450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423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446</v>
      </c>
      <c r="AW223">
        <v>0</v>
      </c>
      <c r="AX223">
        <v>0</v>
      </c>
      <c r="AY223">
        <v>0</v>
      </c>
      <c r="CC223">
        <v>2.5230000000000001</v>
      </c>
      <c r="CE223" t="s">
        <v>450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742</v>
      </c>
      <c r="C224" t="s">
        <v>1141</v>
      </c>
      <c r="D224" t="s">
        <v>1540</v>
      </c>
      <c r="E224" t="s">
        <v>402</v>
      </c>
      <c r="F224">
        <v>117541060</v>
      </c>
      <c r="G224">
        <v>37.532420000000002</v>
      </c>
      <c r="H224" t="s">
        <v>411</v>
      </c>
      <c r="I224">
        <v>4411600431.1652002</v>
      </c>
      <c r="J224" t="s">
        <v>414</v>
      </c>
      <c r="K224">
        <v>13834313.1880618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E224" t="s">
        <v>450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 x14ac:dyDescent="0.25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421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</v>
      </c>
      <c r="AC225">
        <v>0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443</v>
      </c>
      <c r="AW225">
        <v>0</v>
      </c>
      <c r="AX225">
        <v>0</v>
      </c>
      <c r="AY225">
        <v>0</v>
      </c>
      <c r="CC225">
        <v>2.4295</v>
      </c>
      <c r="CE225" t="s">
        <v>450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165</v>
      </c>
      <c r="C226" t="s">
        <v>265</v>
      </c>
      <c r="D226" t="s">
        <v>365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422</v>
      </c>
      <c r="S226">
        <v>0</v>
      </c>
      <c r="T226">
        <v>0.01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426</v>
      </c>
      <c r="AT226">
        <v>1</v>
      </c>
      <c r="AU226">
        <v>0</v>
      </c>
      <c r="AV226" t="s">
        <v>436</v>
      </c>
      <c r="AW226">
        <v>0</v>
      </c>
      <c r="AX226">
        <v>0</v>
      </c>
      <c r="AY226">
        <v>0</v>
      </c>
      <c r="CC226">
        <v>2.4125000000000001</v>
      </c>
      <c r="CE226" t="s">
        <v>450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15.692080000000001</v>
      </c>
      <c r="H227" t="s">
        <v>410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425</v>
      </c>
      <c r="AT227">
        <v>0</v>
      </c>
      <c r="AU227">
        <v>0</v>
      </c>
      <c r="AV227" t="s">
        <v>441</v>
      </c>
      <c r="AW227">
        <v>0</v>
      </c>
      <c r="AX227">
        <v>0</v>
      </c>
      <c r="AY227">
        <v>0</v>
      </c>
      <c r="CC227">
        <v>2.8580000000000001</v>
      </c>
      <c r="CE227" t="s">
        <v>450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752</v>
      </c>
      <c r="C228" t="s">
        <v>1151</v>
      </c>
      <c r="D228" t="s">
        <v>1550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2.5505</v>
      </c>
      <c r="CE228" t="s">
        <v>450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753</v>
      </c>
      <c r="C229" t="s">
        <v>1152</v>
      </c>
      <c r="D229" t="s">
        <v>1551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430</v>
      </c>
      <c r="AT229">
        <v>0</v>
      </c>
      <c r="AU229">
        <v>0</v>
      </c>
      <c r="AV229" t="s">
        <v>438</v>
      </c>
      <c r="AW229">
        <v>0</v>
      </c>
      <c r="AX229">
        <v>0</v>
      </c>
      <c r="AY229">
        <v>0</v>
      </c>
      <c r="CC229">
        <v>2.875</v>
      </c>
      <c r="CE229" t="s">
        <v>450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754</v>
      </c>
      <c r="C230" t="s">
        <v>1153</v>
      </c>
      <c r="D230" t="s">
        <v>1552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1649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446</v>
      </c>
      <c r="AW230">
        <v>0</v>
      </c>
      <c r="AX230">
        <v>0</v>
      </c>
      <c r="AY230">
        <v>0</v>
      </c>
      <c r="CC230">
        <v>2.7965</v>
      </c>
      <c r="CE230" t="s">
        <v>450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119</v>
      </c>
      <c r="C231" t="s">
        <v>219</v>
      </c>
      <c r="D231" t="s">
        <v>319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421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</v>
      </c>
      <c r="AD231">
        <v>0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433</v>
      </c>
      <c r="AW231">
        <v>0</v>
      </c>
      <c r="AX231">
        <v>0</v>
      </c>
      <c r="AY231">
        <v>0</v>
      </c>
      <c r="CC231">
        <v>2.8769999999999998</v>
      </c>
      <c r="CE231" t="s">
        <v>450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108</v>
      </c>
      <c r="C232" t="s">
        <v>208</v>
      </c>
      <c r="D232" t="s">
        <v>308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425</v>
      </c>
      <c r="AT232">
        <v>0</v>
      </c>
      <c r="AU232">
        <v>0</v>
      </c>
      <c r="AV232" t="s">
        <v>437</v>
      </c>
      <c r="AW232">
        <v>0</v>
      </c>
      <c r="AX232">
        <v>0</v>
      </c>
      <c r="AY232">
        <v>0</v>
      </c>
      <c r="CC232">
        <v>3.0409999999999999</v>
      </c>
      <c r="CE232" t="s">
        <v>450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423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437</v>
      </c>
      <c r="AW233">
        <v>0</v>
      </c>
      <c r="AX233">
        <v>0</v>
      </c>
      <c r="AY233">
        <v>0</v>
      </c>
      <c r="CC233">
        <v>2.68</v>
      </c>
      <c r="CE233" t="s">
        <v>450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423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</v>
      </c>
      <c r="AD234">
        <v>0</v>
      </c>
      <c r="AF234">
        <v>0</v>
      </c>
      <c r="AG234" t="s">
        <v>423</v>
      </c>
      <c r="AI234" t="s">
        <v>423</v>
      </c>
      <c r="AJ234" t="s">
        <v>423</v>
      </c>
      <c r="AK234" t="s">
        <v>423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433</v>
      </c>
      <c r="AW234">
        <v>0</v>
      </c>
      <c r="AX234">
        <v>0</v>
      </c>
      <c r="AY234">
        <v>0</v>
      </c>
      <c r="CC234">
        <v>2.6815000000000002</v>
      </c>
      <c r="CE234" t="s">
        <v>450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421</v>
      </c>
      <c r="S235">
        <v>0</v>
      </c>
      <c r="T235">
        <v>0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446</v>
      </c>
      <c r="AW235">
        <v>0</v>
      </c>
      <c r="AX235">
        <v>0</v>
      </c>
      <c r="AY235">
        <v>0</v>
      </c>
      <c r="CC235">
        <v>2.4315000000000002</v>
      </c>
      <c r="CE235" t="s">
        <v>450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430</v>
      </c>
      <c r="AT236">
        <v>0</v>
      </c>
      <c r="AU236">
        <v>0</v>
      </c>
      <c r="AV236" t="s">
        <v>433</v>
      </c>
      <c r="AW236">
        <v>0</v>
      </c>
      <c r="AX236">
        <v>0</v>
      </c>
      <c r="AY236">
        <v>0</v>
      </c>
      <c r="CC236">
        <v>2.73</v>
      </c>
      <c r="CE236" t="s">
        <v>450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423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425</v>
      </c>
      <c r="AT237">
        <v>0</v>
      </c>
      <c r="AU237">
        <v>0</v>
      </c>
      <c r="AV237" t="s">
        <v>437</v>
      </c>
      <c r="AW237">
        <v>0</v>
      </c>
      <c r="AX237">
        <v>0</v>
      </c>
      <c r="AY237">
        <v>0</v>
      </c>
      <c r="CC237">
        <v>2.6040000000000001</v>
      </c>
      <c r="CE237" t="s">
        <v>450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Q238" t="s">
        <v>423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2.2475000000000001</v>
      </c>
      <c r="CE238" t="s">
        <v>450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422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428</v>
      </c>
      <c r="AT239">
        <v>0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2.3439999999999999</v>
      </c>
      <c r="CE239" t="s">
        <v>450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8.5883319999999994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424</v>
      </c>
      <c r="AT240">
        <v>1</v>
      </c>
      <c r="AU240">
        <v>0</v>
      </c>
      <c r="AV240" t="s">
        <v>441</v>
      </c>
      <c r="AW240">
        <v>0</v>
      </c>
      <c r="AX240">
        <v>0</v>
      </c>
      <c r="AY240">
        <v>0</v>
      </c>
      <c r="CC240">
        <v>2.6995</v>
      </c>
      <c r="CE240" t="s">
        <v>450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446</v>
      </c>
      <c r="AW241">
        <v>0</v>
      </c>
      <c r="AX241">
        <v>0</v>
      </c>
      <c r="AY241">
        <v>0</v>
      </c>
      <c r="CC241">
        <v>2.1720000000000002</v>
      </c>
      <c r="CE241" t="s">
        <v>450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446</v>
      </c>
      <c r="AW242">
        <v>0</v>
      </c>
      <c r="AX242">
        <v>0</v>
      </c>
      <c r="AY242">
        <v>0</v>
      </c>
      <c r="CC242">
        <v>2.806</v>
      </c>
      <c r="CE242" t="s">
        <v>450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437</v>
      </c>
      <c r="AW243">
        <v>0</v>
      </c>
      <c r="AX243">
        <v>0</v>
      </c>
      <c r="AY243">
        <v>0</v>
      </c>
      <c r="CC243">
        <v>2.9</v>
      </c>
      <c r="CE243" t="s">
        <v>450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421</v>
      </c>
      <c r="S244">
        <v>0</v>
      </c>
      <c r="T244">
        <v>0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446</v>
      </c>
      <c r="AW244">
        <v>0</v>
      </c>
      <c r="AX244">
        <v>0</v>
      </c>
      <c r="AY244">
        <v>0</v>
      </c>
      <c r="CC244">
        <v>2.7654999999999998</v>
      </c>
      <c r="CE244" t="s">
        <v>450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177</v>
      </c>
      <c r="C245" t="s">
        <v>277</v>
      </c>
      <c r="D245" t="s">
        <v>377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446</v>
      </c>
      <c r="AW245">
        <v>0</v>
      </c>
      <c r="AX245">
        <v>0</v>
      </c>
      <c r="AY245">
        <v>0</v>
      </c>
      <c r="CC245">
        <v>2.8140000000000001</v>
      </c>
      <c r="CE245" t="s">
        <v>450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775</v>
      </c>
      <c r="C246" t="s">
        <v>1174</v>
      </c>
      <c r="D246" t="s">
        <v>1573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430</v>
      </c>
      <c r="AT246">
        <v>0</v>
      </c>
      <c r="AU246">
        <v>0</v>
      </c>
      <c r="AV246" t="s">
        <v>434</v>
      </c>
      <c r="AW246">
        <v>0</v>
      </c>
      <c r="AX246">
        <v>0</v>
      </c>
      <c r="AY246">
        <v>0</v>
      </c>
      <c r="CC246">
        <v>2.3895</v>
      </c>
      <c r="CE246" t="s">
        <v>450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778</v>
      </c>
      <c r="C247" t="s">
        <v>1177</v>
      </c>
      <c r="D247" t="s">
        <v>1576</v>
      </c>
      <c r="E247" t="s">
        <v>400</v>
      </c>
      <c r="F247">
        <v>874396060</v>
      </c>
      <c r="G247">
        <v>12.494429999999999</v>
      </c>
      <c r="H247" t="s">
        <v>410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</v>
      </c>
      <c r="AC247">
        <v>0</v>
      </c>
      <c r="AD247">
        <v>0</v>
      </c>
      <c r="AF247">
        <v>0</v>
      </c>
      <c r="AG247" t="s">
        <v>423</v>
      </c>
      <c r="AI247" t="s">
        <v>423</v>
      </c>
      <c r="AJ247" t="s">
        <v>423</v>
      </c>
      <c r="AK247" t="s">
        <v>423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441</v>
      </c>
      <c r="AW247">
        <v>0</v>
      </c>
      <c r="AX247">
        <v>0</v>
      </c>
      <c r="AY247">
        <v>0</v>
      </c>
      <c r="CC247">
        <v>3.242</v>
      </c>
      <c r="CE247" t="s">
        <v>450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132</v>
      </c>
      <c r="C248" t="s">
        <v>232</v>
      </c>
      <c r="D248" t="s">
        <v>332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430</v>
      </c>
      <c r="AT248">
        <v>0</v>
      </c>
      <c r="AU248">
        <v>0</v>
      </c>
      <c r="AV248" t="s">
        <v>433</v>
      </c>
      <c r="AW248">
        <v>0</v>
      </c>
      <c r="AX248">
        <v>0</v>
      </c>
      <c r="AY248">
        <v>0</v>
      </c>
      <c r="CC248">
        <v>2.8195000000000001</v>
      </c>
      <c r="CE248" t="s">
        <v>450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782</v>
      </c>
      <c r="C249" t="s">
        <v>1181</v>
      </c>
      <c r="D249" t="s">
        <v>1580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423</v>
      </c>
      <c r="R249" t="s">
        <v>421</v>
      </c>
      <c r="S249">
        <v>0</v>
      </c>
      <c r="T249">
        <v>0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430</v>
      </c>
      <c r="AT249">
        <v>0</v>
      </c>
      <c r="AU249">
        <v>0</v>
      </c>
      <c r="AV249" t="s">
        <v>447</v>
      </c>
      <c r="AW249">
        <v>0</v>
      </c>
      <c r="AX249">
        <v>0</v>
      </c>
      <c r="AY249">
        <v>0</v>
      </c>
      <c r="CC249">
        <v>2.194</v>
      </c>
      <c r="CE249" t="s">
        <v>450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123</v>
      </c>
      <c r="C250" t="s">
        <v>223</v>
      </c>
      <c r="D250" t="s">
        <v>323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446</v>
      </c>
      <c r="AW250">
        <v>0</v>
      </c>
      <c r="AX250">
        <v>0</v>
      </c>
      <c r="AY250">
        <v>0</v>
      </c>
      <c r="CC250">
        <v>3.0710000000000002</v>
      </c>
      <c r="CE250" t="s">
        <v>450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783</v>
      </c>
      <c r="C251" t="s">
        <v>1182</v>
      </c>
      <c r="D251" t="s">
        <v>1581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423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430</v>
      </c>
      <c r="AT251">
        <v>0</v>
      </c>
      <c r="AU251">
        <v>0</v>
      </c>
      <c r="AV251" t="s">
        <v>439</v>
      </c>
      <c r="AW251">
        <v>0</v>
      </c>
      <c r="AX251">
        <v>0</v>
      </c>
      <c r="AY251">
        <v>0</v>
      </c>
      <c r="CC251">
        <v>2.6505000000000001</v>
      </c>
      <c r="CE251" t="s">
        <v>450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784</v>
      </c>
      <c r="C252" t="s">
        <v>1183</v>
      </c>
      <c r="D252" t="s">
        <v>1582</v>
      </c>
      <c r="E252" t="s">
        <v>400</v>
      </c>
      <c r="F252">
        <v>98905780</v>
      </c>
      <c r="G252">
        <v>35.397849999999998</v>
      </c>
      <c r="H252" t="s">
        <v>410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2.4355000000000002</v>
      </c>
      <c r="CE252" t="s">
        <v>450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789</v>
      </c>
      <c r="C253" t="s">
        <v>1188</v>
      </c>
      <c r="D253" t="s">
        <v>1587</v>
      </c>
      <c r="E253" t="s">
        <v>400</v>
      </c>
      <c r="F253">
        <v>544014700</v>
      </c>
      <c r="G253">
        <v>13.419269999999999</v>
      </c>
      <c r="H253" t="s">
        <v>410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430</v>
      </c>
      <c r="AT253">
        <v>0</v>
      </c>
      <c r="AU253">
        <v>0</v>
      </c>
      <c r="AV253" t="s">
        <v>441</v>
      </c>
      <c r="AW253">
        <v>0</v>
      </c>
      <c r="AX253">
        <v>0</v>
      </c>
      <c r="AY253">
        <v>0</v>
      </c>
      <c r="CC253">
        <v>2.3140000000000001</v>
      </c>
      <c r="CE253" t="s">
        <v>450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790</v>
      </c>
      <c r="C254" t="s">
        <v>1189</v>
      </c>
      <c r="D254" t="s">
        <v>1588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430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2.6015000000000001</v>
      </c>
      <c r="CE254" t="s">
        <v>450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423</v>
      </c>
      <c r="R255" t="s">
        <v>422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423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445</v>
      </c>
      <c r="AW255">
        <v>0</v>
      </c>
      <c r="AX255">
        <v>0</v>
      </c>
      <c r="AY255">
        <v>0</v>
      </c>
      <c r="CC255">
        <v>2.4239999999999999</v>
      </c>
      <c r="CE255" t="s">
        <v>450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445</v>
      </c>
      <c r="AW256">
        <v>0</v>
      </c>
      <c r="AX256">
        <v>0</v>
      </c>
      <c r="AY256">
        <v>0</v>
      </c>
      <c r="CC256">
        <v>2.8845000000000001</v>
      </c>
      <c r="CE256" t="s">
        <v>450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422</v>
      </c>
      <c r="S257">
        <v>0</v>
      </c>
      <c r="T257">
        <v>0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438</v>
      </c>
      <c r="AW257">
        <v>0</v>
      </c>
      <c r="AX257">
        <v>0</v>
      </c>
      <c r="AY257">
        <v>0</v>
      </c>
      <c r="CC257">
        <v>2.8610000000000002</v>
      </c>
      <c r="CE257" t="s">
        <v>450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793</v>
      </c>
      <c r="C258" t="s">
        <v>1192</v>
      </c>
      <c r="D258" t="s">
        <v>1591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421</v>
      </c>
      <c r="S258">
        <v>0</v>
      </c>
      <c r="T258">
        <v>0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430</v>
      </c>
      <c r="AT258">
        <v>0</v>
      </c>
      <c r="AU258">
        <v>0</v>
      </c>
      <c r="AV258" t="s">
        <v>439</v>
      </c>
      <c r="AW258">
        <v>0</v>
      </c>
      <c r="AX258">
        <v>0</v>
      </c>
      <c r="AY258">
        <v>0</v>
      </c>
      <c r="CC258">
        <v>2.8094999999999999</v>
      </c>
      <c r="CE258" t="s">
        <v>450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125</v>
      </c>
      <c r="C259" t="s">
        <v>225</v>
      </c>
      <c r="D259" t="s">
        <v>325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</v>
      </c>
      <c r="AD259">
        <v>0</v>
      </c>
      <c r="AF259">
        <v>0</v>
      </c>
      <c r="AG259" t="s">
        <v>423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446</v>
      </c>
      <c r="AW259">
        <v>0</v>
      </c>
      <c r="AX259">
        <v>0</v>
      </c>
      <c r="AY259">
        <v>0</v>
      </c>
      <c r="CC259">
        <v>2.5329999999999999</v>
      </c>
      <c r="CE259" t="s">
        <v>450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796</v>
      </c>
      <c r="C260" t="s">
        <v>1195</v>
      </c>
      <c r="D260" t="s">
        <v>1594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1651</v>
      </c>
      <c r="S260" t="s">
        <v>1651</v>
      </c>
      <c r="T260" t="s">
        <v>1651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C260">
        <v>0</v>
      </c>
      <c r="AQ260" t="s">
        <v>1651</v>
      </c>
      <c r="AR260" t="s">
        <v>1651</v>
      </c>
      <c r="AS260" t="s">
        <v>425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E260" t="s">
        <v>450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434</v>
      </c>
      <c r="AW261">
        <v>0</v>
      </c>
      <c r="AX261">
        <v>0</v>
      </c>
      <c r="AY261">
        <v>0</v>
      </c>
      <c r="CC261">
        <v>2.6435</v>
      </c>
      <c r="CE261" t="s">
        <v>450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797</v>
      </c>
      <c r="C262" t="s">
        <v>1196</v>
      </c>
      <c r="D262" t="s">
        <v>1595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430</v>
      </c>
      <c r="AT262">
        <v>0</v>
      </c>
      <c r="AU262">
        <v>0</v>
      </c>
      <c r="AV262" t="s">
        <v>434</v>
      </c>
      <c r="AW262">
        <v>0</v>
      </c>
      <c r="AX262">
        <v>0</v>
      </c>
      <c r="AY262">
        <v>0</v>
      </c>
      <c r="CC262">
        <v>2.4994999999999998</v>
      </c>
      <c r="CE262" t="s">
        <v>450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800</v>
      </c>
      <c r="C263" t="s">
        <v>1199</v>
      </c>
      <c r="D263" t="s">
        <v>1598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430</v>
      </c>
      <c r="AT263">
        <v>0</v>
      </c>
      <c r="AU263">
        <v>0</v>
      </c>
      <c r="AV263" t="s">
        <v>434</v>
      </c>
      <c r="AW263">
        <v>0</v>
      </c>
      <c r="AX263">
        <v>0</v>
      </c>
      <c r="AY263">
        <v>0</v>
      </c>
      <c r="CC263">
        <v>2.7919999999999998</v>
      </c>
      <c r="CE263" t="s">
        <v>450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801</v>
      </c>
      <c r="C264" t="s">
        <v>1200</v>
      </c>
      <c r="D264" t="s">
        <v>1599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429</v>
      </c>
      <c r="AT264">
        <v>0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2.7925</v>
      </c>
      <c r="CE264" t="s">
        <v>450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802</v>
      </c>
      <c r="C265" t="s">
        <v>1201</v>
      </c>
      <c r="D265" t="s">
        <v>1600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421</v>
      </c>
      <c r="S265">
        <v>0</v>
      </c>
      <c r="T265">
        <v>0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430</v>
      </c>
      <c r="AT265">
        <v>0</v>
      </c>
      <c r="AU265">
        <v>0</v>
      </c>
      <c r="AV265" t="s">
        <v>446</v>
      </c>
      <c r="AW265">
        <v>0</v>
      </c>
      <c r="AX265">
        <v>0</v>
      </c>
      <c r="AY265">
        <v>0</v>
      </c>
      <c r="CC265">
        <v>2.2570000000000001</v>
      </c>
      <c r="CE265" t="s">
        <v>450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803</v>
      </c>
      <c r="C266" t="s">
        <v>1202</v>
      </c>
      <c r="D266" t="s">
        <v>1601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423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424</v>
      </c>
      <c r="AT266">
        <v>1</v>
      </c>
      <c r="AU266">
        <v>0</v>
      </c>
      <c r="AV266" t="s">
        <v>446</v>
      </c>
      <c r="AW266">
        <v>0</v>
      </c>
      <c r="AX266">
        <v>0</v>
      </c>
      <c r="AY266">
        <v>0</v>
      </c>
      <c r="CC266">
        <v>2.4394999999999998</v>
      </c>
      <c r="CE266" t="s">
        <v>450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804</v>
      </c>
      <c r="C267" t="s">
        <v>1203</v>
      </c>
      <c r="D267" t="s">
        <v>1602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430</v>
      </c>
      <c r="AT267">
        <v>0</v>
      </c>
      <c r="AU267">
        <v>0</v>
      </c>
      <c r="AV267" t="s">
        <v>446</v>
      </c>
      <c r="AW267">
        <v>0</v>
      </c>
      <c r="AX267">
        <v>0</v>
      </c>
      <c r="AY267">
        <v>0</v>
      </c>
      <c r="CC267">
        <v>2.7854999999999999</v>
      </c>
      <c r="CE267" t="s">
        <v>450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805</v>
      </c>
      <c r="C268" t="s">
        <v>1204</v>
      </c>
      <c r="D268" t="s">
        <v>1603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425</v>
      </c>
      <c r="AT268">
        <v>0</v>
      </c>
      <c r="AU268">
        <v>0</v>
      </c>
      <c r="AV268" t="s">
        <v>446</v>
      </c>
      <c r="AW268">
        <v>0</v>
      </c>
      <c r="AX268">
        <v>0</v>
      </c>
      <c r="AY268">
        <v>0</v>
      </c>
      <c r="CC268">
        <v>2.63</v>
      </c>
      <c r="CE268" t="s">
        <v>450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Q269" t="s">
        <v>423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430</v>
      </c>
      <c r="AT269">
        <v>0</v>
      </c>
      <c r="AU269">
        <v>0</v>
      </c>
      <c r="AV269" t="s">
        <v>443</v>
      </c>
      <c r="AW269">
        <v>0</v>
      </c>
      <c r="AX269">
        <v>0</v>
      </c>
      <c r="AY269">
        <v>0</v>
      </c>
      <c r="CC269">
        <v>2.2450000000000001</v>
      </c>
      <c r="CE269" t="s">
        <v>450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2.8235000000000001</v>
      </c>
      <c r="CE270" t="s">
        <v>450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809</v>
      </c>
      <c r="C271" t="s">
        <v>1208</v>
      </c>
      <c r="D271" t="s">
        <v>1607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430</v>
      </c>
      <c r="AT271">
        <v>0</v>
      </c>
      <c r="AU271">
        <v>0</v>
      </c>
      <c r="AV271" t="s">
        <v>437</v>
      </c>
      <c r="AW271">
        <v>0</v>
      </c>
      <c r="AX271">
        <v>0</v>
      </c>
      <c r="AY271">
        <v>0</v>
      </c>
      <c r="CC271">
        <v>2.391</v>
      </c>
      <c r="CE271" t="s">
        <v>450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153</v>
      </c>
      <c r="C272" t="s">
        <v>253</v>
      </c>
      <c r="D272" t="s">
        <v>353</v>
      </c>
      <c r="E272" t="s">
        <v>400</v>
      </c>
      <c r="F272">
        <v>3540041300</v>
      </c>
      <c r="G272">
        <v>1.3824259999999999</v>
      </c>
      <c r="H272" t="s">
        <v>410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>
        <v>0</v>
      </c>
      <c r="AC272">
        <v>0</v>
      </c>
      <c r="AD272">
        <v>0</v>
      </c>
      <c r="AF272">
        <v>0</v>
      </c>
      <c r="AG272" t="s">
        <v>423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423</v>
      </c>
      <c r="AT272">
        <v>1</v>
      </c>
      <c r="AU272">
        <v>0</v>
      </c>
      <c r="AV272" t="s">
        <v>441</v>
      </c>
      <c r="AW272">
        <v>0</v>
      </c>
      <c r="AX272">
        <v>0</v>
      </c>
      <c r="AY272">
        <v>0</v>
      </c>
      <c r="CC272">
        <v>2.629</v>
      </c>
      <c r="CE272" t="s">
        <v>450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811</v>
      </c>
      <c r="C273" t="s">
        <v>1210</v>
      </c>
      <c r="D273" t="s">
        <v>1609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425</v>
      </c>
      <c r="AT273">
        <v>0</v>
      </c>
      <c r="AU273">
        <v>0</v>
      </c>
      <c r="AV273" t="s">
        <v>434</v>
      </c>
      <c r="AW273">
        <v>0</v>
      </c>
      <c r="AX273">
        <v>0</v>
      </c>
      <c r="AY273">
        <v>0</v>
      </c>
      <c r="CC273">
        <v>2.8105000000000002</v>
      </c>
      <c r="CE273" t="s">
        <v>450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425</v>
      </c>
      <c r="AT274">
        <v>0</v>
      </c>
      <c r="AU274">
        <v>0</v>
      </c>
      <c r="AV274" t="s">
        <v>440</v>
      </c>
      <c r="AW274">
        <v>0</v>
      </c>
      <c r="AX274">
        <v>0</v>
      </c>
      <c r="AY274">
        <v>0</v>
      </c>
      <c r="CC274">
        <v>2.9940000000000002</v>
      </c>
      <c r="CE274" t="s">
        <v>450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812</v>
      </c>
      <c r="C275" t="s">
        <v>1211</v>
      </c>
      <c r="D275" t="s">
        <v>1610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Q275" t="s">
        <v>417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425</v>
      </c>
      <c r="AT275">
        <v>0</v>
      </c>
      <c r="AU275">
        <v>0</v>
      </c>
      <c r="AV275" t="s">
        <v>444</v>
      </c>
      <c r="AW275">
        <v>0</v>
      </c>
      <c r="AX275">
        <v>0</v>
      </c>
      <c r="AY275">
        <v>0</v>
      </c>
      <c r="CC275">
        <v>2.5430000000000001</v>
      </c>
      <c r="CE275" t="s">
        <v>450</v>
      </c>
      <c r="CG275">
        <v>3.4</v>
      </c>
      <c r="CH275">
        <v>3.4</v>
      </c>
      <c r="CI275">
        <v>3.4</v>
      </c>
      <c r="CJ275">
        <v>-0.24</v>
      </c>
      <c r="CK275">
        <v>3.16</v>
      </c>
    </row>
    <row r="276" spans="1:89" x14ac:dyDescent="0.25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425</v>
      </c>
      <c r="AT276">
        <v>0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2.6355</v>
      </c>
      <c r="CE276" t="s">
        <v>450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813</v>
      </c>
      <c r="C277" t="s">
        <v>1212</v>
      </c>
      <c r="D277" t="s">
        <v>1611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425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2.4895</v>
      </c>
      <c r="CE277" t="s">
        <v>450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814</v>
      </c>
      <c r="C278" t="s">
        <v>1213</v>
      </c>
      <c r="D278" t="s">
        <v>1612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425</v>
      </c>
      <c r="AT278">
        <v>0</v>
      </c>
      <c r="AU278">
        <v>0</v>
      </c>
      <c r="AV278" t="s">
        <v>434</v>
      </c>
      <c r="AW278">
        <v>0</v>
      </c>
      <c r="AX278">
        <v>0</v>
      </c>
      <c r="AY278">
        <v>0</v>
      </c>
      <c r="CC278">
        <v>2.8725000000000001</v>
      </c>
      <c r="CE278" t="s">
        <v>450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815</v>
      </c>
      <c r="C279" t="s">
        <v>1214</v>
      </c>
      <c r="D279" t="s">
        <v>1613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425</v>
      </c>
      <c r="AT279">
        <v>0</v>
      </c>
      <c r="AU279">
        <v>0</v>
      </c>
      <c r="AV279" t="s">
        <v>446</v>
      </c>
      <c r="AW279">
        <v>0</v>
      </c>
      <c r="AX279">
        <v>0</v>
      </c>
      <c r="AY279">
        <v>0</v>
      </c>
      <c r="CC279">
        <v>3.0034999999999998</v>
      </c>
      <c r="CE279" t="s">
        <v>450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819</v>
      </c>
      <c r="C280" t="s">
        <v>1218</v>
      </c>
      <c r="D280" t="s">
        <v>1617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Q280" t="s">
        <v>418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434</v>
      </c>
      <c r="AW280">
        <v>0</v>
      </c>
      <c r="AX280">
        <v>0</v>
      </c>
      <c r="AY280">
        <v>0</v>
      </c>
      <c r="CC280">
        <v>2.8969999999999998</v>
      </c>
      <c r="CE280" t="s">
        <v>450</v>
      </c>
      <c r="CG280">
        <v>3.4</v>
      </c>
      <c r="CH280">
        <v>3.4</v>
      </c>
      <c r="CI280">
        <v>3.4</v>
      </c>
      <c r="CJ280">
        <v>0</v>
      </c>
      <c r="CK280">
        <v>3.4</v>
      </c>
    </row>
    <row r="281" spans="1:89" x14ac:dyDescent="0.25">
      <c r="A281">
        <v>1414</v>
      </c>
      <c r="B281" t="s">
        <v>824</v>
      </c>
      <c r="C281" t="s">
        <v>1223</v>
      </c>
      <c r="D281" t="s">
        <v>1622</v>
      </c>
      <c r="E281" t="s">
        <v>400</v>
      </c>
      <c r="F281">
        <v>2480677500</v>
      </c>
      <c r="G281">
        <v>1.7698929999999999</v>
      </c>
      <c r="H281" t="s">
        <v>410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424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CC281">
        <v>2.3260000000000001</v>
      </c>
      <c r="CE281" t="s">
        <v>450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420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430</v>
      </c>
      <c r="AT282">
        <v>0</v>
      </c>
      <c r="AU282">
        <v>0</v>
      </c>
      <c r="AV282" t="s">
        <v>443</v>
      </c>
      <c r="AW282">
        <v>0</v>
      </c>
      <c r="AX282">
        <v>0</v>
      </c>
      <c r="AY282">
        <v>0</v>
      </c>
      <c r="CC282">
        <v>2.5649999999999999</v>
      </c>
      <c r="CE282" t="s">
        <v>450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163</v>
      </c>
      <c r="C283" t="s">
        <v>263</v>
      </c>
      <c r="D283" t="s">
        <v>363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421</v>
      </c>
      <c r="S283">
        <v>0</v>
      </c>
      <c r="T283">
        <v>0.01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428</v>
      </c>
      <c r="AT283">
        <v>0</v>
      </c>
      <c r="AU283">
        <v>0</v>
      </c>
      <c r="AV283" t="s">
        <v>437</v>
      </c>
      <c r="AW283">
        <v>0</v>
      </c>
      <c r="AX283">
        <v>0</v>
      </c>
      <c r="AY283">
        <v>0</v>
      </c>
      <c r="CC283">
        <v>2.7605</v>
      </c>
      <c r="CE283" t="s">
        <v>450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826</v>
      </c>
      <c r="C284" t="s">
        <v>1225</v>
      </c>
      <c r="D284" t="s">
        <v>1624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422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430</v>
      </c>
      <c r="AT284">
        <v>0</v>
      </c>
      <c r="AU284">
        <v>0</v>
      </c>
      <c r="AV284" t="s">
        <v>446</v>
      </c>
      <c r="AW284">
        <v>0</v>
      </c>
      <c r="AX284">
        <v>0</v>
      </c>
      <c r="AY284">
        <v>0</v>
      </c>
      <c r="CC284">
        <v>2.3759999999999999</v>
      </c>
      <c r="CE284" t="s">
        <v>450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120</v>
      </c>
      <c r="C285" t="s">
        <v>220</v>
      </c>
      <c r="D285" t="s">
        <v>320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429</v>
      </c>
      <c r="AT285">
        <v>0</v>
      </c>
      <c r="AU285">
        <v>0</v>
      </c>
      <c r="AV285" t="s">
        <v>447</v>
      </c>
      <c r="AW285">
        <v>0</v>
      </c>
      <c r="AX285">
        <v>0</v>
      </c>
      <c r="AY285">
        <v>0</v>
      </c>
      <c r="CC285">
        <v>2.7610000000000001</v>
      </c>
      <c r="CE285" t="s">
        <v>450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827</v>
      </c>
      <c r="C286" t="s">
        <v>1226</v>
      </c>
      <c r="D286" t="s">
        <v>1625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425</v>
      </c>
      <c r="AT286">
        <v>0</v>
      </c>
      <c r="AU286">
        <v>0</v>
      </c>
      <c r="AV286" t="s">
        <v>445</v>
      </c>
      <c r="AW286">
        <v>0</v>
      </c>
      <c r="AX286">
        <v>0</v>
      </c>
      <c r="AY286">
        <v>0</v>
      </c>
      <c r="CC286">
        <v>2.6315</v>
      </c>
      <c r="CE286" t="s">
        <v>450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147</v>
      </c>
      <c r="C287" t="s">
        <v>247</v>
      </c>
      <c r="D287" t="s">
        <v>347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424</v>
      </c>
      <c r="AT287">
        <v>1</v>
      </c>
      <c r="AU287">
        <v>0</v>
      </c>
      <c r="AV287" t="s">
        <v>433</v>
      </c>
      <c r="AW287">
        <v>0</v>
      </c>
      <c r="AX287">
        <v>0</v>
      </c>
      <c r="AY287">
        <v>0</v>
      </c>
      <c r="CC287">
        <v>2.8889999999999998</v>
      </c>
      <c r="CE287" t="s">
        <v>450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137</v>
      </c>
      <c r="C288" t="s">
        <v>237</v>
      </c>
      <c r="D288" t="s">
        <v>337</v>
      </c>
      <c r="E288" t="s">
        <v>401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430</v>
      </c>
      <c r="AT288">
        <v>0</v>
      </c>
      <c r="AU288">
        <v>0</v>
      </c>
      <c r="AV288" t="s">
        <v>442</v>
      </c>
      <c r="AW288">
        <v>0</v>
      </c>
      <c r="AX288">
        <v>0</v>
      </c>
      <c r="AY288">
        <v>0</v>
      </c>
      <c r="CC288">
        <v>2.7105000000000001</v>
      </c>
      <c r="CE288" t="s">
        <v>450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828</v>
      </c>
      <c r="C289" t="s">
        <v>1227</v>
      </c>
      <c r="D289" t="s">
        <v>1626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2.7320000000000002</v>
      </c>
      <c r="CE289" t="s">
        <v>450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829</v>
      </c>
      <c r="C290" t="s">
        <v>1228</v>
      </c>
      <c r="D290" t="s">
        <v>1627</v>
      </c>
      <c r="E290" t="s">
        <v>401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430</v>
      </c>
      <c r="AT290">
        <v>0</v>
      </c>
      <c r="AU290">
        <v>0</v>
      </c>
      <c r="AV290" t="s">
        <v>442</v>
      </c>
      <c r="AW290">
        <v>0</v>
      </c>
      <c r="AX290">
        <v>0</v>
      </c>
      <c r="AY290">
        <v>0</v>
      </c>
      <c r="CC290">
        <v>2.2280000000000002</v>
      </c>
      <c r="CE290" t="s">
        <v>450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830</v>
      </c>
      <c r="C291" t="s">
        <v>1229</v>
      </c>
      <c r="D291" t="s">
        <v>1628</v>
      </c>
      <c r="E291" t="s">
        <v>400</v>
      </c>
      <c r="F291">
        <v>488792080</v>
      </c>
      <c r="G291">
        <v>10.40296</v>
      </c>
      <c r="H291" t="s">
        <v>410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421</v>
      </c>
      <c r="S291">
        <v>0</v>
      </c>
      <c r="T291">
        <v>0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424</v>
      </c>
      <c r="AT291">
        <v>1</v>
      </c>
      <c r="AU291">
        <v>0</v>
      </c>
      <c r="AV291" t="s">
        <v>441</v>
      </c>
      <c r="AW291">
        <v>0</v>
      </c>
      <c r="AX291">
        <v>0</v>
      </c>
      <c r="AY291">
        <v>0</v>
      </c>
      <c r="CC291">
        <v>2.4830000000000001</v>
      </c>
      <c r="CE291" t="s">
        <v>450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11.622780000000001</v>
      </c>
      <c r="H292" t="s">
        <v>410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427</v>
      </c>
      <c r="AT292">
        <v>1</v>
      </c>
      <c r="AU292">
        <v>0</v>
      </c>
      <c r="AV292" t="s">
        <v>441</v>
      </c>
      <c r="AW292">
        <v>0</v>
      </c>
      <c r="AX292">
        <v>0</v>
      </c>
      <c r="AY292">
        <v>0</v>
      </c>
      <c r="CC292">
        <v>2.6760000000000002</v>
      </c>
      <c r="CE292" t="s">
        <v>450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834</v>
      </c>
      <c r="C293" t="s">
        <v>1233</v>
      </c>
      <c r="D293" t="s">
        <v>1632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421</v>
      </c>
      <c r="S293">
        <v>0</v>
      </c>
      <c r="T293">
        <v>0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446</v>
      </c>
      <c r="AW293">
        <v>0</v>
      </c>
      <c r="AX293">
        <v>0</v>
      </c>
      <c r="AY293">
        <v>0</v>
      </c>
      <c r="CC293">
        <v>2.6185</v>
      </c>
      <c r="CE293" t="s">
        <v>450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111</v>
      </c>
      <c r="C294" t="s">
        <v>211</v>
      </c>
      <c r="D294" t="s">
        <v>311</v>
      </c>
      <c r="E294" t="s">
        <v>400</v>
      </c>
      <c r="F294">
        <v>25081295000</v>
      </c>
      <c r="G294">
        <v>0.80032029999999998</v>
      </c>
      <c r="H294" t="s">
        <v>410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425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2.9529999999999998</v>
      </c>
      <c r="CE294" t="s">
        <v>450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839</v>
      </c>
      <c r="C295" t="s">
        <v>1238</v>
      </c>
      <c r="D295" t="s">
        <v>1637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423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434</v>
      </c>
      <c r="AW295">
        <v>0</v>
      </c>
      <c r="AX295">
        <v>0</v>
      </c>
      <c r="AY295">
        <v>0</v>
      </c>
      <c r="CC295">
        <v>2.8654999999999999</v>
      </c>
      <c r="CE295" t="s">
        <v>450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840</v>
      </c>
      <c r="C296" t="s">
        <v>1239</v>
      </c>
      <c r="D296" t="s">
        <v>1638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424</v>
      </c>
      <c r="AT296">
        <v>1</v>
      </c>
      <c r="AU296">
        <v>0</v>
      </c>
      <c r="AV296" t="s">
        <v>437</v>
      </c>
      <c r="AW296">
        <v>0</v>
      </c>
      <c r="AX296">
        <v>0</v>
      </c>
      <c r="AY296">
        <v>0</v>
      </c>
      <c r="CC296">
        <v>2.6230000000000002</v>
      </c>
      <c r="CE296" t="s">
        <v>450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842</v>
      </c>
      <c r="C297" t="s">
        <v>1241</v>
      </c>
      <c r="D297" t="s">
        <v>1640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424</v>
      </c>
      <c r="AT297">
        <v>1</v>
      </c>
      <c r="AU297">
        <v>0</v>
      </c>
      <c r="AV297" t="s">
        <v>447</v>
      </c>
      <c r="AW297">
        <v>0</v>
      </c>
      <c r="AX297">
        <v>0</v>
      </c>
      <c r="AY297">
        <v>0</v>
      </c>
      <c r="CC297">
        <v>2.4049999999999998</v>
      </c>
      <c r="CE297" t="s">
        <v>450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844</v>
      </c>
      <c r="C298" t="s">
        <v>1243</v>
      </c>
      <c r="D298" t="s">
        <v>1642</v>
      </c>
      <c r="E298" t="s">
        <v>400</v>
      </c>
      <c r="F298">
        <v>176424010</v>
      </c>
      <c r="G298">
        <v>32.012810000000002</v>
      </c>
      <c r="H298" t="s">
        <v>410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432</v>
      </c>
      <c r="AT298">
        <v>0</v>
      </c>
      <c r="AU298">
        <v>0</v>
      </c>
      <c r="AV298" t="s">
        <v>441</v>
      </c>
      <c r="AW298">
        <v>0</v>
      </c>
      <c r="AX298">
        <v>0</v>
      </c>
      <c r="AY298">
        <v>0</v>
      </c>
      <c r="CC298">
        <v>2.92</v>
      </c>
      <c r="CE298" t="s">
        <v>450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158</v>
      </c>
      <c r="C299" t="s">
        <v>258</v>
      </c>
      <c r="D299" t="s">
        <v>358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421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429</v>
      </c>
      <c r="AT299">
        <v>0</v>
      </c>
      <c r="AU299">
        <v>0</v>
      </c>
      <c r="AV299" t="s">
        <v>445</v>
      </c>
      <c r="AW299">
        <v>0</v>
      </c>
      <c r="AX299">
        <v>0</v>
      </c>
      <c r="AY299">
        <v>0</v>
      </c>
      <c r="CC299">
        <v>2.895</v>
      </c>
      <c r="CE299" t="s">
        <v>450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160</v>
      </c>
      <c r="C300" t="s">
        <v>260</v>
      </c>
      <c r="D300" t="s">
        <v>360</v>
      </c>
      <c r="E300" t="s">
        <v>400</v>
      </c>
      <c r="F300">
        <v>1078802400</v>
      </c>
      <c r="G300">
        <v>9.1105959999999993</v>
      </c>
      <c r="H300" t="s">
        <v>410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429</v>
      </c>
      <c r="AT300">
        <v>0</v>
      </c>
      <c r="AU300">
        <v>0</v>
      </c>
      <c r="AV300" t="s">
        <v>448</v>
      </c>
      <c r="AW300">
        <v>0</v>
      </c>
      <c r="AX300">
        <v>0</v>
      </c>
      <c r="AY300">
        <v>0</v>
      </c>
      <c r="CC300">
        <v>2.6545000000000001</v>
      </c>
      <c r="CE300" t="s">
        <v>450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846</v>
      </c>
      <c r="C301" t="s">
        <v>1245</v>
      </c>
      <c r="D301" t="s">
        <v>1644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3.1114999999999999</v>
      </c>
      <c r="CE301" t="s">
        <v>450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847</v>
      </c>
      <c r="C302" t="s">
        <v>1246</v>
      </c>
      <c r="D302" t="s">
        <v>1645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431</v>
      </c>
      <c r="AT302">
        <v>1</v>
      </c>
      <c r="AU302">
        <v>0</v>
      </c>
      <c r="AV302" t="s">
        <v>437</v>
      </c>
      <c r="AW302">
        <v>0</v>
      </c>
      <c r="AX302">
        <v>0</v>
      </c>
      <c r="AY302">
        <v>0</v>
      </c>
      <c r="CC302">
        <v>2.843</v>
      </c>
      <c r="CE302" t="s">
        <v>450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Q303" t="s">
        <v>423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>
        <v>0</v>
      </c>
      <c r="AC303">
        <v>0</v>
      </c>
      <c r="AD303">
        <v>0</v>
      </c>
      <c r="AF303">
        <v>0</v>
      </c>
      <c r="AG303" t="s">
        <v>423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429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2.3195000000000001</v>
      </c>
      <c r="CE303" t="s">
        <v>450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849</v>
      </c>
      <c r="C304" t="s">
        <v>1248</v>
      </c>
      <c r="D304" t="s">
        <v>1647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430</v>
      </c>
      <c r="AT304">
        <v>0</v>
      </c>
      <c r="AU304">
        <v>0</v>
      </c>
      <c r="AV304" t="s">
        <v>446</v>
      </c>
      <c r="AW304">
        <v>0</v>
      </c>
      <c r="AX304">
        <v>0</v>
      </c>
      <c r="AY304">
        <v>0</v>
      </c>
      <c r="CC304">
        <v>2.6509999999999998</v>
      </c>
      <c r="CE304" t="s">
        <v>450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2.8580000000000001</v>
      </c>
      <c r="CE2" t="s">
        <v>450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2.8210000000000002</v>
      </c>
      <c r="CE4" t="s">
        <v>450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3.0409999999999999</v>
      </c>
      <c r="CE5" t="s">
        <v>450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2.9824999999999999</v>
      </c>
      <c r="CE6" t="s">
        <v>450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2.9940000000000002</v>
      </c>
      <c r="CE7" t="s">
        <v>450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2.9529999999999998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2.6619999999999999</v>
      </c>
      <c r="CE11" t="s">
        <v>450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2.7254999999999998</v>
      </c>
      <c r="CE12" t="s">
        <v>450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2.9929999999999999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2.9754999999999998</v>
      </c>
      <c r="CE14" t="s">
        <v>450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2.5880000000000001</v>
      </c>
      <c r="CE15" t="s">
        <v>450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2.8769999999999998</v>
      </c>
      <c r="CE16" t="s">
        <v>450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2.7610000000000001</v>
      </c>
      <c r="CE17" t="s">
        <v>450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3.0710000000000002</v>
      </c>
      <c r="CE20" t="s">
        <v>450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2.5329999999999999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2.6204999999999998</v>
      </c>
      <c r="CE24" t="s">
        <v>450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2.5914999999999999</v>
      </c>
      <c r="CE25" t="s">
        <v>450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2.6284999999999998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2.8195000000000001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2.7719999999999998</v>
      </c>
      <c r="CE30" t="s">
        <v>450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2.5125000000000002</v>
      </c>
      <c r="CE31" t="s">
        <v>450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2.8105000000000002</v>
      </c>
      <c r="CE32" t="s">
        <v>450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2.4834999999999998</v>
      </c>
      <c r="CE33" t="s">
        <v>450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2.7105000000000001</v>
      </c>
      <c r="CE34" t="s">
        <v>450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699</v>
      </c>
      <c r="C35" t="s">
        <v>1098</v>
      </c>
      <c r="D35" t="s">
        <v>1497</v>
      </c>
      <c r="E35" t="s">
        <v>400</v>
      </c>
      <c r="F35">
        <v>8058562000</v>
      </c>
      <c r="G35">
        <v>5.4620050000000004</v>
      </c>
      <c r="H35" t="s">
        <v>410</v>
      </c>
      <c r="I35">
        <v>44015905936.810013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417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430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2.5739999999999998</v>
      </c>
      <c r="CE35" t="s">
        <v>450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790</v>
      </c>
      <c r="C36" t="s">
        <v>1189</v>
      </c>
      <c r="D36" t="s">
        <v>1588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430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2.6015000000000001</v>
      </c>
      <c r="CE36" t="s">
        <v>450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637</v>
      </c>
      <c r="C37" t="s">
        <v>1036</v>
      </c>
      <c r="D37" t="s">
        <v>1435</v>
      </c>
      <c r="E37" t="s">
        <v>400</v>
      </c>
      <c r="F37">
        <v>17822174000</v>
      </c>
      <c r="G37">
        <v>10.708819999999999</v>
      </c>
      <c r="H37" t="s">
        <v>410</v>
      </c>
      <c r="I37">
        <v>190854453374.67999</v>
      </c>
      <c r="J37" t="s">
        <v>414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420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430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2.4710000000000001</v>
      </c>
      <c r="CE37" t="s">
        <v>450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138</v>
      </c>
      <c r="C38" t="s">
        <v>238</v>
      </c>
      <c r="D38" t="s">
        <v>338</v>
      </c>
      <c r="E38" t="s">
        <v>404</v>
      </c>
      <c r="F38">
        <v>206001790</v>
      </c>
      <c r="G38">
        <v>62.627630000000003</v>
      </c>
      <c r="H38" t="s">
        <v>412</v>
      </c>
      <c r="I38">
        <v>12901403883.457701</v>
      </c>
      <c r="J38" t="s">
        <v>414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430</v>
      </c>
      <c r="AT38">
        <v>0</v>
      </c>
      <c r="AU38">
        <v>0</v>
      </c>
      <c r="AV38" t="s">
        <v>446</v>
      </c>
      <c r="AW38">
        <v>0</v>
      </c>
      <c r="AX38">
        <v>0</v>
      </c>
      <c r="AY38">
        <v>0</v>
      </c>
      <c r="CC38">
        <v>2.4255</v>
      </c>
      <c r="CE38" t="s">
        <v>450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139</v>
      </c>
      <c r="C39" t="s">
        <v>239</v>
      </c>
      <c r="D39" t="s">
        <v>339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430</v>
      </c>
      <c r="AT39">
        <v>0</v>
      </c>
      <c r="AU39">
        <v>0</v>
      </c>
      <c r="AV39" t="s">
        <v>447</v>
      </c>
      <c r="AW39">
        <v>0</v>
      </c>
      <c r="AX39">
        <v>0</v>
      </c>
      <c r="AY39">
        <v>0</v>
      </c>
      <c r="CC39">
        <v>2.5345</v>
      </c>
      <c r="CE39" t="s">
        <v>450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140</v>
      </c>
      <c r="C40" t="s">
        <v>240</v>
      </c>
      <c r="D40" t="s">
        <v>340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430</v>
      </c>
      <c r="AT40">
        <v>0</v>
      </c>
      <c r="AU40">
        <v>0</v>
      </c>
      <c r="AV40" t="s">
        <v>445</v>
      </c>
      <c r="AW40">
        <v>0</v>
      </c>
      <c r="AX40">
        <v>0</v>
      </c>
      <c r="AY40">
        <v>0</v>
      </c>
      <c r="CC40">
        <v>2.7389999999999999</v>
      </c>
      <c r="CE40" t="s">
        <v>450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141</v>
      </c>
      <c r="C41" t="s">
        <v>241</v>
      </c>
      <c r="D41" t="s">
        <v>341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430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2.8065000000000002</v>
      </c>
      <c r="CE41" t="s">
        <v>450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678</v>
      </c>
      <c r="C42" t="s">
        <v>1077</v>
      </c>
      <c r="D42" t="s">
        <v>1476</v>
      </c>
      <c r="E42" t="s">
        <v>400</v>
      </c>
      <c r="F42">
        <v>531451840</v>
      </c>
      <c r="G42">
        <v>140.05609999999999</v>
      </c>
      <c r="H42" t="s">
        <v>410</v>
      </c>
      <c r="I42">
        <v>74433072048.223999</v>
      </c>
      <c r="J42" t="s">
        <v>414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430</v>
      </c>
      <c r="AT42">
        <v>0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2.6655000000000002</v>
      </c>
      <c r="CE42" t="s">
        <v>450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650</v>
      </c>
      <c r="C43" t="s">
        <v>1049</v>
      </c>
      <c r="D43" t="s">
        <v>1448</v>
      </c>
      <c r="E43" t="s">
        <v>400</v>
      </c>
      <c r="F43">
        <v>290636470</v>
      </c>
      <c r="G43">
        <v>28.9421</v>
      </c>
      <c r="H43" t="s">
        <v>410</v>
      </c>
      <c r="I43">
        <v>8411629778.3870001</v>
      </c>
      <c r="J43" t="s">
        <v>414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430</v>
      </c>
      <c r="AT43">
        <v>0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2.5165000000000002</v>
      </c>
      <c r="CE43" t="s">
        <v>450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586</v>
      </c>
      <c r="C44" t="s">
        <v>985</v>
      </c>
      <c r="D44" t="s">
        <v>1384</v>
      </c>
      <c r="E44" t="s">
        <v>393</v>
      </c>
      <c r="F44">
        <v>1241125400</v>
      </c>
      <c r="G44">
        <v>31.462900000000001</v>
      </c>
      <c r="H44" t="s">
        <v>408</v>
      </c>
      <c r="I44">
        <v>39049404347.660004</v>
      </c>
      <c r="J44" t="s">
        <v>414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423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430</v>
      </c>
      <c r="AT44">
        <v>0</v>
      </c>
      <c r="AU44">
        <v>0</v>
      </c>
      <c r="AV44" t="s">
        <v>434</v>
      </c>
      <c r="AW44">
        <v>0</v>
      </c>
      <c r="AX44">
        <v>0</v>
      </c>
      <c r="AY44">
        <v>0</v>
      </c>
      <c r="CC44">
        <v>2.7280000000000002</v>
      </c>
      <c r="CE44" t="s">
        <v>450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142</v>
      </c>
      <c r="C45" t="s">
        <v>242</v>
      </c>
      <c r="D45" t="s">
        <v>342</v>
      </c>
      <c r="E45" t="s">
        <v>400</v>
      </c>
      <c r="F45">
        <v>5893244000</v>
      </c>
      <c r="G45">
        <v>2.8784939999999999</v>
      </c>
      <c r="H45" t="s">
        <v>410</v>
      </c>
      <c r="I45">
        <v>16963667494.535999</v>
      </c>
      <c r="J45" t="s">
        <v>414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430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2.4409999999999998</v>
      </c>
      <c r="CE45" t="s">
        <v>450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143</v>
      </c>
      <c r="C46" t="s">
        <v>243</v>
      </c>
      <c r="D46" t="s">
        <v>343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430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2.794</v>
      </c>
      <c r="CE46" t="s">
        <v>450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144</v>
      </c>
      <c r="C47" t="s">
        <v>244</v>
      </c>
      <c r="D47" t="s">
        <v>344</v>
      </c>
      <c r="E47" t="s">
        <v>400</v>
      </c>
      <c r="F47">
        <v>306304700</v>
      </c>
      <c r="G47">
        <v>33.850409999999997</v>
      </c>
      <c r="H47" t="s">
        <v>410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430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2.29</v>
      </c>
      <c r="CE47" t="s">
        <v>450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145</v>
      </c>
      <c r="C48" t="s">
        <v>245</v>
      </c>
      <c r="D48" t="s">
        <v>345</v>
      </c>
      <c r="E48" t="s">
        <v>392</v>
      </c>
      <c r="F48">
        <v>2214797873</v>
      </c>
      <c r="G48">
        <v>36.979999999999997</v>
      </c>
      <c r="H48" t="s">
        <v>407</v>
      </c>
      <c r="I48">
        <v>81903225343.539993</v>
      </c>
      <c r="J48" t="s">
        <v>413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430</v>
      </c>
      <c r="AT48">
        <v>0</v>
      </c>
      <c r="AU48">
        <v>0</v>
      </c>
      <c r="AV48" t="s">
        <v>433</v>
      </c>
      <c r="AW48">
        <v>0</v>
      </c>
      <c r="AX48">
        <v>0</v>
      </c>
      <c r="AY48">
        <v>0</v>
      </c>
      <c r="CC48">
        <v>2.4830000000000001</v>
      </c>
      <c r="CE48" t="s">
        <v>450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849</v>
      </c>
      <c r="C49" t="s">
        <v>1248</v>
      </c>
      <c r="D49" t="s">
        <v>1647</v>
      </c>
      <c r="E49" t="s">
        <v>404</v>
      </c>
      <c r="F49">
        <v>146355760</v>
      </c>
      <c r="G49">
        <v>614.58010000000002</v>
      </c>
      <c r="H49" t="s">
        <v>412</v>
      </c>
      <c r="I49">
        <v>89947337616.376007</v>
      </c>
      <c r="J49" t="s">
        <v>414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416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430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2.6509999999999998</v>
      </c>
      <c r="CE49" t="s">
        <v>450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722</v>
      </c>
      <c r="C50" t="s">
        <v>1121</v>
      </c>
      <c r="D50" t="s">
        <v>1520</v>
      </c>
      <c r="E50" t="s">
        <v>400</v>
      </c>
      <c r="F50">
        <v>2635357200</v>
      </c>
      <c r="G50">
        <v>8.6487789999999993</v>
      </c>
      <c r="H50" t="s">
        <v>410</v>
      </c>
      <c r="I50">
        <v>22792622008.858799</v>
      </c>
      <c r="J50" t="s">
        <v>414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430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2.6019999999999999</v>
      </c>
      <c r="CE50" t="s">
        <v>450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793</v>
      </c>
      <c r="C51" t="s">
        <v>1192</v>
      </c>
      <c r="D51" t="s">
        <v>1591</v>
      </c>
      <c r="E51" t="s">
        <v>398</v>
      </c>
      <c r="F51">
        <v>447972681</v>
      </c>
      <c r="G51">
        <v>10.611890000000001</v>
      </c>
      <c r="H51" t="s">
        <v>409</v>
      </c>
      <c r="I51">
        <v>4753836813.7770901</v>
      </c>
      <c r="J51" t="s">
        <v>414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417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430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2.8094999999999999</v>
      </c>
      <c r="CE51" t="s">
        <v>450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143</v>
      </c>
      <c r="B52" t="s">
        <v>501</v>
      </c>
      <c r="C52" t="s">
        <v>900</v>
      </c>
      <c r="D52" t="s">
        <v>1299</v>
      </c>
      <c r="E52" t="s">
        <v>400</v>
      </c>
      <c r="F52">
        <v>2677649400</v>
      </c>
      <c r="G52">
        <v>6.0277909999999997</v>
      </c>
      <c r="H52" t="s">
        <v>410</v>
      </c>
      <c r="I52">
        <v>16140310954.475401</v>
      </c>
      <c r="J52" t="s">
        <v>414</v>
      </c>
      <c r="K52">
        <v>29758651.104662601</v>
      </c>
      <c r="L52">
        <v>1</v>
      </c>
      <c r="M52">
        <v>30301010</v>
      </c>
      <c r="N52">
        <v>3030</v>
      </c>
      <c r="O52">
        <v>1.9994209635284099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2.2200000000000002</v>
      </c>
      <c r="AR52">
        <v>3.3250000000000002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2.7725</v>
      </c>
      <c r="CE52" t="s">
        <v>450</v>
      </c>
      <c r="CG52">
        <v>1.9994209635284099</v>
      </c>
      <c r="CH52">
        <v>3.4</v>
      </c>
      <c r="CI52">
        <v>2.699710481764205</v>
      </c>
      <c r="CJ52">
        <v>-0.18</v>
      </c>
      <c r="CK52">
        <v>2.5197104817642049</v>
      </c>
    </row>
    <row r="53" spans="1:89" x14ac:dyDescent="0.25">
      <c r="A53">
        <v>781</v>
      </c>
      <c r="B53" t="s">
        <v>146</v>
      </c>
      <c r="C53" t="s">
        <v>246</v>
      </c>
      <c r="D53" t="s">
        <v>346</v>
      </c>
      <c r="E53" t="s">
        <v>400</v>
      </c>
      <c r="F53">
        <v>744937900</v>
      </c>
      <c r="G53">
        <v>6.8970200000000004</v>
      </c>
      <c r="H53" t="s">
        <v>410</v>
      </c>
      <c r="I53">
        <v>5137851595.0580006</v>
      </c>
      <c r="J53" t="s">
        <v>414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415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424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2.5605000000000002</v>
      </c>
      <c r="CE53" t="s">
        <v>450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147</v>
      </c>
      <c r="C54" t="s">
        <v>247</v>
      </c>
      <c r="D54" t="s">
        <v>347</v>
      </c>
      <c r="E54" t="s">
        <v>392</v>
      </c>
      <c r="F54">
        <v>142625428</v>
      </c>
      <c r="G54">
        <v>82.02</v>
      </c>
      <c r="H54" t="s">
        <v>407</v>
      </c>
      <c r="I54">
        <v>11698137604.559999</v>
      </c>
      <c r="J54" t="s">
        <v>413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415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424</v>
      </c>
      <c r="AT54">
        <v>1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2.8889999999999998</v>
      </c>
      <c r="CE54" t="s">
        <v>450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148</v>
      </c>
      <c r="C55" t="s">
        <v>248</v>
      </c>
      <c r="D55" t="s">
        <v>348</v>
      </c>
      <c r="E55" t="s">
        <v>392</v>
      </c>
      <c r="F55">
        <v>76738691</v>
      </c>
      <c r="G55">
        <v>91.9</v>
      </c>
      <c r="H55" t="s">
        <v>407</v>
      </c>
      <c r="I55">
        <v>7052285702.9000006</v>
      </c>
      <c r="J55" t="s">
        <v>413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424</v>
      </c>
      <c r="AT55">
        <v>1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2.641</v>
      </c>
      <c r="CE55" t="s">
        <v>450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149</v>
      </c>
      <c r="C56" t="s">
        <v>249</v>
      </c>
      <c r="D56" t="s">
        <v>349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424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2.4015</v>
      </c>
      <c r="CE56" t="s">
        <v>450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666</v>
      </c>
      <c r="C57" t="s">
        <v>1065</v>
      </c>
      <c r="D57" t="s">
        <v>1464</v>
      </c>
      <c r="E57" t="s">
        <v>392</v>
      </c>
      <c r="F57">
        <v>286861172</v>
      </c>
      <c r="G57">
        <v>30.28</v>
      </c>
      <c r="H57" t="s">
        <v>407</v>
      </c>
      <c r="I57">
        <v>8686156288.1599998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2.2839999999999998</v>
      </c>
      <c r="CE57" t="s">
        <v>450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150</v>
      </c>
      <c r="C58" t="s">
        <v>250</v>
      </c>
      <c r="D58" t="s">
        <v>350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418</v>
      </c>
      <c r="AT58">
        <v>1</v>
      </c>
      <c r="AU58">
        <v>0</v>
      </c>
      <c r="AV58" t="s">
        <v>437</v>
      </c>
      <c r="AW58">
        <v>0</v>
      </c>
      <c r="AX58">
        <v>0</v>
      </c>
      <c r="AY58">
        <v>0</v>
      </c>
      <c r="CC58">
        <v>2.3540000000000001</v>
      </c>
      <c r="CE58" t="s">
        <v>450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151</v>
      </c>
      <c r="C59" t="s">
        <v>251</v>
      </c>
      <c r="D59" t="s">
        <v>351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418</v>
      </c>
      <c r="AT59">
        <v>1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2.5190000000000001</v>
      </c>
      <c r="CE59" t="s">
        <v>450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152</v>
      </c>
      <c r="C60" t="s">
        <v>252</v>
      </c>
      <c r="D60" t="s">
        <v>352</v>
      </c>
      <c r="E60" t="s">
        <v>392</v>
      </c>
      <c r="F60">
        <v>534311946</v>
      </c>
      <c r="G60">
        <v>346.1</v>
      </c>
      <c r="H60" t="s">
        <v>407</v>
      </c>
      <c r="I60">
        <v>184925364510.60001</v>
      </c>
      <c r="J60" t="s">
        <v>413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418</v>
      </c>
      <c r="AT60">
        <v>1</v>
      </c>
      <c r="AU60">
        <v>0</v>
      </c>
      <c r="AV60" t="s">
        <v>433</v>
      </c>
      <c r="AW60">
        <v>0</v>
      </c>
      <c r="AX60">
        <v>0</v>
      </c>
      <c r="AY60">
        <v>0</v>
      </c>
      <c r="CC60">
        <v>2.6444999999999999</v>
      </c>
      <c r="CE60" t="s">
        <v>450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153</v>
      </c>
      <c r="C61" t="s">
        <v>253</v>
      </c>
      <c r="D61" t="s">
        <v>353</v>
      </c>
      <c r="E61" t="s">
        <v>400</v>
      </c>
      <c r="F61">
        <v>3540041300</v>
      </c>
      <c r="G61">
        <v>1.3824259999999999</v>
      </c>
      <c r="H61" t="s">
        <v>410</v>
      </c>
      <c r="I61">
        <v>4893845134.1938</v>
      </c>
      <c r="J61" t="s">
        <v>414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423</v>
      </c>
      <c r="AT61">
        <v>1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2.629</v>
      </c>
      <c r="CE61" t="s">
        <v>450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154</v>
      </c>
      <c r="C62" t="s">
        <v>254</v>
      </c>
      <c r="D62" t="s">
        <v>354</v>
      </c>
      <c r="E62" t="s">
        <v>400</v>
      </c>
      <c r="F62">
        <v>1450318700</v>
      </c>
      <c r="G62">
        <v>5.1331730000000002</v>
      </c>
      <c r="H62" t="s">
        <v>410</v>
      </c>
      <c r="I62">
        <v>7444736792.2351007</v>
      </c>
      <c r="J62" t="s">
        <v>414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423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2.8944999999999999</v>
      </c>
      <c r="CE62" t="s">
        <v>450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155</v>
      </c>
      <c r="C63" t="s">
        <v>255</v>
      </c>
      <c r="D63" t="s">
        <v>355</v>
      </c>
      <c r="E63" t="s">
        <v>400</v>
      </c>
      <c r="F63">
        <v>319915900</v>
      </c>
      <c r="G63">
        <v>14.61008</v>
      </c>
      <c r="H63" t="s">
        <v>410</v>
      </c>
      <c r="I63">
        <v>4673996892.2720003</v>
      </c>
      <c r="J63" t="s">
        <v>414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2.5165000000000002</v>
      </c>
      <c r="CE63" t="s">
        <v>450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156</v>
      </c>
      <c r="C64" t="s">
        <v>256</v>
      </c>
      <c r="D64" t="s">
        <v>356</v>
      </c>
      <c r="E64" t="s">
        <v>400</v>
      </c>
      <c r="F64">
        <v>118657364</v>
      </c>
      <c r="G64">
        <v>28.04748</v>
      </c>
      <c r="H64" t="s">
        <v>410</v>
      </c>
      <c r="I64">
        <v>3328040043.6427202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416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2.2829999999999999</v>
      </c>
      <c r="CE64" t="s">
        <v>450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157</v>
      </c>
      <c r="C65" t="s">
        <v>257</v>
      </c>
      <c r="D65" t="s">
        <v>357</v>
      </c>
      <c r="E65" t="s">
        <v>396</v>
      </c>
      <c r="F65">
        <v>178162870</v>
      </c>
      <c r="G65">
        <v>83.9</v>
      </c>
      <c r="H65" t="s">
        <v>407</v>
      </c>
      <c r="I65">
        <v>14947864793</v>
      </c>
      <c r="J65" t="s">
        <v>413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418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C65">
        <v>0</v>
      </c>
      <c r="AQ65">
        <v>2.9809999999999999</v>
      </c>
      <c r="AR65">
        <v>2.5419999999999998</v>
      </c>
      <c r="AS65" t="s">
        <v>418</v>
      </c>
      <c r="AT65">
        <v>1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2.7614999999999998</v>
      </c>
      <c r="CE65" t="s">
        <v>450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158</v>
      </c>
      <c r="C66" t="s">
        <v>258</v>
      </c>
      <c r="D66" t="s">
        <v>358</v>
      </c>
      <c r="E66" t="s">
        <v>394</v>
      </c>
      <c r="F66">
        <v>238516153</v>
      </c>
      <c r="G66">
        <v>172.6</v>
      </c>
      <c r="H66" t="s">
        <v>407</v>
      </c>
      <c r="I66">
        <v>41167888007.800003</v>
      </c>
      <c r="J66" t="s">
        <v>413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429</v>
      </c>
      <c r="AT66">
        <v>0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2.895</v>
      </c>
      <c r="CE66" t="s">
        <v>450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1098</v>
      </c>
      <c r="B67" t="s">
        <v>159</v>
      </c>
      <c r="C67" t="s">
        <v>259</v>
      </c>
      <c r="D67" t="s">
        <v>359</v>
      </c>
      <c r="E67" t="s">
        <v>394</v>
      </c>
      <c r="F67">
        <v>1907070957</v>
      </c>
      <c r="G67">
        <v>47.26</v>
      </c>
      <c r="H67" t="s">
        <v>407</v>
      </c>
      <c r="I67">
        <v>90128173427.819992</v>
      </c>
      <c r="J67" t="s">
        <v>413</v>
      </c>
      <c r="K67">
        <v>34161920.378412701</v>
      </c>
      <c r="L67">
        <v>1</v>
      </c>
      <c r="M67">
        <v>40301030</v>
      </c>
      <c r="N67">
        <v>4030</v>
      </c>
      <c r="O67">
        <v>1.9831746989669301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2.4740000000000002</v>
      </c>
      <c r="AR67">
        <v>3.2949999999999999</v>
      </c>
      <c r="AS67" t="s">
        <v>429</v>
      </c>
      <c r="AT67">
        <v>0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2.8845000000000001</v>
      </c>
      <c r="CE67" t="s">
        <v>450</v>
      </c>
      <c r="CG67">
        <v>1.9831746989669301</v>
      </c>
      <c r="CH67">
        <v>1.5</v>
      </c>
      <c r="CI67">
        <v>1.7415873494834651</v>
      </c>
      <c r="CJ67">
        <v>-0.18</v>
      </c>
      <c r="CK67">
        <v>1.5615873494834649</v>
      </c>
    </row>
    <row r="68" spans="1:89" x14ac:dyDescent="0.25">
      <c r="A68">
        <v>1517</v>
      </c>
      <c r="B68" t="s">
        <v>160</v>
      </c>
      <c r="C68" t="s">
        <v>260</v>
      </c>
      <c r="D68" t="s">
        <v>360</v>
      </c>
      <c r="E68" t="s">
        <v>400</v>
      </c>
      <c r="F68">
        <v>1078802400</v>
      </c>
      <c r="G68">
        <v>9.1105959999999993</v>
      </c>
      <c r="H68" t="s">
        <v>410</v>
      </c>
      <c r="I68">
        <v>9828532830.2304001</v>
      </c>
      <c r="J68" t="s">
        <v>414</v>
      </c>
      <c r="K68">
        <v>20881891.102371901</v>
      </c>
      <c r="L68">
        <v>0.95</v>
      </c>
      <c r="M68">
        <v>40301020</v>
      </c>
      <c r="N68">
        <v>4030</v>
      </c>
      <c r="O68">
        <v>1.9934117984292601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2.2429999999999999</v>
      </c>
      <c r="AR68">
        <v>3.0659999999999998</v>
      </c>
      <c r="AS68" t="s">
        <v>429</v>
      </c>
      <c r="AT68">
        <v>0</v>
      </c>
      <c r="AU68">
        <v>0</v>
      </c>
      <c r="AV68" t="s">
        <v>448</v>
      </c>
      <c r="AW68">
        <v>0</v>
      </c>
      <c r="AX68">
        <v>0</v>
      </c>
      <c r="AY68">
        <v>0</v>
      </c>
      <c r="CC68">
        <v>2.6545000000000001</v>
      </c>
      <c r="CE68" t="s">
        <v>450</v>
      </c>
      <c r="CG68">
        <v>1.9934117984292601</v>
      </c>
      <c r="CH68">
        <v>1.5</v>
      </c>
      <c r="CI68">
        <v>1.74670589921463</v>
      </c>
      <c r="CJ68">
        <v>-0.18</v>
      </c>
      <c r="CK68">
        <v>1.5667058992146301</v>
      </c>
    </row>
    <row r="69" spans="1:89" x14ac:dyDescent="0.25">
      <c r="A69">
        <v>747</v>
      </c>
      <c r="B69" t="s">
        <v>161</v>
      </c>
      <c r="C69" t="s">
        <v>261</v>
      </c>
      <c r="D69" t="s">
        <v>361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431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2.8450000000000002</v>
      </c>
      <c r="CE69" t="s">
        <v>450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162</v>
      </c>
      <c r="C70" t="s">
        <v>262</v>
      </c>
      <c r="D70" t="s">
        <v>362</v>
      </c>
      <c r="E70" t="s">
        <v>400</v>
      </c>
      <c r="F70">
        <v>123443540</v>
      </c>
      <c r="G70">
        <v>121.0757</v>
      </c>
      <c r="H70" t="s">
        <v>410</v>
      </c>
      <c r="I70">
        <v>14946013015.978001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431</v>
      </c>
      <c r="AT70">
        <v>1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2.2284999999999999</v>
      </c>
      <c r="CE70" t="s">
        <v>450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163</v>
      </c>
      <c r="C71" t="s">
        <v>263</v>
      </c>
      <c r="D71" t="s">
        <v>363</v>
      </c>
      <c r="E71" t="s">
        <v>396</v>
      </c>
      <c r="F71">
        <v>507431030</v>
      </c>
      <c r="G71">
        <v>6.5759999999999996</v>
      </c>
      <c r="H71" t="s">
        <v>407</v>
      </c>
      <c r="I71">
        <v>3336866453.2800002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421</v>
      </c>
      <c r="S71">
        <v>0</v>
      </c>
      <c r="T71">
        <v>0.01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428</v>
      </c>
      <c r="AT71">
        <v>0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2.7605</v>
      </c>
      <c r="CE71" t="s">
        <v>450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164</v>
      </c>
      <c r="C72" t="s">
        <v>264</v>
      </c>
      <c r="D72" t="s">
        <v>364</v>
      </c>
      <c r="E72" t="s">
        <v>396</v>
      </c>
      <c r="F72">
        <v>1200015000</v>
      </c>
      <c r="G72">
        <v>6.3940000000000001</v>
      </c>
      <c r="H72" t="s">
        <v>407</v>
      </c>
      <c r="I72">
        <v>7672895910</v>
      </c>
      <c r="J72" t="s">
        <v>413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421</v>
      </c>
      <c r="S72">
        <v>0</v>
      </c>
      <c r="T72">
        <v>0.01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426</v>
      </c>
      <c r="AT72">
        <v>1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2.4750000000000001</v>
      </c>
      <c r="CE72" t="s">
        <v>450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165</v>
      </c>
      <c r="C73" t="s">
        <v>265</v>
      </c>
      <c r="D73" t="s">
        <v>365</v>
      </c>
      <c r="E73" t="s">
        <v>395</v>
      </c>
      <c r="F73">
        <v>1074613824</v>
      </c>
      <c r="G73">
        <v>20.260000000000002</v>
      </c>
      <c r="H73" t="s">
        <v>407</v>
      </c>
      <c r="I73">
        <v>21771676074.240002</v>
      </c>
      <c r="J73" t="s">
        <v>413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417</v>
      </c>
      <c r="R73" t="s">
        <v>422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426</v>
      </c>
      <c r="AT73">
        <v>1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2.4125000000000001</v>
      </c>
      <c r="CE73" t="s">
        <v>450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166</v>
      </c>
      <c r="C74" t="s">
        <v>266</v>
      </c>
      <c r="D74" t="s">
        <v>366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432</v>
      </c>
      <c r="AT74">
        <v>0</v>
      </c>
      <c r="AU74">
        <v>0</v>
      </c>
      <c r="AV74" t="s">
        <v>441</v>
      </c>
      <c r="AW74">
        <v>0</v>
      </c>
      <c r="AX74">
        <v>0</v>
      </c>
      <c r="AY74">
        <v>0</v>
      </c>
      <c r="CC74">
        <v>2.6225000000000001</v>
      </c>
      <c r="CE74" t="s">
        <v>450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167</v>
      </c>
      <c r="C75" t="s">
        <v>267</v>
      </c>
      <c r="D75" t="s">
        <v>367</v>
      </c>
      <c r="E75" t="s">
        <v>400</v>
      </c>
      <c r="F75">
        <v>362188870</v>
      </c>
      <c r="G75">
        <v>39.991840000000003</v>
      </c>
      <c r="H75" t="s">
        <v>410</v>
      </c>
      <c r="I75">
        <v>14484599338.820801</v>
      </c>
      <c r="J75" t="s">
        <v>414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418</v>
      </c>
      <c r="AT75">
        <v>1</v>
      </c>
      <c r="AU75">
        <v>0</v>
      </c>
      <c r="AV75" t="s">
        <v>446</v>
      </c>
      <c r="AW75">
        <v>0</v>
      </c>
      <c r="AX75">
        <v>0</v>
      </c>
      <c r="AY75">
        <v>0</v>
      </c>
      <c r="CC75">
        <v>2.4575</v>
      </c>
      <c r="CE75" t="s">
        <v>450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168</v>
      </c>
      <c r="C76" t="s">
        <v>268</v>
      </c>
      <c r="D76" t="s">
        <v>368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2.6675</v>
      </c>
      <c r="CE76" t="s">
        <v>450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169</v>
      </c>
      <c r="C77" t="s">
        <v>269</v>
      </c>
      <c r="D77" t="s">
        <v>369</v>
      </c>
      <c r="E77" t="s">
        <v>404</v>
      </c>
      <c r="F77">
        <v>5488858</v>
      </c>
      <c r="G77">
        <v>1126.021</v>
      </c>
      <c r="H77" t="s">
        <v>412</v>
      </c>
      <c r="I77">
        <v>6180569374.0179996</v>
      </c>
      <c r="J77" t="s">
        <v>414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2.2054999999999998</v>
      </c>
      <c r="CE77" t="s">
        <v>450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170</v>
      </c>
      <c r="C78" t="s">
        <v>270</v>
      </c>
      <c r="D78" t="s">
        <v>370</v>
      </c>
      <c r="E78" t="s">
        <v>404</v>
      </c>
      <c r="F78">
        <v>2620000000</v>
      </c>
      <c r="G78">
        <v>90.485759999999999</v>
      </c>
      <c r="H78" t="s">
        <v>412</v>
      </c>
      <c r="I78">
        <v>237072691200</v>
      </c>
      <c r="J78" t="s">
        <v>414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418</v>
      </c>
      <c r="AT78">
        <v>1</v>
      </c>
      <c r="AU78">
        <v>0</v>
      </c>
      <c r="AV78" t="s">
        <v>446</v>
      </c>
      <c r="AW78">
        <v>0</v>
      </c>
      <c r="AX78">
        <v>0</v>
      </c>
      <c r="AY78">
        <v>0</v>
      </c>
      <c r="CC78">
        <v>2.573</v>
      </c>
      <c r="CE78" t="s">
        <v>450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171</v>
      </c>
      <c r="C79" t="s">
        <v>271</v>
      </c>
      <c r="D79" t="s">
        <v>371</v>
      </c>
      <c r="E79" t="s">
        <v>398</v>
      </c>
      <c r="F79">
        <v>1001430970</v>
      </c>
      <c r="G79">
        <v>9.1671560000000003</v>
      </c>
      <c r="H79" t="s">
        <v>409</v>
      </c>
      <c r="I79">
        <v>9180273925.2213211</v>
      </c>
      <c r="J79" t="s">
        <v>414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416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2.8050000000000002</v>
      </c>
      <c r="CE79" t="s">
        <v>450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172</v>
      </c>
      <c r="C80" t="s">
        <v>272</v>
      </c>
      <c r="D80" t="s">
        <v>372</v>
      </c>
      <c r="E80" t="s">
        <v>400</v>
      </c>
      <c r="F80">
        <v>2225173800</v>
      </c>
      <c r="G80">
        <v>26.475850000000001</v>
      </c>
      <c r="H80" t="s">
        <v>410</v>
      </c>
      <c r="I80">
        <v>58913367752.730003</v>
      </c>
      <c r="J80" t="s">
        <v>414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441</v>
      </c>
      <c r="AW80">
        <v>0</v>
      </c>
      <c r="AX80">
        <v>0</v>
      </c>
      <c r="AY80">
        <v>0</v>
      </c>
      <c r="CC80">
        <v>2.6575000000000002</v>
      </c>
      <c r="CE80" t="s">
        <v>450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173</v>
      </c>
      <c r="C81" t="s">
        <v>273</v>
      </c>
      <c r="D81" t="s">
        <v>373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415</v>
      </c>
      <c r="R81" t="s">
        <v>421</v>
      </c>
      <c r="S81">
        <v>0</v>
      </c>
      <c r="T81">
        <v>0.05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431</v>
      </c>
      <c r="AT81">
        <v>1</v>
      </c>
      <c r="AU81">
        <v>0</v>
      </c>
      <c r="AV81" t="s">
        <v>449</v>
      </c>
      <c r="AW81">
        <v>0</v>
      </c>
      <c r="AX81">
        <v>0</v>
      </c>
      <c r="AY81">
        <v>0</v>
      </c>
      <c r="CC81">
        <v>2.6440000000000001</v>
      </c>
      <c r="CE81" t="s">
        <v>450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174</v>
      </c>
      <c r="C82" t="s">
        <v>274</v>
      </c>
      <c r="D82" t="s">
        <v>374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417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2.4175</v>
      </c>
      <c r="CE82" t="s">
        <v>450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175</v>
      </c>
      <c r="C83" t="s">
        <v>275</v>
      </c>
      <c r="D83" t="s">
        <v>375</v>
      </c>
      <c r="E83" t="s">
        <v>393</v>
      </c>
      <c r="F83">
        <v>643368840</v>
      </c>
      <c r="G83">
        <v>25.860900000000001</v>
      </c>
      <c r="H83" t="s">
        <v>408</v>
      </c>
      <c r="I83">
        <v>16638097234.356001</v>
      </c>
      <c r="J83" t="s">
        <v>414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415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418</v>
      </c>
      <c r="AT83">
        <v>1</v>
      </c>
      <c r="AU83">
        <v>0</v>
      </c>
      <c r="AV83" t="s">
        <v>434</v>
      </c>
      <c r="AW83">
        <v>0</v>
      </c>
      <c r="AX83">
        <v>0</v>
      </c>
      <c r="AY83">
        <v>0</v>
      </c>
      <c r="CC83">
        <v>2.6215000000000002</v>
      </c>
      <c r="CE83" t="s">
        <v>450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176</v>
      </c>
      <c r="C84" t="s">
        <v>276</v>
      </c>
      <c r="D84" t="s">
        <v>376</v>
      </c>
      <c r="E84" t="s">
        <v>393</v>
      </c>
      <c r="F84">
        <v>1055050400</v>
      </c>
      <c r="G84">
        <v>29.5566</v>
      </c>
      <c r="H84" t="s">
        <v>408</v>
      </c>
      <c r="I84">
        <v>31183702652.639999</v>
      </c>
      <c r="J84" t="s">
        <v>414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428</v>
      </c>
      <c r="AT84">
        <v>0</v>
      </c>
      <c r="AU84">
        <v>0</v>
      </c>
      <c r="AV84" t="s">
        <v>434</v>
      </c>
      <c r="AW84">
        <v>0</v>
      </c>
      <c r="AX84">
        <v>0</v>
      </c>
      <c r="AY84">
        <v>0</v>
      </c>
      <c r="CC84">
        <v>2.4990000000000001</v>
      </c>
      <c r="CE84" t="s">
        <v>450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1218</v>
      </c>
      <c r="B85" t="s">
        <v>177</v>
      </c>
      <c r="C85" t="s">
        <v>277</v>
      </c>
      <c r="D85" t="s">
        <v>377</v>
      </c>
      <c r="E85" t="s">
        <v>404</v>
      </c>
      <c r="F85">
        <v>160479300</v>
      </c>
      <c r="G85">
        <v>252.84970000000001</v>
      </c>
      <c r="H85" t="s">
        <v>412</v>
      </c>
      <c r="I85">
        <v>40577142861.209999</v>
      </c>
      <c r="J85" t="s">
        <v>414</v>
      </c>
      <c r="K85">
        <v>92114432.940758303</v>
      </c>
      <c r="L85">
        <v>1</v>
      </c>
      <c r="M85">
        <v>50101035</v>
      </c>
      <c r="N85">
        <v>5010</v>
      </c>
      <c r="O85">
        <v>1.74390558393971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2.6779999999999999</v>
      </c>
      <c r="AR85">
        <v>2.95</v>
      </c>
      <c r="AS85" t="s">
        <v>418</v>
      </c>
      <c r="AT85">
        <v>1</v>
      </c>
      <c r="AU85">
        <v>0</v>
      </c>
      <c r="AV85" t="s">
        <v>446</v>
      </c>
      <c r="AW85">
        <v>0</v>
      </c>
      <c r="AX85">
        <v>0</v>
      </c>
      <c r="AY85">
        <v>0</v>
      </c>
      <c r="CC85">
        <v>2.8140000000000001</v>
      </c>
      <c r="CE85" t="s">
        <v>450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 x14ac:dyDescent="0.25">
      <c r="A86">
        <v>895</v>
      </c>
      <c r="B86" t="s">
        <v>178</v>
      </c>
      <c r="C86" t="s">
        <v>278</v>
      </c>
      <c r="D86" t="s">
        <v>378</v>
      </c>
      <c r="E86" t="s">
        <v>400</v>
      </c>
      <c r="F86">
        <v>441412540</v>
      </c>
      <c r="G86">
        <v>14.978809999999999</v>
      </c>
      <c r="H86" t="s">
        <v>410</v>
      </c>
      <c r="I86">
        <v>6611834568.2774</v>
      </c>
      <c r="J86" t="s">
        <v>414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418</v>
      </c>
      <c r="AT86">
        <v>1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2.84</v>
      </c>
      <c r="CE86" t="s">
        <v>450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179</v>
      </c>
      <c r="C87" t="s">
        <v>279</v>
      </c>
      <c r="D87" t="s">
        <v>379</v>
      </c>
      <c r="E87" t="s">
        <v>392</v>
      </c>
      <c r="F87">
        <v>262245733</v>
      </c>
      <c r="G87">
        <v>110.3</v>
      </c>
      <c r="H87" t="s">
        <v>407</v>
      </c>
      <c r="I87">
        <v>28925704349.900002</v>
      </c>
      <c r="J87" t="s">
        <v>413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418</v>
      </c>
      <c r="AT87">
        <v>1</v>
      </c>
      <c r="AU87">
        <v>0</v>
      </c>
      <c r="AV87" t="s">
        <v>433</v>
      </c>
      <c r="AW87">
        <v>0</v>
      </c>
      <c r="AX87">
        <v>0</v>
      </c>
      <c r="AY87">
        <v>0</v>
      </c>
      <c r="CC87">
        <v>2.7650000000000001</v>
      </c>
      <c r="CE87" t="s">
        <v>450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180</v>
      </c>
      <c r="C88" t="s">
        <v>280</v>
      </c>
      <c r="D88" t="s">
        <v>380</v>
      </c>
      <c r="E88" t="s">
        <v>400</v>
      </c>
      <c r="F88">
        <v>919566160</v>
      </c>
      <c r="G88">
        <v>46.387149999999998</v>
      </c>
      <c r="H88" t="s">
        <v>410</v>
      </c>
      <c r="I88">
        <v>42656053398.844002</v>
      </c>
      <c r="J88" t="s">
        <v>414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425</v>
      </c>
      <c r="AT88">
        <v>0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2.8365</v>
      </c>
      <c r="CE88" t="s">
        <v>450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181</v>
      </c>
      <c r="C89" t="s">
        <v>281</v>
      </c>
      <c r="D89" t="s">
        <v>381</v>
      </c>
      <c r="E89" t="s">
        <v>397</v>
      </c>
      <c r="F89">
        <v>107760380</v>
      </c>
      <c r="G89">
        <v>37.44</v>
      </c>
      <c r="H89" t="s">
        <v>407</v>
      </c>
      <c r="I89">
        <v>4034548627.1999998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417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418</v>
      </c>
      <c r="AT89">
        <v>1</v>
      </c>
      <c r="AU89">
        <v>0</v>
      </c>
      <c r="AV89" t="s">
        <v>438</v>
      </c>
      <c r="AW89">
        <v>0</v>
      </c>
      <c r="AX89">
        <v>0</v>
      </c>
      <c r="AY89">
        <v>0</v>
      </c>
      <c r="CC89">
        <v>2.8319999999999999</v>
      </c>
      <c r="CE89" t="s">
        <v>450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182</v>
      </c>
      <c r="C90" t="s">
        <v>282</v>
      </c>
      <c r="D90" t="s">
        <v>382</v>
      </c>
      <c r="E90" t="s">
        <v>397</v>
      </c>
      <c r="F90">
        <v>453187130</v>
      </c>
      <c r="G90">
        <v>55.22</v>
      </c>
      <c r="H90" t="s">
        <v>407</v>
      </c>
      <c r="I90">
        <v>25024993318.599998</v>
      </c>
      <c r="J90" t="s">
        <v>413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415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418</v>
      </c>
      <c r="AT90">
        <v>1</v>
      </c>
      <c r="AU90">
        <v>0</v>
      </c>
      <c r="AV90" t="s">
        <v>438</v>
      </c>
      <c r="AW90">
        <v>0</v>
      </c>
      <c r="AX90">
        <v>0</v>
      </c>
      <c r="AY90">
        <v>0</v>
      </c>
      <c r="CC90">
        <v>2.742</v>
      </c>
      <c r="CE90" t="s">
        <v>450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183</v>
      </c>
      <c r="C91" t="s">
        <v>283</v>
      </c>
      <c r="D91" t="s">
        <v>383</v>
      </c>
      <c r="E91" t="s">
        <v>392</v>
      </c>
      <c r="F91">
        <v>298233069</v>
      </c>
      <c r="G91">
        <v>26.56</v>
      </c>
      <c r="H91" t="s">
        <v>407</v>
      </c>
      <c r="I91">
        <v>7921070312.6399994</v>
      </c>
      <c r="J91" t="s">
        <v>413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415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431</v>
      </c>
      <c r="AT91">
        <v>1</v>
      </c>
      <c r="AU91">
        <v>0</v>
      </c>
      <c r="AV91" t="s">
        <v>433</v>
      </c>
      <c r="AW91">
        <v>0</v>
      </c>
      <c r="AX91">
        <v>0</v>
      </c>
      <c r="AY91">
        <v>0</v>
      </c>
      <c r="CC91">
        <v>2.6669999999999998</v>
      </c>
      <c r="CE91" t="s">
        <v>450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184</v>
      </c>
      <c r="C92" t="s">
        <v>284</v>
      </c>
      <c r="D92" t="s">
        <v>384</v>
      </c>
      <c r="E92" t="s">
        <v>392</v>
      </c>
      <c r="F92">
        <v>236664445</v>
      </c>
      <c r="G92">
        <v>19.149999999999999</v>
      </c>
      <c r="H92" t="s">
        <v>407</v>
      </c>
      <c r="I92">
        <v>4532124121.75</v>
      </c>
      <c r="J92" t="s">
        <v>413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428</v>
      </c>
      <c r="AT92">
        <v>0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2.5495000000000001</v>
      </c>
      <c r="CE92" t="s">
        <v>450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185</v>
      </c>
      <c r="C93" t="s">
        <v>285</v>
      </c>
      <c r="D93" t="s">
        <v>385</v>
      </c>
      <c r="E93" t="s">
        <v>400</v>
      </c>
      <c r="F93">
        <v>329765630</v>
      </c>
      <c r="G93">
        <v>40.693019999999997</v>
      </c>
      <c r="H93" t="s">
        <v>410</v>
      </c>
      <c r="I93">
        <v>13419159376.902599</v>
      </c>
      <c r="J93" t="s">
        <v>414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431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2.4984999999999999</v>
      </c>
      <c r="CE93" t="s">
        <v>450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186</v>
      </c>
      <c r="C94" t="s">
        <v>286</v>
      </c>
      <c r="D94" t="s">
        <v>386</v>
      </c>
      <c r="E94" t="s">
        <v>402</v>
      </c>
      <c r="F94">
        <v>185668230</v>
      </c>
      <c r="G94">
        <v>22.72052</v>
      </c>
      <c r="H94" t="s">
        <v>411</v>
      </c>
      <c r="I94">
        <v>4218478733.0795999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420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428</v>
      </c>
      <c r="AT94">
        <v>0</v>
      </c>
      <c r="AU94">
        <v>0</v>
      </c>
      <c r="AV94" t="s">
        <v>443</v>
      </c>
      <c r="AW94">
        <v>0</v>
      </c>
      <c r="AX94">
        <v>0</v>
      </c>
      <c r="AY94">
        <v>0</v>
      </c>
      <c r="CC94">
        <v>2.6945000000000001</v>
      </c>
      <c r="CE94" t="s">
        <v>450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422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438</v>
      </c>
      <c r="AW95">
        <v>0</v>
      </c>
      <c r="AX95">
        <v>0</v>
      </c>
      <c r="AY95">
        <v>0</v>
      </c>
      <c r="CC95">
        <v>2.8610000000000002</v>
      </c>
      <c r="CE95" t="s">
        <v>450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13.483459999999999</v>
      </c>
      <c r="H96" t="s">
        <v>408</v>
      </c>
      <c r="I96">
        <v>8611563647.3059998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2.6435</v>
      </c>
      <c r="CE96" t="s">
        <v>450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4175.5290000000005</v>
      </c>
      <c r="H97" t="s">
        <v>412</v>
      </c>
      <c r="I97">
        <v>38555106116.994003</v>
      </c>
      <c r="J97" t="s">
        <v>414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418</v>
      </c>
      <c r="AT97">
        <v>1</v>
      </c>
      <c r="AU97">
        <v>0</v>
      </c>
      <c r="AV97" t="s">
        <v>446</v>
      </c>
      <c r="AW97">
        <v>0</v>
      </c>
      <c r="AX97">
        <v>0</v>
      </c>
      <c r="AY97">
        <v>0</v>
      </c>
      <c r="CC97">
        <v>2.4805000000000001</v>
      </c>
      <c r="CE97" t="s">
        <v>450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418</v>
      </c>
      <c r="AT98">
        <v>1</v>
      </c>
      <c r="AU98">
        <v>0</v>
      </c>
      <c r="AV98" t="s">
        <v>437</v>
      </c>
      <c r="AW98">
        <v>0</v>
      </c>
      <c r="AX98">
        <v>0</v>
      </c>
      <c r="AY98">
        <v>0</v>
      </c>
      <c r="CC98">
        <v>2.8235000000000001</v>
      </c>
      <c r="CE98" t="s">
        <v>450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11.622780000000001</v>
      </c>
      <c r="H99" t="s">
        <v>410</v>
      </c>
      <c r="I99">
        <v>7925438857.7520008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CC99">
        <v>2.6760000000000002</v>
      </c>
      <c r="CE99" t="s">
        <v>450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2.8580000000000001</v>
      </c>
      <c r="CE2" t="s">
        <v>450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2.8210000000000002</v>
      </c>
      <c r="CE4" t="s">
        <v>450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3.0409999999999999</v>
      </c>
      <c r="CE5" t="s">
        <v>450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2.9824999999999999</v>
      </c>
      <c r="CE6" t="s">
        <v>450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2.9940000000000002</v>
      </c>
      <c r="CE7" t="s">
        <v>450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2.9529999999999998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2.6619999999999999</v>
      </c>
      <c r="CE11" t="s">
        <v>450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2.7254999999999998</v>
      </c>
      <c r="CE12" t="s">
        <v>450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2.9929999999999999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2.9754999999999998</v>
      </c>
      <c r="CE14" t="s">
        <v>450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2.5880000000000001</v>
      </c>
      <c r="CE15" t="s">
        <v>450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2.8769999999999998</v>
      </c>
      <c r="CE16" t="s">
        <v>450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2.7610000000000001</v>
      </c>
      <c r="CE17" t="s">
        <v>450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3.0710000000000002</v>
      </c>
      <c r="CE20" t="s">
        <v>450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2.5329999999999999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2.6204999999999998</v>
      </c>
      <c r="CE24" t="s">
        <v>450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2.5914999999999999</v>
      </c>
      <c r="CE25" t="s">
        <v>450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2.6284999999999998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2.8195000000000001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2.7719999999999998</v>
      </c>
      <c r="CE30" t="s">
        <v>450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2.5125000000000002</v>
      </c>
      <c r="CE31" t="s">
        <v>450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2.8105000000000002</v>
      </c>
      <c r="CE32" t="s">
        <v>450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2.4834999999999998</v>
      </c>
      <c r="CE33" t="s">
        <v>450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2.7105000000000001</v>
      </c>
      <c r="CE34" t="s">
        <v>450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712</v>
      </c>
      <c r="B35" t="s">
        <v>138</v>
      </c>
      <c r="C35" t="s">
        <v>238</v>
      </c>
      <c r="D35" t="s">
        <v>338</v>
      </c>
      <c r="E35" t="s">
        <v>404</v>
      </c>
      <c r="F35">
        <v>206001790</v>
      </c>
      <c r="G35">
        <v>62.627630000000003</v>
      </c>
      <c r="H35" t="s">
        <v>412</v>
      </c>
      <c r="I35">
        <v>12901403883.457701</v>
      </c>
      <c r="J35" t="s">
        <v>414</v>
      </c>
      <c r="K35">
        <v>34741508.719351202</v>
      </c>
      <c r="L35">
        <v>1</v>
      </c>
      <c r="M35">
        <v>30202010</v>
      </c>
      <c r="N35">
        <v>3020</v>
      </c>
      <c r="O35">
        <v>1.9981674720073901</v>
      </c>
      <c r="P35">
        <v>2.7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2.1840000000000002</v>
      </c>
      <c r="AR35">
        <v>2.6669999999999998</v>
      </c>
      <c r="AS35" t="s">
        <v>430</v>
      </c>
      <c r="AT35">
        <v>0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2.4255</v>
      </c>
      <c r="CE35" t="s">
        <v>450</v>
      </c>
      <c r="CG35">
        <v>1.9981674720073901</v>
      </c>
      <c r="CH35">
        <v>2.7</v>
      </c>
      <c r="CI35">
        <v>2.3490837360036951</v>
      </c>
      <c r="CJ35">
        <v>-0.18</v>
      </c>
      <c r="CK35">
        <v>2.169083736003695</v>
      </c>
    </row>
    <row r="36" spans="1:89" x14ac:dyDescent="0.25">
      <c r="A36">
        <v>533</v>
      </c>
      <c r="B36" t="s">
        <v>139</v>
      </c>
      <c r="C36" t="s">
        <v>239</v>
      </c>
      <c r="D36" t="s">
        <v>339</v>
      </c>
      <c r="E36" t="s">
        <v>405</v>
      </c>
      <c r="F36">
        <v>138400000</v>
      </c>
      <c r="G36">
        <v>68.55</v>
      </c>
      <c r="H36" t="s">
        <v>407</v>
      </c>
      <c r="I36">
        <v>9487320000</v>
      </c>
      <c r="J36" t="s">
        <v>413</v>
      </c>
      <c r="K36">
        <v>6900889.3166666701</v>
      </c>
      <c r="L36">
        <v>0.55000000000000004</v>
      </c>
      <c r="M36">
        <v>30202000</v>
      </c>
      <c r="N36">
        <v>3020</v>
      </c>
      <c r="O36">
        <v>1.8920544675342099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2.2050000000000001</v>
      </c>
      <c r="AR36">
        <v>2.8639999999999999</v>
      </c>
      <c r="AS36" t="s">
        <v>430</v>
      </c>
      <c r="AT36">
        <v>0</v>
      </c>
      <c r="AU36">
        <v>0</v>
      </c>
      <c r="AV36" t="s">
        <v>447</v>
      </c>
      <c r="AW36">
        <v>0</v>
      </c>
      <c r="AX36">
        <v>0</v>
      </c>
      <c r="AY36">
        <v>0</v>
      </c>
      <c r="CC36">
        <v>2.5345</v>
      </c>
      <c r="CE36" t="s">
        <v>450</v>
      </c>
      <c r="CG36">
        <v>1.8920544675342099</v>
      </c>
      <c r="CH36">
        <v>3.4</v>
      </c>
      <c r="CI36">
        <v>2.6460272337671049</v>
      </c>
      <c r="CJ36">
        <v>-0.3</v>
      </c>
      <c r="CK36">
        <v>2.3460272337671051</v>
      </c>
    </row>
    <row r="37" spans="1:89" x14ac:dyDescent="0.25">
      <c r="A37">
        <v>470</v>
      </c>
      <c r="B37" t="s">
        <v>140</v>
      </c>
      <c r="C37" t="s">
        <v>240</v>
      </c>
      <c r="D37" t="s">
        <v>340</v>
      </c>
      <c r="E37" t="s">
        <v>392</v>
      </c>
      <c r="F37">
        <v>104235507</v>
      </c>
      <c r="G37">
        <v>119</v>
      </c>
      <c r="H37" t="s">
        <v>407</v>
      </c>
      <c r="I37">
        <v>12404025333</v>
      </c>
      <c r="J37" t="s">
        <v>413</v>
      </c>
      <c r="K37">
        <v>23304182.974603198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3.1080000000000001</v>
      </c>
      <c r="AS37" t="s">
        <v>430</v>
      </c>
      <c r="AT37">
        <v>0</v>
      </c>
      <c r="AU37">
        <v>0</v>
      </c>
      <c r="AV37" t="s">
        <v>445</v>
      </c>
      <c r="AW37">
        <v>0</v>
      </c>
      <c r="AX37">
        <v>0</v>
      </c>
      <c r="AY37">
        <v>0</v>
      </c>
      <c r="CC37">
        <v>2.7389999999999999</v>
      </c>
      <c r="CE37" t="s">
        <v>450</v>
      </c>
      <c r="CG37">
        <v>1.97838083490229</v>
      </c>
      <c r="CH37">
        <v>3.1</v>
      </c>
      <c r="CI37">
        <v>2.5391904174511448</v>
      </c>
      <c r="CJ37">
        <v>-0.18</v>
      </c>
      <c r="CK37">
        <v>2.3591904174511451</v>
      </c>
    </row>
    <row r="38" spans="1:89" x14ac:dyDescent="0.25">
      <c r="A38">
        <v>384</v>
      </c>
      <c r="B38" t="s">
        <v>141</v>
      </c>
      <c r="C38" t="s">
        <v>241</v>
      </c>
      <c r="D38" t="s">
        <v>341</v>
      </c>
      <c r="E38" t="s">
        <v>396</v>
      </c>
      <c r="F38">
        <v>188300000</v>
      </c>
      <c r="G38">
        <v>246.4</v>
      </c>
      <c r="H38" t="s">
        <v>407</v>
      </c>
      <c r="I38">
        <v>46397120000</v>
      </c>
      <c r="J38" t="s">
        <v>413</v>
      </c>
      <c r="K38">
        <v>64953417.481147498</v>
      </c>
      <c r="L38">
        <v>1</v>
      </c>
      <c r="M38">
        <v>30202015</v>
      </c>
      <c r="N38">
        <v>3020</v>
      </c>
      <c r="O38">
        <v>1.73908167025175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2.3820000000000001</v>
      </c>
      <c r="AR38">
        <v>3.2309999999999999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2.8065000000000002</v>
      </c>
      <c r="CE38" t="s">
        <v>450</v>
      </c>
      <c r="CG38">
        <v>1.73908167025175</v>
      </c>
      <c r="CH38">
        <v>3.4</v>
      </c>
      <c r="CI38">
        <v>2.5695408351258751</v>
      </c>
      <c r="CJ38">
        <v>-0.18</v>
      </c>
      <c r="CK38">
        <v>2.3895408351258749</v>
      </c>
    </row>
    <row r="39" spans="1:89" x14ac:dyDescent="0.25">
      <c r="A39">
        <v>786</v>
      </c>
      <c r="B39" t="s">
        <v>142</v>
      </c>
      <c r="C39" t="s">
        <v>242</v>
      </c>
      <c r="D39" t="s">
        <v>342</v>
      </c>
      <c r="E39" t="s">
        <v>400</v>
      </c>
      <c r="F39">
        <v>5893244000</v>
      </c>
      <c r="G39">
        <v>2.8784939999999999</v>
      </c>
      <c r="H39" t="s">
        <v>410</v>
      </c>
      <c r="I39">
        <v>16963667494.535999</v>
      </c>
      <c r="J39" t="s">
        <v>414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430</v>
      </c>
      <c r="AT39">
        <v>0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2.4409999999999998</v>
      </c>
      <c r="CE39" t="s">
        <v>450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 x14ac:dyDescent="0.25">
      <c r="A40">
        <v>543</v>
      </c>
      <c r="B40" t="s">
        <v>143</v>
      </c>
      <c r="C40" t="s">
        <v>243</v>
      </c>
      <c r="D40" t="s">
        <v>343</v>
      </c>
      <c r="E40" t="s">
        <v>401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2.794</v>
      </c>
      <c r="CE40" t="s">
        <v>450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</row>
    <row r="41" spans="1:89" x14ac:dyDescent="0.25">
      <c r="A41">
        <v>25</v>
      </c>
      <c r="B41" t="s">
        <v>144</v>
      </c>
      <c r="C41" t="s">
        <v>244</v>
      </c>
      <c r="D41" t="s">
        <v>344</v>
      </c>
      <c r="E41" t="s">
        <v>400</v>
      </c>
      <c r="F41">
        <v>306304700</v>
      </c>
      <c r="G41">
        <v>33.850409999999997</v>
      </c>
      <c r="H41" t="s">
        <v>410</v>
      </c>
      <c r="I41">
        <v>10368539679.927</v>
      </c>
      <c r="J41" t="s">
        <v>414</v>
      </c>
      <c r="K41">
        <v>10015139.725619299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2.29</v>
      </c>
      <c r="CE41" t="s">
        <v>450</v>
      </c>
      <c r="CG41">
        <v>1.99880903325661</v>
      </c>
      <c r="CH41">
        <v>2.7</v>
      </c>
      <c r="CI41">
        <v>2.3494045166283049</v>
      </c>
      <c r="CJ41">
        <v>0</v>
      </c>
      <c r="CK41">
        <v>2.3494045166283049</v>
      </c>
    </row>
    <row r="42" spans="1:89" x14ac:dyDescent="0.25">
      <c r="A42">
        <v>145</v>
      </c>
      <c r="B42" t="s">
        <v>145</v>
      </c>
      <c r="C42" t="s">
        <v>245</v>
      </c>
      <c r="D42" t="s">
        <v>345</v>
      </c>
      <c r="E42" t="s">
        <v>392</v>
      </c>
      <c r="F42">
        <v>2214797873</v>
      </c>
      <c r="G42">
        <v>36.979999999999997</v>
      </c>
      <c r="H42" t="s">
        <v>407</v>
      </c>
      <c r="I42">
        <v>81903225343.539993</v>
      </c>
      <c r="J42" t="s">
        <v>413</v>
      </c>
      <c r="K42">
        <v>141293081.09468201</v>
      </c>
      <c r="L42">
        <v>0.85000000000000009</v>
      </c>
      <c r="M42">
        <v>30302010</v>
      </c>
      <c r="N42">
        <v>3030</v>
      </c>
      <c r="O42">
        <v>3.2733333333333299</v>
      </c>
      <c r="P42">
        <v>1.5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2.3420000000000001</v>
      </c>
      <c r="AR42">
        <v>2.6240000000000001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2.4830000000000001</v>
      </c>
      <c r="CE42" t="s">
        <v>450</v>
      </c>
      <c r="CG42">
        <v>3.2733333333333299</v>
      </c>
      <c r="CH42">
        <v>1.5</v>
      </c>
      <c r="CI42">
        <v>2.3866666666666649</v>
      </c>
      <c r="CJ42">
        <v>0</v>
      </c>
      <c r="CK42">
        <v>2.3866666666666649</v>
      </c>
    </row>
    <row r="43" spans="1:89" x14ac:dyDescent="0.25">
      <c r="A43">
        <v>781</v>
      </c>
      <c r="B43" t="s">
        <v>146</v>
      </c>
      <c r="C43" t="s">
        <v>246</v>
      </c>
      <c r="D43" t="s">
        <v>346</v>
      </c>
      <c r="E43" t="s">
        <v>400</v>
      </c>
      <c r="F43">
        <v>744937900</v>
      </c>
      <c r="G43">
        <v>6.8970200000000004</v>
      </c>
      <c r="H43" t="s">
        <v>410</v>
      </c>
      <c r="I43">
        <v>5137851595.0580006</v>
      </c>
      <c r="J43" t="s">
        <v>414</v>
      </c>
      <c r="K43">
        <v>14821728.319426199</v>
      </c>
      <c r="L43">
        <v>1</v>
      </c>
      <c r="M43">
        <v>35102000</v>
      </c>
      <c r="N43">
        <v>3510</v>
      </c>
      <c r="O43">
        <v>1.7395630247731899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424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2.5605000000000002</v>
      </c>
      <c r="CE43" t="s">
        <v>450</v>
      </c>
      <c r="CG43">
        <v>1.7395630247731899</v>
      </c>
      <c r="CH43">
        <v>1.5</v>
      </c>
      <c r="CI43">
        <v>1.6197815123865951</v>
      </c>
      <c r="CJ43">
        <v>-0.3</v>
      </c>
      <c r="CK43">
        <v>1.319781512386595</v>
      </c>
    </row>
    <row r="44" spans="1:89" x14ac:dyDescent="0.25">
      <c r="A44">
        <v>1429</v>
      </c>
      <c r="B44" t="s">
        <v>147</v>
      </c>
      <c r="C44" t="s">
        <v>247</v>
      </c>
      <c r="D44" t="s">
        <v>347</v>
      </c>
      <c r="E44" t="s">
        <v>392</v>
      </c>
      <c r="F44">
        <v>142625428</v>
      </c>
      <c r="G44">
        <v>82.02</v>
      </c>
      <c r="H44" t="s">
        <v>407</v>
      </c>
      <c r="I44">
        <v>11698137604.559999</v>
      </c>
      <c r="J44" t="s">
        <v>413</v>
      </c>
      <c r="K44">
        <v>24417917.903809499</v>
      </c>
      <c r="L44">
        <v>0.85000000000000009</v>
      </c>
      <c r="M44">
        <v>35102045</v>
      </c>
      <c r="N44">
        <v>3510</v>
      </c>
      <c r="O44">
        <v>1.7463750143176899</v>
      </c>
      <c r="P44">
        <v>2.7</v>
      </c>
      <c r="Q44" t="s">
        <v>415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2.6110000000000002</v>
      </c>
      <c r="AR44">
        <v>3.1669999999999998</v>
      </c>
      <c r="AS44" t="s">
        <v>424</v>
      </c>
      <c r="AT44">
        <v>1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2.8889999999999998</v>
      </c>
      <c r="CE44" t="s">
        <v>450</v>
      </c>
      <c r="CG44">
        <v>1.7463750143176899</v>
      </c>
      <c r="CH44">
        <v>2.7</v>
      </c>
      <c r="CI44">
        <v>2.2231875071588449</v>
      </c>
      <c r="CJ44">
        <v>-0.3</v>
      </c>
      <c r="CK44">
        <v>1.9231875071588449</v>
      </c>
    </row>
    <row r="45" spans="1:89" x14ac:dyDescent="0.25">
      <c r="A45">
        <v>539</v>
      </c>
      <c r="B45" t="s">
        <v>148</v>
      </c>
      <c r="C45" t="s">
        <v>248</v>
      </c>
      <c r="D45" t="s">
        <v>348</v>
      </c>
      <c r="E45" t="s">
        <v>392</v>
      </c>
      <c r="F45">
        <v>76738691</v>
      </c>
      <c r="G45">
        <v>91.9</v>
      </c>
      <c r="H45" t="s">
        <v>407</v>
      </c>
      <c r="I45">
        <v>7052285702.9000006</v>
      </c>
      <c r="J45" t="s">
        <v>413</v>
      </c>
      <c r="K45">
        <v>10616904.702777799</v>
      </c>
      <c r="L45">
        <v>0.60000000000000009</v>
      </c>
      <c r="M45">
        <v>35102030</v>
      </c>
      <c r="N45">
        <v>3510</v>
      </c>
      <c r="O45">
        <v>2.2375872094998699</v>
      </c>
      <c r="P45">
        <v>2.08</v>
      </c>
      <c r="Q45" t="s">
        <v>416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2.1800000000000002</v>
      </c>
      <c r="AR45">
        <v>3.1019999999999999</v>
      </c>
      <c r="AS45" t="s">
        <v>424</v>
      </c>
      <c r="AT45">
        <v>1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2.641</v>
      </c>
      <c r="CE45" t="s">
        <v>450</v>
      </c>
      <c r="CG45">
        <v>2.2375872094998699</v>
      </c>
      <c r="CH45">
        <v>2.08</v>
      </c>
      <c r="CI45">
        <v>2.1587936047499352</v>
      </c>
      <c r="CJ45">
        <v>-0.18</v>
      </c>
      <c r="CK45">
        <v>1.978793604749935</v>
      </c>
    </row>
    <row r="46" spans="1:89" x14ac:dyDescent="0.25">
      <c r="A46">
        <v>862</v>
      </c>
      <c r="B46" t="s">
        <v>149</v>
      </c>
      <c r="C46" t="s">
        <v>249</v>
      </c>
      <c r="D46" t="s">
        <v>349</v>
      </c>
      <c r="E46" t="s">
        <v>399</v>
      </c>
      <c r="F46">
        <v>563724900</v>
      </c>
      <c r="G46">
        <v>10.87</v>
      </c>
      <c r="H46" t="s">
        <v>407</v>
      </c>
      <c r="I46">
        <v>6127689663</v>
      </c>
      <c r="J46" t="s">
        <v>413</v>
      </c>
      <c r="K46">
        <v>8755069.4216968194</v>
      </c>
      <c r="L46">
        <v>0.65</v>
      </c>
      <c r="M46">
        <v>35102000</v>
      </c>
      <c r="N46">
        <v>3510</v>
      </c>
      <c r="O46">
        <v>1.7450067698613001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2.6259999999999999</v>
      </c>
      <c r="AS46" t="s">
        <v>424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2.4015</v>
      </c>
      <c r="CE46" t="s">
        <v>450</v>
      </c>
      <c r="CG46">
        <v>1.7450067698613001</v>
      </c>
      <c r="CH46">
        <v>3.4</v>
      </c>
      <c r="CI46">
        <v>2.5725033849306498</v>
      </c>
      <c r="CJ46">
        <v>-0.18</v>
      </c>
      <c r="CK46">
        <v>2.3925033849306501</v>
      </c>
    </row>
    <row r="47" spans="1:89" x14ac:dyDescent="0.25">
      <c r="A47">
        <v>202</v>
      </c>
      <c r="B47" t="s">
        <v>150</v>
      </c>
      <c r="C47" t="s">
        <v>250</v>
      </c>
      <c r="D47" t="s">
        <v>350</v>
      </c>
      <c r="E47" t="s">
        <v>396</v>
      </c>
      <c r="F47">
        <v>579795650</v>
      </c>
      <c r="G47">
        <v>82.58</v>
      </c>
      <c r="H47" t="s">
        <v>407</v>
      </c>
      <c r="I47">
        <v>47879524777</v>
      </c>
      <c r="J47" t="s">
        <v>413</v>
      </c>
      <c r="K47">
        <v>97231108.921311393</v>
      </c>
      <c r="L47">
        <v>0.5</v>
      </c>
      <c r="M47">
        <v>40101020</v>
      </c>
      <c r="N47">
        <v>4010</v>
      </c>
      <c r="O47">
        <v>1.7483805263697001</v>
      </c>
      <c r="P47">
        <v>1.5</v>
      </c>
      <c r="Q47" t="s">
        <v>417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2.3959999999999999</v>
      </c>
      <c r="AR47">
        <v>2.3119999999999998</v>
      </c>
      <c r="AS47" t="s">
        <v>418</v>
      </c>
      <c r="AT47">
        <v>1</v>
      </c>
      <c r="AU47">
        <v>0</v>
      </c>
      <c r="AV47" t="s">
        <v>437</v>
      </c>
      <c r="AW47">
        <v>0</v>
      </c>
      <c r="AX47">
        <v>0</v>
      </c>
      <c r="AY47">
        <v>0</v>
      </c>
      <c r="CC47">
        <v>2.3540000000000001</v>
      </c>
      <c r="CE47" t="s">
        <v>450</v>
      </c>
      <c r="CG47">
        <v>1.7483805263697001</v>
      </c>
      <c r="CH47">
        <v>1.5</v>
      </c>
      <c r="CI47">
        <v>1.6241902631848499</v>
      </c>
      <c r="CJ47">
        <v>-0.24</v>
      </c>
      <c r="CK47">
        <v>1.3841902631848499</v>
      </c>
    </row>
    <row r="48" spans="1:89" x14ac:dyDescent="0.25">
      <c r="A48">
        <v>321</v>
      </c>
      <c r="B48" t="s">
        <v>151</v>
      </c>
      <c r="C48" t="s">
        <v>251</v>
      </c>
      <c r="D48" t="s">
        <v>351</v>
      </c>
      <c r="E48" t="s">
        <v>396</v>
      </c>
      <c r="F48">
        <v>200005980</v>
      </c>
      <c r="G48">
        <v>69</v>
      </c>
      <c r="H48" t="s">
        <v>407</v>
      </c>
      <c r="I48">
        <v>13800412620</v>
      </c>
      <c r="J48" t="s">
        <v>413</v>
      </c>
      <c r="K48">
        <v>24556942.140819699</v>
      </c>
      <c r="L48">
        <v>0.55000000000000004</v>
      </c>
      <c r="M48">
        <v>40101025</v>
      </c>
      <c r="N48">
        <v>4010</v>
      </c>
      <c r="O48">
        <v>1.99537761888822</v>
      </c>
      <c r="P48">
        <v>1.5</v>
      </c>
      <c r="Q48" t="s">
        <v>417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2.4060000000000001</v>
      </c>
      <c r="AR48">
        <v>2.6320000000000001</v>
      </c>
      <c r="AS48" t="s">
        <v>418</v>
      </c>
      <c r="AT48">
        <v>1</v>
      </c>
      <c r="AU48">
        <v>0</v>
      </c>
      <c r="AV48" t="s">
        <v>437</v>
      </c>
      <c r="AW48">
        <v>0</v>
      </c>
      <c r="AX48">
        <v>0</v>
      </c>
      <c r="AY48">
        <v>0</v>
      </c>
      <c r="CC48">
        <v>2.5190000000000001</v>
      </c>
      <c r="CE48" t="s">
        <v>450</v>
      </c>
      <c r="CG48">
        <v>1.99537761888822</v>
      </c>
      <c r="CH48">
        <v>1.5</v>
      </c>
      <c r="CI48">
        <v>1.7476888094441101</v>
      </c>
      <c r="CJ48">
        <v>-0.24</v>
      </c>
      <c r="CK48">
        <v>1.5076888094441101</v>
      </c>
    </row>
    <row r="49" spans="1:89" x14ac:dyDescent="0.25">
      <c r="A49">
        <v>809</v>
      </c>
      <c r="B49" t="s">
        <v>152</v>
      </c>
      <c r="C49" t="s">
        <v>252</v>
      </c>
      <c r="D49" t="s">
        <v>352</v>
      </c>
      <c r="E49" t="s">
        <v>392</v>
      </c>
      <c r="F49">
        <v>534311946</v>
      </c>
      <c r="G49">
        <v>346.1</v>
      </c>
      <c r="H49" t="s">
        <v>407</v>
      </c>
      <c r="I49">
        <v>184925364510.60001</v>
      </c>
      <c r="J49" t="s">
        <v>413</v>
      </c>
      <c r="K49">
        <v>150007719.04285699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2.4470000000000001</v>
      </c>
      <c r="AR49">
        <v>2.8420000000000001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CC49">
        <v>2.6444999999999999</v>
      </c>
      <c r="CE49" t="s">
        <v>450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 x14ac:dyDescent="0.25">
      <c r="A50">
        <v>1336</v>
      </c>
      <c r="B50" t="s">
        <v>153</v>
      </c>
      <c r="C50" t="s">
        <v>253</v>
      </c>
      <c r="D50" t="s">
        <v>353</v>
      </c>
      <c r="E50" t="s">
        <v>400</v>
      </c>
      <c r="F50">
        <v>3540041300</v>
      </c>
      <c r="G50">
        <v>1.3824259999999999</v>
      </c>
      <c r="H50" t="s">
        <v>410</v>
      </c>
      <c r="I50">
        <v>4893845134.1938</v>
      </c>
      <c r="J50" t="s">
        <v>414</v>
      </c>
      <c r="K50">
        <v>19580322.357266299</v>
      </c>
      <c r="L50">
        <v>1</v>
      </c>
      <c r="M50">
        <v>40202010</v>
      </c>
      <c r="N50">
        <v>4020</v>
      </c>
      <c r="O50">
        <v>1.7480510479370199</v>
      </c>
      <c r="P50">
        <v>1.5</v>
      </c>
      <c r="Q50" t="s">
        <v>417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2.4900000000000002</v>
      </c>
      <c r="AR50">
        <v>2.7679999999999998</v>
      </c>
      <c r="AS50" t="s">
        <v>423</v>
      </c>
      <c r="AT50">
        <v>1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2.629</v>
      </c>
      <c r="CE50" t="s">
        <v>450</v>
      </c>
      <c r="CG50">
        <v>1.7480510479370199</v>
      </c>
      <c r="CH50">
        <v>1.5</v>
      </c>
      <c r="CI50">
        <v>1.62402552396851</v>
      </c>
      <c r="CJ50">
        <v>-0.24</v>
      </c>
      <c r="CK50">
        <v>1.38402552396851</v>
      </c>
    </row>
    <row r="51" spans="1:89" x14ac:dyDescent="0.25">
      <c r="A51">
        <v>171</v>
      </c>
      <c r="B51" t="s">
        <v>154</v>
      </c>
      <c r="C51" t="s">
        <v>254</v>
      </c>
      <c r="D51" t="s">
        <v>354</v>
      </c>
      <c r="E51" t="s">
        <v>400</v>
      </c>
      <c r="F51">
        <v>1450318700</v>
      </c>
      <c r="G51">
        <v>5.1331730000000002</v>
      </c>
      <c r="H51" t="s">
        <v>410</v>
      </c>
      <c r="I51">
        <v>7444736792.2351007</v>
      </c>
      <c r="J51" t="s">
        <v>414</v>
      </c>
      <c r="K51">
        <v>20081175.638739999</v>
      </c>
      <c r="L51">
        <v>1</v>
      </c>
      <c r="M51">
        <v>40202010</v>
      </c>
      <c r="N51">
        <v>4020</v>
      </c>
      <c r="O51">
        <v>1.7482663894438499</v>
      </c>
      <c r="P51">
        <v>1.77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2.4900000000000002</v>
      </c>
      <c r="AR51">
        <v>3.2989999999999999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2.8944999999999999</v>
      </c>
      <c r="CE51" t="s">
        <v>450</v>
      </c>
      <c r="CG51">
        <v>1.7482663894438499</v>
      </c>
      <c r="CH51">
        <v>1.77</v>
      </c>
      <c r="CI51">
        <v>1.7591331947219251</v>
      </c>
      <c r="CJ51">
        <v>-0.3</v>
      </c>
      <c r="CK51">
        <v>1.459133194721925</v>
      </c>
    </row>
    <row r="52" spans="1:89" x14ac:dyDescent="0.25">
      <c r="A52">
        <v>1033</v>
      </c>
      <c r="B52" t="s">
        <v>155</v>
      </c>
      <c r="C52" t="s">
        <v>255</v>
      </c>
      <c r="D52" t="s">
        <v>355</v>
      </c>
      <c r="E52" t="s">
        <v>400</v>
      </c>
      <c r="F52">
        <v>319915900</v>
      </c>
      <c r="G52">
        <v>14.61008</v>
      </c>
      <c r="H52" t="s">
        <v>410</v>
      </c>
      <c r="I52">
        <v>4673996892.2720003</v>
      </c>
      <c r="J52" t="s">
        <v>414</v>
      </c>
      <c r="K52">
        <v>15670413.556200899</v>
      </c>
      <c r="L52">
        <v>1</v>
      </c>
      <c r="M52">
        <v>40202010</v>
      </c>
      <c r="N52">
        <v>4020</v>
      </c>
      <c r="O52">
        <v>1.9955323498800199</v>
      </c>
      <c r="P52">
        <v>1.5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2.8759999999999999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2.5165000000000002</v>
      </c>
      <c r="CE52" t="s">
        <v>450</v>
      </c>
      <c r="CG52">
        <v>1.9955323498800199</v>
      </c>
      <c r="CH52">
        <v>1.5</v>
      </c>
      <c r="CI52">
        <v>1.74776617494001</v>
      </c>
      <c r="CJ52">
        <v>-0.24</v>
      </c>
      <c r="CK52">
        <v>1.50776617494001</v>
      </c>
    </row>
    <row r="53" spans="1:89" x14ac:dyDescent="0.25">
      <c r="A53">
        <v>189</v>
      </c>
      <c r="B53" t="s">
        <v>156</v>
      </c>
      <c r="C53" t="s">
        <v>256</v>
      </c>
      <c r="D53" t="s">
        <v>356</v>
      </c>
      <c r="E53" t="s">
        <v>400</v>
      </c>
      <c r="F53">
        <v>118657364</v>
      </c>
      <c r="G53">
        <v>28.04748</v>
      </c>
      <c r="H53" t="s">
        <v>410</v>
      </c>
      <c r="I53">
        <v>3328040043.6427202</v>
      </c>
      <c r="J53" t="s">
        <v>414</v>
      </c>
      <c r="K53">
        <v>10092470.100475</v>
      </c>
      <c r="L53">
        <v>1</v>
      </c>
      <c r="M53">
        <v>40202010</v>
      </c>
      <c r="N53">
        <v>4020</v>
      </c>
      <c r="O53">
        <v>1.9966860020732899</v>
      </c>
      <c r="P53">
        <v>2.08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423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2.2829999999999999</v>
      </c>
      <c r="CE53" t="s">
        <v>450</v>
      </c>
      <c r="CG53">
        <v>1.9966860020732899</v>
      </c>
      <c r="CH53">
        <v>2.08</v>
      </c>
      <c r="CI53">
        <v>2.0383430010366448</v>
      </c>
      <c r="CJ53">
        <v>-0.18</v>
      </c>
      <c r="CK53">
        <v>1.8583430010366451</v>
      </c>
    </row>
    <row r="54" spans="1:89" x14ac:dyDescent="0.25">
      <c r="A54">
        <v>587</v>
      </c>
      <c r="B54" t="s">
        <v>157</v>
      </c>
      <c r="C54" t="s">
        <v>257</v>
      </c>
      <c r="D54" t="s">
        <v>357</v>
      </c>
      <c r="E54" t="s">
        <v>396</v>
      </c>
      <c r="F54">
        <v>178162870</v>
      </c>
      <c r="G54">
        <v>83.9</v>
      </c>
      <c r="H54" t="s">
        <v>407</v>
      </c>
      <c r="I54">
        <v>14947864793</v>
      </c>
      <c r="J54" t="s">
        <v>413</v>
      </c>
      <c r="K54">
        <v>27155576.799672101</v>
      </c>
      <c r="L54">
        <v>0.9</v>
      </c>
      <c r="M54">
        <v>40202025</v>
      </c>
      <c r="N54">
        <v>4020</v>
      </c>
      <c r="O54">
        <v>1.7474964823060299</v>
      </c>
      <c r="P54">
        <v>2.08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C54">
        <v>0</v>
      </c>
      <c r="AQ54">
        <v>2.9809999999999999</v>
      </c>
      <c r="AR54">
        <v>2.5419999999999998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2.7614999999999998</v>
      </c>
      <c r="CE54" t="s">
        <v>450</v>
      </c>
      <c r="CG54">
        <v>1.7474964823060299</v>
      </c>
      <c r="CH54">
        <v>2.08</v>
      </c>
      <c r="CI54">
        <v>1.9137482411530149</v>
      </c>
      <c r="CJ54">
        <v>0</v>
      </c>
      <c r="CK54">
        <v>1.9137482411530149</v>
      </c>
    </row>
    <row r="55" spans="1:89" x14ac:dyDescent="0.25">
      <c r="A55">
        <v>1512</v>
      </c>
      <c r="B55" t="s">
        <v>158</v>
      </c>
      <c r="C55" t="s">
        <v>258</v>
      </c>
      <c r="D55" t="s">
        <v>358</v>
      </c>
      <c r="E55" t="s">
        <v>394</v>
      </c>
      <c r="F55">
        <v>238516153</v>
      </c>
      <c r="G55">
        <v>172.6</v>
      </c>
      <c r="H55" t="s">
        <v>407</v>
      </c>
      <c r="I55">
        <v>41167888007.800003</v>
      </c>
      <c r="J55" t="s">
        <v>413</v>
      </c>
      <c r="K55">
        <v>74863714.427777797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429</v>
      </c>
      <c r="AT55">
        <v>0</v>
      </c>
      <c r="AU55">
        <v>0</v>
      </c>
      <c r="AV55" t="s">
        <v>445</v>
      </c>
      <c r="AW55">
        <v>0</v>
      </c>
      <c r="AX55">
        <v>0</v>
      </c>
      <c r="AY55">
        <v>0</v>
      </c>
      <c r="CC55">
        <v>2.895</v>
      </c>
      <c r="CE55" t="s">
        <v>450</v>
      </c>
      <c r="CG55">
        <v>1.5670644957319</v>
      </c>
      <c r="CH55">
        <v>1.5</v>
      </c>
      <c r="CI55">
        <v>1.5335322478659501</v>
      </c>
      <c r="CJ55">
        <v>-0.18</v>
      </c>
      <c r="CK55">
        <v>1.3535322478659499</v>
      </c>
    </row>
    <row r="56" spans="1:89" x14ac:dyDescent="0.25">
      <c r="A56">
        <v>1098</v>
      </c>
      <c r="B56" t="s">
        <v>159</v>
      </c>
      <c r="C56" t="s">
        <v>259</v>
      </c>
      <c r="D56" t="s">
        <v>359</v>
      </c>
      <c r="E56" t="s">
        <v>394</v>
      </c>
      <c r="F56">
        <v>1907070957</v>
      </c>
      <c r="G56">
        <v>47.26</v>
      </c>
      <c r="H56" t="s">
        <v>407</v>
      </c>
      <c r="I56">
        <v>90128173427.819992</v>
      </c>
      <c r="J56" t="s">
        <v>413</v>
      </c>
      <c r="K56">
        <v>34161920.378412701</v>
      </c>
      <c r="L56">
        <v>1</v>
      </c>
      <c r="M56">
        <v>40301030</v>
      </c>
      <c r="N56">
        <v>4030</v>
      </c>
      <c r="O56">
        <v>1.9831746989669301</v>
      </c>
      <c r="P56">
        <v>1.5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2.4740000000000002</v>
      </c>
      <c r="AR56">
        <v>3.2949999999999999</v>
      </c>
      <c r="AS56" t="s">
        <v>429</v>
      </c>
      <c r="AT56">
        <v>0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2.8845000000000001</v>
      </c>
      <c r="CE56" t="s">
        <v>450</v>
      </c>
      <c r="CG56">
        <v>1.9831746989669301</v>
      </c>
      <c r="CH56">
        <v>1.5</v>
      </c>
      <c r="CI56">
        <v>1.7415873494834651</v>
      </c>
      <c r="CJ56">
        <v>-0.18</v>
      </c>
      <c r="CK56">
        <v>1.5615873494834649</v>
      </c>
    </row>
    <row r="57" spans="1:89" x14ac:dyDescent="0.25">
      <c r="A57">
        <v>1517</v>
      </c>
      <c r="B57" t="s">
        <v>160</v>
      </c>
      <c r="C57" t="s">
        <v>260</v>
      </c>
      <c r="D57" t="s">
        <v>360</v>
      </c>
      <c r="E57" t="s">
        <v>400</v>
      </c>
      <c r="F57">
        <v>1078802400</v>
      </c>
      <c r="G57">
        <v>9.1105959999999993</v>
      </c>
      <c r="H57" t="s">
        <v>410</v>
      </c>
      <c r="I57">
        <v>9828532830.2304001</v>
      </c>
      <c r="J57" t="s">
        <v>414</v>
      </c>
      <c r="K57">
        <v>20881891.102371901</v>
      </c>
      <c r="L57">
        <v>0.95</v>
      </c>
      <c r="M57">
        <v>40301020</v>
      </c>
      <c r="N57">
        <v>4030</v>
      </c>
      <c r="O57">
        <v>1.9934117984292601</v>
      </c>
      <c r="P57">
        <v>1.5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2.2429999999999999</v>
      </c>
      <c r="AR57">
        <v>3.0659999999999998</v>
      </c>
      <c r="AS57" t="s">
        <v>429</v>
      </c>
      <c r="AT57">
        <v>0</v>
      </c>
      <c r="AU57">
        <v>0</v>
      </c>
      <c r="AV57" t="s">
        <v>448</v>
      </c>
      <c r="AW57">
        <v>0</v>
      </c>
      <c r="AX57">
        <v>0</v>
      </c>
      <c r="AY57">
        <v>0</v>
      </c>
      <c r="CC57">
        <v>2.6545000000000001</v>
      </c>
      <c r="CE57" t="s">
        <v>450</v>
      </c>
      <c r="CG57">
        <v>1.9934117984292601</v>
      </c>
      <c r="CH57">
        <v>1.5</v>
      </c>
      <c r="CI57">
        <v>1.74670589921463</v>
      </c>
      <c r="CJ57">
        <v>-0.18</v>
      </c>
      <c r="CK57">
        <v>1.5667058992146301</v>
      </c>
    </row>
    <row r="58" spans="1:89" x14ac:dyDescent="0.25">
      <c r="A58">
        <v>747</v>
      </c>
      <c r="B58" t="s">
        <v>161</v>
      </c>
      <c r="C58" t="s">
        <v>261</v>
      </c>
      <c r="D58" t="s">
        <v>361</v>
      </c>
      <c r="E58" t="s">
        <v>400</v>
      </c>
      <c r="F58">
        <v>1788668100</v>
      </c>
      <c r="G58">
        <v>2.9667460000000001</v>
      </c>
      <c r="H58" t="s">
        <v>410</v>
      </c>
      <c r="I58">
        <v>5306523931.0025997</v>
      </c>
      <c r="J58" t="s">
        <v>414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2.3319999999999999</v>
      </c>
      <c r="AR58">
        <v>3.3580000000000001</v>
      </c>
      <c r="AS58" t="s">
        <v>431</v>
      </c>
      <c r="AT58">
        <v>1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2.8450000000000002</v>
      </c>
      <c r="CE58" t="s">
        <v>450</v>
      </c>
      <c r="CG58">
        <v>1.99679915892727</v>
      </c>
      <c r="CH58">
        <v>1.5</v>
      </c>
      <c r="CI58">
        <v>1.7483995794636349</v>
      </c>
      <c r="CJ58">
        <v>-0.24</v>
      </c>
      <c r="CK58">
        <v>1.5083995794636349</v>
      </c>
    </row>
    <row r="59" spans="1:89" x14ac:dyDescent="0.25">
      <c r="A59">
        <v>931</v>
      </c>
      <c r="B59" t="s">
        <v>162</v>
      </c>
      <c r="C59" t="s">
        <v>262</v>
      </c>
      <c r="D59" t="s">
        <v>362</v>
      </c>
      <c r="E59" t="s">
        <v>400</v>
      </c>
      <c r="F59">
        <v>123443540</v>
      </c>
      <c r="G59">
        <v>121.0757</v>
      </c>
      <c r="H59" t="s">
        <v>410</v>
      </c>
      <c r="I59">
        <v>14946013015.978001</v>
      </c>
      <c r="J59" t="s">
        <v>414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2.3570000000000002</v>
      </c>
      <c r="AR59">
        <v>2.1</v>
      </c>
      <c r="AS59" t="s">
        <v>431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2.2284999999999999</v>
      </c>
      <c r="CE59" t="s">
        <v>450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1.5643494327549701</v>
      </c>
    </row>
    <row r="60" spans="1:89" x14ac:dyDescent="0.25">
      <c r="A60">
        <v>1419</v>
      </c>
      <c r="B60" t="s">
        <v>163</v>
      </c>
      <c r="C60" t="s">
        <v>263</v>
      </c>
      <c r="D60" t="s">
        <v>363</v>
      </c>
      <c r="E60" t="s">
        <v>396</v>
      </c>
      <c r="F60">
        <v>507431030</v>
      </c>
      <c r="G60">
        <v>6.5759999999999996</v>
      </c>
      <c r="H60" t="s">
        <v>407</v>
      </c>
      <c r="I60">
        <v>3336866453.2800002</v>
      </c>
      <c r="J60" t="s">
        <v>413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415</v>
      </c>
      <c r="R60" t="s">
        <v>421</v>
      </c>
      <c r="S60">
        <v>0</v>
      </c>
      <c r="T60">
        <v>0.01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2.5910000000000002</v>
      </c>
      <c r="AR60">
        <v>2.93</v>
      </c>
      <c r="AS60" t="s">
        <v>428</v>
      </c>
      <c r="AT60">
        <v>0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2.7605</v>
      </c>
      <c r="CE60" t="s">
        <v>450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 x14ac:dyDescent="0.25">
      <c r="A61">
        <v>815</v>
      </c>
      <c r="B61" t="s">
        <v>164</v>
      </c>
      <c r="C61" t="s">
        <v>264</v>
      </c>
      <c r="D61" t="s">
        <v>364</v>
      </c>
      <c r="E61" t="s">
        <v>396</v>
      </c>
      <c r="F61">
        <v>1200015000</v>
      </c>
      <c r="G61">
        <v>6.3940000000000001</v>
      </c>
      <c r="H61" t="s">
        <v>407</v>
      </c>
      <c r="I61">
        <v>7672895910</v>
      </c>
      <c r="J61" t="s">
        <v>413</v>
      </c>
      <c r="K61">
        <v>40455426.200245902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416</v>
      </c>
      <c r="R61" t="s">
        <v>421</v>
      </c>
      <c r="S61">
        <v>0</v>
      </c>
      <c r="T61">
        <v>0.01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426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2.4750000000000001</v>
      </c>
      <c r="CE61" t="s">
        <v>450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1.4881934610356951</v>
      </c>
    </row>
    <row r="62" spans="1:89" x14ac:dyDescent="0.25">
      <c r="A62">
        <v>1133</v>
      </c>
      <c r="B62" t="s">
        <v>165</v>
      </c>
      <c r="C62" t="s">
        <v>265</v>
      </c>
      <c r="D62" t="s">
        <v>365</v>
      </c>
      <c r="E62" t="s">
        <v>395</v>
      </c>
      <c r="F62">
        <v>1074613824</v>
      </c>
      <c r="G62">
        <v>20.260000000000002</v>
      </c>
      <c r="H62" t="s">
        <v>407</v>
      </c>
      <c r="I62">
        <v>21771676074.240002</v>
      </c>
      <c r="J62" t="s">
        <v>413</v>
      </c>
      <c r="K62">
        <v>37482966.910301603</v>
      </c>
      <c r="L62">
        <v>1</v>
      </c>
      <c r="M62">
        <v>40501010</v>
      </c>
      <c r="N62">
        <v>4050</v>
      </c>
      <c r="O62">
        <v>1.6201795191173001</v>
      </c>
      <c r="P62">
        <v>2.7</v>
      </c>
      <c r="Q62" t="s">
        <v>417</v>
      </c>
      <c r="R62" t="s">
        <v>422</v>
      </c>
      <c r="S62">
        <v>0</v>
      </c>
      <c r="T62">
        <v>0.01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3.0049999999999999</v>
      </c>
      <c r="AS62" t="s">
        <v>426</v>
      </c>
      <c r="AT62">
        <v>1</v>
      </c>
      <c r="AU62">
        <v>0</v>
      </c>
      <c r="AV62" t="s">
        <v>436</v>
      </c>
      <c r="AW62">
        <v>0</v>
      </c>
      <c r="AX62">
        <v>0</v>
      </c>
      <c r="AY62">
        <v>0</v>
      </c>
      <c r="CC62">
        <v>2.4125000000000001</v>
      </c>
      <c r="CE62" t="s">
        <v>450</v>
      </c>
      <c r="CG62">
        <v>1.6201795191173001</v>
      </c>
      <c r="CH62">
        <v>2.7</v>
      </c>
      <c r="CI62">
        <v>2.1600897595586499</v>
      </c>
      <c r="CJ62">
        <v>-0.24</v>
      </c>
      <c r="CK62">
        <v>1.9200897595586499</v>
      </c>
    </row>
    <row r="63" spans="1:89" x14ac:dyDescent="0.25">
      <c r="A63">
        <v>659</v>
      </c>
      <c r="B63" t="s">
        <v>166</v>
      </c>
      <c r="C63" t="s">
        <v>266</v>
      </c>
      <c r="D63" t="s">
        <v>366</v>
      </c>
      <c r="E63" t="s">
        <v>400</v>
      </c>
      <c r="F63">
        <v>158172500</v>
      </c>
      <c r="G63">
        <v>119.6854</v>
      </c>
      <c r="H63" t="s">
        <v>410</v>
      </c>
      <c r="I63">
        <v>18930938931.5</v>
      </c>
      <c r="J63" t="s">
        <v>414</v>
      </c>
      <c r="K63">
        <v>32247793.982799198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418</v>
      </c>
      <c r="R63" t="s">
        <v>421</v>
      </c>
      <c r="S63">
        <v>0</v>
      </c>
      <c r="T63">
        <v>0.01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2.2839999999999998</v>
      </c>
      <c r="AR63">
        <v>2.9609999999999999</v>
      </c>
      <c r="AS63" t="s">
        <v>432</v>
      </c>
      <c r="AT63">
        <v>0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2.6225000000000001</v>
      </c>
      <c r="CE63" t="s">
        <v>450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 x14ac:dyDescent="0.25">
      <c r="A64">
        <v>299</v>
      </c>
      <c r="B64" t="s">
        <v>167</v>
      </c>
      <c r="C64" t="s">
        <v>267</v>
      </c>
      <c r="D64" t="s">
        <v>367</v>
      </c>
      <c r="E64" t="s">
        <v>400</v>
      </c>
      <c r="F64">
        <v>362188870</v>
      </c>
      <c r="G64">
        <v>39.991840000000003</v>
      </c>
      <c r="H64" t="s">
        <v>410</v>
      </c>
      <c r="I64">
        <v>14484599338.820801</v>
      </c>
      <c r="J64" t="s">
        <v>414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418</v>
      </c>
      <c r="AT64">
        <v>1</v>
      </c>
      <c r="AU64">
        <v>0</v>
      </c>
      <c r="AV64" t="s">
        <v>446</v>
      </c>
      <c r="AW64">
        <v>0</v>
      </c>
      <c r="AX64">
        <v>0</v>
      </c>
      <c r="AY64">
        <v>0</v>
      </c>
      <c r="CC64">
        <v>2.4575</v>
      </c>
      <c r="CE64" t="s">
        <v>450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</row>
    <row r="65" spans="1:89" x14ac:dyDescent="0.25">
      <c r="A65">
        <v>364</v>
      </c>
      <c r="B65" t="s">
        <v>168</v>
      </c>
      <c r="C65" t="s">
        <v>268</v>
      </c>
      <c r="D65" t="s">
        <v>368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418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2.6675</v>
      </c>
      <c r="CE65" t="s">
        <v>450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</row>
    <row r="66" spans="1:89" x14ac:dyDescent="0.25">
      <c r="A66">
        <v>173</v>
      </c>
      <c r="B66" t="s">
        <v>169</v>
      </c>
      <c r="C66" t="s">
        <v>269</v>
      </c>
      <c r="D66" t="s">
        <v>369</v>
      </c>
      <c r="E66" t="s">
        <v>404</v>
      </c>
      <c r="F66">
        <v>5488858</v>
      </c>
      <c r="G66">
        <v>1126.021</v>
      </c>
      <c r="H66" t="s">
        <v>412</v>
      </c>
      <c r="I66">
        <v>6180569374.0179996</v>
      </c>
      <c r="J66" t="s">
        <v>414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415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418</v>
      </c>
      <c r="AT66">
        <v>1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2.2054999999999998</v>
      </c>
      <c r="CE66" t="s">
        <v>450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</row>
    <row r="67" spans="1:89" x14ac:dyDescent="0.25">
      <c r="A67">
        <v>923</v>
      </c>
      <c r="B67" t="s">
        <v>170</v>
      </c>
      <c r="C67" t="s">
        <v>270</v>
      </c>
      <c r="D67" t="s">
        <v>370</v>
      </c>
      <c r="E67" t="s">
        <v>404</v>
      </c>
      <c r="F67">
        <v>2620000000</v>
      </c>
      <c r="G67">
        <v>90.485759999999999</v>
      </c>
      <c r="H67" t="s">
        <v>412</v>
      </c>
      <c r="I67">
        <v>237072691200</v>
      </c>
      <c r="J67" t="s">
        <v>414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418</v>
      </c>
      <c r="AT67">
        <v>1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2.573</v>
      </c>
      <c r="CE67" t="s">
        <v>450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 x14ac:dyDescent="0.25">
      <c r="A68">
        <v>1010</v>
      </c>
      <c r="B68" t="s">
        <v>171</v>
      </c>
      <c r="C68" t="s">
        <v>271</v>
      </c>
      <c r="D68" t="s">
        <v>371</v>
      </c>
      <c r="E68" t="s">
        <v>398</v>
      </c>
      <c r="F68">
        <v>1001430970</v>
      </c>
      <c r="G68">
        <v>9.1671560000000003</v>
      </c>
      <c r="H68" t="s">
        <v>409</v>
      </c>
      <c r="I68">
        <v>9180273925.2213211</v>
      </c>
      <c r="J68" t="s">
        <v>414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2.8050000000000002</v>
      </c>
      <c r="CE68" t="s">
        <v>450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</row>
    <row r="69" spans="1:89" x14ac:dyDescent="0.25">
      <c r="A69">
        <v>391</v>
      </c>
      <c r="B69" t="s">
        <v>172</v>
      </c>
      <c r="C69" t="s">
        <v>272</v>
      </c>
      <c r="D69" t="s">
        <v>372</v>
      </c>
      <c r="E69" t="s">
        <v>400</v>
      </c>
      <c r="F69">
        <v>2225173800</v>
      </c>
      <c r="G69">
        <v>26.475850000000001</v>
      </c>
      <c r="H69" t="s">
        <v>410</v>
      </c>
      <c r="I69">
        <v>58913367752.730003</v>
      </c>
      <c r="J69" t="s">
        <v>414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2.6575000000000002</v>
      </c>
      <c r="CE69" t="s">
        <v>450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</row>
    <row r="70" spans="1:89" x14ac:dyDescent="0.25">
      <c r="A70">
        <v>689</v>
      </c>
      <c r="B70" t="s">
        <v>173</v>
      </c>
      <c r="C70" t="s">
        <v>273</v>
      </c>
      <c r="D70" t="s">
        <v>373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415</v>
      </c>
      <c r="R70" t="s">
        <v>421</v>
      </c>
      <c r="S70">
        <v>0</v>
      </c>
      <c r="T70">
        <v>0.05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431</v>
      </c>
      <c r="AT70">
        <v>1</v>
      </c>
      <c r="AU70">
        <v>0</v>
      </c>
      <c r="AV70" t="s">
        <v>449</v>
      </c>
      <c r="AW70">
        <v>0</v>
      </c>
      <c r="AX70">
        <v>0</v>
      </c>
      <c r="AY70">
        <v>0</v>
      </c>
      <c r="CC70">
        <v>2.6440000000000001</v>
      </c>
      <c r="CE70" t="s">
        <v>450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</row>
    <row r="71" spans="1:89" x14ac:dyDescent="0.25">
      <c r="A71">
        <v>186</v>
      </c>
      <c r="B71" t="s">
        <v>174</v>
      </c>
      <c r="C71" t="s">
        <v>274</v>
      </c>
      <c r="D71" t="s">
        <v>374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2.4175</v>
      </c>
      <c r="CE71" t="s">
        <v>450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</row>
    <row r="72" spans="1:89" x14ac:dyDescent="0.25">
      <c r="A72">
        <v>466</v>
      </c>
      <c r="B72" t="s">
        <v>175</v>
      </c>
      <c r="C72" t="s">
        <v>275</v>
      </c>
      <c r="D72" t="s">
        <v>375</v>
      </c>
      <c r="E72" t="s">
        <v>393</v>
      </c>
      <c r="F72">
        <v>643368840</v>
      </c>
      <c r="G72">
        <v>25.860900000000001</v>
      </c>
      <c r="H72" t="s">
        <v>408</v>
      </c>
      <c r="I72">
        <v>16638097234.356001</v>
      </c>
      <c r="J72" t="s">
        <v>414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415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418</v>
      </c>
      <c r="AT72">
        <v>1</v>
      </c>
      <c r="AU72">
        <v>0</v>
      </c>
      <c r="AV72" t="s">
        <v>434</v>
      </c>
      <c r="AW72">
        <v>0</v>
      </c>
      <c r="AX72">
        <v>0</v>
      </c>
      <c r="AY72">
        <v>0</v>
      </c>
      <c r="CC72">
        <v>2.6215000000000002</v>
      </c>
      <c r="CE72" t="s">
        <v>450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</row>
    <row r="73" spans="1:89" x14ac:dyDescent="0.25">
      <c r="A73">
        <v>123</v>
      </c>
      <c r="B73" t="s">
        <v>176</v>
      </c>
      <c r="C73" t="s">
        <v>276</v>
      </c>
      <c r="D73" t="s">
        <v>376</v>
      </c>
      <c r="E73" t="s">
        <v>393</v>
      </c>
      <c r="F73">
        <v>1055050400</v>
      </c>
      <c r="G73">
        <v>29.5566</v>
      </c>
      <c r="H73" t="s">
        <v>408</v>
      </c>
      <c r="I73">
        <v>31183702652.639999</v>
      </c>
      <c r="J73" t="s">
        <v>414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428</v>
      </c>
      <c r="AT73">
        <v>0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2.4990000000000001</v>
      </c>
      <c r="CE73" t="s">
        <v>450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</row>
    <row r="74" spans="1:89" x14ac:dyDescent="0.25">
      <c r="A74">
        <v>1218</v>
      </c>
      <c r="B74" t="s">
        <v>177</v>
      </c>
      <c r="C74" t="s">
        <v>277</v>
      </c>
      <c r="D74" t="s">
        <v>377</v>
      </c>
      <c r="E74" t="s">
        <v>404</v>
      </c>
      <c r="F74">
        <v>160479300</v>
      </c>
      <c r="G74">
        <v>252.84970000000001</v>
      </c>
      <c r="H74" t="s">
        <v>412</v>
      </c>
      <c r="I74">
        <v>40577142861.209999</v>
      </c>
      <c r="J74" t="s">
        <v>414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418</v>
      </c>
      <c r="AT74">
        <v>1</v>
      </c>
      <c r="AU74">
        <v>0</v>
      </c>
      <c r="AV74" t="s">
        <v>446</v>
      </c>
      <c r="AW74">
        <v>0</v>
      </c>
      <c r="AX74">
        <v>0</v>
      </c>
      <c r="AY74">
        <v>0</v>
      </c>
      <c r="CC74">
        <v>2.8140000000000001</v>
      </c>
      <c r="CE74" t="s">
        <v>450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 x14ac:dyDescent="0.25">
      <c r="A75">
        <v>895</v>
      </c>
      <c r="B75" t="s">
        <v>178</v>
      </c>
      <c r="C75" t="s">
        <v>278</v>
      </c>
      <c r="D75" t="s">
        <v>378</v>
      </c>
      <c r="E75" t="s">
        <v>400</v>
      </c>
      <c r="F75">
        <v>441412540</v>
      </c>
      <c r="G75">
        <v>14.978809999999999</v>
      </c>
      <c r="H75" t="s">
        <v>410</v>
      </c>
      <c r="I75">
        <v>6611834568.2774</v>
      </c>
      <c r="J75" t="s">
        <v>414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2.84</v>
      </c>
      <c r="CE75" t="s">
        <v>450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</row>
    <row r="76" spans="1:89" x14ac:dyDescent="0.25">
      <c r="A76">
        <v>787</v>
      </c>
      <c r="B76" t="s">
        <v>179</v>
      </c>
      <c r="C76" t="s">
        <v>279</v>
      </c>
      <c r="D76" t="s">
        <v>379</v>
      </c>
      <c r="E76" t="s">
        <v>392</v>
      </c>
      <c r="F76">
        <v>262245733</v>
      </c>
      <c r="G76">
        <v>110.3</v>
      </c>
      <c r="H76" t="s">
        <v>407</v>
      </c>
      <c r="I76">
        <v>28925704349.900002</v>
      </c>
      <c r="J76" t="s">
        <v>413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2.7650000000000001</v>
      </c>
      <c r="CE76" t="s">
        <v>450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480</v>
      </c>
      <c r="B77" t="s">
        <v>180</v>
      </c>
      <c r="C77" t="s">
        <v>280</v>
      </c>
      <c r="D77" t="s">
        <v>380</v>
      </c>
      <c r="E77" t="s">
        <v>400</v>
      </c>
      <c r="F77">
        <v>919566160</v>
      </c>
      <c r="G77">
        <v>46.387149999999998</v>
      </c>
      <c r="H77" t="s">
        <v>410</v>
      </c>
      <c r="I77">
        <v>42656053398.844002</v>
      </c>
      <c r="J77" t="s">
        <v>414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425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2.8365</v>
      </c>
      <c r="CE77" t="s">
        <v>450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 x14ac:dyDescent="0.25">
      <c r="A78">
        <v>624</v>
      </c>
      <c r="B78" t="s">
        <v>181</v>
      </c>
      <c r="C78" t="s">
        <v>281</v>
      </c>
      <c r="D78" t="s">
        <v>381</v>
      </c>
      <c r="E78" t="s">
        <v>397</v>
      </c>
      <c r="F78">
        <v>107760380</v>
      </c>
      <c r="G78">
        <v>37.44</v>
      </c>
      <c r="H78" t="s">
        <v>407</v>
      </c>
      <c r="I78">
        <v>4034548627.1999998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418</v>
      </c>
      <c r="AT78">
        <v>1</v>
      </c>
      <c r="AU78">
        <v>0</v>
      </c>
      <c r="AV78" t="s">
        <v>438</v>
      </c>
      <c r="AW78">
        <v>0</v>
      </c>
      <c r="AX78">
        <v>0</v>
      </c>
      <c r="AY78">
        <v>0</v>
      </c>
      <c r="CC78">
        <v>2.8319999999999999</v>
      </c>
      <c r="CE78" t="s">
        <v>450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 x14ac:dyDescent="0.25">
      <c r="A79">
        <v>762</v>
      </c>
      <c r="B79" t="s">
        <v>182</v>
      </c>
      <c r="C79" t="s">
        <v>282</v>
      </c>
      <c r="D79" t="s">
        <v>382</v>
      </c>
      <c r="E79" t="s">
        <v>397</v>
      </c>
      <c r="F79">
        <v>453187130</v>
      </c>
      <c r="G79">
        <v>55.22</v>
      </c>
      <c r="H79" t="s">
        <v>407</v>
      </c>
      <c r="I79">
        <v>25024993318.599998</v>
      </c>
      <c r="J79" t="s">
        <v>413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418</v>
      </c>
      <c r="AT79">
        <v>1</v>
      </c>
      <c r="AU79">
        <v>0</v>
      </c>
      <c r="AV79" t="s">
        <v>438</v>
      </c>
      <c r="AW79">
        <v>0</v>
      </c>
      <c r="AX79">
        <v>0</v>
      </c>
      <c r="AY79">
        <v>0</v>
      </c>
      <c r="CC79">
        <v>2.742</v>
      </c>
      <c r="CE79" t="s">
        <v>450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</row>
    <row r="80" spans="1:89" x14ac:dyDescent="0.25">
      <c r="A80">
        <v>1108</v>
      </c>
      <c r="B80" t="s">
        <v>183</v>
      </c>
      <c r="C80" t="s">
        <v>283</v>
      </c>
      <c r="D80" t="s">
        <v>383</v>
      </c>
      <c r="E80" t="s">
        <v>392</v>
      </c>
      <c r="F80">
        <v>298233069</v>
      </c>
      <c r="G80">
        <v>26.56</v>
      </c>
      <c r="H80" t="s">
        <v>407</v>
      </c>
      <c r="I80">
        <v>7921070312.6399994</v>
      </c>
      <c r="J80" t="s">
        <v>413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415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431</v>
      </c>
      <c r="AT80">
        <v>1</v>
      </c>
      <c r="AU80">
        <v>0</v>
      </c>
      <c r="AV80" t="s">
        <v>433</v>
      </c>
      <c r="AW80">
        <v>0</v>
      </c>
      <c r="AX80">
        <v>0</v>
      </c>
      <c r="AY80">
        <v>0</v>
      </c>
      <c r="CC80">
        <v>2.6669999999999998</v>
      </c>
      <c r="CE80" t="s">
        <v>450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</row>
    <row r="81" spans="1:89" x14ac:dyDescent="0.25">
      <c r="A81">
        <v>436</v>
      </c>
      <c r="B81" t="s">
        <v>184</v>
      </c>
      <c r="C81" t="s">
        <v>284</v>
      </c>
      <c r="D81" t="s">
        <v>384</v>
      </c>
      <c r="E81" t="s">
        <v>392</v>
      </c>
      <c r="F81">
        <v>236664445</v>
      </c>
      <c r="G81">
        <v>19.149999999999999</v>
      </c>
      <c r="H81" t="s">
        <v>407</v>
      </c>
      <c r="I81">
        <v>4532124121.75</v>
      </c>
      <c r="J81" t="s">
        <v>413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415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428</v>
      </c>
      <c r="AT81">
        <v>0</v>
      </c>
      <c r="AU81">
        <v>0</v>
      </c>
      <c r="AV81" t="s">
        <v>433</v>
      </c>
      <c r="AW81">
        <v>0</v>
      </c>
      <c r="AX81">
        <v>0</v>
      </c>
      <c r="AY81">
        <v>0</v>
      </c>
      <c r="CC81">
        <v>2.5495000000000001</v>
      </c>
      <c r="CE81" t="s">
        <v>450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</row>
    <row r="82" spans="1:89" x14ac:dyDescent="0.25">
      <c r="A82">
        <v>228</v>
      </c>
      <c r="B82" t="s">
        <v>185</v>
      </c>
      <c r="C82" t="s">
        <v>285</v>
      </c>
      <c r="D82" t="s">
        <v>385</v>
      </c>
      <c r="E82" t="s">
        <v>400</v>
      </c>
      <c r="F82">
        <v>329765630</v>
      </c>
      <c r="G82">
        <v>40.693019999999997</v>
      </c>
      <c r="H82" t="s">
        <v>410</v>
      </c>
      <c r="I82">
        <v>13419159376.902599</v>
      </c>
      <c r="J82" t="s">
        <v>414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431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2.4984999999999999</v>
      </c>
      <c r="CE82" t="s">
        <v>450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</row>
    <row r="83" spans="1:89" x14ac:dyDescent="0.25">
      <c r="A83">
        <v>679</v>
      </c>
      <c r="B83" t="s">
        <v>186</v>
      </c>
      <c r="C83" t="s">
        <v>286</v>
      </c>
      <c r="D83" t="s">
        <v>386</v>
      </c>
      <c r="E83" t="s">
        <v>402</v>
      </c>
      <c r="F83">
        <v>185668230</v>
      </c>
      <c r="G83">
        <v>22.72052</v>
      </c>
      <c r="H83" t="s">
        <v>411</v>
      </c>
      <c r="I83">
        <v>4218478733.0795999</v>
      </c>
      <c r="J83" t="s">
        <v>414</v>
      </c>
      <c r="K83">
        <v>10254797.4187051</v>
      </c>
      <c r="L83">
        <v>0.75</v>
      </c>
      <c r="M83">
        <v>50205040</v>
      </c>
      <c r="N83">
        <v>5020</v>
      </c>
      <c r="O83">
        <v>1.9739305453825799</v>
      </c>
      <c r="P83">
        <v>1.5</v>
      </c>
      <c r="Q83" t="s">
        <v>420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2.1389999999999998</v>
      </c>
      <c r="AR83">
        <v>3.25</v>
      </c>
      <c r="AS83" t="s">
        <v>428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2.6945000000000001</v>
      </c>
      <c r="CE83" t="s">
        <v>450</v>
      </c>
      <c r="CG83">
        <v>1.9739305453825799</v>
      </c>
      <c r="CH83">
        <v>1.5</v>
      </c>
      <c r="CI83">
        <v>1.7369652726912901</v>
      </c>
      <c r="CJ83">
        <v>0.3</v>
      </c>
      <c r="CK83">
        <v>2.0369652726912899</v>
      </c>
    </row>
    <row r="84" spans="1:89" x14ac:dyDescent="0.25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415</v>
      </c>
      <c r="R84" t="s">
        <v>422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438</v>
      </c>
      <c r="AW84">
        <v>0</v>
      </c>
      <c r="AX84">
        <v>0</v>
      </c>
      <c r="AY84">
        <v>0</v>
      </c>
      <c r="CC84">
        <v>2.8610000000000002</v>
      </c>
      <c r="CE84" t="s">
        <v>450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 x14ac:dyDescent="0.25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13.483459999999999</v>
      </c>
      <c r="H85" t="s">
        <v>408</v>
      </c>
      <c r="I85">
        <v>8611563647.3059998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2.6435</v>
      </c>
      <c r="CE85" t="s">
        <v>450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</row>
    <row r="86" spans="1:89" x14ac:dyDescent="0.25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2.4805000000000001</v>
      </c>
      <c r="CE86" t="s">
        <v>450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2.8235000000000001</v>
      </c>
      <c r="CE87" t="s">
        <v>450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11.622780000000001</v>
      </c>
      <c r="H88" t="s">
        <v>410</v>
      </c>
      <c r="I88">
        <v>7925438857.7520008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2.6760000000000002</v>
      </c>
      <c r="CE88" t="s">
        <v>450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1435</v>
      </c>
      <c r="C3" t="s">
        <v>1036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1588</v>
      </c>
      <c r="C4" t="s">
        <v>1189</v>
      </c>
      <c r="D4">
        <v>3010</v>
      </c>
      <c r="E4">
        <v>2.585</v>
      </c>
      <c r="G4">
        <v>95</v>
      </c>
    </row>
    <row r="5" spans="1:7" x14ac:dyDescent="0.25">
      <c r="A5">
        <v>4</v>
      </c>
      <c r="B5" t="s">
        <v>1299</v>
      </c>
      <c r="C5" t="s">
        <v>900</v>
      </c>
      <c r="D5">
        <v>3030</v>
      </c>
      <c r="E5">
        <v>2.5197104817642049</v>
      </c>
      <c r="G5">
        <v>94</v>
      </c>
    </row>
    <row r="6" spans="1:7" x14ac:dyDescent="0.25">
      <c r="A6">
        <v>5</v>
      </c>
      <c r="B6" t="s">
        <v>1591</v>
      </c>
      <c r="C6" t="s">
        <v>1192</v>
      </c>
      <c r="D6">
        <v>3030</v>
      </c>
      <c r="E6">
        <v>2.45999707128425</v>
      </c>
      <c r="G6">
        <v>93</v>
      </c>
    </row>
    <row r="7" spans="1:7" x14ac:dyDescent="0.25">
      <c r="A7">
        <v>6</v>
      </c>
      <c r="B7" t="s">
        <v>1497</v>
      </c>
      <c r="C7" t="s">
        <v>1098</v>
      </c>
      <c r="D7">
        <v>3010</v>
      </c>
      <c r="E7">
        <v>2.4596710826767949</v>
      </c>
      <c r="G7">
        <v>92</v>
      </c>
    </row>
    <row r="8" spans="1:7" x14ac:dyDescent="0.25">
      <c r="A8">
        <v>7</v>
      </c>
      <c r="B8" t="s">
        <v>1448</v>
      </c>
      <c r="C8" t="s">
        <v>1049</v>
      </c>
      <c r="D8">
        <v>3020</v>
      </c>
      <c r="E8">
        <v>2.4582570868863751</v>
      </c>
      <c r="G8">
        <v>91</v>
      </c>
    </row>
    <row r="9" spans="1:7" x14ac:dyDescent="0.25">
      <c r="A9">
        <v>8</v>
      </c>
      <c r="B9" t="s">
        <v>1476</v>
      </c>
      <c r="C9" t="s">
        <v>1077</v>
      </c>
      <c r="D9">
        <v>3020</v>
      </c>
      <c r="E9">
        <v>2.4582204139462251</v>
      </c>
      <c r="G9">
        <v>90</v>
      </c>
    </row>
    <row r="10" spans="1:7" x14ac:dyDescent="0.25">
      <c r="A10">
        <v>9</v>
      </c>
      <c r="B10" t="s">
        <v>1520</v>
      </c>
      <c r="C10" t="s">
        <v>1121</v>
      </c>
      <c r="D10">
        <v>3030</v>
      </c>
      <c r="E10">
        <v>2.4500000000000002</v>
      </c>
      <c r="G10">
        <v>89</v>
      </c>
    </row>
    <row r="11" spans="1:7" x14ac:dyDescent="0.25">
      <c r="A11">
        <v>10</v>
      </c>
      <c r="B11" t="s">
        <v>1647</v>
      </c>
      <c r="C11" t="s">
        <v>1248</v>
      </c>
      <c r="D11">
        <v>3030</v>
      </c>
      <c r="E11">
        <v>2.3983333333333299</v>
      </c>
      <c r="G11">
        <v>88</v>
      </c>
    </row>
    <row r="12" spans="1:7" x14ac:dyDescent="0.25">
      <c r="A12">
        <v>11</v>
      </c>
      <c r="B12" t="s">
        <v>1464</v>
      </c>
      <c r="C12" t="s">
        <v>1065</v>
      </c>
      <c r="D12">
        <v>3510</v>
      </c>
      <c r="E12">
        <v>2.3973576022587801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2025-04-11T07:42:47Z</dcterms:created>
  <dcterms:modified xsi:type="dcterms:W3CDTF">2025-04-11T08:36:49Z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2025-04-11T07:45:50Z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05a98d7b-d722-4f7f-9d90-bb19ee2cac35</vt:lpwstr>
  </property>
  <property fmtid="{D5CDD505-2E9C-101B-9397-08002B2CF9AE}" pid="8" name="MSIP_Label_ac0b9ce6-6e99-42a1-af95-429494370cbc_ContentBits">
    <vt:lpwstr>2</vt:lpwstr>
  </property>
</Properties>
</file>