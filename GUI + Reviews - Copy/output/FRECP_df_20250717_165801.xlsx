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9A55AD87CD06D4A68E3C92F93F902E6106C4DC72" xr6:coauthVersionLast="47" xr6:coauthVersionMax="47" xr10:uidLastSave="{A14A2EB5-6053-4CC5-BF6C-46EDA6010CDF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4" l="1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<sst xmlns="http://schemas.openxmlformats.org/spreadsheetml/2006/main" count="349" uniqueCount="104">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</sst>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FRECP_EMS_2025-06-17_2025-06-17-16-57-09%20(2).xlsx" TargetMode="External"/><Relationship Id="rId1" Type="http://schemas.openxmlformats.org/officeDocument/2006/relationships/externalLinkPath" Target="file:///C:\Users\CSonneveld\Downloads\details_FRECP_EMS_2025-06-17_2025-06-17-16-57-09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5761">
          <cell r="G5761">
            <v>5204579177.625</v>
          </cell>
        </row>
        <row r="5762">
          <cell r="G5762">
            <v>6505845655.6800003</v>
          </cell>
        </row>
        <row r="5763">
          <cell r="G5763">
            <v>6678095580</v>
          </cell>
        </row>
        <row r="5764">
          <cell r="G5764">
            <v>7506426358.5900011</v>
          </cell>
        </row>
        <row r="5765">
          <cell r="G5765">
            <v>8413597623.079999</v>
          </cell>
        </row>
        <row r="5766">
          <cell r="G5766">
            <v>9578205516.2999992</v>
          </cell>
        </row>
        <row r="5767">
          <cell r="G5767">
            <v>9583460037.7660007</v>
          </cell>
        </row>
        <row r="5768">
          <cell r="G5768">
            <v>9845186278.9279995</v>
          </cell>
        </row>
        <row r="5769">
          <cell r="G5769">
            <v>10184876908.799999</v>
          </cell>
        </row>
        <row r="5770">
          <cell r="G5770">
            <v>11278409234.700001</v>
          </cell>
        </row>
        <row r="5771">
          <cell r="G5771">
            <v>12833292496.440001</v>
          </cell>
        </row>
        <row r="5772">
          <cell r="G5772">
            <v>13727550842.879999</v>
          </cell>
        </row>
        <row r="5773">
          <cell r="G5773">
            <v>15640889247.15</v>
          </cell>
        </row>
        <row r="5774">
          <cell r="G5774">
            <v>17742505100.868801</v>
          </cell>
        </row>
        <row r="5775">
          <cell r="G5775">
            <v>18397487852.959999</v>
          </cell>
        </row>
        <row r="5776">
          <cell r="G5776">
            <v>20244257734.464001</v>
          </cell>
        </row>
        <row r="5777">
          <cell r="G5777">
            <v>21395301966.415001</v>
          </cell>
        </row>
        <row r="5778">
          <cell r="G5778">
            <v>22512574334.375</v>
          </cell>
        </row>
        <row r="5779">
          <cell r="G5779">
            <v>23065350769.929001</v>
          </cell>
        </row>
        <row r="5780">
          <cell r="G5780">
            <v>23178745855.98</v>
          </cell>
        </row>
        <row r="5781">
          <cell r="G5781">
            <v>23515499103.040001</v>
          </cell>
        </row>
        <row r="5782">
          <cell r="G5782">
            <v>23817182238.450001</v>
          </cell>
        </row>
        <row r="5783">
          <cell r="G5783">
            <v>28020956571.049999</v>
          </cell>
        </row>
        <row r="5784">
          <cell r="G5784">
            <v>34552076213.421013</v>
          </cell>
        </row>
        <row r="5785">
          <cell r="G5785">
            <v>34648017494.002502</v>
          </cell>
        </row>
        <row r="5786">
          <cell r="G5786">
            <v>43836910035.839996</v>
          </cell>
        </row>
        <row r="5787">
          <cell r="G5787">
            <v>48831390685.277992</v>
          </cell>
        </row>
        <row r="5788">
          <cell r="G5788">
            <v>67356225013.050003</v>
          </cell>
        </row>
        <row r="5789">
          <cell r="G5789">
            <v>75154864402.800003</v>
          </cell>
        </row>
        <row r="5790">
          <cell r="G5790">
            <v>77138646257.12149</v>
          </cell>
        </row>
        <row r="5791">
          <cell r="G5791">
            <v>80063760175</v>
          </cell>
        </row>
        <row r="5792">
          <cell r="G5792">
            <v>81472647224.207993</v>
          </cell>
        </row>
        <row r="5793">
          <cell r="G5793">
            <v>89672811751.709991</v>
          </cell>
        </row>
        <row r="5794">
          <cell r="G5794">
            <v>91750345692.460007</v>
          </cell>
        </row>
        <row r="5795">
          <cell r="G5795">
            <v>93469667501.925003</v>
          </cell>
        </row>
        <row r="5796">
          <cell r="G5796">
            <v>101812847700.366</v>
          </cell>
        </row>
        <row r="5797">
          <cell r="G5797">
            <v>104134333981.47301</v>
          </cell>
        </row>
        <row r="5798">
          <cell r="G5798">
            <v>106386528651.92</v>
          </cell>
        </row>
        <row r="5799">
          <cell r="G5799">
            <v>119783937150</v>
          </cell>
        </row>
        <row r="5800">
          <cell r="G5800">
            <v>124998418443.39999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11" sqref="F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3525932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tabSelected="1" workbookViewId="0">
      <selection activeCell="E6" sqref="E6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4.140625" bestFit="1" customWidth="1"/>
    <col min="13" max="13" width="12" bestFit="1" customWidth="1"/>
    <col min="14" max="14" width="9" bestFit="1" customWidth="1"/>
  </cols>
  <sheetData>
    <row r="1" spans="1:15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5</v>
      </c>
      <c r="M1" s="1" t="s">
        <v>96</v>
      </c>
      <c r="N1" s="1" t="s">
        <v>97</v>
      </c>
    </row>
    <row r="2" spans="1:15" x14ac:dyDescent="0.25">
      <c r="A2" t="s">
        <v>25</v>
      </c>
      <c r="B2" t="s">
        <v>45</v>
      </c>
      <c r="C2" t="s">
        <v>48</v>
      </c>
      <c r="D2">
        <v>60738823</v>
      </c>
      <c r="E2">
        <v>0.95</v>
      </c>
      <c r="F2">
        <v>1</v>
      </c>
      <c r="G2" t="s">
        <v>45</v>
      </c>
      <c r="H2">
        <v>1</v>
      </c>
      <c r="I2">
        <v>94.76</v>
      </c>
      <c r="J2">
        <v>91.5</v>
      </c>
      <c r="K2">
        <v>59874365</v>
      </c>
      <c r="L2">
        <v>1</v>
      </c>
      <c r="M2">
        <v>5204579177.625</v>
      </c>
      <c r="N2" t="b">
        <v>0</v>
      </c>
      <c r="O2" t="b">
        <f>M2=[1]generation_steps!G5761</f>
        <v>1</v>
      </c>
    </row>
    <row r="3" spans="1:15" x14ac:dyDescent="0.25">
      <c r="A3" t="s">
        <v>16</v>
      </c>
      <c r="B3" t="s">
        <v>36</v>
      </c>
      <c r="C3" t="s">
        <v>48</v>
      </c>
      <c r="D3">
        <v>249588059</v>
      </c>
      <c r="E3">
        <v>1</v>
      </c>
      <c r="F3">
        <v>1</v>
      </c>
      <c r="G3" t="s">
        <v>36</v>
      </c>
      <c r="H3">
        <v>1</v>
      </c>
      <c r="I3">
        <v>25.16</v>
      </c>
      <c r="J3">
        <v>27.12</v>
      </c>
      <c r="K3">
        <v>239891064</v>
      </c>
      <c r="L3">
        <v>1</v>
      </c>
      <c r="M3">
        <v>6505845655.6800003</v>
      </c>
      <c r="N3" t="b">
        <v>0</v>
      </c>
      <c r="O3" t="b">
        <f>M3=[1]generation_steps!G5762</f>
        <v>1</v>
      </c>
    </row>
    <row r="4" spans="1:15" x14ac:dyDescent="0.25">
      <c r="A4" t="s">
        <v>17</v>
      </c>
      <c r="B4" t="s">
        <v>37</v>
      </c>
      <c r="C4" t="s">
        <v>48</v>
      </c>
      <c r="D4">
        <v>192981183</v>
      </c>
      <c r="E4">
        <v>0.65</v>
      </c>
      <c r="F4">
        <v>1</v>
      </c>
      <c r="G4" t="s">
        <v>37</v>
      </c>
      <c r="H4">
        <v>1</v>
      </c>
      <c r="I4">
        <v>60.64</v>
      </c>
      <c r="J4">
        <v>56.4</v>
      </c>
      <c r="K4">
        <v>182163000</v>
      </c>
      <c r="L4">
        <v>1</v>
      </c>
      <c r="M4">
        <v>6678095580</v>
      </c>
      <c r="N4" t="b">
        <v>0</v>
      </c>
      <c r="O4" t="b">
        <f>M4=[1]generation_steps!G5763</f>
        <v>1</v>
      </c>
    </row>
    <row r="5" spans="1:15" x14ac:dyDescent="0.25">
      <c r="A5" t="s">
        <v>10</v>
      </c>
      <c r="B5" t="s">
        <v>30</v>
      </c>
      <c r="C5" t="s">
        <v>48</v>
      </c>
      <c r="D5">
        <v>379243267</v>
      </c>
      <c r="E5">
        <v>0.5</v>
      </c>
      <c r="F5">
        <v>1</v>
      </c>
      <c r="G5" t="s">
        <v>30</v>
      </c>
      <c r="H5">
        <v>1</v>
      </c>
      <c r="I5">
        <v>37.53</v>
      </c>
      <c r="J5">
        <v>39.590000000000003</v>
      </c>
      <c r="K5">
        <v>379208202</v>
      </c>
      <c r="L5">
        <v>1</v>
      </c>
      <c r="M5">
        <v>7506426358.5900011</v>
      </c>
      <c r="N5" t="b">
        <v>0</v>
      </c>
      <c r="O5" t="b">
        <f>M5=[1]generation_steps!G5764</f>
        <v>1</v>
      </c>
    </row>
    <row r="6" spans="1:15" s="2" customFormat="1" x14ac:dyDescent="0.25">
      <c r="A6" s="2" t="s">
        <v>13</v>
      </c>
      <c r="B6" s="2" t="s">
        <v>33</v>
      </c>
      <c r="C6" s="2" t="s">
        <v>48</v>
      </c>
      <c r="D6" s="2">
        <v>677969188</v>
      </c>
      <c r="E6" s="2">
        <v>0.8</v>
      </c>
      <c r="F6" s="2">
        <v>1</v>
      </c>
      <c r="G6" s="2" t="s">
        <v>33</v>
      </c>
      <c r="H6" s="2">
        <v>1</v>
      </c>
      <c r="I6" s="2">
        <v>12.82</v>
      </c>
      <c r="J6" s="2">
        <v>14.6</v>
      </c>
      <c r="K6" s="2">
        <v>677969188</v>
      </c>
      <c r="L6" s="2">
        <v>1</v>
      </c>
      <c r="M6" s="2">
        <v>7918680115.8399992</v>
      </c>
      <c r="N6" s="2" t="b">
        <v>0</v>
      </c>
      <c r="O6" s="2" t="b">
        <f>M6=[1]generation_steps!G5765</f>
        <v>0</v>
      </c>
    </row>
    <row r="7" spans="1:15" x14ac:dyDescent="0.25">
      <c r="A7" t="s">
        <v>8</v>
      </c>
      <c r="B7" t="s">
        <v>28</v>
      </c>
      <c r="C7" t="s">
        <v>48</v>
      </c>
      <c r="D7">
        <v>243622860</v>
      </c>
      <c r="E7">
        <v>0.85</v>
      </c>
      <c r="F7">
        <v>1</v>
      </c>
      <c r="G7" t="s">
        <v>28</v>
      </c>
      <c r="H7">
        <v>1</v>
      </c>
      <c r="I7">
        <v>43</v>
      </c>
      <c r="J7">
        <v>46</v>
      </c>
      <c r="K7">
        <v>244966893</v>
      </c>
      <c r="L7">
        <v>1</v>
      </c>
      <c r="M7">
        <v>9578205516.2999992</v>
      </c>
      <c r="N7" t="b">
        <v>0</v>
      </c>
      <c r="O7" t="b">
        <f>M7=[1]generation_steps!G5766</f>
        <v>1</v>
      </c>
    </row>
    <row r="8" spans="1:15" x14ac:dyDescent="0.25">
      <c r="A8" t="s">
        <v>26</v>
      </c>
      <c r="B8" t="s">
        <v>46</v>
      </c>
      <c r="C8" t="s">
        <v>48</v>
      </c>
      <c r="D8">
        <v>139364104</v>
      </c>
      <c r="E8">
        <v>0.85</v>
      </c>
      <c r="F8">
        <v>1</v>
      </c>
      <c r="G8" t="s">
        <v>46</v>
      </c>
      <c r="H8">
        <v>1</v>
      </c>
      <c r="I8">
        <v>83.02</v>
      </c>
      <c r="J8">
        <v>78.739999999999995</v>
      </c>
      <c r="K8">
        <v>143188454</v>
      </c>
      <c r="L8">
        <v>1</v>
      </c>
      <c r="M8">
        <v>9583460037.7659988</v>
      </c>
      <c r="N8" t="b">
        <v>0</v>
      </c>
      <c r="O8" t="b">
        <f>M8=[1]generation_steps!G5767</f>
        <v>1</v>
      </c>
    </row>
    <row r="9" spans="1:15" x14ac:dyDescent="0.25">
      <c r="A9" t="s">
        <v>22</v>
      </c>
      <c r="B9" t="s">
        <v>42</v>
      </c>
      <c r="C9" t="s">
        <v>48</v>
      </c>
      <c r="D9">
        <v>295722284</v>
      </c>
      <c r="E9">
        <v>0.7</v>
      </c>
      <c r="F9">
        <v>1</v>
      </c>
      <c r="G9" t="s">
        <v>42</v>
      </c>
      <c r="H9">
        <v>1</v>
      </c>
      <c r="I9">
        <v>38.99</v>
      </c>
      <c r="J9">
        <v>47.56</v>
      </c>
      <c r="K9">
        <v>295722284</v>
      </c>
      <c r="L9">
        <v>1</v>
      </c>
      <c r="M9">
        <v>9845186278.9279995</v>
      </c>
      <c r="N9" t="b">
        <v>0</v>
      </c>
      <c r="O9" t="b">
        <f>M9=[1]generation_steps!G5768</f>
        <v>1</v>
      </c>
    </row>
    <row r="10" spans="1:15" x14ac:dyDescent="0.25">
      <c r="A10" t="s">
        <v>11</v>
      </c>
      <c r="B10" t="s">
        <v>31</v>
      </c>
      <c r="C10" t="s">
        <v>48</v>
      </c>
      <c r="D10">
        <v>453871520</v>
      </c>
      <c r="E10">
        <v>0.75</v>
      </c>
      <c r="F10">
        <v>1</v>
      </c>
      <c r="G10" t="s">
        <v>31</v>
      </c>
      <c r="H10">
        <v>1</v>
      </c>
      <c r="I10">
        <v>29</v>
      </c>
      <c r="J10">
        <v>29.92</v>
      </c>
      <c r="K10">
        <v>453871520</v>
      </c>
      <c r="L10">
        <v>1</v>
      </c>
      <c r="M10">
        <v>10184876908.799999</v>
      </c>
      <c r="N10" t="b">
        <v>0</v>
      </c>
      <c r="O10" t="b">
        <f>M10=[1]generation_steps!G5769</f>
        <v>1</v>
      </c>
    </row>
    <row r="11" spans="1:15" x14ac:dyDescent="0.25">
      <c r="A11" t="s">
        <v>9</v>
      </c>
      <c r="B11" t="s">
        <v>29</v>
      </c>
      <c r="C11" t="s">
        <v>49</v>
      </c>
      <c r="D11">
        <v>852809772</v>
      </c>
      <c r="E11">
        <v>0.5</v>
      </c>
      <c r="F11">
        <v>1</v>
      </c>
      <c r="G11" t="s">
        <v>102</v>
      </c>
      <c r="H11">
        <v>1</v>
      </c>
      <c r="I11">
        <v>26.59</v>
      </c>
      <c r="J11">
        <v>26.45</v>
      </c>
      <c r="K11">
        <v>852809772</v>
      </c>
      <c r="L11">
        <v>1</v>
      </c>
      <c r="M11">
        <v>11278409234.700001</v>
      </c>
      <c r="N11" t="b">
        <v>0</v>
      </c>
      <c r="O11" t="b">
        <f>M11=[1]generation_steps!G5770</f>
        <v>1</v>
      </c>
    </row>
    <row r="12" spans="1:15" x14ac:dyDescent="0.25">
      <c r="A12" t="s">
        <v>18</v>
      </c>
      <c r="B12" t="s">
        <v>38</v>
      </c>
      <c r="C12" t="s">
        <v>48</v>
      </c>
      <c r="D12">
        <v>123420778</v>
      </c>
      <c r="E12">
        <v>0.6</v>
      </c>
      <c r="F12">
        <v>1</v>
      </c>
      <c r="G12" t="s">
        <v>38</v>
      </c>
      <c r="H12">
        <v>1</v>
      </c>
      <c r="I12">
        <v>185</v>
      </c>
      <c r="J12">
        <v>173.3</v>
      </c>
      <c r="K12">
        <v>123420778</v>
      </c>
      <c r="L12">
        <v>1</v>
      </c>
      <c r="M12">
        <v>12833292496.440001</v>
      </c>
      <c r="N12" t="b">
        <v>0</v>
      </c>
      <c r="O12" t="b">
        <f>M12=[1]generation_steps!G5771</f>
        <v>1</v>
      </c>
    </row>
    <row r="13" spans="1:15" x14ac:dyDescent="0.25">
      <c r="A13" t="s">
        <v>24</v>
      </c>
      <c r="B13" t="s">
        <v>44</v>
      </c>
      <c r="C13" t="s">
        <v>48</v>
      </c>
      <c r="D13">
        <v>911281920</v>
      </c>
      <c r="E13">
        <v>0.7</v>
      </c>
      <c r="F13">
        <v>1</v>
      </c>
      <c r="G13" t="s">
        <v>44</v>
      </c>
      <c r="H13">
        <v>1</v>
      </c>
      <c r="I13">
        <v>25.245000000000001</v>
      </c>
      <c r="J13">
        <v>21.52</v>
      </c>
      <c r="K13">
        <v>911281920</v>
      </c>
      <c r="L13">
        <v>1</v>
      </c>
      <c r="M13">
        <v>13727550842.879999</v>
      </c>
      <c r="N13" t="b">
        <v>0</v>
      </c>
      <c r="O13" t="b">
        <f>M13=[1]generation_steps!G5772</f>
        <v>1</v>
      </c>
    </row>
    <row r="14" spans="1:15" x14ac:dyDescent="0.25">
      <c r="A14" t="s">
        <v>14</v>
      </c>
      <c r="B14" t="s">
        <v>34</v>
      </c>
      <c r="C14" t="s">
        <v>48</v>
      </c>
      <c r="D14">
        <v>3025902350</v>
      </c>
      <c r="E14">
        <v>0.3</v>
      </c>
      <c r="F14">
        <v>1</v>
      </c>
      <c r="G14" t="s">
        <v>34</v>
      </c>
      <c r="H14">
        <v>1</v>
      </c>
      <c r="I14">
        <v>15.885</v>
      </c>
      <c r="J14">
        <v>17.23</v>
      </c>
      <c r="K14">
        <v>3025902350</v>
      </c>
      <c r="L14">
        <v>1</v>
      </c>
      <c r="M14">
        <v>15640889247.15</v>
      </c>
      <c r="N14" t="b">
        <v>0</v>
      </c>
      <c r="O14" t="b">
        <f>M14=[1]generation_steps!G5773</f>
        <v>1</v>
      </c>
    </row>
    <row r="15" spans="1:15" x14ac:dyDescent="0.25">
      <c r="A15" t="s">
        <v>23</v>
      </c>
      <c r="B15" t="s">
        <v>43</v>
      </c>
      <c r="C15" t="s">
        <v>48</v>
      </c>
      <c r="D15">
        <v>3023129879</v>
      </c>
      <c r="E15">
        <v>0.7</v>
      </c>
      <c r="F15">
        <v>1</v>
      </c>
      <c r="G15" t="s">
        <v>43</v>
      </c>
      <c r="H15">
        <v>1</v>
      </c>
      <c r="I15">
        <v>8.4079999999999995</v>
      </c>
      <c r="J15">
        <v>8.7520000000000007</v>
      </c>
      <c r="K15">
        <v>2896073567</v>
      </c>
      <c r="L15">
        <v>1</v>
      </c>
      <c r="M15">
        <v>17742505100.868801</v>
      </c>
      <c r="N15" t="b">
        <v>1</v>
      </c>
      <c r="O15" t="b">
        <f>M15=[1]generation_steps!G5774</f>
        <v>1</v>
      </c>
    </row>
    <row r="16" spans="1:15" x14ac:dyDescent="0.25">
      <c r="A16" t="s">
        <v>20</v>
      </c>
      <c r="B16" t="s">
        <v>40</v>
      </c>
      <c r="C16" t="s">
        <v>48</v>
      </c>
      <c r="D16">
        <v>253328748</v>
      </c>
      <c r="E16">
        <v>0.8</v>
      </c>
      <c r="F16">
        <v>1</v>
      </c>
      <c r="G16" t="s">
        <v>40</v>
      </c>
      <c r="H16">
        <v>1</v>
      </c>
      <c r="I16">
        <v>88.5</v>
      </c>
      <c r="J16">
        <v>91.16</v>
      </c>
      <c r="K16">
        <v>252269195</v>
      </c>
      <c r="L16">
        <v>1</v>
      </c>
      <c r="M16">
        <v>18397487852.959999</v>
      </c>
      <c r="N16" t="b">
        <v>0</v>
      </c>
      <c r="O16" t="b">
        <f>M16=[1]generation_steps!G5775</f>
        <v>1</v>
      </c>
    </row>
    <row r="17" spans="1:15" x14ac:dyDescent="0.25">
      <c r="A17" t="s">
        <v>27</v>
      </c>
      <c r="B17" t="s">
        <v>47</v>
      </c>
      <c r="C17" t="s">
        <v>48</v>
      </c>
      <c r="D17">
        <v>726148514</v>
      </c>
      <c r="E17">
        <v>0.95</v>
      </c>
      <c r="F17">
        <v>1</v>
      </c>
      <c r="G17" t="s">
        <v>47</v>
      </c>
      <c r="H17">
        <v>1</v>
      </c>
      <c r="I17">
        <v>29.91</v>
      </c>
      <c r="J17">
        <v>30.37</v>
      </c>
      <c r="K17">
        <v>740652608</v>
      </c>
      <c r="L17">
        <v>1</v>
      </c>
      <c r="M17">
        <v>21368938719.712002</v>
      </c>
      <c r="N17" t="b">
        <v>0</v>
      </c>
      <c r="O17" t="b">
        <f>M17=[1]generation_steps!G5776</f>
        <v>0</v>
      </c>
    </row>
    <row r="18" spans="1:15" x14ac:dyDescent="0.25">
      <c r="A18" t="s">
        <v>21</v>
      </c>
      <c r="B18" t="s">
        <v>41</v>
      </c>
      <c r="C18" t="s">
        <v>48</v>
      </c>
      <c r="D18">
        <v>254311860</v>
      </c>
      <c r="E18">
        <v>0.9</v>
      </c>
      <c r="F18">
        <v>1</v>
      </c>
      <c r="G18" t="s">
        <v>41</v>
      </c>
      <c r="H18">
        <v>1</v>
      </c>
      <c r="I18">
        <v>95.74</v>
      </c>
      <c r="J18">
        <v>95.94</v>
      </c>
      <c r="K18">
        <v>254311860</v>
      </c>
      <c r="L18">
        <v>1</v>
      </c>
      <c r="M18">
        <v>21958811863.560001</v>
      </c>
      <c r="N18" t="b">
        <v>0</v>
      </c>
      <c r="O18" t="b">
        <f>M18=[1]generation_steps!G5777</f>
        <v>0</v>
      </c>
    </row>
    <row r="19" spans="1:15" x14ac:dyDescent="0.25">
      <c r="A19" t="s">
        <v>15</v>
      </c>
      <c r="B19" t="s">
        <v>35</v>
      </c>
      <c r="C19" t="s">
        <v>48</v>
      </c>
      <c r="D19">
        <v>1338435363</v>
      </c>
      <c r="E19">
        <v>0.5</v>
      </c>
      <c r="F19">
        <v>1</v>
      </c>
      <c r="G19" t="s">
        <v>35</v>
      </c>
      <c r="H19">
        <v>1</v>
      </c>
      <c r="I19">
        <v>31.67</v>
      </c>
      <c r="J19">
        <v>33.590000000000003</v>
      </c>
      <c r="K19">
        <v>1340433125</v>
      </c>
      <c r="L19">
        <v>1</v>
      </c>
      <c r="M19">
        <v>22512574334.375</v>
      </c>
      <c r="N19" t="b">
        <v>1</v>
      </c>
      <c r="O19" t="b">
        <f>M19=[1]generation_steps!G5778</f>
        <v>1</v>
      </c>
    </row>
    <row r="20" spans="1:15" x14ac:dyDescent="0.25">
      <c r="A20" t="s">
        <v>12</v>
      </c>
      <c r="B20" t="s">
        <v>32</v>
      </c>
      <c r="C20" t="s">
        <v>48</v>
      </c>
      <c r="D20">
        <v>172608113</v>
      </c>
      <c r="E20">
        <v>0.9</v>
      </c>
      <c r="F20">
        <v>1</v>
      </c>
      <c r="G20" t="s">
        <v>32</v>
      </c>
      <c r="H20">
        <v>1</v>
      </c>
      <c r="I20">
        <v>150.19999999999999</v>
      </c>
      <c r="J20">
        <v>146.9</v>
      </c>
      <c r="K20">
        <v>171347471</v>
      </c>
      <c r="L20">
        <v>1</v>
      </c>
      <c r="M20">
        <v>22653849140.91</v>
      </c>
      <c r="N20" t="b">
        <v>0</v>
      </c>
      <c r="O20" t="b">
        <f>M20=[1]generation_steps!G5779</f>
        <v>0</v>
      </c>
    </row>
    <row r="21" spans="1:15" x14ac:dyDescent="0.25">
      <c r="A21" t="s">
        <v>19</v>
      </c>
      <c r="B21" t="s">
        <v>39</v>
      </c>
      <c r="C21" t="s">
        <v>48</v>
      </c>
      <c r="D21">
        <v>714958226</v>
      </c>
      <c r="E21">
        <v>1</v>
      </c>
      <c r="F21">
        <v>1</v>
      </c>
      <c r="G21" t="s">
        <v>39</v>
      </c>
      <c r="H21">
        <v>1</v>
      </c>
      <c r="I21">
        <v>32.17</v>
      </c>
      <c r="J21">
        <v>33.32</v>
      </c>
      <c r="K21">
        <v>705747272</v>
      </c>
      <c r="L21">
        <v>1</v>
      </c>
      <c r="M21">
        <v>23515499103.040001</v>
      </c>
      <c r="N21" t="b">
        <v>0</v>
      </c>
      <c r="O21" t="b">
        <f>M21=[1]generation_steps!G5780</f>
        <v>0</v>
      </c>
    </row>
    <row r="22" spans="1:15" x14ac:dyDescent="0.25">
      <c r="A22" t="s">
        <v>98</v>
      </c>
      <c r="B22" t="s">
        <v>100</v>
      </c>
      <c r="C22" t="s">
        <v>48</v>
      </c>
      <c r="D22">
        <v>2660056599</v>
      </c>
      <c r="E22">
        <v>0.7</v>
      </c>
      <c r="F22">
        <v>1</v>
      </c>
      <c r="G22" t="s">
        <v>100</v>
      </c>
      <c r="H22">
        <v>1</v>
      </c>
      <c r="I22">
        <v>12.744999999999999</v>
      </c>
      <c r="J22">
        <v>13.34</v>
      </c>
      <c r="K22">
        <v>2660056599</v>
      </c>
      <c r="L22">
        <v>1</v>
      </c>
      <c r="M22">
        <v>24839608521.462002</v>
      </c>
      <c r="N22" t="b">
        <v>0</v>
      </c>
      <c r="O22" t="b">
        <f>M22=[1]generation_steps!G5781</f>
        <v>0</v>
      </c>
    </row>
    <row r="23" spans="1:15" x14ac:dyDescent="0.25">
      <c r="A23" t="s">
        <v>99</v>
      </c>
      <c r="B23" t="s">
        <v>101</v>
      </c>
      <c r="C23" t="s">
        <v>48</v>
      </c>
      <c r="D23">
        <v>210210140</v>
      </c>
      <c r="E23">
        <v>0.5</v>
      </c>
      <c r="F23">
        <v>1</v>
      </c>
      <c r="G23" t="s">
        <v>101</v>
      </c>
      <c r="H23">
        <v>1</v>
      </c>
      <c r="I23">
        <v>248.2</v>
      </c>
      <c r="J23">
        <v>257</v>
      </c>
      <c r="K23">
        <v>205941913</v>
      </c>
      <c r="L23">
        <v>1</v>
      </c>
      <c r="M23">
        <v>26463535820.5</v>
      </c>
      <c r="N23" t="b">
        <v>0</v>
      </c>
      <c r="O23" t="b">
        <f>M23=[1]generation_steps!G5782</f>
        <v>0</v>
      </c>
    </row>
    <row r="24" spans="1:15" x14ac:dyDescent="0.25">
      <c r="A24" t="s">
        <v>62</v>
      </c>
      <c r="B24" t="s">
        <v>80</v>
      </c>
      <c r="C24" t="s">
        <v>48</v>
      </c>
      <c r="D24">
        <v>262245733</v>
      </c>
      <c r="E24">
        <v>1</v>
      </c>
      <c r="F24">
        <v>1</v>
      </c>
      <c r="G24" t="s">
        <v>80</v>
      </c>
      <c r="H24">
        <v>1</v>
      </c>
      <c r="I24">
        <v>111.15</v>
      </c>
      <c r="J24">
        <v>106.85</v>
      </c>
      <c r="K24">
        <v>262245733</v>
      </c>
      <c r="L24">
        <v>1</v>
      </c>
      <c r="M24">
        <v>28020956571.049999</v>
      </c>
      <c r="N24" t="b">
        <v>1</v>
      </c>
      <c r="O24" t="b">
        <f>M24=[1]generation_steps!G5783</f>
        <v>1</v>
      </c>
    </row>
    <row r="25" spans="1:15" x14ac:dyDescent="0.25">
      <c r="A25" t="s">
        <v>68</v>
      </c>
      <c r="B25" t="s">
        <v>86</v>
      </c>
      <c r="C25" t="s">
        <v>48</v>
      </c>
      <c r="D25">
        <v>812035548</v>
      </c>
      <c r="E25">
        <v>0.9</v>
      </c>
      <c r="F25">
        <v>1</v>
      </c>
      <c r="G25" t="s">
        <v>86</v>
      </c>
      <c r="H25">
        <v>1</v>
      </c>
      <c r="I25">
        <v>48.03</v>
      </c>
      <c r="J25">
        <v>47.97</v>
      </c>
      <c r="K25">
        <v>800316777</v>
      </c>
      <c r="L25">
        <v>1</v>
      </c>
      <c r="M25">
        <v>34552076213.421013</v>
      </c>
      <c r="N25" t="b">
        <v>1</v>
      </c>
      <c r="O25" t="b">
        <f>M25=[1]generation_steps!G5784</f>
        <v>1</v>
      </c>
    </row>
    <row r="26" spans="1:15" x14ac:dyDescent="0.25">
      <c r="A26" t="s">
        <v>58</v>
      </c>
      <c r="B26" t="s">
        <v>76</v>
      </c>
      <c r="C26" t="s">
        <v>48</v>
      </c>
      <c r="D26">
        <v>2435285011</v>
      </c>
      <c r="E26">
        <v>0.75</v>
      </c>
      <c r="F26">
        <v>1</v>
      </c>
      <c r="G26" t="s">
        <v>76</v>
      </c>
      <c r="H26">
        <v>1</v>
      </c>
      <c r="I26">
        <v>19.515000000000001</v>
      </c>
      <c r="J26">
        <v>18.97</v>
      </c>
      <c r="K26">
        <v>2435285011</v>
      </c>
      <c r="L26">
        <v>1</v>
      </c>
      <c r="M26">
        <v>34648017494.002487</v>
      </c>
      <c r="N26" t="b">
        <v>1</v>
      </c>
      <c r="O26" t="b">
        <f>M26=[1]generation_steps!G5785</f>
        <v>1</v>
      </c>
    </row>
    <row r="27" spans="1:15" x14ac:dyDescent="0.25">
      <c r="A27" t="s">
        <v>65</v>
      </c>
      <c r="B27" t="s">
        <v>83</v>
      </c>
      <c r="C27" t="s">
        <v>48</v>
      </c>
      <c r="D27">
        <v>504005802</v>
      </c>
      <c r="E27">
        <v>0.9</v>
      </c>
      <c r="F27">
        <v>1</v>
      </c>
      <c r="G27" t="s">
        <v>83</v>
      </c>
      <c r="H27">
        <v>1</v>
      </c>
      <c r="I27">
        <v>96.74</v>
      </c>
      <c r="J27">
        <v>97.6</v>
      </c>
      <c r="K27">
        <v>499054076</v>
      </c>
      <c r="L27">
        <v>1</v>
      </c>
      <c r="M27">
        <v>43836910035.839996</v>
      </c>
      <c r="N27" t="b">
        <v>1</v>
      </c>
      <c r="O27" t="b">
        <f>M27=[1]generation_steps!G5786</f>
        <v>1</v>
      </c>
    </row>
    <row r="28" spans="1:15" x14ac:dyDescent="0.25">
      <c r="A28" t="s">
        <v>57</v>
      </c>
      <c r="B28" t="s">
        <v>75</v>
      </c>
      <c r="C28" t="s">
        <v>48</v>
      </c>
      <c r="D28">
        <v>679553991</v>
      </c>
      <c r="E28">
        <v>0.95</v>
      </c>
      <c r="F28">
        <v>1</v>
      </c>
      <c r="G28" t="s">
        <v>75</v>
      </c>
      <c r="H28">
        <v>1</v>
      </c>
      <c r="I28">
        <v>71.66</v>
      </c>
      <c r="J28">
        <v>75.64</v>
      </c>
      <c r="K28">
        <v>679553991</v>
      </c>
      <c r="L28">
        <v>1</v>
      </c>
      <c r="M28">
        <v>48831390685.277992</v>
      </c>
      <c r="N28" t="b">
        <v>1</v>
      </c>
      <c r="O28" t="b">
        <f>M28=[1]generation_steps!G5787</f>
        <v>1</v>
      </c>
    </row>
    <row r="29" spans="1:15" x14ac:dyDescent="0.25">
      <c r="A29" t="s">
        <v>70</v>
      </c>
      <c r="B29" t="s">
        <v>88</v>
      </c>
      <c r="C29" t="s">
        <v>48</v>
      </c>
      <c r="D29">
        <v>588519218</v>
      </c>
      <c r="E29">
        <v>0.9</v>
      </c>
      <c r="F29">
        <v>1</v>
      </c>
      <c r="G29" t="s">
        <v>88</v>
      </c>
      <c r="H29">
        <v>1</v>
      </c>
      <c r="I29">
        <v>124.3</v>
      </c>
      <c r="J29">
        <v>128.5</v>
      </c>
      <c r="K29">
        <v>582414397</v>
      </c>
      <c r="L29">
        <v>1</v>
      </c>
      <c r="M29">
        <v>67356225013.050003</v>
      </c>
      <c r="N29" t="b">
        <v>1</v>
      </c>
      <c r="O29" t="b">
        <f>M29=[1]generation_steps!G5788</f>
        <v>1</v>
      </c>
    </row>
    <row r="30" spans="1:15" x14ac:dyDescent="0.25">
      <c r="A30" t="s">
        <v>60</v>
      </c>
      <c r="B30" t="s">
        <v>78</v>
      </c>
      <c r="C30" t="s">
        <v>48</v>
      </c>
      <c r="D30">
        <v>105569412</v>
      </c>
      <c r="E30">
        <v>0.3</v>
      </c>
      <c r="F30">
        <v>1</v>
      </c>
      <c r="G30" t="s">
        <v>78</v>
      </c>
      <c r="H30">
        <v>1</v>
      </c>
      <c r="I30">
        <v>2294</v>
      </c>
      <c r="J30">
        <v>2373</v>
      </c>
      <c r="K30">
        <v>105569412</v>
      </c>
      <c r="L30">
        <v>1</v>
      </c>
      <c r="M30">
        <v>75154864402.799988</v>
      </c>
      <c r="N30" t="b">
        <v>1</v>
      </c>
      <c r="O30" t="b">
        <f>M30=[1]generation_steps!G5789</f>
        <v>1</v>
      </c>
    </row>
    <row r="31" spans="1:15" x14ac:dyDescent="0.25">
      <c r="A31" t="s">
        <v>55</v>
      </c>
      <c r="B31" t="s">
        <v>73</v>
      </c>
      <c r="C31" t="s">
        <v>48</v>
      </c>
      <c r="D31">
        <v>2200619258</v>
      </c>
      <c r="E31">
        <v>0.85</v>
      </c>
      <c r="F31">
        <v>1</v>
      </c>
      <c r="G31" t="s">
        <v>73</v>
      </c>
      <c r="H31">
        <v>1</v>
      </c>
      <c r="I31">
        <v>41.63</v>
      </c>
      <c r="J31">
        <v>40.97</v>
      </c>
      <c r="K31">
        <v>2215068307</v>
      </c>
      <c r="L31">
        <v>1</v>
      </c>
      <c r="M31">
        <v>77138646257.121506</v>
      </c>
      <c r="N31" t="b">
        <v>1</v>
      </c>
      <c r="O31" t="b">
        <f>M31=[1]generation_steps!G5790</f>
        <v>1</v>
      </c>
    </row>
    <row r="32" spans="1:15" x14ac:dyDescent="0.25">
      <c r="A32" t="s">
        <v>59</v>
      </c>
      <c r="B32" t="s">
        <v>77</v>
      </c>
      <c r="C32" t="s">
        <v>48</v>
      </c>
      <c r="D32">
        <v>457318291</v>
      </c>
      <c r="E32">
        <v>0.7</v>
      </c>
      <c r="F32">
        <v>1</v>
      </c>
      <c r="G32" t="s">
        <v>77</v>
      </c>
      <c r="H32">
        <v>1</v>
      </c>
      <c r="I32">
        <v>240.5</v>
      </c>
      <c r="J32">
        <v>250</v>
      </c>
      <c r="K32">
        <v>457507201</v>
      </c>
      <c r="L32">
        <v>1</v>
      </c>
      <c r="M32">
        <v>80063760175</v>
      </c>
      <c r="N32" t="b">
        <v>1</v>
      </c>
      <c r="O32" t="b">
        <f>M32=[1]generation_steps!G5791</f>
        <v>1</v>
      </c>
    </row>
    <row r="33" spans="1:15" x14ac:dyDescent="0.25">
      <c r="A33" t="s">
        <v>56</v>
      </c>
      <c r="B33" t="s">
        <v>74</v>
      </c>
      <c r="C33" t="s">
        <v>48</v>
      </c>
      <c r="D33">
        <v>1130810671</v>
      </c>
      <c r="E33">
        <v>0.95</v>
      </c>
      <c r="F33">
        <v>1</v>
      </c>
      <c r="G33" t="s">
        <v>74</v>
      </c>
      <c r="H33">
        <v>1</v>
      </c>
      <c r="I33">
        <v>75.97</v>
      </c>
      <c r="J33">
        <v>75.84</v>
      </c>
      <c r="K33">
        <v>1130810671</v>
      </c>
      <c r="L33">
        <v>1</v>
      </c>
      <c r="M33">
        <v>81472647224.208008</v>
      </c>
      <c r="N33" t="b">
        <v>1</v>
      </c>
      <c r="O33" t="b">
        <f>M33=[1]generation_steps!G5792</f>
        <v>1</v>
      </c>
    </row>
    <row r="34" spans="1:15" x14ac:dyDescent="0.25">
      <c r="A34" t="s">
        <v>61</v>
      </c>
      <c r="B34" t="s">
        <v>79</v>
      </c>
      <c r="C34" t="s">
        <v>48</v>
      </c>
      <c r="D34">
        <v>534955898</v>
      </c>
      <c r="E34">
        <v>0.45</v>
      </c>
      <c r="F34">
        <v>1</v>
      </c>
      <c r="G34" t="s">
        <v>79</v>
      </c>
      <c r="H34">
        <v>1</v>
      </c>
      <c r="I34">
        <v>369</v>
      </c>
      <c r="J34">
        <v>372.95</v>
      </c>
      <c r="K34">
        <v>534315364</v>
      </c>
      <c r="L34">
        <v>1</v>
      </c>
      <c r="M34">
        <v>89672811751.710007</v>
      </c>
      <c r="N34" t="b">
        <v>1</v>
      </c>
      <c r="O34" t="b">
        <f>M34=[1]generation_steps!G5793</f>
        <v>1</v>
      </c>
    </row>
    <row r="35" spans="1:15" x14ac:dyDescent="0.25">
      <c r="A35" t="s">
        <v>64</v>
      </c>
      <c r="B35" t="s">
        <v>82</v>
      </c>
      <c r="C35" t="s">
        <v>48</v>
      </c>
      <c r="D35">
        <v>427260541</v>
      </c>
      <c r="E35">
        <v>0.85</v>
      </c>
      <c r="F35">
        <v>1</v>
      </c>
      <c r="G35" t="s">
        <v>82</v>
      </c>
      <c r="H35">
        <v>1</v>
      </c>
      <c r="I35">
        <v>259.8</v>
      </c>
      <c r="J35">
        <v>254.8</v>
      </c>
      <c r="K35">
        <v>423632587</v>
      </c>
      <c r="L35">
        <v>1</v>
      </c>
      <c r="M35">
        <v>91750345692.460007</v>
      </c>
      <c r="N35" t="b">
        <v>1</v>
      </c>
      <c r="O35" t="b">
        <f>M35=[1]generation_steps!G5794</f>
        <v>1</v>
      </c>
    </row>
    <row r="36" spans="1:15" x14ac:dyDescent="0.25">
      <c r="A36" t="s">
        <v>54</v>
      </c>
      <c r="B36" t="s">
        <v>72</v>
      </c>
      <c r="C36" t="s">
        <v>48</v>
      </c>
      <c r="D36">
        <v>792283683</v>
      </c>
      <c r="E36">
        <v>0.75</v>
      </c>
      <c r="F36">
        <v>1</v>
      </c>
      <c r="G36" t="s">
        <v>72</v>
      </c>
      <c r="H36">
        <v>1</v>
      </c>
      <c r="I36">
        <v>160.74</v>
      </c>
      <c r="J36">
        <v>157.30000000000001</v>
      </c>
      <c r="K36">
        <v>792283683</v>
      </c>
      <c r="L36">
        <v>1</v>
      </c>
      <c r="M36">
        <v>93469667501.925003</v>
      </c>
      <c r="N36" t="b">
        <v>1</v>
      </c>
      <c r="O36" t="b">
        <f>M36=[1]generation_steps!G5795</f>
        <v>1</v>
      </c>
    </row>
    <row r="37" spans="1:15" x14ac:dyDescent="0.25">
      <c r="A37" t="s">
        <v>66</v>
      </c>
      <c r="B37" t="s">
        <v>84</v>
      </c>
      <c r="C37" t="s">
        <v>48</v>
      </c>
      <c r="D37">
        <v>1268607152</v>
      </c>
      <c r="E37">
        <v>0.9</v>
      </c>
      <c r="F37">
        <v>1</v>
      </c>
      <c r="G37" t="s">
        <v>84</v>
      </c>
      <c r="H37">
        <v>1</v>
      </c>
      <c r="I37">
        <v>84.85</v>
      </c>
      <c r="J37">
        <v>92.14</v>
      </c>
      <c r="K37">
        <v>1227755441</v>
      </c>
      <c r="L37">
        <v>1</v>
      </c>
      <c r="M37">
        <v>101812847700.366</v>
      </c>
      <c r="N37" t="b">
        <v>1</v>
      </c>
      <c r="O37" t="b">
        <f>M37=[1]generation_steps!G5796</f>
        <v>1</v>
      </c>
    </row>
    <row r="38" spans="1:15" x14ac:dyDescent="0.25">
      <c r="A38" t="s">
        <v>53</v>
      </c>
      <c r="B38" t="s">
        <v>71</v>
      </c>
      <c r="C38" t="s">
        <v>48</v>
      </c>
      <c r="D38">
        <v>578131063</v>
      </c>
      <c r="E38">
        <v>1</v>
      </c>
      <c r="F38">
        <v>1</v>
      </c>
      <c r="G38" t="s">
        <v>71</v>
      </c>
      <c r="H38">
        <v>1</v>
      </c>
      <c r="I38">
        <v>182.24</v>
      </c>
      <c r="J38">
        <v>183.92</v>
      </c>
      <c r="K38">
        <v>578439151</v>
      </c>
      <c r="L38">
        <v>1</v>
      </c>
      <c r="M38">
        <v>106386528651.92</v>
      </c>
      <c r="N38" t="b">
        <v>1</v>
      </c>
      <c r="O38" t="b">
        <f>M38=[1]generation_steps!G5797</f>
        <v>0</v>
      </c>
    </row>
    <row r="39" spans="1:15" x14ac:dyDescent="0.25">
      <c r="A39" t="s">
        <v>69</v>
      </c>
      <c r="B39" t="s">
        <v>87</v>
      </c>
      <c r="C39" t="s">
        <v>48</v>
      </c>
      <c r="D39">
        <v>2397679661</v>
      </c>
      <c r="E39">
        <v>0.95</v>
      </c>
      <c r="F39">
        <v>1</v>
      </c>
      <c r="G39" t="s">
        <v>87</v>
      </c>
      <c r="H39">
        <v>1</v>
      </c>
      <c r="I39">
        <v>55.51</v>
      </c>
      <c r="J39">
        <v>50.97</v>
      </c>
      <c r="K39">
        <v>2270057201</v>
      </c>
      <c r="L39">
        <v>1</v>
      </c>
      <c r="M39">
        <v>109919574758.2215</v>
      </c>
      <c r="N39" t="b">
        <v>1</v>
      </c>
      <c r="O39" t="b">
        <f>M39=[1]generation_steps!G5798</f>
        <v>0</v>
      </c>
    </row>
    <row r="40" spans="1:15" x14ac:dyDescent="0.25">
      <c r="A40" t="s">
        <v>63</v>
      </c>
      <c r="B40" t="s">
        <v>81</v>
      </c>
      <c r="C40" t="s">
        <v>48</v>
      </c>
      <c r="D40">
        <v>500141700</v>
      </c>
      <c r="E40">
        <v>0.5</v>
      </c>
      <c r="F40">
        <v>1</v>
      </c>
      <c r="G40" t="s">
        <v>81</v>
      </c>
      <c r="H40">
        <v>1</v>
      </c>
      <c r="I40">
        <v>460.7</v>
      </c>
      <c r="J40">
        <v>479</v>
      </c>
      <c r="K40">
        <v>500141700</v>
      </c>
      <c r="L40">
        <v>1</v>
      </c>
      <c r="M40">
        <v>119783937150</v>
      </c>
      <c r="N40" t="b">
        <v>1</v>
      </c>
      <c r="O40" t="b">
        <f>M40=[1]generation_steps!G5799</f>
        <v>1</v>
      </c>
    </row>
    <row r="41" spans="1:15" x14ac:dyDescent="0.25">
      <c r="A41" t="s">
        <v>67</v>
      </c>
      <c r="B41" t="s">
        <v>85</v>
      </c>
      <c r="C41" t="s">
        <v>48</v>
      </c>
      <c r="D41">
        <v>575627026</v>
      </c>
      <c r="E41">
        <v>1</v>
      </c>
      <c r="F41">
        <v>1</v>
      </c>
      <c r="G41" t="s">
        <v>85</v>
      </c>
      <c r="H41">
        <v>1</v>
      </c>
      <c r="I41">
        <v>221.9</v>
      </c>
      <c r="J41">
        <v>217.15</v>
      </c>
      <c r="K41">
        <v>575631676</v>
      </c>
      <c r="L41">
        <v>1</v>
      </c>
      <c r="M41">
        <v>124998418443.39999</v>
      </c>
      <c r="N41" t="b">
        <v>1</v>
      </c>
      <c r="O41" t="b">
        <f>M41=[1]generation_steps!G5800</f>
        <v>1</v>
      </c>
    </row>
  </sheetData>
  <autoFilter ref="A1:N41" xr:uid="{00000000-0001-0000-0300-000000000000}">
    <sortState xmlns:xlrd2="http://schemas.microsoft.com/office/spreadsheetml/2017/richdata2" ref="A2:N41">
      <sortCondition ref="M1:M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2025-07-17T14:58:01Z</dcterms:created>
  <dcterms:modified xsi:type="dcterms:W3CDTF">2025-07-17T15:01:09Z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2025-07-17T14:59:06Z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f159fc8a-910b-4b0f-8044-d8a13d07b06a</vt:lpwstr>
  </property>
  <property fmtid="{D5CDD505-2E9C-101B-9397-08002B2CF9AE}" pid="8" name="MSIP_Label_ac0b9ce6-6e99-42a1-af95-429494370cbc_ContentBits">
    <vt:lpwstr>2</vt:lpwstr>
  </property>
</Properties>
</file>