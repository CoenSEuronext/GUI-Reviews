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FC026C861CA631E571E295BA7FD23E947E4B054A" xr6:coauthVersionLast="47" xr6:coauthVersionMax="47" xr10:uidLastSave="{565D5AFD-F927-4792-AE83-39D63514C53A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" l="1"/>
  <c r="P1" i="4"/>
</calcChain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<sst xmlns="http://schemas.openxmlformats.org/spreadsheetml/2006/main" count="139" uniqueCount="58">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</sst>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D2" sqref="D2"/>
    </sheetView>
  </sheetViews>
  <sheetFormatPr defaultRowHeight="15" x14ac:dyDescent="0.25"/>
  <cols>
    <col min="1" max="1" width="24.42578125" bestFit="1" customWidth="1"/>
    <col min="2" max="2" width="14.140625" bestFit="1" customWidth="1"/>
    <col min="3" max="3" width="5.8554687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</v>
      </c>
      <c r="C2" t="s">
        <v>28</v>
      </c>
      <c r="D2">
        <v>6761337881</v>
      </c>
      <c r="E2">
        <v>1</v>
      </c>
      <c r="F2">
        <v>1</v>
      </c>
      <c r="G2" t="s">
        <v>34</v>
      </c>
      <c r="H2" t="s">
        <v>35</v>
      </c>
    </row>
    <row r="3" spans="1:8" x14ac:dyDescent="0.25">
      <c r="A3" t="s">
        <v>9</v>
      </c>
      <c r="B3" t="s">
        <v>19</v>
      </c>
      <c r="C3" t="s">
        <v>29</v>
      </c>
      <c r="D3">
        <v>2999569101</v>
      </c>
      <c r="E3">
        <v>1</v>
      </c>
      <c r="F3">
        <v>1</v>
      </c>
      <c r="G3" t="s">
        <v>34</v>
      </c>
      <c r="H3" t="s">
        <v>36</v>
      </c>
    </row>
    <row r="4" spans="1:8" x14ac:dyDescent="0.25">
      <c r="A4" t="s">
        <v>10</v>
      </c>
      <c r="B4" t="s">
        <v>20</v>
      </c>
      <c r="C4" t="s">
        <v>30</v>
      </c>
      <c r="D4">
        <v>724055670</v>
      </c>
      <c r="E4">
        <v>1</v>
      </c>
      <c r="F4">
        <v>1</v>
      </c>
      <c r="G4" t="s">
        <v>34</v>
      </c>
      <c r="H4" t="s">
        <v>37</v>
      </c>
    </row>
    <row r="5" spans="1:8" x14ac:dyDescent="0.25">
      <c r="A5" t="s">
        <v>11</v>
      </c>
      <c r="B5" t="s">
        <v>21</v>
      </c>
      <c r="C5" t="s">
        <v>30</v>
      </c>
      <c r="D5">
        <v>1161217293</v>
      </c>
      <c r="E5">
        <v>1</v>
      </c>
      <c r="F5">
        <v>1</v>
      </c>
      <c r="G5" t="s">
        <v>34</v>
      </c>
      <c r="H5" t="s">
        <v>37</v>
      </c>
    </row>
    <row r="6" spans="1:8" x14ac:dyDescent="0.25">
      <c r="A6" t="s">
        <v>12</v>
      </c>
      <c r="B6" t="s">
        <v>22</v>
      </c>
      <c r="C6" t="s">
        <v>31</v>
      </c>
      <c r="D6">
        <v>374418557</v>
      </c>
      <c r="E6">
        <v>1</v>
      </c>
      <c r="F6">
        <v>1</v>
      </c>
      <c r="G6" t="s">
        <v>34</v>
      </c>
      <c r="H6" t="s">
        <v>37</v>
      </c>
    </row>
    <row r="7" spans="1:8" x14ac:dyDescent="0.25">
      <c r="A7" t="s">
        <v>13</v>
      </c>
      <c r="B7" t="s">
        <v>23</v>
      </c>
      <c r="C7" t="s">
        <v>30</v>
      </c>
      <c r="D7">
        <v>3511507167</v>
      </c>
      <c r="E7">
        <v>1</v>
      </c>
      <c r="F7">
        <v>1</v>
      </c>
      <c r="G7" t="s">
        <v>34</v>
      </c>
      <c r="H7" t="s">
        <v>37</v>
      </c>
    </row>
    <row r="8" spans="1:8" x14ac:dyDescent="0.25">
      <c r="A8" t="s">
        <v>14</v>
      </c>
      <c r="B8" t="s">
        <v>24</v>
      </c>
      <c r="C8" t="s">
        <v>28</v>
      </c>
      <c r="D8">
        <v>15287803794</v>
      </c>
      <c r="E8">
        <v>1</v>
      </c>
      <c r="F8">
        <v>1</v>
      </c>
      <c r="G8" t="s">
        <v>34</v>
      </c>
      <c r="H8" t="s">
        <v>35</v>
      </c>
    </row>
    <row r="9" spans="1:8" x14ac:dyDescent="0.25">
      <c r="A9" t="s">
        <v>15</v>
      </c>
      <c r="B9" t="s">
        <v>25</v>
      </c>
      <c r="C9" t="s">
        <v>32</v>
      </c>
      <c r="D9">
        <v>860883697</v>
      </c>
      <c r="E9">
        <v>1</v>
      </c>
      <c r="F9">
        <v>1</v>
      </c>
      <c r="G9" t="s">
        <v>34</v>
      </c>
      <c r="H9" t="s">
        <v>38</v>
      </c>
    </row>
    <row r="10" spans="1:8" x14ac:dyDescent="0.25">
      <c r="A10" t="s">
        <v>16</v>
      </c>
      <c r="B10" t="s">
        <v>26</v>
      </c>
      <c r="C10" t="s">
        <v>33</v>
      </c>
      <c r="D10">
        <v>2143892418</v>
      </c>
      <c r="E10">
        <v>1</v>
      </c>
      <c r="F10">
        <v>1</v>
      </c>
      <c r="G10" t="s">
        <v>34</v>
      </c>
      <c r="H10" t="s">
        <v>38</v>
      </c>
    </row>
    <row r="11" spans="1:8" x14ac:dyDescent="0.25">
      <c r="A11" t="s">
        <v>17</v>
      </c>
      <c r="B11" t="s">
        <v>27</v>
      </c>
      <c r="C11" t="s">
        <v>31</v>
      </c>
      <c r="D11">
        <v>1116917158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tabSelected="1" topLeftCell="B1" workbookViewId="0">
      <selection activeCell="O2" sqref="O2"/>
    </sheetView>
  </sheetViews>
  <sheetFormatPr defaultRowHeight="15" x14ac:dyDescent="0.25"/>
  <cols>
    <col min="1" max="1" width="24.42578125" bestFit="1" customWidth="1"/>
    <col min="2" max="2" width="14.140625" bestFit="1" customWidth="1"/>
    <col min="4" max="4" width="13.42578125" bestFit="1" customWidth="1"/>
    <col min="5" max="5" width="18.7109375" bestFit="1" customWidth="1"/>
    <col min="6" max="6" width="27.7109375" bestFit="1" customWidth="1"/>
    <col min="7" max="7" width="13.140625" bestFit="1" customWidth="1"/>
    <col min="8" max="8" width="17" bestFit="1" customWidth="1"/>
    <col min="9" max="9" width="18.42578125" bestFit="1" customWidth="1"/>
    <col min="10" max="10" width="17.140625" bestFit="1" customWidth="1"/>
    <col min="11" max="11" width="21.28515625" bestFit="1" customWidth="1"/>
    <col min="12" max="12" width="14.42578125" bestFit="1" customWidth="1"/>
    <col min="13" max="13" width="21.42578125" bestFit="1" customWidth="1"/>
    <col min="14" max="14" width="19.28515625" bestFit="1" customWidth="1"/>
    <col min="15" max="15" width="11" bestFit="1" customWidth="1"/>
    <col min="16" max="16" width="12" bestFit="1" customWidth="1"/>
  </cols>
  <sheetData>
    <row r="1" spans="1:16" x14ac:dyDescent="0.25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  <c r="O1">
        <v>1997250176917.2781</v>
      </c>
      <c r="P1">
        <f>O1/10</f>
        <v>199725017691.72781</v>
      </c>
    </row>
    <row r="2" spans="1:16" x14ac:dyDescent="0.25">
      <c r="A2" t="s">
        <v>8</v>
      </c>
      <c r="B2" t="s">
        <v>18</v>
      </c>
      <c r="C2" t="s">
        <v>28</v>
      </c>
      <c r="D2" t="s">
        <v>35</v>
      </c>
      <c r="E2">
        <v>1</v>
      </c>
      <c r="F2" t="s">
        <v>34</v>
      </c>
      <c r="G2" t="s">
        <v>49</v>
      </c>
      <c r="H2">
        <v>1.156136E-2</v>
      </c>
      <c r="I2">
        <v>2555</v>
      </c>
      <c r="J2">
        <v>2201</v>
      </c>
      <c r="K2">
        <v>1</v>
      </c>
      <c r="L2">
        <v>1</v>
      </c>
      <c r="M2">
        <v>6761337881.3120975</v>
      </c>
      <c r="N2">
        <v>6761337881</v>
      </c>
      <c r="O2">
        <f>P1/(H2*I2)</f>
        <v>6761337881.3120975</v>
      </c>
    </row>
    <row r="3" spans="1:16" x14ac:dyDescent="0.25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0.61572563000000002</v>
      </c>
      <c r="I3">
        <v>108.14</v>
      </c>
      <c r="J3">
        <v>103.61</v>
      </c>
      <c r="K3">
        <v>1</v>
      </c>
      <c r="L3">
        <v>1</v>
      </c>
      <c r="M3">
        <v>2999569101.474525</v>
      </c>
      <c r="N3">
        <v>2999569101</v>
      </c>
    </row>
    <row r="4" spans="1:16" x14ac:dyDescent="0.25">
      <c r="A4" t="s">
        <v>10</v>
      </c>
      <c r="B4" t="s">
        <v>20</v>
      </c>
      <c r="C4" t="s">
        <v>30</v>
      </c>
      <c r="D4" t="s">
        <v>37</v>
      </c>
      <c r="E4">
        <v>1</v>
      </c>
      <c r="F4" t="s">
        <v>34</v>
      </c>
      <c r="G4" t="s">
        <v>51</v>
      </c>
      <c r="H4">
        <v>0.85273301000000001</v>
      </c>
      <c r="I4">
        <v>323.48</v>
      </c>
      <c r="J4">
        <v>310.16000000000003</v>
      </c>
      <c r="K4">
        <v>1</v>
      </c>
      <c r="L4">
        <v>1</v>
      </c>
      <c r="M4">
        <v>724055669.75822711</v>
      </c>
      <c r="N4">
        <v>724055670</v>
      </c>
    </row>
    <row r="5" spans="1:16" x14ac:dyDescent="0.25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0.85273301000000001</v>
      </c>
      <c r="I5">
        <v>201.7</v>
      </c>
      <c r="J5">
        <v>202.28</v>
      </c>
      <c r="K5">
        <v>1</v>
      </c>
      <c r="L5">
        <v>1</v>
      </c>
      <c r="M5">
        <v>1161217293.274127</v>
      </c>
      <c r="N5">
        <v>1161217293</v>
      </c>
    </row>
    <row r="6" spans="1:16" x14ac:dyDescent="0.25">
      <c r="A6" t="s">
        <v>12</v>
      </c>
      <c r="B6" t="s">
        <v>22</v>
      </c>
      <c r="C6" t="s">
        <v>31</v>
      </c>
      <c r="D6" t="s">
        <v>37</v>
      </c>
      <c r="E6">
        <v>1</v>
      </c>
      <c r="F6" t="s">
        <v>34</v>
      </c>
      <c r="G6" t="s">
        <v>56</v>
      </c>
      <c r="H6">
        <v>0.85273301000000001</v>
      </c>
      <c r="I6">
        <v>625.54999999999995</v>
      </c>
      <c r="J6">
        <v>607.07000000000005</v>
      </c>
      <c r="K6">
        <v>1</v>
      </c>
      <c r="L6">
        <v>1</v>
      </c>
      <c r="M6">
        <v>374418556.55565709</v>
      </c>
      <c r="N6">
        <v>374418557</v>
      </c>
    </row>
    <row r="7" spans="1:16" x14ac:dyDescent="0.25">
      <c r="A7" t="s">
        <v>13</v>
      </c>
      <c r="B7" t="s">
        <v>23</v>
      </c>
      <c r="C7" t="s">
        <v>30</v>
      </c>
      <c r="D7" t="s">
        <v>37</v>
      </c>
      <c r="E7">
        <v>1</v>
      </c>
      <c r="F7" t="s">
        <v>34</v>
      </c>
      <c r="G7" t="s">
        <v>47</v>
      </c>
      <c r="H7">
        <v>0.85273301000000001</v>
      </c>
      <c r="I7">
        <v>66.7</v>
      </c>
      <c r="J7">
        <v>68.77</v>
      </c>
      <c r="K7">
        <v>1</v>
      </c>
      <c r="L7">
        <v>1</v>
      </c>
      <c r="M7">
        <v>3511507167.2172608</v>
      </c>
      <c r="N7">
        <v>3511507167</v>
      </c>
    </row>
    <row r="8" spans="1:16" x14ac:dyDescent="0.25">
      <c r="A8" t="s">
        <v>14</v>
      </c>
      <c r="B8" t="s">
        <v>24</v>
      </c>
      <c r="C8" t="s">
        <v>28</v>
      </c>
      <c r="D8" t="s">
        <v>35</v>
      </c>
      <c r="E8">
        <v>1</v>
      </c>
      <c r="F8" t="s">
        <v>34</v>
      </c>
      <c r="G8" t="s">
        <v>55</v>
      </c>
      <c r="H8">
        <v>1.156136E-2</v>
      </c>
      <c r="I8">
        <v>1130</v>
      </c>
      <c r="J8">
        <v>1043</v>
      </c>
      <c r="K8">
        <v>1</v>
      </c>
      <c r="L8">
        <v>1</v>
      </c>
      <c r="M8">
        <v>15287803793.586201</v>
      </c>
      <c r="N8">
        <v>15287803794</v>
      </c>
    </row>
    <row r="9" spans="1:16" x14ac:dyDescent="0.25">
      <c r="A9" t="s">
        <v>15</v>
      </c>
      <c r="B9" t="s">
        <v>25</v>
      </c>
      <c r="C9" t="s">
        <v>32</v>
      </c>
      <c r="D9" t="s">
        <v>38</v>
      </c>
      <c r="E9">
        <v>1</v>
      </c>
      <c r="F9" t="s">
        <v>34</v>
      </c>
      <c r="G9" t="s">
        <v>53</v>
      </c>
      <c r="H9">
        <v>1</v>
      </c>
      <c r="I9">
        <v>232</v>
      </c>
      <c r="J9">
        <v>215.4</v>
      </c>
      <c r="K9">
        <v>1</v>
      </c>
      <c r="L9">
        <v>1</v>
      </c>
      <c r="M9">
        <v>860883696.94710267</v>
      </c>
      <c r="N9">
        <v>860883697</v>
      </c>
    </row>
    <row r="10" spans="1:16" x14ac:dyDescent="0.25">
      <c r="A10" t="s">
        <v>16</v>
      </c>
      <c r="B10" t="s">
        <v>26</v>
      </c>
      <c r="C10" t="s">
        <v>33</v>
      </c>
      <c r="D10" t="s">
        <v>38</v>
      </c>
      <c r="E10">
        <v>1</v>
      </c>
      <c r="F10" t="s">
        <v>34</v>
      </c>
      <c r="G10" t="s">
        <v>54</v>
      </c>
      <c r="H10">
        <v>1</v>
      </c>
      <c r="I10">
        <v>93.16</v>
      </c>
      <c r="J10">
        <v>92.9</v>
      </c>
      <c r="K10">
        <v>0.85</v>
      </c>
      <c r="L10">
        <v>1</v>
      </c>
      <c r="M10">
        <v>2143892418.3311269</v>
      </c>
      <c r="N10">
        <v>2143892418</v>
      </c>
    </row>
    <row r="11" spans="1:16" x14ac:dyDescent="0.25">
      <c r="A11" t="s">
        <v>17</v>
      </c>
      <c r="B11" t="s">
        <v>27</v>
      </c>
      <c r="C11" t="s">
        <v>31</v>
      </c>
      <c r="D11" t="s">
        <v>37</v>
      </c>
      <c r="E11">
        <v>1</v>
      </c>
      <c r="F11" t="s">
        <v>34</v>
      </c>
      <c r="G11" t="s">
        <v>52</v>
      </c>
      <c r="H11">
        <v>0.85273301000000001</v>
      </c>
      <c r="I11">
        <v>209.7</v>
      </c>
      <c r="J11">
        <v>190.46</v>
      </c>
      <c r="K11">
        <v>0.95</v>
      </c>
      <c r="L11">
        <v>1</v>
      </c>
      <c r="M11">
        <v>1116917158.099148</v>
      </c>
      <c r="N11">
        <v>1116917158</v>
      </c>
    </row>
  </sheetData>
  <autoFilter ref="A1:N11" xr:uid="{00000000-0001-0000-0300-000000000000}">
    <sortState xmlns:xlrd2="http://schemas.microsoft.com/office/spreadsheetml/2017/richdata2" ref="A2:N11">
      <sortCondition ref="A1:A1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57</v>
      </c>
    </row>
    <row r="2" spans="1:1" x14ac:dyDescent="0.25">
      <c r="A2">
        <v>1997250176917.2781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2025-09-15T17:59:23Z</dcterms:created>
  <dcterms:modified xsi:type="dcterms:W3CDTF">2025-09-15T18:00:17Z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2025-09-15T18:00:17Z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c12d7cc8-a1b3-4c66-a3a1-40b8a22a9f42</vt:lpwstr>
  </property>
  <property fmtid="{D5CDD505-2E9C-101B-9397-08002B2CF9AE}" pid="8" name="MSIP_Label_ac0b9ce6-6e99-42a1-af95-429494370cbc_ContentBits">
    <vt:lpwstr>2</vt:lpwstr>
  </property>
</Properties>
</file>